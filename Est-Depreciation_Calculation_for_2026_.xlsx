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ifkyAwalulHuda\Documents\Kerjaan\Asset &amp; Building Data\Estimasi Depresiasi\2026\"/>
    </mc:Choice>
  </mc:AlternateContent>
  <xr:revisionPtr revIDLastSave="0" documentId="13_ncr:1_{97A0479F-04F6-497F-AE33-1DEAC8797115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TB" sheetId="24" state="hidden" r:id="rId1"/>
    <sheet name="TOTAL" sheetId="1" r:id="rId2"/>
    <sheet name="FA_2025" sheetId="2" r:id="rId3"/>
    <sheet name="FA_2026" sheetId="30" r:id="rId4"/>
    <sheet name="Sheet1" sheetId="29" state="hidden" r:id="rId5"/>
    <sheet name="List Approval 2022" sheetId="25" state="hidden" r:id="rId6"/>
    <sheet name="List Approval 2021" sheetId="19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</externalReferences>
  <definedNames>
    <definedName name="\0">#N/A</definedName>
    <definedName name="\a">#REF!</definedName>
    <definedName name="\c">#REF!</definedName>
    <definedName name="\p">#REF!</definedName>
    <definedName name="\q">[1]FRYPROD!#REF!</definedName>
    <definedName name="___RSE2">'[2]CMA Calculations'!$H$1066</definedName>
    <definedName name="__DAT1">"$#REF!.$A$1:$A$394"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2">"$#REF!.$B$1:$B$394"</definedName>
    <definedName name="__DAT3">"$#REF!.$#REF!$#REF!:$#REF!$#REF!"</definedName>
    <definedName name="__DAT6">#REF!</definedName>
    <definedName name="__DAT7">#REF!</definedName>
    <definedName name="__DAT8">#REF!</definedName>
    <definedName name="__DAT9">#REF!</definedName>
    <definedName name="__NPW1">'[3]Permanent info'!$E$5</definedName>
    <definedName name="__NPW10">'[3]Permanent info'!$R$5</definedName>
    <definedName name="__NPW11">'[3]Permanent info'!$S$5</definedName>
    <definedName name="__NPW2">'[3]Permanent info'!$G$5</definedName>
    <definedName name="__NPW3">'[3]Permanent info'!$H$5</definedName>
    <definedName name="__NPW4">'[3]Permanent info'!$I$5</definedName>
    <definedName name="__NPW5">'[3]Permanent info'!$K$5</definedName>
    <definedName name="__NPW6">'[3]Permanent info'!$L$5</definedName>
    <definedName name="__NPW7">'[3]Permanent info'!$M$5</definedName>
    <definedName name="__NPW8">'[3]Permanent info'!$O$5</definedName>
    <definedName name="__NPW9">'[3]Permanent info'!$Q$5</definedName>
    <definedName name="__poc01">#REF!</definedName>
    <definedName name="__poc02">#REF!</definedName>
    <definedName name="__poc03">#REF!</definedName>
    <definedName name="__poc04">#REF!</definedName>
    <definedName name="__poc05">#REF!</definedName>
    <definedName name="__PPH25">#REF!</definedName>
    <definedName name="__RSE2">'[2]CMA Calculations'!$H$1066</definedName>
    <definedName name="__vib01">#REF!</definedName>
    <definedName name="__vib02">#REF!</definedName>
    <definedName name="__vib03">#REF!</definedName>
    <definedName name="__vib04">#REF!</definedName>
    <definedName name="__vib05">#REF!</definedName>
    <definedName name="__vib06">#REF!</definedName>
    <definedName name="__vib07">#REF!</definedName>
    <definedName name="__WS1">#REF!</definedName>
    <definedName name="__WS2">#REF!</definedName>
    <definedName name="_1">#REF!</definedName>
    <definedName name="_15">#REF!</definedName>
    <definedName name="_15_2">#REF!</definedName>
    <definedName name="_3">#REF!</definedName>
    <definedName name="_CDD763">#REF!</definedName>
    <definedName name="_DAT1">"$#REF!.$A$1:$A$394"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2">"$#REF!.$B$1:$B$394"</definedName>
    <definedName name="_DAT3">"$#REF!.$#REF!$#REF!:$#REF!$#REF!"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hidden="1">#REF!</definedName>
    <definedName name="_xlnm._FilterDatabase" localSheetId="2" hidden="1">FA_2025!$A$25:$BH$258</definedName>
    <definedName name="_xlnm._FilterDatabase" localSheetId="3" hidden="1">FA_2026!$A$25:$BH$259</definedName>
    <definedName name="_xlnm._FilterDatabase" localSheetId="6" hidden="1">'List Approval 2021'!$A$5:$N$106</definedName>
    <definedName name="_xlnm._FilterDatabase" localSheetId="5" hidden="1">'List Approval 2022'!$A$7:$N$88</definedName>
    <definedName name="_xlnm._FilterDatabase" hidden="1">#REF!</definedName>
    <definedName name="_GOTO_N1_">#REF!</definedName>
    <definedName name="_Key1" hidden="1">#REF!</definedName>
    <definedName name="_Key2" hidden="1">#REF!</definedName>
    <definedName name="_MEI2" hidden="1">#REF!</definedName>
    <definedName name="_NPW1">'[3]Permanent info'!$E$5</definedName>
    <definedName name="_NPW10">'[3]Permanent info'!$R$5</definedName>
    <definedName name="_NPW11">'[3]Permanent info'!$S$5</definedName>
    <definedName name="_NPW2">'[3]Permanent info'!$G$5</definedName>
    <definedName name="_NPW3">'[3]Permanent info'!$H$5</definedName>
    <definedName name="_NPW4">'[3]Permanent info'!$I$5</definedName>
    <definedName name="_NPW5">'[3]Permanent info'!$K$5</definedName>
    <definedName name="_NPW6">'[3]Permanent info'!$L$5</definedName>
    <definedName name="_NPW7">'[3]Permanent info'!$M$5</definedName>
    <definedName name="_NPW8">'[3]Permanent info'!$O$5</definedName>
    <definedName name="_NPW9">'[3]Permanent info'!$Q$5</definedName>
    <definedName name="_Order1" hidden="1">255</definedName>
    <definedName name="_Order2" hidden="1">255</definedName>
    <definedName name="_poc01">#REF!</definedName>
    <definedName name="_poc02">#REF!</definedName>
    <definedName name="_poc03">#REF!</definedName>
    <definedName name="_poc04">#REF!</definedName>
    <definedName name="_poc05">#REF!</definedName>
    <definedName name="_PPh21">#REF!</definedName>
    <definedName name="_PPH23">#REF!</definedName>
    <definedName name="_PPH25">#REF!</definedName>
    <definedName name="_PPh26">#REF!</definedName>
    <definedName name="_R214385">#REF!</definedName>
    <definedName name="_Regression_Int">1</definedName>
    <definedName name="_RSE1">#REF!</definedName>
    <definedName name="_RSE2">#N/A</definedName>
    <definedName name="_RSE3">'[4]CMA Calculations- Figure 5440.1'!$H$296</definedName>
    <definedName name="_Sort" hidden="1">#REF!</definedName>
    <definedName name="_vib01">#REF!</definedName>
    <definedName name="_vib02">#REF!</definedName>
    <definedName name="_vib03">#REF!</definedName>
    <definedName name="_vib04">#REF!</definedName>
    <definedName name="_vib05">#REF!</definedName>
    <definedName name="_vib06">#REF!</definedName>
    <definedName name="_vib07">#REF!</definedName>
    <definedName name="_WH128">#N/A</definedName>
    <definedName name="_wm1" hidden="1">#REF!</definedName>
    <definedName name="_WS1">#REF!</definedName>
    <definedName name="_WS2">#REF!</definedName>
    <definedName name="a">#REF!</definedName>
    <definedName name="A\">#N/A</definedName>
    <definedName name="aa">#REF!</definedName>
    <definedName name="aaa">[5]Summary!$F$19</definedName>
    <definedName name="aaaa" hidden="1">#REF!</definedName>
    <definedName name="AAAAA">#REF!</definedName>
    <definedName name="aaed" localSheetId="2" hidden="1">{#N/A,#N/A,FALSE,"Aging Summary";#N/A,#N/A,FALSE,"Ratio Analysis";#N/A,#N/A,FALSE,"Test 120 Day Accts";#N/A,#N/A,FALSE,"Tickmarks"}</definedName>
    <definedName name="aaed" localSheetId="3" hidden="1">{#N/A,#N/A,FALSE,"Aging Summary";#N/A,#N/A,FALSE,"Ratio Analysis";#N/A,#N/A,FALSE,"Test 120 Day Accts";#N/A,#N/A,FALSE,"Tickmarks"}</definedName>
    <definedName name="aaed" hidden="1">{#N/A,#N/A,FALSE,"Aging Summary";#N/A,#N/A,FALSE,"Ratio Analysis";#N/A,#N/A,FALSE,"Test 120 Day Accts";#N/A,#N/A,FALSE,"Tickmarks"}</definedName>
    <definedName name="aal">#REF!</definedName>
    <definedName name="ab">[6]adj!$A$8:$K$303</definedName>
    <definedName name="ABC">#REF!</definedName>
    <definedName name="accout">[7]ACCOUNT!$A$1:$C$65536</definedName>
    <definedName name="accrual">#REF!</definedName>
    <definedName name="accrual2">[8]GeneralInfo!$F$19</definedName>
    <definedName name="ad">[8]GeneralInfo!$I$7</definedName>
    <definedName name="address01">#REF!</definedName>
    <definedName name="address02">#REF!</definedName>
    <definedName name="address03">#REF!</definedName>
    <definedName name="address2">[8]GeneralInfo!$I$6</definedName>
    <definedName name="ADE" hidden="1">#REF!</definedName>
    <definedName name="adi">#REF!</definedName>
    <definedName name="adjustment">#REF!</definedName>
    <definedName name="AE">#REF!</definedName>
    <definedName name="aegaeg">#REF!</definedName>
    <definedName name="aejgla">'[9]List Disposal FA'!$J$8</definedName>
    <definedName name="af">[9]Mutation!$K$33</definedName>
    <definedName name="afa">'[9]List Addition FA'!$H$100</definedName>
    <definedName name="afag" localSheetId="2">'[9]List Addition FA'!#REF!</definedName>
    <definedName name="afag" localSheetId="3">'[9]List Addition FA'!#REF!</definedName>
    <definedName name="afag">'[9]List Addition FA'!#REF!</definedName>
    <definedName name="afalf" localSheetId="2">'[9]List Disposal FA'!#REF!</definedName>
    <definedName name="afalf" localSheetId="3">'[9]List Disposal FA'!#REF!</definedName>
    <definedName name="afalf">'[9]List Disposal FA'!#REF!</definedName>
    <definedName name="afd">#REF!</definedName>
    <definedName name="afejhfe">#REF!</definedName>
    <definedName name="afkejgfka">#REF!</definedName>
    <definedName name="ag">#REF!</definedName>
    <definedName name="agde" localSheetId="2">'[9]List Disposal FA'!#REF!</definedName>
    <definedName name="agde" localSheetId="3">'[9]List Disposal FA'!#REF!</definedName>
    <definedName name="agde">'[9]List Disposal FA'!#REF!</definedName>
    <definedName name="Age">#REF!</definedName>
    <definedName name="agea">#REF!</definedName>
    <definedName name="ageda" localSheetId="2">'[9]List Disposal FA'!#REF!</definedName>
    <definedName name="ageda" localSheetId="3">'[9]List Disposal FA'!#REF!</definedName>
    <definedName name="ageda">'[9]List Disposal FA'!#REF!</definedName>
    <definedName name="ageegag">#REF!</definedName>
    <definedName name="ageegk">[10]Rollforward!$M$12</definedName>
    <definedName name="agegag" localSheetId="2">'[9]List Disposal FA'!#REF!</definedName>
    <definedName name="agegag" localSheetId="3">'[9]List Disposal FA'!#REF!</definedName>
    <definedName name="agegag">'[9]List Disposal FA'!#REF!</definedName>
    <definedName name="ageggage">'[9]List Disposal FA'!$N$15</definedName>
    <definedName name="agegk">#REF!</definedName>
    <definedName name="agejgh" localSheetId="2">'[9]List Disposal FA'!#REF!</definedName>
    <definedName name="agejgh" localSheetId="3">'[9]List Disposal FA'!#REF!</definedName>
    <definedName name="agejgh">'[9]List Disposal FA'!#REF!</definedName>
    <definedName name="agfegao">[10]Rollforward!$M$11</definedName>
    <definedName name="agjle" localSheetId="2">'[9]List Disposal FA'!#REF!</definedName>
    <definedName name="agjle" localSheetId="3">'[9]List Disposal FA'!#REF!</definedName>
    <definedName name="agjle">'[9]List Disposal FA'!#REF!</definedName>
    <definedName name="agkghkeuhga" localSheetId="2">'[10]Tie Up Exp'!#REF!</definedName>
    <definedName name="agkghkeuhga" localSheetId="3">'[10]Tie Up Exp'!#REF!</definedName>
    <definedName name="agkghkeuhga">'[10]Tie Up Exp'!#REF!</definedName>
    <definedName name="aglag" localSheetId="2">'[9]List Disposal FA'!#REF!</definedName>
    <definedName name="aglag" localSheetId="3">'[9]List Disposal FA'!#REF!</definedName>
    <definedName name="aglag">'[9]List Disposal FA'!#REF!</definedName>
    <definedName name="aiejlag">#REF!</definedName>
    <definedName name="aighjeig">#REF!</definedName>
    <definedName name="akegfhekg">#REF!</definedName>
    <definedName name="akgdekgekggfloe">#REF!</definedName>
    <definedName name="akgeghloea">#REF!</definedName>
    <definedName name="akgfegaeu">#REF!</definedName>
    <definedName name="Akun">#REF!</definedName>
    <definedName name="aleigjla">#REF!</definedName>
    <definedName name="algegiea" localSheetId="2">'[9]List Disposal FA'!#REF!</definedName>
    <definedName name="algegiea" localSheetId="3">'[9]List Disposal FA'!#REF!</definedName>
    <definedName name="algegiea">'[9]List Disposal FA'!#REF!</definedName>
    <definedName name="algei" localSheetId="2">'[9]List of FA-Dec'!#REF!</definedName>
    <definedName name="algei" localSheetId="3">'[9]List of FA-Dec'!#REF!</definedName>
    <definedName name="algei">'[9]List of FA-Dec'!#REF!</definedName>
    <definedName name="algeig">'[9]List Disposal FA'!$J$9</definedName>
    <definedName name="algieg">#REF!</definedName>
    <definedName name="algjei" localSheetId="2">'[9]List Disposal FA'!#REF!</definedName>
    <definedName name="algjei" localSheetId="3">'[9]List Disposal FA'!#REF!</definedName>
    <definedName name="algjei">'[9]List Disposal FA'!#REF!</definedName>
    <definedName name="alglag" localSheetId="2">'[9]List Disposal FA'!#REF!</definedName>
    <definedName name="alglag" localSheetId="3">'[9]List Disposal FA'!#REF!</definedName>
    <definedName name="alglag">'[9]List Disposal FA'!#REF!</definedName>
    <definedName name="alglei">#REF!</definedName>
    <definedName name="alkgjeoig" localSheetId="2">'[10]Tie Up Exp'!#REF!</definedName>
    <definedName name="alkgjeoig" localSheetId="3">'[10]Tie Up Exp'!#REF!</definedName>
    <definedName name="alkgjeoig">'[10]Tie Up Exp'!#REF!</definedName>
    <definedName name="amin">#REF!</definedName>
    <definedName name="ankglag" localSheetId="2">'[9]List Disposal FA'!#REF!</definedName>
    <definedName name="ankglag" localSheetId="3">'[9]List Disposal FA'!#REF!</definedName>
    <definedName name="ankglag">'[9]List Disposal FA'!#REF!</definedName>
    <definedName name="AP">#REF!</definedName>
    <definedName name="APSUMMARY">#REF!</definedName>
    <definedName name="AQ" hidden="1">#REF!</definedName>
    <definedName name="ARA_Threshold">#REF!</definedName>
    <definedName name="ARP_Threshold">#REF!</definedName>
    <definedName name="ars">#REF!</definedName>
    <definedName name="as">#REF!</definedName>
    <definedName name="AS2DocOpenMode" hidden="1">"AS2DocumentEdit"</definedName>
    <definedName name="AS2LinkLS" hidden="1">[11]Links!A1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fei">#REF!</definedName>
    <definedName name="ASU" hidden="1">#REF!</definedName>
    <definedName name="ASUMSI">#REF!</definedName>
    <definedName name="ATC_5">#REF!</definedName>
    <definedName name="attachVI">#REF!</definedName>
    <definedName name="AttVI">[12]A!$A$16:$AA$233</definedName>
    <definedName name="average">#REF!</definedName>
    <definedName name="AW" hidden="1">#REF!</definedName>
    <definedName name="awif">#REF!</definedName>
    <definedName name="Aws">#REF!</definedName>
    <definedName name="B">#REF!</definedName>
    <definedName name="BADDEBT">[13]Marshal!#REF!</definedName>
    <definedName name="balancesheets">#REF!</definedName>
    <definedName name="BANGUNAN">#REF!</definedName>
    <definedName name="bank">#REF!</definedName>
    <definedName name="BANKCHARGES">#REF!</definedName>
    <definedName name="baru">#N/A</definedName>
    <definedName name="bbb">#REF!</definedName>
    <definedName name="bEAmASUK">#REF!</definedName>
    <definedName name="BG" hidden="1">#REF!</definedName>
    <definedName name="BG_Del" hidden="1">15</definedName>
    <definedName name="BG_Ins" hidden="1">4</definedName>
    <definedName name="BG_Mod" hidden="1">6</definedName>
    <definedName name="BIK">[3]Marshal!#REF!</definedName>
    <definedName name="bikexpenses">#REF!</definedName>
    <definedName name="bikxpenses">[14]Marshal!$P$207</definedName>
    <definedName name="BLDG">#REF!</definedName>
    <definedName name="bookyear">#REF!</definedName>
    <definedName name="Brid_IDR_Rate">[15]Assumption!$E$62</definedName>
    <definedName name="BS">#REF!</definedName>
    <definedName name="BULAN">'[16]hitung ulang JEPANG'!$I$53:$L$64</definedName>
    <definedName name="BusinessIncome">'[17]FE-1770-I'!$AE$35</definedName>
    <definedName name="businesstype">#REF!</definedName>
    <definedName name="C_">#REF!</definedName>
    <definedName name="caforward">#REF!</definedName>
    <definedName name="calendar">#REF!</definedName>
    <definedName name="Cap" hidden="1">#REF!</definedName>
    <definedName name="CAPEX" hidden="1">#REF!</definedName>
    <definedName name="CAPGAINS">'[18]Marshal -1'!#REF!</definedName>
    <definedName name="CAPLOSS">[13]Marshal!#REF!</definedName>
    <definedName name="cash">#REF!</definedName>
    <definedName name="cc" hidden="1">#REF!</definedName>
    <definedName name="CHK">#REF!</definedName>
    <definedName name="civ" hidden="1">#REF!</definedName>
    <definedName name="co_name">[19]co_data!$G$5</definedName>
    <definedName name="COBA">#REF!</definedName>
    <definedName name="COGS">#REF!</definedName>
    <definedName name="com_list">[20]COMLIST!$A$2:$C$85</definedName>
    <definedName name="comb">#REF!</definedName>
    <definedName name="comb1">[21]adj!$A$8:$K$391</definedName>
    <definedName name="COMBINE">#N/A</definedName>
    <definedName name="Company">#REF!</definedName>
    <definedName name="companyofficer">#REF!</definedName>
    <definedName name="computer">#REF!</definedName>
    <definedName name="cooperation">#REF!</definedName>
    <definedName name="CP_IDR_Rate">[15]Assumption!$E$64</definedName>
    <definedName name="CP_USD_Rate">[15]Assumption!$E$65</definedName>
    <definedName name="_xlnm.Criteria">#REF!</definedName>
    <definedName name="CUSTOM">#REF!</definedName>
    <definedName name="CX" hidden="1">'[22]#REF'!#REF!</definedName>
    <definedName name="CY_Cash_Div_Dec">'[23]Income Statement'!#REF!</definedName>
    <definedName name="CY_CASH_DIVIDENDS_DECLARED__per_common_share">'[23]Income Statement'!#REF!</definedName>
    <definedName name="CY_Earnings_per_share">[23]Ratios!#REF!</definedName>
    <definedName name="CY_lik_Equity">#REF!</definedName>
    <definedName name="CY_lik_Income">#REF!</definedName>
    <definedName name="CY_lik_Liabs">#REF!</definedName>
    <definedName name="CY_lik_RetEarn_bf">#REF!</definedName>
    <definedName name="CY_LT_Debt">'[23]Balance Sheet'!#REF!</definedName>
    <definedName name="CY_Market_Value_of_Equity">'[23]Income Statement'!#REF!</definedName>
    <definedName name="CY_Other_LT_Assets">'[23]Balance Sheet'!#REF!</definedName>
    <definedName name="CY_Tangible_Net_Worth">'[23]Income Statement'!#REF!</definedName>
    <definedName name="CY_tx_all_Equity">#REF!</definedName>
    <definedName name="CY_tx_all_Income">#REF!</definedName>
    <definedName name="CY_tx_all_Liabs">#REF!</definedName>
    <definedName name="CY_tx_all_RetEarn_bf">#REF!</definedName>
    <definedName name="CY_tx_knw_Equity">#REF!</definedName>
    <definedName name="CY_tx_knw_Income">#REF!</definedName>
    <definedName name="CY_tx_knw_Liabs">#REF!</definedName>
    <definedName name="CY_tx_knw_RetEarn_bf">#REF!</definedName>
    <definedName name="CY_tx_lik_Equity">#REF!</definedName>
    <definedName name="CY_tx_lik_Income">#REF!</definedName>
    <definedName name="CY_tx_lik_Liabs">#REF!</definedName>
    <definedName name="CY_tx_lik_RetEarn_bf">#REF!</definedName>
    <definedName name="CY_Weighted_Average">'[23]Income Statement'!#REF!</definedName>
    <definedName name="CY_Working_Capital">'[23]Income Statement'!#REF!</definedName>
    <definedName name="D">#REF!</definedName>
    <definedName name="DAT1___0">#REF!</definedName>
    <definedName name="DAT2___0">#REF!</definedName>
    <definedName name="DAT3___0">#REF!</definedName>
    <definedName name="DATA">#REF!</definedName>
    <definedName name="_xlnm.Database">#REF!</definedName>
    <definedName name="dbm">#REF!</definedName>
    <definedName name="DCUNEARNED1">#REF!</definedName>
    <definedName name="DCUNEARNED2">'[24]fiscal depr(E)'!#REF!</definedName>
    <definedName name="dd" hidden="1">{#N/A,#N/A,FALSE,"MATERIAL"}</definedName>
    <definedName name="ddiee">'[25]Permanent info'!$E$7</definedName>
    <definedName name="DEBTOR">'[26]Account Code'!#REF!:'[26]Account Code'!$B$43</definedName>
    <definedName name="DEBTOR98">'[27]Account Code'!$A$2:$B$42</definedName>
    <definedName name="Deferred">[28]GeneralInfo!$I$5</definedName>
    <definedName name="Dependant">'[17]FE-1770.P1'!$AA$70</definedName>
    <definedName name="depr">[14]Marshal!$K$207</definedName>
    <definedName name="depreciation">#REF!</definedName>
    <definedName name="DEPRECIATION0">#REF!</definedName>
    <definedName name="depreciationcalculation">#REF!</definedName>
    <definedName name="Depreop">#REF!</definedName>
    <definedName name="Deprepro">#REF!</definedName>
    <definedName name="deptname">'[29]NAMA DEPT'!$B$2:$B$146</definedName>
    <definedName name="desember">#REF!</definedName>
    <definedName name="DESEMBR">#REF!</definedName>
    <definedName name="dfdf">[30]GeneralInfo!$I$5</definedName>
    <definedName name="dfdfdfdfth">[30]GeneralInfo!$I$5</definedName>
    <definedName name="DFUNEARNED1">'[24]fiscal depr(E)'!#REF!</definedName>
    <definedName name="DFUNEARNED2">'[24]fiscal depr(E)'!#REF!</definedName>
    <definedName name="dividen">[14]Marshal!$D$215</definedName>
    <definedName name="dividend">#REF!</definedName>
    <definedName name="DL">#REF!</definedName>
    <definedName name="DO">[31]Family!$J$5</definedName>
    <definedName name="DONATIONS">#REF!</definedName>
    <definedName name="ds" hidden="1">{#N/A,#N/A,FALSE,"MATERIAL"}</definedName>
    <definedName name="dt">[32]rate!$B$3:$B$24</definedName>
    <definedName name="ebittax">#REF!</definedName>
    <definedName name="EBT">[33]Marshal!$E$138</definedName>
    <definedName name="EDIT__HOME__R_3__DEL__?___BRANCH_\P">'[34]PEMAKAIAN PAKAN &amp; OBAT'!#REF!</definedName>
    <definedName name="EDY">#REF!</definedName>
    <definedName name="EDYQ">#REF!</definedName>
    <definedName name="egaeg">#REF!</definedName>
    <definedName name="egaega">#REF!</definedName>
    <definedName name="eko" hidden="1">#REF!</definedName>
    <definedName name="Elec_PerPond">'[35]ASSUM-COMB-Prop'!#REF!</definedName>
    <definedName name="ELECT">#REF!</definedName>
    <definedName name="Employee">#REF!</definedName>
    <definedName name="EmploymentIncome">'[17]FE-1770-I'!$AB$70</definedName>
    <definedName name="endyear">#REF!</definedName>
    <definedName name="english">#REF!</definedName>
    <definedName name="ENTERTAIN">#REF!</definedName>
    <definedName name="ert">[36]GeneralInfo!$T$73</definedName>
    <definedName name="Excel_BuiltIn_Print_Area_18_1">#REF!</definedName>
    <definedName name="Excel_BuiltIn_Print_Area_4">#REF!</definedName>
    <definedName name="exittax">#REF!</definedName>
    <definedName name="exittaxtotal">#REF!</definedName>
    <definedName name="EXP" hidden="1">#REF!</definedName>
    <definedName name="_xlnm.Extract">#REF!</definedName>
    <definedName name="FA">#REF!</definedName>
    <definedName name="fagf">#REF!</definedName>
    <definedName name="fakefjuhg" localSheetId="2">'[10]Tie Up Exp'!#REF!</definedName>
    <definedName name="fakefjuhg" localSheetId="3">'[10]Tie Up Exp'!#REF!</definedName>
    <definedName name="fakefjuhg">'[10]Tie Up Exp'!#REF!</definedName>
    <definedName name="fakgjei">#REF!</definedName>
    <definedName name="FCR">'[35]ASSUM-COMB-Prop'!#REF!</definedName>
    <definedName name="fd" hidden="1">#REF!</definedName>
    <definedName name="February">#REF!</definedName>
    <definedName name="feleigie">#REF!</definedName>
    <definedName name="FFF">#REF!</definedName>
    <definedName name="fgfgfgff">[30]GeneralInfo!$I$5</definedName>
    <definedName name="fifo">#REF!</definedName>
    <definedName name="FILE">"SS"</definedName>
    <definedName name="FIN">#REF!</definedName>
    <definedName name="fiscalprofit">[14]Marshal!$D$221</definedName>
    <definedName name="fiscalprofits">#REF!</definedName>
    <definedName name="Fiskal" hidden="1">#REF!</definedName>
    <definedName name="FIVEPLAN">#REF!</definedName>
    <definedName name="FO_Insp._Leader">#REF!</definedName>
    <definedName name="FOH">#REF!</definedName>
    <definedName name="foundation">#REF!</definedName>
    <definedName name="fries_density">'[35]ASSUM-COMB-Prop'!#REF!</definedName>
    <definedName name="fs">#REF!</definedName>
    <definedName name="fxrate">#REF!</definedName>
    <definedName name="g">#REF!</definedName>
    <definedName name="GA">#REF!</definedName>
    <definedName name="gain">[14]Marshal!$D$218</definedName>
    <definedName name="gains">#REF!</definedName>
    <definedName name="Gaji">#REF!</definedName>
    <definedName name="gak">#REF!</definedName>
    <definedName name="gakga" localSheetId="2">'[9]List Addition FA'!#REF!</definedName>
    <definedName name="gakga" localSheetId="3">'[9]List Addition FA'!#REF!</definedName>
    <definedName name="gakga">'[9]List Addition FA'!#REF!</definedName>
    <definedName name="GENERALEXP.">#REF!</definedName>
    <definedName name="gg" hidden="1">"AS2DocumentBrowse"</definedName>
    <definedName name="ggg">'[9]List Addition FA'!$H$16</definedName>
    <definedName name="GOVTBORNE">#REF!</definedName>
    <definedName name="gsgg">#REF!</definedName>
    <definedName name="GT">#REF!</definedName>
    <definedName name="H">#REF!</definedName>
    <definedName name="hagei" localSheetId="2">'[9]List Disposal FA'!#REF!</definedName>
    <definedName name="hagei" localSheetId="3">'[9]List Disposal FA'!#REF!</definedName>
    <definedName name="hagei">'[9]List Disposal FA'!#REF!</definedName>
    <definedName name="hahaha">#REF!</definedName>
    <definedName name="HandCharges">#REF!</definedName>
    <definedName name="HEADER">#REF!</definedName>
    <definedName name="HINSYU">#REF!</definedName>
    <definedName name="hjhih" hidden="1">33</definedName>
    <definedName name="homeaddress">#REF!</definedName>
    <definedName name="homephone">#REF!</definedName>
    <definedName name="HSL">#REF!</definedName>
    <definedName name="ia">#REF!</definedName>
    <definedName name="IDR">#REF!</definedName>
    <definedName name="ijkjo">#REF!</definedName>
    <definedName name="iktisarcabang">#REF!</definedName>
    <definedName name="iktisarpemegangsaham">#REF!</definedName>
    <definedName name="iktisarpenerima">#REF!</definedName>
    <definedName name="iktisarpengurus">#REF!</definedName>
    <definedName name="iktisarpph22">#REF!</definedName>
    <definedName name="iktisarpph23">#REF!</definedName>
    <definedName name="iktisarpph24">#REF!</definedName>
    <definedName name="iktisarpph25">#REF!</definedName>
    <definedName name="iktisarpphgvb">#REF!</definedName>
    <definedName name="inboundincomes">#REF!</definedName>
    <definedName name="INC_STM">#REF!</definedName>
    <definedName name="indonesian">#REF!</definedName>
    <definedName name="industry">#REF!</definedName>
    <definedName name="int">#REF!</definedName>
    <definedName name="interes">[14]Marshal!$D$214</definedName>
    <definedName name="interest">#REF!</definedName>
    <definedName name="INTONLOAN">#REF!</definedName>
    <definedName name="investmentfund">#REF!</definedName>
    <definedName name="Invoice">#REF!</definedName>
    <definedName name="Invoice_Additional_Costs">#REF!</definedName>
    <definedName name="Invoice_Comments">#REF!</definedName>
    <definedName name="Invoice_Lines">#REF!</definedName>
    <definedName name="Invoice_Payment_Schedules">#REF!</definedName>
    <definedName name="Invoice_Receipts">#REF!</definedName>
    <definedName name="ipp">#REF!</definedName>
    <definedName name="irrc">#REF!</definedName>
    <definedName name="irrc_">[14]Marshal!$N$207</definedName>
    <definedName name="IrregularIncome">'[37]Irregular Income'!$D$37</definedName>
    <definedName name="irrsc">#REF!</definedName>
    <definedName name="istf">[14]Marshal!$F$201</definedName>
    <definedName name="istft">#REF!</definedName>
    <definedName name="January">#REF!</definedName>
    <definedName name="jgalgie" localSheetId="2">'[9]List Disposal FA'!#REF!</definedName>
    <definedName name="jgalgie" localSheetId="3">'[9]List Disposal FA'!#REF!</definedName>
    <definedName name="jgalgie">'[9]List Disposal FA'!#REF!</definedName>
    <definedName name="jjj" hidden="1">#REF!</definedName>
    <definedName name="jkjiji">#REF!</definedName>
    <definedName name="jkt">#REF!</definedName>
    <definedName name="joy">#REF!</definedName>
    <definedName name="ka">#REF!</definedName>
    <definedName name="keiafjagf">[10]Rollforward!$M$9</definedName>
    <definedName name="Kurs_Var">[15]Assumption!#REF!</definedName>
    <definedName name="KWH_Amount">'[35]ASSUM-COMB-Prop'!#REF!</definedName>
    <definedName name="L_AcctDes">[11]Links!$E$1:$E$65536</definedName>
    <definedName name="L_Adjust">[11]Links!$H$1:$H$65536</definedName>
    <definedName name="L_Adjust_GT">[11]Links!$H$589</definedName>
    <definedName name="L_AJE_Tot">[11]Links!$G$1:$G$65536</definedName>
    <definedName name="L_AJE_Tot_GT">[11]Links!$G$589</definedName>
    <definedName name="L_CompNum">[11]Links!$B$1:$B$65536</definedName>
    <definedName name="L_CY_Beg">[11]Links!$F$1:$F$65536</definedName>
    <definedName name="L_CY_Beg_GT">[11]Links!$F$589</definedName>
    <definedName name="L_CY_End">[11]Links!$J$1:$J$65536</definedName>
    <definedName name="L_CY_End_GT">[11]Links!$J$589</definedName>
    <definedName name="L_GrpNum">[11]Links!$C$1:$C$65536</definedName>
    <definedName name="L_Headings">[11]Links!$A$1:$IV$1</definedName>
    <definedName name="L_KeyValue">[11]Links!$A$1:$A$65536</definedName>
    <definedName name="L_PY_End">[11]Links!$K$1:$K$65536</definedName>
    <definedName name="L_PY_End_GT">[11]Links!$K$589</definedName>
    <definedName name="L_RJE_Tot">[11]Links!$I$1:$I$65536</definedName>
    <definedName name="L_RJE_Tot_GT">[11]Links!$I$589</definedName>
    <definedName name="L_RowNum">[11]Links!$D$1:$D$65536</definedName>
    <definedName name="lagjeiojg" localSheetId="2">'[10]Tie Up Exp'!#REF!</definedName>
    <definedName name="lagjeiojg" localSheetId="3">'[10]Tie Up Exp'!#REF!</definedName>
    <definedName name="lagjeiojg">'[10]Tie Up Exp'!#REF!</definedName>
    <definedName name="lahlfeigf">#REF!</definedName>
    <definedName name="LED" hidden="1">#REF!</definedName>
    <definedName name="List_Of_ReasonCodes">[38]Setup!$B$25:$B$50</definedName>
    <definedName name="lkega" localSheetId="2">'[10]Tie Up Exp'!#REF!</definedName>
    <definedName name="lkega" localSheetId="3">'[10]Tie Up Exp'!#REF!</definedName>
    <definedName name="lkega">'[10]Tie Up Exp'!#REF!</definedName>
    <definedName name="LKP">[39]GeneralInfo!$T$73</definedName>
    <definedName name="location">'[40]Table Array'!$B$3:$C$24</definedName>
    <definedName name="lossondisposals">[14]Marshal!$O$207</definedName>
    <definedName name="lossonfadisposal">#REF!</definedName>
    <definedName name="lti" hidden="1">{#N/A,#N/A,FALSE,"MATERIAL"}</definedName>
    <definedName name="m">'[41]Account Code'!$A$2:$B$42</definedName>
    <definedName name="Maithland">'[42]Permanent info'!$E$7</definedName>
    <definedName name="manual">#REF!</definedName>
    <definedName name="Marital">'[17]FE-1770.P1'!$V$70</definedName>
    <definedName name="MATERIAL">#REF!</definedName>
    <definedName name="Materiality">#REF!</definedName>
    <definedName name="Medical">#REF!</definedName>
    <definedName name="MENU">#REF!</definedName>
    <definedName name="MENUA">#REF!</definedName>
    <definedName name="MgmtFees">#REF!</definedName>
    <definedName name="MINOLTA">#REF!</definedName>
    <definedName name="MK_Lampau">#REF!</definedName>
    <definedName name="MK_Total">#REF!</definedName>
    <definedName name="MK_YAD">#REF!</definedName>
    <definedName name="MKT">#REF!</definedName>
    <definedName name="mn" hidden="1">{#N/A,#N/A,FALSE,"MATERIAL"}</definedName>
    <definedName name="Monetary_Precision">#REF!</definedName>
    <definedName name="MONTH">[16]LOOKUP!$I$53:$L$64</definedName>
    <definedName name="Month_Default">#REF!</definedName>
    <definedName name="Monthly_Change">#REF!</definedName>
    <definedName name="monthlypph25">#REF!</definedName>
    <definedName name="monthlypph25_">[14]Marshal!$G$216</definedName>
    <definedName name="MP0" hidden="1">#REF!</definedName>
    <definedName name="MPLAN" hidden="1">#REF!</definedName>
    <definedName name="MPP">#REF!</definedName>
    <definedName name="MPP_EXPLAINATION">#REF!</definedName>
    <definedName name="mrb" hidden="1">#REF!</definedName>
    <definedName name="Mth_Default">[43]SUMMARY!#REF!</definedName>
    <definedName name="MV">#REF!</definedName>
    <definedName name="n" hidden="1">#REF!</definedName>
    <definedName name="NAGASEJPN">#REF!</definedName>
    <definedName name="NAGASESIN">#REF!</definedName>
    <definedName name="nai">#REF!</definedName>
    <definedName name="nai_">[14]Marshal!$F$202</definedName>
    <definedName name="nalvag" localSheetId="2">'[9]List Disposal FA'!#REF!</definedName>
    <definedName name="nalvag" localSheetId="3">'[9]List Disposal FA'!#REF!</definedName>
    <definedName name="nalvag">'[9]List Disposal FA'!#REF!</definedName>
    <definedName name="nama">'[44]Permanent info'!$E$7</definedName>
    <definedName name="name">#REF!</definedName>
    <definedName name="NETINCOME">#REF!</definedName>
    <definedName name="NEW" hidden="1">{#N/A,#N/A,FALSE,"MATERIAL"}</definedName>
    <definedName name="Newdepr">#REF!</definedName>
    <definedName name="nkk">#REF!</definedName>
    <definedName name="nm">#N/A</definedName>
    <definedName name="nnnn">'[45]PPh 23,4(2),15, 26'!$J$28</definedName>
    <definedName name="nnvjav" localSheetId="2">'[9]List Disposal FA'!#REF!</definedName>
    <definedName name="nnvjav" localSheetId="3">'[9]List Disposal FA'!#REF!</definedName>
    <definedName name="nnvjav">'[9]List Disposal FA'!#REF!</definedName>
    <definedName name="NPWP">#REF!</definedName>
    <definedName name="NPWPALL">'[46]Permanent info'!$W$5</definedName>
    <definedName name="Number_of_Selections">'[2]CMA Calculations'!$F$1066</definedName>
    <definedName name="o" hidden="1">'[47]PL (MONTHLY)'!#REF!</definedName>
    <definedName name="OA">'[48]K2-FA'!#REF!</definedName>
    <definedName name="obyek">#REF!</definedName>
    <definedName name="OE">#REF!</definedName>
    <definedName name="officephone">#REF!</definedName>
    <definedName name="offset">#REF!</definedName>
    <definedName name="old">'[49]Permanent info'!$E$7</definedName>
    <definedName name="oohj">#REF!</definedName>
    <definedName name="OP_Int" hidden="1">#REF!</definedName>
    <definedName name="OP_plsm" hidden="1">#REF!</definedName>
    <definedName name="OP_proj" hidden="1">#REF!</definedName>
    <definedName name="opaid">'[50]FE-1771$.P1'!$AL$107</definedName>
    <definedName name="oper" hidden="1">#REF!</definedName>
    <definedName name="opopoi">#REF!</definedName>
    <definedName name="opopopo">#REF!</definedName>
    <definedName name="ops">#REF!</definedName>
    <definedName name="ORG" hidden="1">#REF!</definedName>
    <definedName name="OTHEREXP">[13]Marshal!#REF!</definedName>
    <definedName name="otherexpense">[14]Marshal!$Q$207</definedName>
    <definedName name="otherexpenses">#REF!</definedName>
    <definedName name="OtherIncome">'[17]FE-1770-I'!$AA$98</definedName>
    <definedName name="otherincomes">#REF!</definedName>
    <definedName name="others">#REF!</definedName>
    <definedName name="othertype">#REF!</definedName>
    <definedName name="outboundincomes">#REF!</definedName>
    <definedName name="OutboundNetIncome">'[17]FE-1770-II'!$Q$69</definedName>
    <definedName name="OUTPUT" localSheetId="1">#REF!</definedName>
    <definedName name="OUTPUT">#REF!</definedName>
    <definedName name="overpaidtax">#REF!</definedName>
    <definedName name="Overtime">#REF!</definedName>
    <definedName name="oyt">[36]Marshal!$S$136</definedName>
    <definedName name="p">#REF!</definedName>
    <definedName name="Packaging">#REF!</definedName>
    <definedName name="page1">#REF!</definedName>
    <definedName name="paymentdatepph29">#REF!</definedName>
    <definedName name="PENJ" hidden="1">#REF!</definedName>
    <definedName name="PENJ.MPP">#REF!</definedName>
    <definedName name="PensionAge">#REF!</definedName>
    <definedName name="pensionfund">#REF!</definedName>
    <definedName name="PERSONELCOST">[13]Marshal!#REF!</definedName>
    <definedName name="personnelcost">#REF!</definedName>
    <definedName name="personnelcost_">[14]Marshal!$J$207</definedName>
    <definedName name="PETTYCASH">#REF!</definedName>
    <definedName name="Plant" hidden="1">#REF!</definedName>
    <definedName name="plantation">'[51]K2-FA'!#REF!</definedName>
    <definedName name="plk">#REF!</definedName>
    <definedName name="PME">#REF!</definedName>
    <definedName name="PN" hidden="1">#REF!</definedName>
    <definedName name="PNSPrice">#REF!</definedName>
    <definedName name="Pond_Sold">[15]Assumption!#REF!</definedName>
    <definedName name="popi">#REF!</definedName>
    <definedName name="popipip">#REF!</definedName>
    <definedName name="popop">#REF!</definedName>
    <definedName name="POSCODE">'[17]FE-1770.P1'!$AY$29</definedName>
    <definedName name="Postage">#REF!</definedName>
    <definedName name="pp">#REF!</definedName>
    <definedName name="PPD" hidden="1">#REF!</definedName>
    <definedName name="ppda" hidden="1">#REF!</definedName>
    <definedName name="PPh21total">'[17]FE-1770-II'!$I$42</definedName>
    <definedName name="PPh22total">#REF!</definedName>
    <definedName name="PPh23total">#REF!</definedName>
    <definedName name="pph24refund">#REF!</definedName>
    <definedName name="PPh24total">#REF!</definedName>
    <definedName name="pph25calculation">#REF!</definedName>
    <definedName name="pph25calculation01">#REF!</definedName>
    <definedName name="pph25calculation02">#REF!</definedName>
    <definedName name="pph25calculation02amt">#REF!</definedName>
    <definedName name="pph25exstp">#REF!</definedName>
    <definedName name="pph25total">#REF!</definedName>
    <definedName name="PPhGvBtotal">#REF!</definedName>
    <definedName name="pphlnbtotal">#REF!</definedName>
    <definedName name="PPHPS22">'[52]F1771-2'!$E$36</definedName>
    <definedName name="PPHPS23">'[53]F1771-IV'!$G$36</definedName>
    <definedName name="PPHPS24">'[53]F1771-V'!$R$31</definedName>
    <definedName name="PPHPS25">#REF!</definedName>
    <definedName name="PPN">#REF!</definedName>
    <definedName name="ppo">#REF!</definedName>
    <definedName name="Pre_tax_materiality">#REF!</definedName>
    <definedName name="Prepayment">#REF!</definedName>
    <definedName name="_xlnm.Print_Area" localSheetId="2">FA_2025!$A$1:$AS$257</definedName>
    <definedName name="_xlnm.Print_Area" localSheetId="3">FA_2026!$A$1:$AS$258</definedName>
    <definedName name="_xlnm.Print_Area" localSheetId="6">'List Approval 2021'!$A$1:$N$100</definedName>
    <definedName name="_xlnm.Print_Area" localSheetId="5">'List Approval 2022'!$A$1:$N$65</definedName>
    <definedName name="_xlnm.Print_Area" localSheetId="1">TOTAL!$A$1:$K$41</definedName>
    <definedName name="_xlnm.Print_Area">#REF!</definedName>
    <definedName name="Print_Area_MI">#REF!</definedName>
    <definedName name="_xlnm.Print_Titles" localSheetId="2">FA_2025!$A:$M,FA_2025!$23:$24</definedName>
    <definedName name="_xlnm.Print_Titles" localSheetId="3">FA_2026!$A:$M,FA_2026!$23:$24</definedName>
    <definedName name="_xlnm.Print_Titles" localSheetId="6">'List Approval 2021'!$1:$6</definedName>
    <definedName name="_xlnm.Print_Titles" localSheetId="5">'List Approval 2022'!$1:$6</definedName>
    <definedName name="_xlnm.Print_Titles">#REF!</definedName>
    <definedName name="Print_Titles_MI">#REF!</definedName>
    <definedName name="PRINT1">#REF!</definedName>
    <definedName name="PRINT2">#REF!</definedName>
    <definedName name="PrintArea">#REF!</definedName>
    <definedName name="PRN">#REF!</definedName>
    <definedName name="PROD">#REF!</definedName>
    <definedName name="ProductionSuppl.">#REF!</definedName>
    <definedName name="provision">[14]Marshal!$L$207</definedName>
    <definedName name="provisions">#REF!</definedName>
    <definedName name="proxy">#REF!</definedName>
    <definedName name="pt">#REF!</definedName>
    <definedName name="PT._WANG_SARIMULTI_UTAMA_CORP.">#REF!</definedName>
    <definedName name="Purchase_Order_Lines">#REF!</definedName>
    <definedName name="PY_all_Equity">#REF!</definedName>
    <definedName name="PY_all_Income">#REF!</definedName>
    <definedName name="PY_all_RetEarn">#REF!</definedName>
    <definedName name="PY_Cash_Div_Dec">'[23]Income Statement'!#REF!</definedName>
    <definedName name="PY_CASH_DIVIDENDS_DECLARED__per_common_share">'[23]Income Statement'!#REF!</definedName>
    <definedName name="PY_Earnings_per_share">[23]Ratios!#REF!</definedName>
    <definedName name="PY_knw_Income">#REF!</definedName>
    <definedName name="PY_knw_RetEarn">#REF!</definedName>
    <definedName name="PY_lik_Income">#REF!</definedName>
    <definedName name="PY_lik_RetEarn">#REF!</definedName>
    <definedName name="PY_LT_Debt">'[23]Balance Sheet'!#REF!</definedName>
    <definedName name="PY_Market_Value_of_Equity">'[23]Income Statement'!#REF!</definedName>
    <definedName name="PY_Other_LT_Assets">'[23]Balance Sheet'!#REF!</definedName>
    <definedName name="PY_Tangible_Net_Worth">'[23]Income Statement'!#REF!</definedName>
    <definedName name="PY_tot_knw_Xfoot">#REF!</definedName>
    <definedName name="PY_tot_lik_Xfoot">#REF!</definedName>
    <definedName name="PY_tx_all_Income">#REF!</definedName>
    <definedName name="PY_tx_all_RetEarn">#REF!</definedName>
    <definedName name="PY_tx_knw_Income">#REF!</definedName>
    <definedName name="PY_tx_knw_RetEarn">#REF!</definedName>
    <definedName name="PY_tx_lik_Income">#REF!</definedName>
    <definedName name="PY_tx_lik_RetEarn">#REF!</definedName>
    <definedName name="PY_Weighted_Average">'[23]Income Statement'!#REF!</definedName>
    <definedName name="PY_Working_Capital">'[23]Income Statement'!#REF!</definedName>
    <definedName name="PY2_Cash_Div_Dec">'[23]Income Statement'!#REF!</definedName>
    <definedName name="PY2_CASH_DIVIDENDS_DECLARED__per_common_share">'[23]Income Statement'!#REF!</definedName>
    <definedName name="PY2_Earnings_per_share">[23]Ratios!#REF!</definedName>
    <definedName name="PY2_LT_Debt">'[23]Balance Sheet'!#REF!</definedName>
    <definedName name="PY2_Market_Value_of_Equity">'[23]Income Statement'!#REF!</definedName>
    <definedName name="PY2_Other_LT_Assets">'[23]Balance Sheet'!#REF!</definedName>
    <definedName name="PY2_Tangible_Net_Worth">'[23]Income Statement'!#REF!</definedName>
    <definedName name="PY2_Weighted_Average">'[23]Income Statement'!#REF!</definedName>
    <definedName name="PY2_Working_Capital">'[23]Income Statement'!#REF!</definedName>
    <definedName name="q">[54]Links!$G$1:$G$65536</definedName>
    <definedName name="R_">#REF!</definedName>
    <definedName name="RAMLI">1</definedName>
    <definedName name="RATE">#REF!</definedName>
    <definedName name="Rate_IDR_Dep">[15]Assumption!$E$49</definedName>
    <definedName name="RawMaterial">#REF!</definedName>
    <definedName name="RB">#REF!</definedName>
    <definedName name="RE">#REF!</definedName>
    <definedName name="REAL0897.XLS" hidden="1">#REF!</definedName>
    <definedName name="real997" hidden="1">#REF!</definedName>
    <definedName name="real997.xls" hidden="1">#REF!</definedName>
    <definedName name="ReasonCode">OFFSET([38]Setup!$B$25:$B$43,COUNTA(#REF!),1)</definedName>
    <definedName name="RECOM">[20]DEFINITION!$B$3</definedName>
    <definedName name="refund">#REF!</definedName>
    <definedName name="Rekap" hidden="1">#REF!</definedName>
    <definedName name="rental">[14]Marshal!$D$217</definedName>
    <definedName name="rentals">#REF!</definedName>
    <definedName name="Repair">#REF!</definedName>
    <definedName name="REPERNAME">[20]DEFINITION!$C$2</definedName>
    <definedName name="Report">#REF!</definedName>
    <definedName name="rev" hidden="1">#REF!</definedName>
    <definedName name="roa">#REF!</definedName>
    <definedName name="Rosita_Hariani">#REF!</definedName>
    <definedName name="royalties">#REF!</definedName>
    <definedName name="RSE">'[55]CMA - for test beginning'!#REF!</definedName>
    <definedName name="rupiah">#REF!</definedName>
    <definedName name="S">#REF!</definedName>
    <definedName name="S_AcctDes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CompNum">#REF!</definedName>
    <definedName name="S_CY_Beg">#REF!</definedName>
    <definedName name="S_CY_Beg_Data">#REF!</definedName>
    <definedName name="S_CY_Beg_GT">#REF!</definedName>
    <definedName name="S_CY_End">#REF!</definedName>
    <definedName name="S_CY_End_Data">#REF!</definedName>
    <definedName name="S_CY_End_GT">#REF!</definedName>
    <definedName name="S_Diff_Amt">#REF!</definedName>
    <definedName name="S_Diff_Pct">#REF!</definedName>
    <definedName name="S_GrpNum">#REF!</definedName>
    <definedName name="S_Headings">#REF!</definedName>
    <definedName name="S_KeyValue">#REF!</definedName>
    <definedName name="S_PY_End">#REF!</definedName>
    <definedName name="S_PY_End_Data">#REF!</definedName>
    <definedName name="S_PY_End_GT">#REF!</definedName>
    <definedName name="S_RJE_Tot">#REF!</definedName>
    <definedName name="S_RJE_Tot_Data">#REF!</definedName>
    <definedName name="S_RJE_Tot_GT">#REF!</definedName>
    <definedName name="S_RowNum">#REF!</definedName>
    <definedName name="Sal_inc">#REF!</definedName>
    <definedName name="Salary">#REF!</definedName>
    <definedName name="SalaryInc">#REF!</definedName>
    <definedName name="SALES">'[56]APRIL''02'!#REF!</definedName>
    <definedName name="SAPBEXrevision" hidden="1">1</definedName>
    <definedName name="SAPBEXsysID" hidden="1">"BP1"</definedName>
    <definedName name="SAPBEXwbID" hidden="1">"42KR46T16E0MR2GXUBCCYT2IU"</definedName>
    <definedName name="SDE" hidden="1">#REF!</definedName>
    <definedName name="SEL">#REF!</definedName>
    <definedName name="SelfPaidTax">'[37]FE-1770.P1'!$AL$103</definedName>
    <definedName name="semua">#REF!</definedName>
    <definedName name="SEPT02" hidden="1">#REF!</definedName>
    <definedName name="service">#REF!</definedName>
    <definedName name="sh" hidden="1">{#N/A,#N/A,FALSE,"MATERIAL"}</definedName>
    <definedName name="signdate">#REF!</definedName>
    <definedName name="signername">#REF!</definedName>
    <definedName name="signplace">#REF!</definedName>
    <definedName name="SL">#REF!</definedName>
    <definedName name="slm">#REF!</definedName>
    <definedName name="solver_adj" hidden="1">'[47]PL (MONTHLY)'!#REF!</definedName>
    <definedName name="solver_lin" hidden="1">0</definedName>
    <definedName name="solver_num" hidden="1">0</definedName>
    <definedName name="solver_opt" hidden="1">'[47]PL (MONTHLY)'!#REF!</definedName>
    <definedName name="solver_tmp" hidden="1">'[47]PL (MONTHLY)'!#REF!</definedName>
    <definedName name="solver_typ" hidden="1">3</definedName>
    <definedName name="solver_val" hidden="1">0</definedName>
    <definedName name="SONYIND">#REF!</definedName>
    <definedName name="SOSHIN">#REF!</definedName>
    <definedName name="SPEC">#REF!</definedName>
    <definedName name="ss" hidden="1">{#N/A,#N/A,FALSE,"MATERIAL"}</definedName>
    <definedName name="ssppph29">#REF!</definedName>
    <definedName name="SSSS" hidden="1">#REF!</definedName>
    <definedName name="STAFFWELFARE">#REF!</definedName>
    <definedName name="STANDARD_ROW" localSheetId="2">#REF!</definedName>
    <definedName name="STANDARD_ROW" localSheetId="3">#REF!</definedName>
    <definedName name="STANDARD_ROW" localSheetId="1">#REF!</definedName>
    <definedName name="STANDARD_ROW">#REF!</definedName>
    <definedName name="startyear">#REF!</definedName>
    <definedName name="Stationaries">#REF!</definedName>
    <definedName name="STFTI">[3]Marshal!#REF!</definedName>
    <definedName name="Struktur_globalcsd" hidden="1">#REF!</definedName>
    <definedName name="SUMM">#REF!</definedName>
    <definedName name="summarybranches">#REF!</definedName>
    <definedName name="summaryofficers">#REF!</definedName>
    <definedName name="summarypph22">#REF!</definedName>
    <definedName name="summarypph23">#REF!</definedName>
    <definedName name="summarypph24">#REF!</definedName>
    <definedName name="summarypph25">#REF!</definedName>
    <definedName name="summarypphgvb">#REF!</definedName>
    <definedName name="summaryrecipients">#REF!</definedName>
    <definedName name="summaryshareholders">#REF!</definedName>
    <definedName name="SUPPLIER">'[57]ACCOUNT NO'!#REF!</definedName>
    <definedName name="SUPPLIES">#REF!</definedName>
    <definedName name="susan">"Comment 15"</definedName>
    <definedName name="Syn_USD_Rate">[15]Assumption!$E$59</definedName>
    <definedName name="T">#REF!</definedName>
    <definedName name="Tabel2">#REF!</definedName>
    <definedName name="Tabel3">#REF!</definedName>
    <definedName name="TabelCr">#REF!</definedName>
    <definedName name="TabelDr">#REF!</definedName>
    <definedName name="TAX">#REF!</definedName>
    <definedName name="Tax_Effect_Income">#REF!</definedName>
    <definedName name="Tax_Effect_Liabs">#REF!</definedName>
    <definedName name="Tax_Effect_RetEarn">#REF!</definedName>
    <definedName name="Tax_Rate">#REF!</definedName>
    <definedName name="taxableincome">#REF!</definedName>
    <definedName name="taxdue">#REF!</definedName>
    <definedName name="TaxDueMinusTaxCredits">'[37]FE-1770.P1'!$AL$89</definedName>
    <definedName name="taxdueorpaidabroad">#REF!</definedName>
    <definedName name="taxlosstotal">#REF!</definedName>
    <definedName name="TBS">#REF!</definedName>
    <definedName name="teaajgl">[10]Rollforward!$M$10</definedName>
    <definedName name="Telephone">#REF!</definedName>
    <definedName name="TEST0">"$#REF!.$A$1:$B$394"</definedName>
    <definedName name="TEST0___0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8">#REF!</definedName>
    <definedName name="TEST9">#REF!</definedName>
    <definedName name="TESTHKEY">"$#REF!.$#REF!$#REF!"</definedName>
    <definedName name="TESTHKEY___0">#REF!</definedName>
    <definedName name="TESTKEYS">"$#REF!.$A$1:$B$394"</definedName>
    <definedName name="TESTKEYS___0">#REF!</definedName>
    <definedName name="TESTVKEY">"$#REF!.$#REF!$#REF!:$#REF!$#REF!"</definedName>
    <definedName name="text">#REF!</definedName>
    <definedName name="TextRefCopy1" localSheetId="1">#REF!</definedName>
    <definedName name="TextRefCopy1">#REF!</definedName>
    <definedName name="TextRefCopy10">#REF!</definedName>
    <definedName name="TextRefCopy11">#REF!</definedName>
    <definedName name="TextRefCopy110">#REF!</definedName>
    <definedName name="TextRefCopy111">#REF!</definedName>
    <definedName name="TextRefCopy112">#REF!</definedName>
    <definedName name="TextRefCopy113">#REF!</definedName>
    <definedName name="TextRefCopy114">#REF!</definedName>
    <definedName name="TextRefCopy115">#REF!</definedName>
    <definedName name="TextRefCopy116">#REF!</definedName>
    <definedName name="TextRefCopy117">[58]Mutation!$K$33</definedName>
    <definedName name="TextRefCopy118">#REF!</definedName>
    <definedName name="TextRefCopy119" localSheetId="2">'[58]List Addition FA'!#REF!</definedName>
    <definedName name="TextRefCopy119" localSheetId="3">'[58]List Addition FA'!#REF!</definedName>
    <definedName name="TextRefCopy119">'[58]List Addition FA'!#REF!</definedName>
    <definedName name="TextRefCopy12">#REF!</definedName>
    <definedName name="TextRefCopy120">'[58]List Addition FA'!$H$100</definedName>
    <definedName name="TextRefCopy121" localSheetId="2">'[58]List Addition FA'!#REF!</definedName>
    <definedName name="TextRefCopy121" localSheetId="3">'[58]List Addition FA'!#REF!</definedName>
    <definedName name="TextRefCopy121">'[58]List Addition FA'!#REF!</definedName>
    <definedName name="TextRefCopy122">#REF!</definedName>
    <definedName name="TextRefCopy123">#REF!</definedName>
    <definedName name="TextRefCopy124">#REF!</definedName>
    <definedName name="TextRefCopy125">#REF!</definedName>
    <definedName name="TextRefCopy126" localSheetId="2">'[58]List Addition FA'!#REF!</definedName>
    <definedName name="TextRefCopy126" localSheetId="3">'[58]List Addition FA'!#REF!</definedName>
    <definedName name="TextRefCopy126">'[58]List Addition FA'!#REF!</definedName>
    <definedName name="TextRefCopy127" localSheetId="2">'[58]List Disposal FA'!#REF!</definedName>
    <definedName name="TextRefCopy127" localSheetId="3">'[58]List Disposal FA'!#REF!</definedName>
    <definedName name="TextRefCopy127">'[58]List Disposal FA'!#REF!</definedName>
    <definedName name="TextRefCopy128">#REF!</definedName>
    <definedName name="TextRefCopy129" localSheetId="2">'[58]List Disposal FA'!#REF!</definedName>
    <definedName name="TextRefCopy129" localSheetId="3">'[58]List Disposal FA'!#REF!</definedName>
    <definedName name="TextRefCopy129">'[58]List Disposal FA'!#REF!</definedName>
    <definedName name="TextRefCopy13">#REF!</definedName>
    <definedName name="TextRefCopy130">#REF!</definedName>
    <definedName name="TextRefCopy131">#REF!</definedName>
    <definedName name="TextRefCopy132" localSheetId="2">'[58]List Disposal FA'!#REF!</definedName>
    <definedName name="TextRefCopy132" localSheetId="3">'[58]List Disposal FA'!#REF!</definedName>
    <definedName name="TextRefCopy132">'[58]List Disposal FA'!#REF!</definedName>
    <definedName name="TextRefCopy133" localSheetId="2">'[58]List Disposal FA'!#REF!</definedName>
    <definedName name="TextRefCopy133" localSheetId="3">'[58]List Disposal FA'!#REF!</definedName>
    <definedName name="TextRefCopy133">'[58]List Disposal FA'!#REF!</definedName>
    <definedName name="TextRefCopy134" localSheetId="2">'[58]List Disposal FA'!#REF!</definedName>
    <definedName name="TextRefCopy134" localSheetId="3">'[58]List Disposal FA'!#REF!</definedName>
    <definedName name="TextRefCopy134">'[58]List Disposal FA'!#REF!</definedName>
    <definedName name="TextRefCopy135">#REF!</definedName>
    <definedName name="TextRefCopy136" localSheetId="2">'[58]List Disposal FA'!#REF!</definedName>
    <definedName name="TextRefCopy136" localSheetId="3">'[58]List Disposal FA'!#REF!</definedName>
    <definedName name="TextRefCopy136">'[58]List Disposal FA'!#REF!</definedName>
    <definedName name="TextRefCopy137">#REF!</definedName>
    <definedName name="TextRefCopy139" localSheetId="2">'[58]List Disposal FA'!#REF!</definedName>
    <definedName name="TextRefCopy139" localSheetId="3">'[58]List Disposal FA'!#REF!</definedName>
    <definedName name="TextRefCopy139">'[58]List Disposal FA'!#REF!</definedName>
    <definedName name="TextRefCopy14">#REF!</definedName>
    <definedName name="TextRefCopy141">'[58]List Disposal FA'!$J$8</definedName>
    <definedName name="TextRefCopy142" localSheetId="2">'[58]List Disposal FA'!#REF!</definedName>
    <definedName name="TextRefCopy142" localSheetId="3">'[58]List Disposal FA'!#REF!</definedName>
    <definedName name="TextRefCopy142">'[58]List Disposal FA'!#REF!</definedName>
    <definedName name="TextRefCopy144" localSheetId="2">'[58]List Disposal FA'!#REF!</definedName>
    <definedName name="TextRefCopy144" localSheetId="3">'[58]List Disposal FA'!#REF!</definedName>
    <definedName name="TextRefCopy144">'[58]List Disposal FA'!#REF!</definedName>
    <definedName name="TextRefCopy146" localSheetId="2">'[58]List of FA-Dec'!#REF!</definedName>
    <definedName name="TextRefCopy146" localSheetId="3">'[58]List of FA-Dec'!#REF!</definedName>
    <definedName name="TextRefCopy146">'[58]List of FA-Dec'!#REF!</definedName>
    <definedName name="TextRefCopy147">'[58]List Disposal FA'!$J$9</definedName>
    <definedName name="TextRefCopy15">#REF!</definedName>
    <definedName name="TextRefCopy16">#REF!</definedName>
    <definedName name="TextRefCopy17">#REF!</definedName>
    <definedName name="TextRefCopy18">#REF!</definedName>
    <definedName name="TextRefCopy19">#REF!</definedName>
    <definedName name="TextRefCopy2">#REF!</definedName>
    <definedName name="TextRefCopy20">#REF!</definedName>
    <definedName name="TextRefCopy21">#REF!</definedName>
    <definedName name="TextRefCopy22" localSheetId="2">'[58]List Disposal FA'!#REF!</definedName>
    <definedName name="TextRefCopy22" localSheetId="3">'[58]List Disposal FA'!#REF!</definedName>
    <definedName name="TextRefCopy22">'[58]List Disposal FA'!#REF!</definedName>
    <definedName name="TextRefCopy23">#REF!</definedName>
    <definedName name="TextRefCopy24">#REF!</definedName>
    <definedName name="TextRefCopy25">#REF!</definedName>
    <definedName name="TextRefCopy26">[55]Tickmarks!#REF!</definedName>
    <definedName name="TextRefCopy27">#REF!</definedName>
    <definedName name="TextRefCopy28" localSheetId="2">'[58]List Disposal FA'!#REF!</definedName>
    <definedName name="TextRefCopy28" localSheetId="3">'[58]List Disposal FA'!#REF!</definedName>
    <definedName name="TextRefCopy28">'[58]List Disposal FA'!#REF!</definedName>
    <definedName name="TextRefCopy29">#REF!</definedName>
    <definedName name="TextRefCopy3">#REF!</definedName>
    <definedName name="TextRefCopy30" localSheetId="2">'[58]List Disposal FA'!#REF!</definedName>
    <definedName name="TextRefCopy30" localSheetId="3">'[58]List Disposal FA'!#REF!</definedName>
    <definedName name="TextRefCopy30">'[58]List Disposal FA'!#REF!</definedName>
    <definedName name="TextRefCopy31" localSheetId="2">'[58]List Disposal FA'!#REF!</definedName>
    <definedName name="TextRefCopy31" localSheetId="3">'[58]List Disposal FA'!#REF!</definedName>
    <definedName name="TextRefCopy31">'[58]List Disposal FA'!#REF!</definedName>
    <definedName name="TextRefCopy32">#REF!</definedName>
    <definedName name="TextRefCopy33">#REF!</definedName>
    <definedName name="TextRefCopy34" localSheetId="2">'[58]List Disposal FA'!#REF!</definedName>
    <definedName name="TextRefCopy34" localSheetId="3">'[58]List Disposal FA'!#REF!</definedName>
    <definedName name="TextRefCopy34">'[58]List Disposal FA'!#REF!</definedName>
    <definedName name="TextRefCopy35">#REF!</definedName>
    <definedName name="TextRefCopy36" localSheetId="2">'[58]List Disposal FA'!#REF!</definedName>
    <definedName name="TextRefCopy36" localSheetId="3">'[58]List Disposal FA'!#REF!</definedName>
    <definedName name="TextRefCopy36">'[58]List Disposal FA'!#REF!</definedName>
    <definedName name="TextRefCopy37">#REF!</definedName>
    <definedName name="TextRefCopy38" localSheetId="2">'[58]List Disposal FA'!#REF!</definedName>
    <definedName name="TextRefCopy38" localSheetId="3">'[58]List Disposal FA'!#REF!</definedName>
    <definedName name="TextRefCopy38">'[58]List Disposal FA'!#REF!</definedName>
    <definedName name="TextRefCopy39" localSheetId="2">'[58]List Disposal FA'!#REF!</definedName>
    <definedName name="TextRefCopy39" localSheetId="3">'[58]List Disposal FA'!#REF!</definedName>
    <definedName name="TextRefCopy39">'[58]List Disposal FA'!#REF!</definedName>
    <definedName name="TextRefCopy4" localSheetId="1">#REF!</definedName>
    <definedName name="TextRefCopy4">[59]Summary!$F$19</definedName>
    <definedName name="TextRefCopy40">#REF!</definedName>
    <definedName name="TextRefCopy41" localSheetId="2">'[58]List Disposal FA'!#REF!</definedName>
    <definedName name="TextRefCopy41" localSheetId="3">'[58]List Disposal FA'!#REF!</definedName>
    <definedName name="TextRefCopy41">'[58]List Disposal FA'!#REF!</definedName>
    <definedName name="TextRefCopy42">#REF!</definedName>
    <definedName name="TextRefCopy43">#REF!</definedName>
    <definedName name="TextRefCopy44">'[60]Test Depre'!$E$66</definedName>
    <definedName name="TextRefCopy45">#REF!</definedName>
    <definedName name="TextRefCopy47">#REF!</definedName>
    <definedName name="TextRefCopy48" localSheetId="2">'[58]List Disposal FA'!#REF!</definedName>
    <definedName name="TextRefCopy48" localSheetId="3">'[58]List Disposal FA'!#REF!</definedName>
    <definedName name="TextRefCopy48">'[58]List Disposal FA'!#REF!</definedName>
    <definedName name="TextRefCopy49">#REF!</definedName>
    <definedName name="TextRefCopy5" localSheetId="1">#REF!</definedName>
    <definedName name="TextRefCopy5">#REF!</definedName>
    <definedName name="TextRefCopy51" localSheetId="2">'[61]List &amp; TOD Disposal'!#REF!</definedName>
    <definedName name="TextRefCopy51" localSheetId="3">'[61]List &amp; TOD Disposal'!#REF!</definedName>
    <definedName name="TextRefCopy51">'[61]List &amp; TOD Disposal'!#REF!</definedName>
    <definedName name="TextRefCopy54">#REF!</definedName>
    <definedName name="TextRefCopy55">#REF!</definedName>
    <definedName name="TextRefCopy56">#REF!</definedName>
    <definedName name="TextRefCopy57">#REF!</definedName>
    <definedName name="TextRefCopy58">#REF!</definedName>
    <definedName name="TextRefCopy59">#REF!</definedName>
    <definedName name="TextRefCopy6" localSheetId="1">#REF!</definedName>
    <definedName name="TextRefCopy6">#REF!</definedName>
    <definedName name="TextRefCopy60">#REF!</definedName>
    <definedName name="TextRefCopy61">#REF!</definedName>
    <definedName name="TextRefCopy62">#REF!</definedName>
    <definedName name="TextRefCopy63">#REF!</definedName>
    <definedName name="TextRefCopy64">#REF!</definedName>
    <definedName name="TextRefCopy65">#REF!</definedName>
    <definedName name="TextRefCopy66">#REF!</definedName>
    <definedName name="TextRefCopy67">#REF!</definedName>
    <definedName name="TextRefCopy68">#REF!</definedName>
    <definedName name="TextRefCopy69">#REF!</definedName>
    <definedName name="TextRefCopy7" localSheetId="1">#REF!</definedName>
    <definedName name="TextRefCopy7">#REF!</definedName>
    <definedName name="TextRefCopy70">#REF!</definedName>
    <definedName name="TextRefCopy71">#REF!</definedName>
    <definedName name="TextRefCopy72">#REF!</definedName>
    <definedName name="TextRefCopy73">#REF!</definedName>
    <definedName name="TextRefCopy74">#REF!</definedName>
    <definedName name="TextRefCopy75">#REF!</definedName>
    <definedName name="TextRefCopy76">#REF!</definedName>
    <definedName name="TextRefCopy77">#REF!</definedName>
    <definedName name="TextRefCopy78">#REF!</definedName>
    <definedName name="TextRefCopy79">#REF!</definedName>
    <definedName name="TextRefCopy8" localSheetId="1">#REF!</definedName>
    <definedName name="TextRefCopy8">#REF!</definedName>
    <definedName name="TextRefCopy80">#REF!</definedName>
    <definedName name="TextRefCopy81">#REF!</definedName>
    <definedName name="TextRefCopy82">#REF!</definedName>
    <definedName name="TextRefCopy83">#REF!</definedName>
    <definedName name="TextRefCopy84">#REF!</definedName>
    <definedName name="TextRefCopy9">#REF!</definedName>
    <definedName name="TextRefCopy91">#REF!</definedName>
    <definedName name="TextRefCopy94" localSheetId="2">[10]Rollforward!#REF!</definedName>
    <definedName name="TextRefCopy94" localSheetId="3">[10]Rollforward!#REF!</definedName>
    <definedName name="TextRefCopy94">[10]Rollforward!#REF!</definedName>
    <definedName name="TextRefCopy95" localSheetId="2">[10]Rollforward!#REF!</definedName>
    <definedName name="TextRefCopy95" localSheetId="3">[10]Rollforward!#REF!</definedName>
    <definedName name="TextRefCopy95">[10]Rollforward!#REF!</definedName>
    <definedName name="TextRefCopyRangeCount" hidden="1">8</definedName>
    <definedName name="TIMEJOB">HOUR(NOW()-TIME(8,0,0))*60+MINUTE(NOW()-TIME(8,0,0))</definedName>
    <definedName name="topmanager">#REF!</definedName>
    <definedName name="Tot_knw_Xfoot">#REF!</definedName>
    <definedName name="Tot_lik_Xfoot">#REF!</definedName>
    <definedName name="Total_Amount">'[2]CMA Calculations'!$D$1066</definedName>
    <definedName name="Total_Population2">'[4]CMA Calculations- Figure 5440.1'!$D$296</definedName>
    <definedName name="totalamount" hidden="1">#REF!</definedName>
    <definedName name="TRADING">#REF!</definedName>
    <definedName name="Transport">#REF!</definedName>
    <definedName name="TRAVELLING">#REF!</definedName>
    <definedName name="turnover">#REF!</definedName>
    <definedName name="U">#REF!</definedName>
    <definedName name="uncollectibles">#REF!</definedName>
    <definedName name="UnrealisedExchg.">#REF!</definedName>
    <definedName name="Upkeep">#REF!</definedName>
    <definedName name="US">#REF!</definedName>
    <definedName name="usd">#REF!</definedName>
    <definedName name="v">#REF!</definedName>
    <definedName name="va" localSheetId="2">'[9]List Addition FA'!#REF!</definedName>
    <definedName name="va" localSheetId="3">'[9]List Addition FA'!#REF!</definedName>
    <definedName name="va">'[9]List Addition FA'!#REF!</definedName>
    <definedName name="val_bop">[62]data_val!$B$5</definedName>
    <definedName name="val_eop1">[62]data_val!$B$6</definedName>
    <definedName name="Val_Reason_Code">[63]GL40!#REF!</definedName>
    <definedName name="vc">#REF!</definedName>
    <definedName name="vfd">#REF!</definedName>
    <definedName name="viai01">#REF!</definedName>
    <definedName name="viai02">#REF!</definedName>
    <definedName name="viai03">#REF!</definedName>
    <definedName name="viai04">#REF!</definedName>
    <definedName name="viai05">#REF!</definedName>
    <definedName name="viai06">#REF!</definedName>
    <definedName name="viai07">#REF!</definedName>
    <definedName name="viai08">#REF!</definedName>
    <definedName name="viai09">#REF!</definedName>
    <definedName name="viai10">#REF!</definedName>
    <definedName name="viai11">#REF!</definedName>
    <definedName name="viai12">#REF!</definedName>
    <definedName name="viai13">#REF!</definedName>
    <definedName name="viai14">#REF!</definedName>
    <definedName name="viai15">#REF!</definedName>
    <definedName name="viai16">#REF!</definedName>
    <definedName name="viaitotal">#REF!</definedName>
    <definedName name="viap11">#REF!</definedName>
    <definedName name="viap12">#REF!</definedName>
    <definedName name="viap13">#REF!</definedName>
    <definedName name="viap14">#REF!</definedName>
    <definedName name="viap15">#REF!</definedName>
    <definedName name="viap16">#REF!</definedName>
    <definedName name="viar01">#REF!</definedName>
    <definedName name="viar02">#REF!</definedName>
    <definedName name="viar03">#REF!</definedName>
    <definedName name="viar04">#REF!</definedName>
    <definedName name="viar05">#REF!</definedName>
    <definedName name="viar06">#REF!</definedName>
    <definedName name="viar07">#REF!</definedName>
    <definedName name="viar08">#REF!</definedName>
    <definedName name="viar09">#REF!</definedName>
    <definedName name="viar10">#REF!</definedName>
    <definedName name="viar11">#REF!</definedName>
    <definedName name="viar12">#REF!</definedName>
    <definedName name="viar13">#REF!</definedName>
    <definedName name="viar14">#REF!</definedName>
    <definedName name="viar15">#REF!</definedName>
    <definedName name="viar16">#REF!</definedName>
    <definedName name="viaw01">#REF!</definedName>
    <definedName name="viaw02">#REF!</definedName>
    <definedName name="viaw03">#REF!</definedName>
    <definedName name="viaw04">#REF!</definedName>
    <definedName name="viaw05">#REF!</definedName>
    <definedName name="viaw06">#REF!</definedName>
    <definedName name="viaw07">#REF!</definedName>
    <definedName name="viaw08">#REF!</definedName>
    <definedName name="viaw09">#REF!</definedName>
    <definedName name="viaw10">#REF!</definedName>
    <definedName name="viaw11">#REF!</definedName>
    <definedName name="viaw12">#REF!</definedName>
    <definedName name="viaw13">#REF!</definedName>
    <definedName name="viaw14">#REF!</definedName>
    <definedName name="viaw15">#REF!</definedName>
    <definedName name="viaw16">#REF!</definedName>
    <definedName name="vibtotal">#REF!</definedName>
    <definedName name="W">#REF!</definedName>
    <definedName name="WaterElec.">#REF!</definedName>
    <definedName name="WER">#REF!</definedName>
    <definedName name="wp" hidden="1">{#N/A,#N/A,FALSE,"Aging Summary";#N/A,#N/A,FALSE,"Ratio Analysis";#N/A,#N/A,FALSE,"Test 120 Day Accts";#N/A,#N/A,FALSE,"Tickmarks"}</definedName>
    <definedName name="wpname">[64]GeneralInfo!$I$5</definedName>
    <definedName name="wrn.ACCOUNT._.PAYABLE." hidden="1">{#N/A,#N/A,FALSE,"MATERIAL"}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localSheetId="3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SFL">#REF!</definedName>
    <definedName name="WSFR">#REF!</definedName>
    <definedName name="WSHED">#REF!</definedName>
    <definedName name="x">'[65]Permanent info'!$E$7</definedName>
    <definedName name="XREF_COLUMN_1" hidden="1">[66]Off.Equip!#REF!</definedName>
    <definedName name="XREF_COLUMN_11" hidden="1">[67]Vehicle!#REF!</definedName>
    <definedName name="XREF_COLUMN_17" hidden="1">#REF!</definedName>
    <definedName name="XREF_COLUMN_2" hidden="1">[66]Off.Equip!#REF!</definedName>
    <definedName name="XREF_COLUMN_3" hidden="1">[66]Computer!#REF!</definedName>
    <definedName name="XREF_COLUMN_4" hidden="1">[66]Computer!#REF!</definedName>
    <definedName name="XREF_COLUMN_5" hidden="1">'[66]Demo '!#REF!</definedName>
    <definedName name="XREF_COLUMN_6" hidden="1">'[66]Demo '!#REF!</definedName>
    <definedName name="XREF_COLUMN_7" hidden="1">[66]Off.Impr!#REF!</definedName>
    <definedName name="XRefActiveRow" hidden="1">#REF!</definedName>
    <definedName name="XRefColumnsCount" hidden="1">17</definedName>
    <definedName name="XRefCopy1" hidden="1">#REF!</definedName>
    <definedName name="XRefCopy10" hidden="1">[67]Vehicle!#REF!</definedName>
    <definedName name="XRefCopy10Row" hidden="1">#REF!</definedName>
    <definedName name="XRefCopy11" hidden="1">[67]Tools!#REF!</definedName>
    <definedName name="XRefCopy11Row" hidden="1">#REF!</definedName>
    <definedName name="XRefCopy12" hidden="1">[67]Building!#REF!</definedName>
    <definedName name="XRefCopy12Row" hidden="1">#REF!</definedName>
    <definedName name="XRefCopy13" hidden="1">'[67]Machinery&amp;Equip'!#REF!</definedName>
    <definedName name="XRefCopy13Row" hidden="1">#REF!</definedName>
    <definedName name="XRefCopy14" hidden="1">[67]Vehicle!#REF!</definedName>
    <definedName name="XRefCopy14Row" hidden="1">#REF!</definedName>
    <definedName name="XRefCopy16Row" hidden="1">#REF!</definedName>
    <definedName name="XRefCopy17" hidden="1">#REF!</definedName>
    <definedName name="XRefCopy18" hidden="1">#REF!</definedName>
    <definedName name="XRefCopy18Row" hidden="1">#REF!</definedName>
    <definedName name="XRefCopy19" hidden="1">#REF!</definedName>
    <definedName name="XRefCopy1Row" hidden="1">#REF!</definedName>
    <definedName name="XRefCopy2Row" hidden="1">#REF!</definedName>
    <definedName name="XRefCopy3Row" hidden="1">#REF!</definedName>
    <definedName name="XRefCopy4Row" hidden="1">#REF!</definedName>
    <definedName name="XRefCopy5Row" hidden="1">#REF!</definedName>
    <definedName name="XRefCopy6Row" hidden="1">#REF!</definedName>
    <definedName name="XRefCopy7Row" hidden="1">#REF!</definedName>
    <definedName name="XRefCopy8" hidden="1">[67]Building!#REF!</definedName>
    <definedName name="XRefCopy8Row" hidden="1">#REF!</definedName>
    <definedName name="XRefCopy9" hidden="1">'[67]Machinery&amp;Equip'!#REF!</definedName>
    <definedName name="XRefCopy9Row" hidden="1">#REF!</definedName>
    <definedName name="XRefCopyRangeCount" hidden="1">1</definedName>
    <definedName name="XRefPaste1" hidden="1">[67]Land!#REF!</definedName>
    <definedName name="XRefPaste1Row" hidden="1">#REF!</definedName>
    <definedName name="XRefPasteRangeCount" hidden="1">1</definedName>
    <definedName name="xx" hidden="1">#REF!</definedName>
    <definedName name="xxxx">[36]GeneralInfo!$T$76</definedName>
    <definedName name="Year0">'[17]FE-1770.P1'!#REF!</definedName>
    <definedName name="Z">'[68]Account Code'!$A$2:$B$42</definedName>
    <definedName name="会社名英文">[69]●資料一覧表!#REF!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9" i="2" l="1"/>
  <c r="L19" i="2"/>
  <c r="R19" i="30"/>
  <c r="Q19" i="30"/>
  <c r="P19" i="30"/>
  <c r="O19" i="30"/>
  <c r="N19" i="30"/>
  <c r="M19" i="30"/>
  <c r="L19" i="30"/>
  <c r="K19" i="30"/>
  <c r="J19" i="30"/>
  <c r="I19" i="30"/>
  <c r="H19" i="30"/>
  <c r="G19" i="30"/>
  <c r="R19" i="2"/>
  <c r="Q19" i="2"/>
  <c r="P19" i="2"/>
  <c r="N19" i="2"/>
  <c r="M19" i="2"/>
  <c r="K19" i="2"/>
  <c r="J19" i="2"/>
  <c r="I19" i="2"/>
  <c r="H19" i="2"/>
  <c r="G19" i="2"/>
  <c r="AN257" i="2"/>
  <c r="AM257" i="2"/>
  <c r="AL257" i="2"/>
  <c r="AK257" i="2"/>
  <c r="AJ257" i="2"/>
  <c r="AI257" i="2"/>
  <c r="AH257" i="2"/>
  <c r="AG257" i="2"/>
  <c r="AF257" i="2"/>
  <c r="AE257" i="2"/>
  <c r="AD257" i="2"/>
  <c r="AO257" i="2"/>
  <c r="G18" i="30"/>
  <c r="AP253" i="30"/>
  <c r="AQ253" i="30" s="1"/>
  <c r="AW254" i="30"/>
  <c r="AX254" i="30" s="1"/>
  <c r="AC254" i="30"/>
  <c r="AP254" i="30" s="1"/>
  <c r="AQ254" i="30" s="1"/>
  <c r="U254" i="30"/>
  <c r="AC253" i="30"/>
  <c r="AW253" i="30"/>
  <c r="AX253" i="30" s="1"/>
  <c r="U253" i="30"/>
  <c r="AC252" i="30"/>
  <c r="AP252" i="30" s="1"/>
  <c r="AQ252" i="30" s="1"/>
  <c r="AC251" i="30"/>
  <c r="AP251" i="30" s="1"/>
  <c r="AQ251" i="30" s="1"/>
  <c r="W249" i="30"/>
  <c r="W248" i="30"/>
  <c r="W247" i="30"/>
  <c r="W246" i="30"/>
  <c r="W245" i="30"/>
  <c r="W244" i="30"/>
  <c r="AC99" i="30"/>
  <c r="AC100" i="30"/>
  <c r="AC101" i="30"/>
  <c r="W209" i="30"/>
  <c r="W208" i="30"/>
  <c r="W207" i="30"/>
  <c r="W206" i="30"/>
  <c r="W205" i="30"/>
  <c r="W204" i="30"/>
  <c r="W203" i="30"/>
  <c r="W202" i="30"/>
  <c r="W201" i="30"/>
  <c r="W200" i="30"/>
  <c r="W199" i="30"/>
  <c r="W198" i="30"/>
  <c r="W101" i="30"/>
  <c r="W100" i="30"/>
  <c r="W99" i="30"/>
  <c r="AC97" i="2"/>
  <c r="W63" i="30"/>
  <c r="W62" i="30"/>
  <c r="W38" i="30"/>
  <c r="W37" i="30"/>
  <c r="W36" i="30"/>
  <c r="W35" i="30"/>
  <c r="W34" i="30"/>
  <c r="W33" i="30"/>
  <c r="W32" i="30"/>
  <c r="W31" i="30"/>
  <c r="W30" i="30"/>
  <c r="W29" i="30"/>
  <c r="W28" i="30"/>
  <c r="S19" i="30" l="1"/>
  <c r="S19" i="2"/>
  <c r="X254" i="30"/>
  <c r="Y254" i="30" s="1"/>
  <c r="Z254" i="30" s="1"/>
  <c r="X253" i="30"/>
  <c r="Y253" i="30" s="1"/>
  <c r="Z253" i="30" s="1"/>
  <c r="W27" i="30" l="1"/>
  <c r="W26" i="30"/>
  <c r="F258" i="30"/>
  <c r="AW252" i="30"/>
  <c r="AX252" i="30" s="1"/>
  <c r="U252" i="30"/>
  <c r="AW251" i="30"/>
  <c r="AX251" i="30" s="1"/>
  <c r="U251" i="30"/>
  <c r="X251" i="30" s="1"/>
  <c r="Y251" i="30" s="1"/>
  <c r="Z251" i="30" s="1"/>
  <c r="AW250" i="30"/>
  <c r="AX250" i="30" s="1"/>
  <c r="AC250" i="30"/>
  <c r="U250" i="30"/>
  <c r="AW249" i="30"/>
  <c r="AX249" i="30" s="1"/>
  <c r="AC249" i="30"/>
  <c r="U249" i="30"/>
  <c r="AW248" i="30"/>
  <c r="AX248" i="30" s="1"/>
  <c r="AC248" i="30"/>
  <c r="AP248" i="30" s="1"/>
  <c r="AQ248" i="30" s="1"/>
  <c r="U248" i="30"/>
  <c r="AW247" i="30"/>
  <c r="AX247" i="30" s="1"/>
  <c r="AC247" i="30"/>
  <c r="AP247" i="30" s="1"/>
  <c r="AQ247" i="30" s="1"/>
  <c r="U247" i="30"/>
  <c r="AW246" i="30"/>
  <c r="AX246" i="30" s="1"/>
  <c r="AC246" i="30"/>
  <c r="U246" i="30"/>
  <c r="AW245" i="30"/>
  <c r="AX245" i="30" s="1"/>
  <c r="AC245" i="30"/>
  <c r="AP245" i="30" s="1"/>
  <c r="AQ245" i="30" s="1"/>
  <c r="U245" i="30"/>
  <c r="AW244" i="30"/>
  <c r="AX244" i="30" s="1"/>
  <c r="AC244" i="30"/>
  <c r="U244" i="30"/>
  <c r="AW243" i="30"/>
  <c r="AX243" i="30" s="1"/>
  <c r="AC243" i="30"/>
  <c r="AP243" i="30" s="1"/>
  <c r="AQ243" i="30" s="1"/>
  <c r="U243" i="30"/>
  <c r="AW242" i="30"/>
  <c r="AX242" i="30" s="1"/>
  <c r="AC242" i="30"/>
  <c r="U242" i="30"/>
  <c r="AW241" i="30"/>
  <c r="AX241" i="30" s="1"/>
  <c r="AC241" i="30"/>
  <c r="U241" i="30"/>
  <c r="AW240" i="30"/>
  <c r="AX240" i="30" s="1"/>
  <c r="AC240" i="30"/>
  <c r="AP240" i="30" s="1"/>
  <c r="AQ240" i="30" s="1"/>
  <c r="U240" i="30"/>
  <c r="AW239" i="30"/>
  <c r="AX239" i="30" s="1"/>
  <c r="AC239" i="30"/>
  <c r="AP239" i="30" s="1"/>
  <c r="AQ239" i="30" s="1"/>
  <c r="U239" i="30"/>
  <c r="AW238" i="30"/>
  <c r="AX238" i="30" s="1"/>
  <c r="AC238" i="30"/>
  <c r="AP238" i="30" s="1"/>
  <c r="AQ238" i="30" s="1"/>
  <c r="U238" i="30"/>
  <c r="AW237" i="30"/>
  <c r="AX237" i="30" s="1"/>
  <c r="AC237" i="30"/>
  <c r="U237" i="30"/>
  <c r="AW236" i="30"/>
  <c r="AX236" i="30" s="1"/>
  <c r="AC236" i="30"/>
  <c r="AP236" i="30" s="1"/>
  <c r="AQ236" i="30" s="1"/>
  <c r="U236" i="30"/>
  <c r="AW235" i="30"/>
  <c r="AX235" i="30" s="1"/>
  <c r="AC235" i="30"/>
  <c r="AP235" i="30" s="1"/>
  <c r="AQ235" i="30" s="1"/>
  <c r="U235" i="30"/>
  <c r="AW234" i="30"/>
  <c r="AX234" i="30" s="1"/>
  <c r="AC234" i="30"/>
  <c r="AP234" i="30" s="1"/>
  <c r="AQ234" i="30" s="1"/>
  <c r="U234" i="30"/>
  <c r="AW233" i="30"/>
  <c r="AX233" i="30" s="1"/>
  <c r="AC233" i="30"/>
  <c r="AP233" i="30" s="1"/>
  <c r="AQ233" i="30" s="1"/>
  <c r="U233" i="30"/>
  <c r="AW232" i="30"/>
  <c r="AX232" i="30" s="1"/>
  <c r="AC232" i="30"/>
  <c r="AP232" i="30" s="1"/>
  <c r="AQ232" i="30" s="1"/>
  <c r="U232" i="30"/>
  <c r="AW231" i="30"/>
  <c r="AX231" i="30" s="1"/>
  <c r="AC231" i="30"/>
  <c r="AP231" i="30" s="1"/>
  <c r="AQ231" i="30" s="1"/>
  <c r="U231" i="30"/>
  <c r="AW230" i="30"/>
  <c r="AX230" i="30" s="1"/>
  <c r="AP230" i="30"/>
  <c r="AQ230" i="30" s="1"/>
  <c r="AC230" i="30"/>
  <c r="U230" i="30"/>
  <c r="AW229" i="30"/>
  <c r="AX229" i="30" s="1"/>
  <c r="AC229" i="30"/>
  <c r="AP229" i="30" s="1"/>
  <c r="AQ229" i="30" s="1"/>
  <c r="U229" i="30"/>
  <c r="AW228" i="30"/>
  <c r="AX228" i="30" s="1"/>
  <c r="AC228" i="30"/>
  <c r="AP228" i="30" s="1"/>
  <c r="AQ228" i="30" s="1"/>
  <c r="U228" i="30"/>
  <c r="X228" i="30" s="1"/>
  <c r="Y228" i="30" s="1"/>
  <c r="Z228" i="30" s="1"/>
  <c r="AW227" i="30"/>
  <c r="AX227" i="30" s="1"/>
  <c r="AC227" i="30"/>
  <c r="AP227" i="30" s="1"/>
  <c r="AQ227" i="30" s="1"/>
  <c r="U227" i="30"/>
  <c r="AW226" i="30"/>
  <c r="AX226" i="30" s="1"/>
  <c r="AC226" i="30"/>
  <c r="AP226" i="30" s="1"/>
  <c r="AQ226" i="30" s="1"/>
  <c r="U226" i="30"/>
  <c r="AW225" i="30"/>
  <c r="AX225" i="30" s="1"/>
  <c r="AC225" i="30"/>
  <c r="AP225" i="30" s="1"/>
  <c r="AQ225" i="30" s="1"/>
  <c r="U225" i="30"/>
  <c r="AW224" i="30"/>
  <c r="AX224" i="30" s="1"/>
  <c r="AC224" i="30"/>
  <c r="U224" i="30"/>
  <c r="AW223" i="30"/>
  <c r="AX223" i="30" s="1"/>
  <c r="AC223" i="30"/>
  <c r="AP223" i="30" s="1"/>
  <c r="AQ223" i="30" s="1"/>
  <c r="U223" i="30"/>
  <c r="X223" i="30" s="1"/>
  <c r="Y223" i="30" s="1"/>
  <c r="Z223" i="30" s="1"/>
  <c r="AW222" i="30"/>
  <c r="AX222" i="30" s="1"/>
  <c r="AC222" i="30"/>
  <c r="AP222" i="30" s="1"/>
  <c r="AQ222" i="30" s="1"/>
  <c r="U222" i="30"/>
  <c r="AW221" i="30"/>
  <c r="AX221" i="30" s="1"/>
  <c r="AC221" i="30"/>
  <c r="AP221" i="30" s="1"/>
  <c r="AQ221" i="30" s="1"/>
  <c r="U221" i="30"/>
  <c r="AW220" i="30"/>
  <c r="AX220" i="30" s="1"/>
  <c r="AC220" i="30"/>
  <c r="U220" i="30"/>
  <c r="AX219" i="30"/>
  <c r="AC218" i="30"/>
  <c r="U218" i="30"/>
  <c r="AC217" i="30"/>
  <c r="U217" i="30"/>
  <c r="AC216" i="30"/>
  <c r="AP216" i="30" s="1"/>
  <c r="AQ216" i="30" s="1"/>
  <c r="U216" i="30"/>
  <c r="X216" i="30" s="1"/>
  <c r="Y216" i="30" s="1"/>
  <c r="Z216" i="30" s="1"/>
  <c r="AC215" i="30"/>
  <c r="AP215" i="30" s="1"/>
  <c r="AQ215" i="30" s="1"/>
  <c r="U215" i="30"/>
  <c r="AX214" i="30"/>
  <c r="AC214" i="30"/>
  <c r="AP214" i="30" s="1"/>
  <c r="AQ214" i="30" s="1"/>
  <c r="U214" i="30"/>
  <c r="AX213" i="30"/>
  <c r="AC213" i="30"/>
  <c r="U213" i="30"/>
  <c r="AW212" i="30"/>
  <c r="AX212" i="30" s="1"/>
  <c r="AC212" i="30"/>
  <c r="U212" i="30"/>
  <c r="AW211" i="30"/>
  <c r="AX211" i="30" s="1"/>
  <c r="AC211" i="30"/>
  <c r="U211" i="30"/>
  <c r="AW210" i="30"/>
  <c r="AX210" i="30" s="1"/>
  <c r="AC210" i="30"/>
  <c r="AP210" i="30" s="1"/>
  <c r="AQ210" i="30" s="1"/>
  <c r="U210" i="30"/>
  <c r="AW209" i="30"/>
  <c r="AX209" i="30" s="1"/>
  <c r="AC209" i="30"/>
  <c r="AP209" i="30" s="1"/>
  <c r="AQ209" i="30" s="1"/>
  <c r="U209" i="30"/>
  <c r="AW208" i="30"/>
  <c r="AX208" i="30" s="1"/>
  <c r="AC208" i="30"/>
  <c r="AP208" i="30" s="1"/>
  <c r="AQ208" i="30" s="1"/>
  <c r="U208" i="30"/>
  <c r="AW207" i="30"/>
  <c r="AX207" i="30" s="1"/>
  <c r="AC207" i="30"/>
  <c r="AP207" i="30" s="1"/>
  <c r="AQ207" i="30" s="1"/>
  <c r="U207" i="30"/>
  <c r="AW206" i="30"/>
  <c r="AX206" i="30" s="1"/>
  <c r="AP206" i="30"/>
  <c r="AQ206" i="30" s="1"/>
  <c r="AC206" i="30"/>
  <c r="U206" i="30"/>
  <c r="AW205" i="30"/>
  <c r="AX205" i="30" s="1"/>
  <c r="AC205" i="30"/>
  <c r="U205" i="30"/>
  <c r="AW204" i="30"/>
  <c r="AX204" i="30" s="1"/>
  <c r="AC204" i="30"/>
  <c r="U204" i="30"/>
  <c r="AW203" i="30"/>
  <c r="AX203" i="30" s="1"/>
  <c r="AC203" i="30"/>
  <c r="AP203" i="30" s="1"/>
  <c r="AQ203" i="30" s="1"/>
  <c r="U203" i="30"/>
  <c r="AW202" i="30"/>
  <c r="AX202" i="30" s="1"/>
  <c r="AC202" i="30"/>
  <c r="AP202" i="30" s="1"/>
  <c r="AQ202" i="30" s="1"/>
  <c r="U202" i="30"/>
  <c r="AW201" i="30"/>
  <c r="AX201" i="30" s="1"/>
  <c r="AC201" i="30"/>
  <c r="U201" i="30"/>
  <c r="AW200" i="30"/>
  <c r="AX200" i="30" s="1"/>
  <c r="AC200" i="30"/>
  <c r="U200" i="30"/>
  <c r="AW199" i="30"/>
  <c r="AX199" i="30" s="1"/>
  <c r="AC199" i="30"/>
  <c r="U199" i="30"/>
  <c r="AW198" i="30"/>
  <c r="AX198" i="30" s="1"/>
  <c r="AC198" i="30"/>
  <c r="U198" i="30"/>
  <c r="AW197" i="30"/>
  <c r="AX197" i="30" s="1"/>
  <c r="AC197" i="30"/>
  <c r="AP197" i="30" s="1"/>
  <c r="AQ197" i="30" s="1"/>
  <c r="U197" i="30"/>
  <c r="AW196" i="30"/>
  <c r="AX196" i="30" s="1"/>
  <c r="AC196" i="30"/>
  <c r="AP196" i="30" s="1"/>
  <c r="AQ196" i="30" s="1"/>
  <c r="U196" i="30"/>
  <c r="AW195" i="30"/>
  <c r="AX195" i="30" s="1"/>
  <c r="AC195" i="30"/>
  <c r="AP195" i="30" s="1"/>
  <c r="AQ195" i="30" s="1"/>
  <c r="U195" i="30"/>
  <c r="AW194" i="30"/>
  <c r="AX194" i="30" s="1"/>
  <c r="AC194" i="30"/>
  <c r="AP194" i="30" s="1"/>
  <c r="AQ194" i="30" s="1"/>
  <c r="U194" i="30"/>
  <c r="AW193" i="30"/>
  <c r="AX193" i="30" s="1"/>
  <c r="AC193" i="30"/>
  <c r="U193" i="30"/>
  <c r="AW192" i="30"/>
  <c r="AX192" i="30" s="1"/>
  <c r="AC192" i="30"/>
  <c r="U192" i="30"/>
  <c r="AW191" i="30"/>
  <c r="AX191" i="30" s="1"/>
  <c r="AC191" i="30"/>
  <c r="AP191" i="30" s="1"/>
  <c r="AQ191" i="30" s="1"/>
  <c r="U191" i="30"/>
  <c r="AW190" i="30"/>
  <c r="AX190" i="30" s="1"/>
  <c r="AC190" i="30"/>
  <c r="AP190" i="30" s="1"/>
  <c r="AQ190" i="30" s="1"/>
  <c r="U190" i="30"/>
  <c r="AW189" i="30"/>
  <c r="AX189" i="30" s="1"/>
  <c r="AC189" i="30"/>
  <c r="AP189" i="30" s="1"/>
  <c r="AQ189" i="30" s="1"/>
  <c r="U189" i="30"/>
  <c r="AW188" i="30"/>
  <c r="AX188" i="30" s="1"/>
  <c r="AC188" i="30"/>
  <c r="U188" i="30"/>
  <c r="AW187" i="30"/>
  <c r="AX187" i="30" s="1"/>
  <c r="AC187" i="30"/>
  <c r="AP187" i="30" s="1"/>
  <c r="AQ187" i="30" s="1"/>
  <c r="U187" i="30"/>
  <c r="AW186" i="30"/>
  <c r="AX186" i="30" s="1"/>
  <c r="AC186" i="30"/>
  <c r="AP186" i="30" s="1"/>
  <c r="AQ186" i="30" s="1"/>
  <c r="U186" i="30"/>
  <c r="AW185" i="30"/>
  <c r="AX185" i="30" s="1"/>
  <c r="AC185" i="30"/>
  <c r="U185" i="30"/>
  <c r="AW184" i="30"/>
  <c r="AX184" i="30" s="1"/>
  <c r="AC184" i="30"/>
  <c r="AP184" i="30" s="1"/>
  <c r="AQ184" i="30" s="1"/>
  <c r="U184" i="30"/>
  <c r="AW183" i="30"/>
  <c r="AX183" i="30" s="1"/>
  <c r="AC183" i="30"/>
  <c r="AP183" i="30" s="1"/>
  <c r="AQ183" i="30" s="1"/>
  <c r="U183" i="30"/>
  <c r="AW182" i="30"/>
  <c r="AX182" i="30" s="1"/>
  <c r="AC182" i="30"/>
  <c r="U182" i="30"/>
  <c r="AW181" i="30"/>
  <c r="AX181" i="30" s="1"/>
  <c r="AC181" i="30"/>
  <c r="AP181" i="30" s="1"/>
  <c r="AQ181" i="30" s="1"/>
  <c r="U181" i="30"/>
  <c r="AW180" i="30"/>
  <c r="AX180" i="30" s="1"/>
  <c r="AC180" i="30"/>
  <c r="AP180" i="30" s="1"/>
  <c r="AQ180" i="30" s="1"/>
  <c r="U180" i="30"/>
  <c r="AW179" i="30"/>
  <c r="AX179" i="30" s="1"/>
  <c r="AC179" i="30"/>
  <c r="AP179" i="30" s="1"/>
  <c r="AQ179" i="30" s="1"/>
  <c r="U179" i="30"/>
  <c r="AW178" i="30"/>
  <c r="AX178" i="30" s="1"/>
  <c r="AC178" i="30"/>
  <c r="AP178" i="30" s="1"/>
  <c r="AQ178" i="30" s="1"/>
  <c r="U178" i="30"/>
  <c r="AW177" i="30"/>
  <c r="AX177" i="30" s="1"/>
  <c r="AC177" i="30"/>
  <c r="AP177" i="30" s="1"/>
  <c r="AQ177" i="30" s="1"/>
  <c r="U177" i="30"/>
  <c r="AW176" i="30"/>
  <c r="AX176" i="30" s="1"/>
  <c r="AC176" i="30"/>
  <c r="AP176" i="30" s="1"/>
  <c r="AQ176" i="30" s="1"/>
  <c r="U176" i="30"/>
  <c r="AW175" i="30"/>
  <c r="AX175" i="30" s="1"/>
  <c r="AC175" i="30"/>
  <c r="AP175" i="30" s="1"/>
  <c r="AQ175" i="30" s="1"/>
  <c r="U175" i="30"/>
  <c r="AW174" i="30"/>
  <c r="AX174" i="30" s="1"/>
  <c r="AC174" i="30"/>
  <c r="AP174" i="30" s="1"/>
  <c r="AQ174" i="30" s="1"/>
  <c r="U174" i="30"/>
  <c r="AW173" i="30"/>
  <c r="AX173" i="30" s="1"/>
  <c r="AC173" i="30"/>
  <c r="U173" i="30"/>
  <c r="AW172" i="30"/>
  <c r="AX172" i="30" s="1"/>
  <c r="AC172" i="30"/>
  <c r="U172" i="30"/>
  <c r="AW171" i="30"/>
  <c r="AX171" i="30" s="1"/>
  <c r="AC171" i="30"/>
  <c r="AP171" i="30" s="1"/>
  <c r="AQ171" i="30" s="1"/>
  <c r="U171" i="30"/>
  <c r="AW170" i="30"/>
  <c r="AX170" i="30" s="1"/>
  <c r="AC170" i="30"/>
  <c r="AP170" i="30" s="1"/>
  <c r="AQ170" i="30" s="1"/>
  <c r="U170" i="30"/>
  <c r="AW169" i="30"/>
  <c r="AX169" i="30" s="1"/>
  <c r="AC169" i="30"/>
  <c r="AP169" i="30" s="1"/>
  <c r="AQ169" i="30" s="1"/>
  <c r="U169" i="30"/>
  <c r="AW168" i="30"/>
  <c r="AX168" i="30" s="1"/>
  <c r="AC168" i="30"/>
  <c r="AP168" i="30" s="1"/>
  <c r="AQ168" i="30" s="1"/>
  <c r="U168" i="30"/>
  <c r="AW167" i="30"/>
  <c r="AX167" i="30" s="1"/>
  <c r="AC167" i="30"/>
  <c r="U167" i="30"/>
  <c r="AW166" i="30"/>
  <c r="AX166" i="30" s="1"/>
  <c r="AC166" i="30"/>
  <c r="AP166" i="30" s="1"/>
  <c r="AQ166" i="30" s="1"/>
  <c r="U166" i="30"/>
  <c r="AW165" i="30"/>
  <c r="AX165" i="30" s="1"/>
  <c r="AC165" i="30"/>
  <c r="AP165" i="30" s="1"/>
  <c r="AQ165" i="30" s="1"/>
  <c r="U165" i="30"/>
  <c r="AW164" i="30"/>
  <c r="AX164" i="30" s="1"/>
  <c r="AC164" i="30"/>
  <c r="AP164" i="30" s="1"/>
  <c r="AQ164" i="30" s="1"/>
  <c r="U164" i="30"/>
  <c r="AW163" i="30"/>
  <c r="AX163" i="30" s="1"/>
  <c r="AC163" i="30"/>
  <c r="U163" i="30"/>
  <c r="AW162" i="30"/>
  <c r="AX162" i="30" s="1"/>
  <c r="AC162" i="30"/>
  <c r="U162" i="30"/>
  <c r="AW161" i="30"/>
  <c r="AX161" i="30" s="1"/>
  <c r="AC161" i="30"/>
  <c r="U161" i="30"/>
  <c r="AW160" i="30"/>
  <c r="AX160" i="30" s="1"/>
  <c r="AC160" i="30"/>
  <c r="U160" i="30"/>
  <c r="AW159" i="30"/>
  <c r="AX159" i="30" s="1"/>
  <c r="AC159" i="30"/>
  <c r="AP159" i="30" s="1"/>
  <c r="AQ159" i="30" s="1"/>
  <c r="U159" i="30"/>
  <c r="AW158" i="30"/>
  <c r="AX158" i="30" s="1"/>
  <c r="AC158" i="30"/>
  <c r="AP158" i="30" s="1"/>
  <c r="AQ158" i="30" s="1"/>
  <c r="U158" i="30"/>
  <c r="AW157" i="30"/>
  <c r="AX157" i="30" s="1"/>
  <c r="AC157" i="30"/>
  <c r="U157" i="30"/>
  <c r="AW156" i="30"/>
  <c r="AX156" i="30" s="1"/>
  <c r="AC156" i="30"/>
  <c r="AP156" i="30" s="1"/>
  <c r="AQ156" i="30" s="1"/>
  <c r="U156" i="30"/>
  <c r="X156" i="30" s="1"/>
  <c r="Y156" i="30" s="1"/>
  <c r="Z156" i="30" s="1"/>
  <c r="AW155" i="30"/>
  <c r="AX155" i="30" s="1"/>
  <c r="AC155" i="30"/>
  <c r="AP155" i="30" s="1"/>
  <c r="AQ155" i="30" s="1"/>
  <c r="U155" i="30"/>
  <c r="AW154" i="30"/>
  <c r="AX154" i="30" s="1"/>
  <c r="AC154" i="30"/>
  <c r="AP154" i="30" s="1"/>
  <c r="AQ154" i="30" s="1"/>
  <c r="U154" i="30"/>
  <c r="AW153" i="30"/>
  <c r="AX153" i="30" s="1"/>
  <c r="AC153" i="30"/>
  <c r="AP153" i="30" s="1"/>
  <c r="AQ153" i="30" s="1"/>
  <c r="U153" i="30"/>
  <c r="AW152" i="30"/>
  <c r="AX152" i="30" s="1"/>
  <c r="AC152" i="30"/>
  <c r="U152" i="30"/>
  <c r="AW151" i="30"/>
  <c r="AX151" i="30" s="1"/>
  <c r="AC151" i="30"/>
  <c r="AP151" i="30" s="1"/>
  <c r="AQ151" i="30" s="1"/>
  <c r="U151" i="30"/>
  <c r="AW150" i="30"/>
  <c r="AX150" i="30" s="1"/>
  <c r="AC150" i="30"/>
  <c r="AP150" i="30" s="1"/>
  <c r="AQ150" i="30" s="1"/>
  <c r="U150" i="30"/>
  <c r="AW149" i="30"/>
  <c r="AX149" i="30" s="1"/>
  <c r="AC149" i="30"/>
  <c r="AP149" i="30" s="1"/>
  <c r="AQ149" i="30" s="1"/>
  <c r="U149" i="30"/>
  <c r="AW148" i="30"/>
  <c r="AX148" i="30" s="1"/>
  <c r="AC148" i="30"/>
  <c r="U148" i="30"/>
  <c r="AW147" i="30"/>
  <c r="AX147" i="30" s="1"/>
  <c r="AC147" i="30"/>
  <c r="U147" i="30"/>
  <c r="AW146" i="30"/>
  <c r="AX146" i="30" s="1"/>
  <c r="AC146" i="30"/>
  <c r="AP146" i="30" s="1"/>
  <c r="AQ146" i="30" s="1"/>
  <c r="U146" i="30"/>
  <c r="AW145" i="30"/>
  <c r="AX145" i="30" s="1"/>
  <c r="AC145" i="30"/>
  <c r="AP145" i="30" s="1"/>
  <c r="AQ145" i="30" s="1"/>
  <c r="U145" i="30"/>
  <c r="AW144" i="30"/>
  <c r="AX144" i="30" s="1"/>
  <c r="AC144" i="30"/>
  <c r="AP144" i="30" s="1"/>
  <c r="AQ144" i="30" s="1"/>
  <c r="U144" i="30"/>
  <c r="AW143" i="30"/>
  <c r="AX143" i="30" s="1"/>
  <c r="AC143" i="30"/>
  <c r="AP143" i="30" s="1"/>
  <c r="AQ143" i="30" s="1"/>
  <c r="U143" i="30"/>
  <c r="AW142" i="30"/>
  <c r="AX142" i="30" s="1"/>
  <c r="AC142" i="30"/>
  <c r="AP142" i="30" s="1"/>
  <c r="AQ142" i="30" s="1"/>
  <c r="U142" i="30"/>
  <c r="AW141" i="30"/>
  <c r="AX141" i="30" s="1"/>
  <c r="AC141" i="30"/>
  <c r="AP141" i="30" s="1"/>
  <c r="AQ141" i="30" s="1"/>
  <c r="U141" i="30"/>
  <c r="AW140" i="30"/>
  <c r="AX140" i="30" s="1"/>
  <c r="AC140" i="30"/>
  <c r="AP140" i="30" s="1"/>
  <c r="AQ140" i="30" s="1"/>
  <c r="U140" i="30"/>
  <c r="AW139" i="30"/>
  <c r="AX139" i="30" s="1"/>
  <c r="AC139" i="30"/>
  <c r="AP139" i="30" s="1"/>
  <c r="T139" i="30"/>
  <c r="AW138" i="30"/>
  <c r="AX138" i="30" s="1"/>
  <c r="AC138" i="30"/>
  <c r="AP138" i="30" s="1"/>
  <c r="T138" i="30"/>
  <c r="U138" i="30" s="1"/>
  <c r="AW137" i="30"/>
  <c r="AX137" i="30" s="1"/>
  <c r="AC137" i="30"/>
  <c r="U137" i="30"/>
  <c r="AW136" i="30"/>
  <c r="AX136" i="30" s="1"/>
  <c r="AC136" i="30"/>
  <c r="AP136" i="30" s="1"/>
  <c r="AQ136" i="30" s="1"/>
  <c r="U136" i="30"/>
  <c r="AW135" i="30"/>
  <c r="AX135" i="30" s="1"/>
  <c r="AC135" i="30"/>
  <c r="AP135" i="30" s="1"/>
  <c r="AQ135" i="30" s="1"/>
  <c r="U135" i="30"/>
  <c r="AW134" i="30"/>
  <c r="AX134" i="30" s="1"/>
  <c r="AC134" i="30"/>
  <c r="U134" i="30"/>
  <c r="AW133" i="30"/>
  <c r="AX133" i="30" s="1"/>
  <c r="AC133" i="30"/>
  <c r="AP133" i="30" s="1"/>
  <c r="AQ133" i="30" s="1"/>
  <c r="U133" i="30"/>
  <c r="AW132" i="30"/>
  <c r="AX132" i="30" s="1"/>
  <c r="AC132" i="30"/>
  <c r="AP132" i="30" s="1"/>
  <c r="AQ132" i="30" s="1"/>
  <c r="U132" i="30"/>
  <c r="AW131" i="30"/>
  <c r="AX131" i="30" s="1"/>
  <c r="AC131" i="30"/>
  <c r="AP131" i="30" s="1"/>
  <c r="AQ131" i="30" s="1"/>
  <c r="U131" i="30"/>
  <c r="AW130" i="30"/>
  <c r="AX130" i="30" s="1"/>
  <c r="AC130" i="30"/>
  <c r="U130" i="30"/>
  <c r="AW129" i="30"/>
  <c r="AX129" i="30" s="1"/>
  <c r="AC129" i="30"/>
  <c r="AP129" i="30" s="1"/>
  <c r="AQ129" i="30" s="1"/>
  <c r="U129" i="30"/>
  <c r="AW128" i="30"/>
  <c r="AX128" i="30" s="1"/>
  <c r="AC128" i="30"/>
  <c r="AP128" i="30" s="1"/>
  <c r="AQ128" i="30" s="1"/>
  <c r="U128" i="30"/>
  <c r="AW127" i="30"/>
  <c r="AX127" i="30" s="1"/>
  <c r="AC127" i="30"/>
  <c r="U127" i="30"/>
  <c r="AW126" i="30"/>
  <c r="AX126" i="30" s="1"/>
  <c r="AC126" i="30"/>
  <c r="AP126" i="30" s="1"/>
  <c r="AQ126" i="30" s="1"/>
  <c r="U126" i="30"/>
  <c r="AW125" i="30"/>
  <c r="AX125" i="30" s="1"/>
  <c r="AC125" i="30"/>
  <c r="AP125" i="30" s="1"/>
  <c r="AQ125" i="30" s="1"/>
  <c r="U125" i="30"/>
  <c r="AW124" i="30"/>
  <c r="AX124" i="30" s="1"/>
  <c r="AC124" i="30"/>
  <c r="AP124" i="30" s="1"/>
  <c r="AQ124" i="30" s="1"/>
  <c r="U124" i="30"/>
  <c r="AW123" i="30"/>
  <c r="AX123" i="30" s="1"/>
  <c r="AC123" i="30"/>
  <c r="U123" i="30"/>
  <c r="AW122" i="30"/>
  <c r="AX122" i="30" s="1"/>
  <c r="AC122" i="30"/>
  <c r="AP122" i="30" s="1"/>
  <c r="AQ122" i="30" s="1"/>
  <c r="U122" i="30"/>
  <c r="AW121" i="30"/>
  <c r="AX121" i="30" s="1"/>
  <c r="AC121" i="30"/>
  <c r="AP121" i="30" s="1"/>
  <c r="AQ121" i="30" s="1"/>
  <c r="U121" i="30"/>
  <c r="AW120" i="30"/>
  <c r="AX120" i="30" s="1"/>
  <c r="AC120" i="30"/>
  <c r="AP120" i="30" s="1"/>
  <c r="AQ120" i="30" s="1"/>
  <c r="U120" i="30"/>
  <c r="AW119" i="30"/>
  <c r="AX119" i="30" s="1"/>
  <c r="AC119" i="30"/>
  <c r="AP119" i="30" s="1"/>
  <c r="AQ119" i="30" s="1"/>
  <c r="U119" i="30"/>
  <c r="AW118" i="30"/>
  <c r="AX118" i="30" s="1"/>
  <c r="AC118" i="30"/>
  <c r="U118" i="30"/>
  <c r="AW117" i="30"/>
  <c r="AX117" i="30" s="1"/>
  <c r="AC117" i="30"/>
  <c r="AP117" i="30" s="1"/>
  <c r="AQ117" i="30" s="1"/>
  <c r="U117" i="30"/>
  <c r="AW116" i="30"/>
  <c r="AX116" i="30" s="1"/>
  <c r="AC116" i="30"/>
  <c r="AP116" i="30" s="1"/>
  <c r="AQ116" i="30" s="1"/>
  <c r="U116" i="30"/>
  <c r="AW115" i="30"/>
  <c r="AX115" i="30" s="1"/>
  <c r="AC115" i="30"/>
  <c r="U115" i="30"/>
  <c r="AW114" i="30"/>
  <c r="AX114" i="30" s="1"/>
  <c r="AC114" i="30"/>
  <c r="AP114" i="30" s="1"/>
  <c r="AQ114" i="30" s="1"/>
  <c r="U114" i="30"/>
  <c r="AW113" i="30"/>
  <c r="AX113" i="30" s="1"/>
  <c r="AC113" i="30"/>
  <c r="AP113" i="30" s="1"/>
  <c r="AQ113" i="30" s="1"/>
  <c r="U113" i="30"/>
  <c r="AW112" i="30"/>
  <c r="AX112" i="30" s="1"/>
  <c r="AC112" i="30"/>
  <c r="AP112" i="30" s="1"/>
  <c r="AQ112" i="30" s="1"/>
  <c r="U112" i="30"/>
  <c r="AW111" i="30"/>
  <c r="AX111" i="30" s="1"/>
  <c r="AC111" i="30"/>
  <c r="U111" i="30"/>
  <c r="AW110" i="30"/>
  <c r="AX110" i="30" s="1"/>
  <c r="AC110" i="30"/>
  <c r="AP110" i="30" s="1"/>
  <c r="AQ110" i="30" s="1"/>
  <c r="U110" i="30"/>
  <c r="AW109" i="30"/>
  <c r="AX109" i="30" s="1"/>
  <c r="AC109" i="30"/>
  <c r="AP109" i="30" s="1"/>
  <c r="AQ109" i="30" s="1"/>
  <c r="U109" i="30"/>
  <c r="AW108" i="30"/>
  <c r="AX108" i="30" s="1"/>
  <c r="AC108" i="30"/>
  <c r="AP108" i="30" s="1"/>
  <c r="AQ108" i="30" s="1"/>
  <c r="U108" i="30"/>
  <c r="AW107" i="30"/>
  <c r="AX107" i="30" s="1"/>
  <c r="AC107" i="30"/>
  <c r="U107" i="30"/>
  <c r="AW106" i="30"/>
  <c r="AX106" i="30" s="1"/>
  <c r="AC106" i="30"/>
  <c r="AP106" i="30" s="1"/>
  <c r="AQ106" i="30" s="1"/>
  <c r="U106" i="30"/>
  <c r="AW105" i="30"/>
  <c r="AX105" i="30" s="1"/>
  <c r="AC105" i="30"/>
  <c r="AP105" i="30" s="1"/>
  <c r="AQ105" i="30" s="1"/>
  <c r="U105" i="30"/>
  <c r="AW104" i="30"/>
  <c r="AX104" i="30" s="1"/>
  <c r="AC104" i="30"/>
  <c r="AP104" i="30" s="1"/>
  <c r="AQ104" i="30" s="1"/>
  <c r="U104" i="30"/>
  <c r="AW103" i="30"/>
  <c r="AX103" i="30" s="1"/>
  <c r="AC103" i="30"/>
  <c r="AP103" i="30" s="1"/>
  <c r="AQ103" i="30" s="1"/>
  <c r="U103" i="30"/>
  <c r="AW102" i="30"/>
  <c r="AX102" i="30" s="1"/>
  <c r="AC102" i="30"/>
  <c r="AP102" i="30" s="1"/>
  <c r="AQ102" i="30" s="1"/>
  <c r="U102" i="30"/>
  <c r="AW101" i="30"/>
  <c r="AX101" i="30" s="1"/>
  <c r="AP101" i="30"/>
  <c r="AQ101" i="30" s="1"/>
  <c r="U101" i="30"/>
  <c r="AW100" i="30"/>
  <c r="AX100" i="30" s="1"/>
  <c r="AP100" i="30"/>
  <c r="AQ100" i="30" s="1"/>
  <c r="U100" i="30"/>
  <c r="X100" i="30" s="1"/>
  <c r="Y100" i="30" s="1"/>
  <c r="Z100" i="30" s="1"/>
  <c r="AW99" i="30"/>
  <c r="AX99" i="30" s="1"/>
  <c r="AP99" i="30"/>
  <c r="AQ99" i="30" s="1"/>
  <c r="U99" i="30"/>
  <c r="X99" i="30" s="1"/>
  <c r="Y99" i="30" s="1"/>
  <c r="Z99" i="30" s="1"/>
  <c r="AW98" i="30"/>
  <c r="AX98" i="30" s="1"/>
  <c r="AC98" i="30"/>
  <c r="AP98" i="30" s="1"/>
  <c r="AQ98" i="30" s="1"/>
  <c r="U98" i="30"/>
  <c r="AW97" i="30"/>
  <c r="AX97" i="30" s="1"/>
  <c r="AC97" i="30"/>
  <c r="U97" i="30"/>
  <c r="AW96" i="30"/>
  <c r="AX96" i="30" s="1"/>
  <c r="AC96" i="30"/>
  <c r="AP96" i="30" s="1"/>
  <c r="AQ96" i="30" s="1"/>
  <c r="U96" i="30"/>
  <c r="AW95" i="30"/>
  <c r="AX95" i="30" s="1"/>
  <c r="AC95" i="30"/>
  <c r="U95" i="30"/>
  <c r="AW94" i="30"/>
  <c r="AX94" i="30" s="1"/>
  <c r="AC94" i="30"/>
  <c r="AP94" i="30" s="1"/>
  <c r="AQ94" i="30" s="1"/>
  <c r="U94" i="30"/>
  <c r="AW93" i="30"/>
  <c r="AX93" i="30" s="1"/>
  <c r="AC93" i="30"/>
  <c r="AP93" i="30" s="1"/>
  <c r="AQ93" i="30" s="1"/>
  <c r="U93" i="30"/>
  <c r="AW92" i="30"/>
  <c r="AX92" i="30" s="1"/>
  <c r="AC92" i="30"/>
  <c r="AP92" i="30" s="1"/>
  <c r="AQ92" i="30" s="1"/>
  <c r="U92" i="30"/>
  <c r="AW91" i="30"/>
  <c r="AX91" i="30" s="1"/>
  <c r="AC91" i="30"/>
  <c r="U91" i="30"/>
  <c r="AW90" i="30"/>
  <c r="AX90" i="30" s="1"/>
  <c r="AC90" i="30"/>
  <c r="AP90" i="30" s="1"/>
  <c r="AQ90" i="30" s="1"/>
  <c r="U90" i="30"/>
  <c r="AW89" i="30"/>
  <c r="AX89" i="30" s="1"/>
  <c r="AC89" i="30"/>
  <c r="AP89" i="30" s="1"/>
  <c r="AQ89" i="30" s="1"/>
  <c r="U89" i="30"/>
  <c r="AW88" i="30"/>
  <c r="AX88" i="30" s="1"/>
  <c r="AC88" i="30"/>
  <c r="AP88" i="30" s="1"/>
  <c r="AQ88" i="30" s="1"/>
  <c r="U88" i="30"/>
  <c r="AW87" i="30"/>
  <c r="AX87" i="30" s="1"/>
  <c r="AC87" i="30"/>
  <c r="U87" i="30"/>
  <c r="AW86" i="30"/>
  <c r="AX86" i="30" s="1"/>
  <c r="AC86" i="30"/>
  <c r="U86" i="30"/>
  <c r="AW85" i="30"/>
  <c r="AX85" i="30" s="1"/>
  <c r="AC85" i="30"/>
  <c r="AP85" i="30" s="1"/>
  <c r="AQ85" i="30" s="1"/>
  <c r="U85" i="30"/>
  <c r="AW84" i="30"/>
  <c r="AX84" i="30" s="1"/>
  <c r="AC84" i="30"/>
  <c r="AP84" i="30" s="1"/>
  <c r="AQ84" i="30" s="1"/>
  <c r="U84" i="30"/>
  <c r="AW83" i="30"/>
  <c r="AX83" i="30" s="1"/>
  <c r="AC83" i="30"/>
  <c r="AP83" i="30" s="1"/>
  <c r="AQ83" i="30" s="1"/>
  <c r="U83" i="30"/>
  <c r="AW82" i="30"/>
  <c r="AX82" i="30" s="1"/>
  <c r="AC82" i="30"/>
  <c r="AP82" i="30" s="1"/>
  <c r="AQ82" i="30" s="1"/>
  <c r="U82" i="30"/>
  <c r="AW81" i="30"/>
  <c r="AX81" i="30" s="1"/>
  <c r="AC81" i="30"/>
  <c r="U81" i="30"/>
  <c r="AW80" i="30"/>
  <c r="AX80" i="30" s="1"/>
  <c r="AC80" i="30"/>
  <c r="U80" i="30"/>
  <c r="AW79" i="30"/>
  <c r="AX79" i="30" s="1"/>
  <c r="AC79" i="30"/>
  <c r="AP79" i="30" s="1"/>
  <c r="AQ79" i="30" s="1"/>
  <c r="U79" i="30"/>
  <c r="AW78" i="30"/>
  <c r="AX78" i="30" s="1"/>
  <c r="AC78" i="30"/>
  <c r="AP78" i="30" s="1"/>
  <c r="AQ78" i="30" s="1"/>
  <c r="U78" i="30"/>
  <c r="AW77" i="30"/>
  <c r="AX77" i="30" s="1"/>
  <c r="AC77" i="30"/>
  <c r="AP77" i="30" s="1"/>
  <c r="AQ77" i="30" s="1"/>
  <c r="U77" i="30"/>
  <c r="AW76" i="30"/>
  <c r="AX76" i="30" s="1"/>
  <c r="AC76" i="30"/>
  <c r="AP76" i="30" s="1"/>
  <c r="AQ76" i="30" s="1"/>
  <c r="U76" i="30"/>
  <c r="AW75" i="30"/>
  <c r="AX75" i="30" s="1"/>
  <c r="AC75" i="30"/>
  <c r="U75" i="30"/>
  <c r="AW74" i="30"/>
  <c r="AX74" i="30" s="1"/>
  <c r="AC74" i="30"/>
  <c r="U74" i="30"/>
  <c r="AW73" i="30"/>
  <c r="AX73" i="30" s="1"/>
  <c r="AC73" i="30"/>
  <c r="AP73" i="30" s="1"/>
  <c r="AQ73" i="30" s="1"/>
  <c r="U73" i="30"/>
  <c r="AW72" i="30"/>
  <c r="AX72" i="30" s="1"/>
  <c r="AC72" i="30"/>
  <c r="AP72" i="30" s="1"/>
  <c r="AQ72" i="30" s="1"/>
  <c r="U72" i="30"/>
  <c r="AW71" i="30"/>
  <c r="AX71" i="30" s="1"/>
  <c r="AC71" i="30"/>
  <c r="U71" i="30"/>
  <c r="AW70" i="30"/>
  <c r="AX70" i="30" s="1"/>
  <c r="AC70" i="30"/>
  <c r="U70" i="30"/>
  <c r="AW69" i="30"/>
  <c r="AX69" i="30" s="1"/>
  <c r="AC69" i="30"/>
  <c r="AP69" i="30" s="1"/>
  <c r="AQ69" i="30" s="1"/>
  <c r="U69" i="30"/>
  <c r="AW68" i="30"/>
  <c r="AX68" i="30" s="1"/>
  <c r="AC68" i="30"/>
  <c r="AP68" i="30" s="1"/>
  <c r="AQ68" i="30" s="1"/>
  <c r="U68" i="30"/>
  <c r="AW67" i="30"/>
  <c r="AX67" i="30" s="1"/>
  <c r="AC67" i="30"/>
  <c r="AP67" i="30" s="1"/>
  <c r="AQ67" i="30" s="1"/>
  <c r="U67" i="30"/>
  <c r="AW66" i="30"/>
  <c r="AX66" i="30" s="1"/>
  <c r="AC66" i="30"/>
  <c r="AP66" i="30" s="1"/>
  <c r="AQ66" i="30" s="1"/>
  <c r="U66" i="30"/>
  <c r="AW65" i="30"/>
  <c r="AX65" i="30" s="1"/>
  <c r="AC65" i="30"/>
  <c r="AP65" i="30" s="1"/>
  <c r="AQ65" i="30" s="1"/>
  <c r="U65" i="30"/>
  <c r="AW64" i="30"/>
  <c r="AX64" i="30" s="1"/>
  <c r="AC64" i="30"/>
  <c r="AP64" i="30" s="1"/>
  <c r="AQ64" i="30" s="1"/>
  <c r="U64" i="30"/>
  <c r="AW63" i="30"/>
  <c r="AX63" i="30" s="1"/>
  <c r="AC63" i="30"/>
  <c r="AP63" i="30" s="1"/>
  <c r="AQ63" i="30" s="1"/>
  <c r="U63" i="30"/>
  <c r="AW62" i="30"/>
  <c r="AX62" i="30" s="1"/>
  <c r="AC62" i="30"/>
  <c r="AP62" i="30" s="1"/>
  <c r="AQ62" i="30" s="1"/>
  <c r="U62" i="30"/>
  <c r="AW61" i="30"/>
  <c r="AX61" i="30" s="1"/>
  <c r="AC61" i="30"/>
  <c r="AP61" i="30" s="1"/>
  <c r="AQ61" i="30" s="1"/>
  <c r="U61" i="30"/>
  <c r="AW60" i="30"/>
  <c r="AX60" i="30" s="1"/>
  <c r="AC60" i="30"/>
  <c r="AP60" i="30" s="1"/>
  <c r="AQ60" i="30" s="1"/>
  <c r="U60" i="30"/>
  <c r="AW59" i="30"/>
  <c r="AX59" i="30" s="1"/>
  <c r="AC59" i="30"/>
  <c r="U59" i="30"/>
  <c r="AW58" i="30"/>
  <c r="AX58" i="30" s="1"/>
  <c r="AC58" i="30"/>
  <c r="AP58" i="30" s="1"/>
  <c r="AQ58" i="30" s="1"/>
  <c r="U58" i="30"/>
  <c r="AW57" i="30"/>
  <c r="AX57" i="30" s="1"/>
  <c r="AC57" i="30"/>
  <c r="AP57" i="30" s="1"/>
  <c r="AQ57" i="30" s="1"/>
  <c r="U57" i="30"/>
  <c r="AX56" i="30"/>
  <c r="AC56" i="30"/>
  <c r="AP56" i="30" s="1"/>
  <c r="AQ56" i="30" s="1"/>
  <c r="U56" i="30"/>
  <c r="AW55" i="30"/>
  <c r="AX55" i="30" s="1"/>
  <c r="AC55" i="30"/>
  <c r="AP55" i="30" s="1"/>
  <c r="AQ55" i="30" s="1"/>
  <c r="U55" i="30"/>
  <c r="AW54" i="30"/>
  <c r="AX54" i="30" s="1"/>
  <c r="AC54" i="30"/>
  <c r="AP54" i="30" s="1"/>
  <c r="AQ54" i="30" s="1"/>
  <c r="U54" i="30"/>
  <c r="AW53" i="30"/>
  <c r="AX53" i="30" s="1"/>
  <c r="AC53" i="30"/>
  <c r="AP53" i="30" s="1"/>
  <c r="AQ53" i="30" s="1"/>
  <c r="U53" i="30"/>
  <c r="AW52" i="30"/>
  <c r="AX52" i="30" s="1"/>
  <c r="AC52" i="30"/>
  <c r="AP52" i="30" s="1"/>
  <c r="AQ52" i="30" s="1"/>
  <c r="U52" i="30"/>
  <c r="AW51" i="30"/>
  <c r="AX51" i="30" s="1"/>
  <c r="AC51" i="30"/>
  <c r="AP51" i="30" s="1"/>
  <c r="AQ51" i="30" s="1"/>
  <c r="U51" i="30"/>
  <c r="AW50" i="30"/>
  <c r="AX50" i="30" s="1"/>
  <c r="AC50" i="30"/>
  <c r="AP50" i="30" s="1"/>
  <c r="AQ50" i="30" s="1"/>
  <c r="U50" i="30"/>
  <c r="AW49" i="30"/>
  <c r="AX49" i="30" s="1"/>
  <c r="AC49" i="30"/>
  <c r="AP49" i="30" s="1"/>
  <c r="AQ49" i="30" s="1"/>
  <c r="U49" i="30"/>
  <c r="AW48" i="30"/>
  <c r="AX48" i="30" s="1"/>
  <c r="AC48" i="30"/>
  <c r="U48" i="30"/>
  <c r="AW47" i="30"/>
  <c r="AX47" i="30" s="1"/>
  <c r="AC47" i="30"/>
  <c r="AP47" i="30" s="1"/>
  <c r="AQ47" i="30" s="1"/>
  <c r="U47" i="30"/>
  <c r="AW46" i="30"/>
  <c r="AX46" i="30" s="1"/>
  <c r="AC46" i="30"/>
  <c r="U46" i="30"/>
  <c r="AW45" i="30"/>
  <c r="AX45" i="30" s="1"/>
  <c r="AC45" i="30"/>
  <c r="AP45" i="30" s="1"/>
  <c r="AQ45" i="30" s="1"/>
  <c r="U45" i="30"/>
  <c r="AW44" i="30"/>
  <c r="AX44" i="30" s="1"/>
  <c r="AC44" i="30"/>
  <c r="AP44" i="30" s="1"/>
  <c r="AQ44" i="30" s="1"/>
  <c r="U44" i="30"/>
  <c r="AW43" i="30"/>
  <c r="AX43" i="30" s="1"/>
  <c r="AC43" i="30"/>
  <c r="U43" i="30"/>
  <c r="AW42" i="30"/>
  <c r="AX42" i="30" s="1"/>
  <c r="AC42" i="30"/>
  <c r="AP42" i="30" s="1"/>
  <c r="AQ42" i="30" s="1"/>
  <c r="U42" i="30"/>
  <c r="AW41" i="30"/>
  <c r="AX41" i="30" s="1"/>
  <c r="AC41" i="30"/>
  <c r="AP41" i="30" s="1"/>
  <c r="AQ41" i="30" s="1"/>
  <c r="U41" i="30"/>
  <c r="AW40" i="30"/>
  <c r="AX40" i="30" s="1"/>
  <c r="AC40" i="30"/>
  <c r="U40" i="30"/>
  <c r="A40" i="30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A76" i="30" s="1"/>
  <c r="A77" i="30" s="1"/>
  <c r="A78" i="30" s="1"/>
  <c r="A79" i="30" s="1"/>
  <c r="A80" i="30" s="1"/>
  <c r="A81" i="30" s="1"/>
  <c r="A82" i="30" s="1"/>
  <c r="A83" i="30" s="1"/>
  <c r="A84" i="30" s="1"/>
  <c r="A85" i="30" s="1"/>
  <c r="A86" i="30" s="1"/>
  <c r="A87" i="30" s="1"/>
  <c r="A88" i="30" s="1"/>
  <c r="A89" i="30" s="1"/>
  <c r="A90" i="30" s="1"/>
  <c r="A91" i="30" s="1"/>
  <c r="A92" i="30" s="1"/>
  <c r="A93" i="30" s="1"/>
  <c r="A94" i="30" s="1"/>
  <c r="A95" i="30" s="1"/>
  <c r="A96" i="30" s="1"/>
  <c r="A97" i="30" s="1"/>
  <c r="A98" i="30" s="1"/>
  <c r="A99" i="30" s="1"/>
  <c r="A100" i="30" s="1"/>
  <c r="A101" i="30" s="1"/>
  <c r="A102" i="30" s="1"/>
  <c r="A103" i="30" s="1"/>
  <c r="A104" i="30" s="1"/>
  <c r="A105" i="30" s="1"/>
  <c r="A106" i="30" s="1"/>
  <c r="A107" i="30" s="1"/>
  <c r="A108" i="30" s="1"/>
  <c r="A109" i="30" s="1"/>
  <c r="A110" i="30" s="1"/>
  <c r="A111" i="30" s="1"/>
  <c r="A112" i="30" s="1"/>
  <c r="A113" i="30" s="1"/>
  <c r="A114" i="30" s="1"/>
  <c r="A115" i="30" s="1"/>
  <c r="A116" i="30" s="1"/>
  <c r="A117" i="30" s="1"/>
  <c r="A118" i="30" s="1"/>
  <c r="A119" i="30" s="1"/>
  <c r="A120" i="30" s="1"/>
  <c r="A121" i="30" s="1"/>
  <c r="A122" i="30" s="1"/>
  <c r="A123" i="30" s="1"/>
  <c r="A124" i="30" s="1"/>
  <c r="A125" i="30" s="1"/>
  <c r="A126" i="30" s="1"/>
  <c r="A127" i="30" s="1"/>
  <c r="A128" i="30" s="1"/>
  <c r="A129" i="30" s="1"/>
  <c r="A130" i="30" s="1"/>
  <c r="A131" i="30" s="1"/>
  <c r="A132" i="30" s="1"/>
  <c r="A133" i="30" s="1"/>
  <c r="A134" i="30" s="1"/>
  <c r="A135" i="30" s="1"/>
  <c r="A136" i="30" s="1"/>
  <c r="A137" i="30" s="1"/>
  <c r="A138" i="30" s="1"/>
  <c r="A139" i="30" s="1"/>
  <c r="A140" i="30" s="1"/>
  <c r="A141" i="30" s="1"/>
  <c r="A142" i="30" s="1"/>
  <c r="A143" i="30" s="1"/>
  <c r="A144" i="30" s="1"/>
  <c r="A145" i="30" s="1"/>
  <c r="A146" i="30" s="1"/>
  <c r="A147" i="30" s="1"/>
  <c r="A148" i="30" s="1"/>
  <c r="A149" i="30" s="1"/>
  <c r="A150" i="30" s="1"/>
  <c r="A151" i="30" s="1"/>
  <c r="A152" i="30" s="1"/>
  <c r="A153" i="30" s="1"/>
  <c r="A154" i="30" s="1"/>
  <c r="A155" i="30" s="1"/>
  <c r="A156" i="30" s="1"/>
  <c r="A157" i="30" s="1"/>
  <c r="A158" i="30" s="1"/>
  <c r="A159" i="30" s="1"/>
  <c r="A160" i="30" s="1"/>
  <c r="A161" i="30" s="1"/>
  <c r="A162" i="30" s="1"/>
  <c r="A163" i="30" s="1"/>
  <c r="A164" i="30" s="1"/>
  <c r="A165" i="30" s="1"/>
  <c r="A166" i="30" s="1"/>
  <c r="A167" i="30" s="1"/>
  <c r="A168" i="30" s="1"/>
  <c r="A169" i="30" s="1"/>
  <c r="A170" i="30" s="1"/>
  <c r="A171" i="30" s="1"/>
  <c r="A172" i="30" s="1"/>
  <c r="A173" i="30" s="1"/>
  <c r="A174" i="30" s="1"/>
  <c r="A175" i="30" s="1"/>
  <c r="A176" i="30" s="1"/>
  <c r="A177" i="30" s="1"/>
  <c r="A178" i="30" s="1"/>
  <c r="A179" i="30" s="1"/>
  <c r="A180" i="30" s="1"/>
  <c r="A181" i="30" s="1"/>
  <c r="A182" i="30" s="1"/>
  <c r="A183" i="30" s="1"/>
  <c r="A184" i="30" s="1"/>
  <c r="A185" i="30" s="1"/>
  <c r="A186" i="30" s="1"/>
  <c r="A187" i="30" s="1"/>
  <c r="A188" i="30" s="1"/>
  <c r="A189" i="30" s="1"/>
  <c r="A190" i="30" s="1"/>
  <c r="A191" i="30" s="1"/>
  <c r="A192" i="30" s="1"/>
  <c r="A193" i="30" s="1"/>
  <c r="A194" i="30" s="1"/>
  <c r="A195" i="30" s="1"/>
  <c r="A196" i="30" s="1"/>
  <c r="A197" i="30" s="1"/>
  <c r="A198" i="30" s="1"/>
  <c r="A199" i="30" s="1"/>
  <c r="A200" i="30" s="1"/>
  <c r="A201" i="30" s="1"/>
  <c r="A202" i="30" s="1"/>
  <c r="A203" i="30" s="1"/>
  <c r="A204" i="30" s="1"/>
  <c r="A205" i="30" s="1"/>
  <c r="A206" i="30" s="1"/>
  <c r="A207" i="30" s="1"/>
  <c r="A208" i="30" s="1"/>
  <c r="A209" i="30" s="1"/>
  <c r="A210" i="30" s="1"/>
  <c r="A211" i="30" s="1"/>
  <c r="A212" i="30" s="1"/>
  <c r="A213" i="30" s="1"/>
  <c r="A214" i="30" s="1"/>
  <c r="A215" i="30" s="1"/>
  <c r="A216" i="30" s="1"/>
  <c r="A217" i="30" s="1"/>
  <c r="A218" i="30" s="1"/>
  <c r="A219" i="30" s="1"/>
  <c r="A220" i="30" s="1"/>
  <c r="A221" i="30" s="1"/>
  <c r="A222" i="30" s="1"/>
  <c r="A223" i="30" s="1"/>
  <c r="A224" i="30" s="1"/>
  <c r="A225" i="30" s="1"/>
  <c r="A226" i="30" s="1"/>
  <c r="A227" i="30" s="1"/>
  <c r="A228" i="30" s="1"/>
  <c r="A229" i="30" s="1"/>
  <c r="A230" i="30" s="1"/>
  <c r="A231" i="30" s="1"/>
  <c r="A232" i="30" s="1"/>
  <c r="A233" i="30" s="1"/>
  <c r="A234" i="30" s="1"/>
  <c r="A235" i="30" s="1"/>
  <c r="A236" i="30" s="1"/>
  <c r="A237" i="30" s="1"/>
  <c r="A238" i="30" s="1"/>
  <c r="A239" i="30" s="1"/>
  <c r="A240" i="30" s="1"/>
  <c r="A241" i="30" s="1"/>
  <c r="A242" i="30" s="1"/>
  <c r="A243" i="30" s="1"/>
  <c r="A244" i="30" s="1"/>
  <c r="A245" i="30" s="1"/>
  <c r="A246" i="30" s="1"/>
  <c r="A247" i="30" s="1"/>
  <c r="A248" i="30" s="1"/>
  <c r="A249" i="30" s="1"/>
  <c r="A250" i="30" s="1"/>
  <c r="A251" i="30" s="1"/>
  <c r="A252" i="30" s="1"/>
  <c r="A253" i="30" s="1"/>
  <c r="A254" i="30" s="1"/>
  <c r="AW39" i="30"/>
  <c r="AX39" i="30" s="1"/>
  <c r="AC39" i="30"/>
  <c r="U39" i="30"/>
  <c r="AO258" i="30"/>
  <c r="AN258" i="30"/>
  <c r="AM258" i="30"/>
  <c r="AL258" i="30"/>
  <c r="AK258" i="30"/>
  <c r="AJ258" i="30"/>
  <c r="AI258" i="30"/>
  <c r="AH258" i="30"/>
  <c r="AG258" i="30"/>
  <c r="AF258" i="30"/>
  <c r="AE258" i="30"/>
  <c r="AD258" i="30"/>
  <c r="T258" i="30"/>
  <c r="AW38" i="30"/>
  <c r="AX38" i="30" s="1"/>
  <c r="AC38" i="30"/>
  <c r="AP38" i="30" s="1"/>
  <c r="AQ38" i="30" s="1"/>
  <c r="U38" i="30"/>
  <c r="AW37" i="30"/>
  <c r="AX37" i="30" s="1"/>
  <c r="AC37" i="30"/>
  <c r="U37" i="30"/>
  <c r="AW36" i="30"/>
  <c r="AX36" i="30" s="1"/>
  <c r="AC36" i="30"/>
  <c r="U36" i="30"/>
  <c r="AW35" i="30"/>
  <c r="AX35" i="30" s="1"/>
  <c r="AC35" i="30"/>
  <c r="AP35" i="30" s="1"/>
  <c r="AQ35" i="30" s="1"/>
  <c r="U35" i="30"/>
  <c r="AW34" i="30"/>
  <c r="AX34" i="30" s="1"/>
  <c r="AC34" i="30"/>
  <c r="U34" i="30"/>
  <c r="AW33" i="30"/>
  <c r="AX33" i="30" s="1"/>
  <c r="AC33" i="30"/>
  <c r="AP33" i="30" s="1"/>
  <c r="AQ33" i="30" s="1"/>
  <c r="U33" i="30"/>
  <c r="AW32" i="30"/>
  <c r="AX32" i="30" s="1"/>
  <c r="AC32" i="30"/>
  <c r="AP32" i="30" s="1"/>
  <c r="AQ32" i="30" s="1"/>
  <c r="U32" i="30"/>
  <c r="AW31" i="30"/>
  <c r="AX31" i="30" s="1"/>
  <c r="AC31" i="30"/>
  <c r="AP31" i="30" s="1"/>
  <c r="AQ31" i="30" s="1"/>
  <c r="U31" i="30"/>
  <c r="AW30" i="30"/>
  <c r="AX30" i="30" s="1"/>
  <c r="AC30" i="30"/>
  <c r="AP30" i="30" s="1"/>
  <c r="AQ30" i="30" s="1"/>
  <c r="U30" i="30"/>
  <c r="AW29" i="30"/>
  <c r="AX29" i="30" s="1"/>
  <c r="AC29" i="30"/>
  <c r="AP29" i="30" s="1"/>
  <c r="AQ29" i="30" s="1"/>
  <c r="U29" i="30"/>
  <c r="X29" i="30" s="1"/>
  <c r="Y29" i="30" s="1"/>
  <c r="Z29" i="30" s="1"/>
  <c r="AW28" i="30"/>
  <c r="AX28" i="30" s="1"/>
  <c r="AC28" i="30"/>
  <c r="U28" i="30"/>
  <c r="AW27" i="30"/>
  <c r="AX27" i="30" s="1"/>
  <c r="AC27" i="30"/>
  <c r="U27" i="30"/>
  <c r="AW26" i="30"/>
  <c r="AX26" i="30" s="1"/>
  <c r="AC26" i="30"/>
  <c r="AP26" i="30" s="1"/>
  <c r="AQ26" i="30" s="1"/>
  <c r="U26" i="30"/>
  <c r="AP24" i="30"/>
  <c r="AQ24" i="30" s="1"/>
  <c r="AC24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R18" i="30"/>
  <c r="Q18" i="30"/>
  <c r="P18" i="30"/>
  <c r="O18" i="30"/>
  <c r="N18" i="30"/>
  <c r="M18" i="30"/>
  <c r="L18" i="30"/>
  <c r="K18" i="30"/>
  <c r="J18" i="30"/>
  <c r="I18" i="30"/>
  <c r="H18" i="30"/>
  <c r="R14" i="30"/>
  <c r="Q14" i="30"/>
  <c r="P14" i="30"/>
  <c r="O14" i="30"/>
  <c r="N14" i="30"/>
  <c r="M14" i="30"/>
  <c r="L14" i="30"/>
  <c r="K14" i="30"/>
  <c r="J14" i="30"/>
  <c r="I14" i="30"/>
  <c r="H14" i="30"/>
  <c r="G14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R11" i="30"/>
  <c r="Q11" i="30"/>
  <c r="P11" i="30"/>
  <c r="O11" i="30"/>
  <c r="N11" i="30"/>
  <c r="M11" i="30"/>
  <c r="L11" i="30"/>
  <c r="K11" i="30"/>
  <c r="J11" i="30"/>
  <c r="I11" i="30"/>
  <c r="H11" i="30"/>
  <c r="G11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R9" i="30"/>
  <c r="Q9" i="30"/>
  <c r="P9" i="30"/>
  <c r="O9" i="30"/>
  <c r="N9" i="30"/>
  <c r="M9" i="30"/>
  <c r="L9" i="30"/>
  <c r="K9" i="30"/>
  <c r="J9" i="30"/>
  <c r="I9" i="30"/>
  <c r="H9" i="30"/>
  <c r="G9" i="30"/>
  <c r="R8" i="30"/>
  <c r="Q8" i="30"/>
  <c r="P8" i="30"/>
  <c r="O8" i="30"/>
  <c r="N8" i="30"/>
  <c r="M8" i="30"/>
  <c r="L8" i="30"/>
  <c r="K8" i="30"/>
  <c r="J8" i="30"/>
  <c r="I8" i="30"/>
  <c r="H8" i="30"/>
  <c r="G8" i="30"/>
  <c r="R7" i="30"/>
  <c r="Q7" i="30"/>
  <c r="P7" i="30"/>
  <c r="O7" i="30"/>
  <c r="N7" i="30"/>
  <c r="M7" i="30"/>
  <c r="L7" i="30"/>
  <c r="K7" i="30"/>
  <c r="J7" i="30"/>
  <c r="I7" i="30"/>
  <c r="H7" i="30"/>
  <c r="G7" i="30"/>
  <c r="R6" i="30"/>
  <c r="Q6" i="30"/>
  <c r="P6" i="30"/>
  <c r="O6" i="30"/>
  <c r="N6" i="30"/>
  <c r="M6" i="30"/>
  <c r="L6" i="30"/>
  <c r="K6" i="30"/>
  <c r="J6" i="30"/>
  <c r="I6" i="30"/>
  <c r="H6" i="30"/>
  <c r="G6" i="30"/>
  <c r="AC250" i="2"/>
  <c r="AC249" i="2"/>
  <c r="AC248" i="2"/>
  <c r="AC247" i="2"/>
  <c r="AC246" i="2"/>
  <c r="AC245" i="2"/>
  <c r="AC244" i="2"/>
  <c r="AC218" i="2"/>
  <c r="AC217" i="2"/>
  <c r="AC216" i="2"/>
  <c r="AC215" i="2"/>
  <c r="AC214" i="2"/>
  <c r="AC213" i="2"/>
  <c r="AC212" i="2"/>
  <c r="AC211" i="2"/>
  <c r="AC210" i="2"/>
  <c r="AC209" i="2"/>
  <c r="AC208" i="2"/>
  <c r="AC207" i="2"/>
  <c r="AC206" i="2"/>
  <c r="AC205" i="2"/>
  <c r="AC204" i="2"/>
  <c r="AC203" i="2"/>
  <c r="AC202" i="2"/>
  <c r="AC201" i="2"/>
  <c r="AC200" i="2"/>
  <c r="AC199" i="2"/>
  <c r="AC198" i="2"/>
  <c r="AC101" i="2"/>
  <c r="AC100" i="2"/>
  <c r="AC99" i="2"/>
  <c r="AC63" i="2"/>
  <c r="AC62" i="2"/>
  <c r="AC38" i="2"/>
  <c r="AC37" i="2"/>
  <c r="AC36" i="2"/>
  <c r="AC35" i="2"/>
  <c r="AC34" i="2"/>
  <c r="AC33" i="2"/>
  <c r="AC32" i="2"/>
  <c r="AC31" i="2"/>
  <c r="AC30" i="2"/>
  <c r="AC29" i="2"/>
  <c r="AC28" i="2"/>
  <c r="AC27" i="2"/>
  <c r="AC26" i="2"/>
  <c r="X146" i="30" l="1"/>
  <c r="Y146" i="30" s="1"/>
  <c r="Z146" i="30" s="1"/>
  <c r="X178" i="30"/>
  <c r="Y178" i="30" s="1"/>
  <c r="Z178" i="30" s="1"/>
  <c r="X37" i="30"/>
  <c r="Y37" i="30" s="1"/>
  <c r="Z37" i="30" s="1"/>
  <c r="AP37" i="30"/>
  <c r="AQ37" i="30" s="1"/>
  <c r="X206" i="30"/>
  <c r="Y206" i="30" s="1"/>
  <c r="Z206" i="30" s="1"/>
  <c r="X136" i="30"/>
  <c r="Y136" i="30" s="1"/>
  <c r="Z136" i="30" s="1"/>
  <c r="X165" i="30"/>
  <c r="Y165" i="30" s="1"/>
  <c r="Z165" i="30" s="1"/>
  <c r="X43" i="30"/>
  <c r="Y43" i="30" s="1"/>
  <c r="Z43" i="30" s="1"/>
  <c r="X41" i="30"/>
  <c r="Y41" i="30" s="1"/>
  <c r="Z41" i="30" s="1"/>
  <c r="X70" i="30"/>
  <c r="Y70" i="30" s="1"/>
  <c r="Z70" i="30" s="1"/>
  <c r="X86" i="30"/>
  <c r="Y86" i="30" s="1"/>
  <c r="Z86" i="30" s="1"/>
  <c r="X89" i="30"/>
  <c r="Y89" i="30" s="1"/>
  <c r="Z89" i="30" s="1"/>
  <c r="X52" i="30"/>
  <c r="Y52" i="30" s="1"/>
  <c r="Z52" i="30" s="1"/>
  <c r="X137" i="30"/>
  <c r="Y137" i="30" s="1"/>
  <c r="Z137" i="30" s="1"/>
  <c r="X182" i="30"/>
  <c r="Y182" i="30" s="1"/>
  <c r="Z182" i="30" s="1"/>
  <c r="X159" i="30"/>
  <c r="Y159" i="30" s="1"/>
  <c r="Z159" i="30" s="1"/>
  <c r="X125" i="30"/>
  <c r="Y125" i="30" s="1"/>
  <c r="Z125" i="30" s="1"/>
  <c r="X169" i="30"/>
  <c r="Y169" i="30" s="1"/>
  <c r="Z169" i="30" s="1"/>
  <c r="H21" i="30"/>
  <c r="P21" i="30"/>
  <c r="X162" i="30"/>
  <c r="Y162" i="30" s="1"/>
  <c r="Z162" i="30" s="1"/>
  <c r="X188" i="30"/>
  <c r="Y188" i="30" s="1"/>
  <c r="Z188" i="30" s="1"/>
  <c r="X26" i="30"/>
  <c r="Y26" i="30" s="1"/>
  <c r="Z26" i="30" s="1"/>
  <c r="X58" i="30"/>
  <c r="Y58" i="30" s="1"/>
  <c r="Z58" i="30" s="1"/>
  <c r="X66" i="30"/>
  <c r="Y66" i="30" s="1"/>
  <c r="Z66" i="30" s="1"/>
  <c r="X97" i="30"/>
  <c r="Y97" i="30" s="1"/>
  <c r="X113" i="30"/>
  <c r="Y113" i="30" s="1"/>
  <c r="Z113" i="30" s="1"/>
  <c r="X121" i="30"/>
  <c r="Y121" i="30" s="1"/>
  <c r="Z121" i="30" s="1"/>
  <c r="X201" i="30"/>
  <c r="Y201" i="30" s="1"/>
  <c r="Z201" i="30" s="1"/>
  <c r="N15" i="30"/>
  <c r="X72" i="30"/>
  <c r="Y72" i="30" s="1"/>
  <c r="Z72" i="30" s="1"/>
  <c r="X93" i="30"/>
  <c r="Y93" i="30" s="1"/>
  <c r="Z93" i="30" s="1"/>
  <c r="AP137" i="30"/>
  <c r="AQ137" i="30" s="1"/>
  <c r="X140" i="30"/>
  <c r="Y140" i="30" s="1"/>
  <c r="Z140" i="30" s="1"/>
  <c r="X220" i="30"/>
  <c r="Y220" i="30" s="1"/>
  <c r="Z220" i="30" s="1"/>
  <c r="X215" i="30"/>
  <c r="Y215" i="30" s="1"/>
  <c r="Z215" i="30" s="1"/>
  <c r="X218" i="30"/>
  <c r="Y218" i="30" s="1"/>
  <c r="Z218" i="30" s="1"/>
  <c r="X36" i="30"/>
  <c r="Y36" i="30" s="1"/>
  <c r="Z36" i="30" s="1"/>
  <c r="X63" i="30"/>
  <c r="Y63" i="30" s="1"/>
  <c r="Z63" i="30" s="1"/>
  <c r="X68" i="30"/>
  <c r="Y68" i="30" s="1"/>
  <c r="Z68" i="30" s="1"/>
  <c r="X76" i="30"/>
  <c r="Y76" i="30" s="1"/>
  <c r="Z76" i="30" s="1"/>
  <c r="X81" i="30"/>
  <c r="Y81" i="30" s="1"/>
  <c r="Z81" i="30" s="1"/>
  <c r="X84" i="30"/>
  <c r="Y84" i="30" s="1"/>
  <c r="Z84" i="30" s="1"/>
  <c r="X94" i="30"/>
  <c r="Y94" i="30" s="1"/>
  <c r="Z94" i="30" s="1"/>
  <c r="X149" i="30"/>
  <c r="Y149" i="30" s="1"/>
  <c r="Z149" i="30" s="1"/>
  <c r="X174" i="30"/>
  <c r="Y174" i="30" s="1"/>
  <c r="Z174" i="30" s="1"/>
  <c r="X181" i="30"/>
  <c r="Y181" i="30" s="1"/>
  <c r="Z181" i="30" s="1"/>
  <c r="X186" i="30"/>
  <c r="Y186" i="30" s="1"/>
  <c r="Z186" i="30" s="1"/>
  <c r="X198" i="30"/>
  <c r="Y198" i="30" s="1"/>
  <c r="Z198" i="30" s="1"/>
  <c r="X211" i="30"/>
  <c r="Y211" i="30" s="1"/>
  <c r="Z211" i="30" s="1"/>
  <c r="X226" i="30"/>
  <c r="Y226" i="30" s="1"/>
  <c r="Z226" i="30" s="1"/>
  <c r="X61" i="30"/>
  <c r="Y61" i="30" s="1"/>
  <c r="Z61" i="30" s="1"/>
  <c r="X82" i="30"/>
  <c r="Y82" i="30" s="1"/>
  <c r="Z82" i="30" s="1"/>
  <c r="X102" i="30"/>
  <c r="Y102" i="30" s="1"/>
  <c r="Z102" i="30" s="1"/>
  <c r="X194" i="30"/>
  <c r="Y194" i="30" s="1"/>
  <c r="Z194" i="30" s="1"/>
  <c r="X204" i="30"/>
  <c r="Y204" i="30" s="1"/>
  <c r="Z204" i="30" s="1"/>
  <c r="X234" i="30"/>
  <c r="Y234" i="30" s="1"/>
  <c r="Z234" i="30" s="1"/>
  <c r="X246" i="30"/>
  <c r="Y246" i="30" s="1"/>
  <c r="Z246" i="30" s="1"/>
  <c r="X30" i="30"/>
  <c r="Y30" i="30" s="1"/>
  <c r="Z30" i="30" s="1"/>
  <c r="X150" i="30"/>
  <c r="Y150" i="30" s="1"/>
  <c r="Z150" i="30" s="1"/>
  <c r="X118" i="30"/>
  <c r="Y118" i="30" s="1"/>
  <c r="Z118" i="30" s="1"/>
  <c r="X130" i="30"/>
  <c r="Y130" i="30" s="1"/>
  <c r="Z130" i="30" s="1"/>
  <c r="AP182" i="30"/>
  <c r="AQ182" i="30" s="1"/>
  <c r="X195" i="30"/>
  <c r="Y195" i="30" s="1"/>
  <c r="Z195" i="30" s="1"/>
  <c r="X57" i="30"/>
  <c r="Y57" i="30" s="1"/>
  <c r="Z57" i="30" s="1"/>
  <c r="AP118" i="30"/>
  <c r="AQ118" i="30" s="1"/>
  <c r="X133" i="30"/>
  <c r="Y133" i="30" s="1"/>
  <c r="Z133" i="30" s="1"/>
  <c r="X176" i="30"/>
  <c r="Y176" i="30" s="1"/>
  <c r="Z176" i="30" s="1"/>
  <c r="X245" i="30"/>
  <c r="Y245" i="30" s="1"/>
  <c r="Z245" i="30" s="1"/>
  <c r="X39" i="30"/>
  <c r="Y39" i="30" s="1"/>
  <c r="Z39" i="30" s="1"/>
  <c r="X48" i="30"/>
  <c r="Y48" i="30" s="1"/>
  <c r="Z48" i="30" s="1"/>
  <c r="X80" i="30"/>
  <c r="Y80" i="30" s="1"/>
  <c r="Z80" i="30" s="1"/>
  <c r="X91" i="30"/>
  <c r="Y91" i="30" s="1"/>
  <c r="Z91" i="30" s="1"/>
  <c r="X134" i="30"/>
  <c r="Y134" i="30" s="1"/>
  <c r="Z134" i="30" s="1"/>
  <c r="X152" i="30"/>
  <c r="Y152" i="30" s="1"/>
  <c r="Z152" i="30" s="1"/>
  <c r="X160" i="30"/>
  <c r="Y160" i="30" s="1"/>
  <c r="Z160" i="30" s="1"/>
  <c r="AP188" i="30"/>
  <c r="AQ188" i="30" s="1"/>
  <c r="AP201" i="30"/>
  <c r="AQ201" i="30" s="1"/>
  <c r="X217" i="30"/>
  <c r="Y217" i="30" s="1"/>
  <c r="Z217" i="30" s="1"/>
  <c r="AP220" i="30"/>
  <c r="AQ220" i="30" s="1"/>
  <c r="X224" i="30"/>
  <c r="Y224" i="30" s="1"/>
  <c r="Z224" i="30" s="1"/>
  <c r="X44" i="30"/>
  <c r="Y44" i="30" s="1"/>
  <c r="Z44" i="30" s="1"/>
  <c r="X64" i="30"/>
  <c r="Y64" i="30" s="1"/>
  <c r="Z64" i="30" s="1"/>
  <c r="X98" i="30"/>
  <c r="Y98" i="30" s="1"/>
  <c r="Z98" i="30" s="1"/>
  <c r="X108" i="30"/>
  <c r="Y108" i="30" s="1"/>
  <c r="Z108" i="30" s="1"/>
  <c r="X110" i="30"/>
  <c r="Y110" i="30" s="1"/>
  <c r="Z110" i="30" s="1"/>
  <c r="X128" i="30"/>
  <c r="Y128" i="30" s="1"/>
  <c r="Z128" i="30" s="1"/>
  <c r="X143" i="30"/>
  <c r="Y143" i="30" s="1"/>
  <c r="Z143" i="30" s="1"/>
  <c r="AP152" i="30"/>
  <c r="AQ152" i="30" s="1"/>
  <c r="X163" i="30"/>
  <c r="Y163" i="30" s="1"/>
  <c r="Z163" i="30" s="1"/>
  <c r="X172" i="30"/>
  <c r="Y172" i="30" s="1"/>
  <c r="Z172" i="30" s="1"/>
  <c r="X213" i="30"/>
  <c r="Y213" i="30" s="1"/>
  <c r="Z213" i="30" s="1"/>
  <c r="AP217" i="30"/>
  <c r="AQ217" i="30" s="1"/>
  <c r="X227" i="30"/>
  <c r="Y227" i="30" s="1"/>
  <c r="Z227" i="30" s="1"/>
  <c r="X239" i="30"/>
  <c r="Y239" i="30" s="1"/>
  <c r="Z239" i="30" s="1"/>
  <c r="X241" i="30"/>
  <c r="Y241" i="30" s="1"/>
  <c r="Z241" i="30" s="1"/>
  <c r="X49" i="30"/>
  <c r="Y49" i="30" s="1"/>
  <c r="Z49" i="30" s="1"/>
  <c r="X69" i="30"/>
  <c r="Y69" i="30" s="1"/>
  <c r="Z69" i="30" s="1"/>
  <c r="X92" i="30"/>
  <c r="Y92" i="30" s="1"/>
  <c r="Z92" i="30" s="1"/>
  <c r="X126" i="30"/>
  <c r="Y126" i="30" s="1"/>
  <c r="Z126" i="30" s="1"/>
  <c r="X166" i="30"/>
  <c r="Y166" i="30" s="1"/>
  <c r="Z166" i="30" s="1"/>
  <c r="AP172" i="30"/>
  <c r="AQ172" i="30" s="1"/>
  <c r="X180" i="30"/>
  <c r="Y180" i="30" s="1"/>
  <c r="Z180" i="30" s="1"/>
  <c r="X231" i="30"/>
  <c r="Y231" i="30" s="1"/>
  <c r="Z231" i="30" s="1"/>
  <c r="M21" i="30"/>
  <c r="X31" i="30"/>
  <c r="Y31" i="30" s="1"/>
  <c r="Z31" i="30" s="1"/>
  <c r="X40" i="30"/>
  <c r="Y40" i="30" s="1"/>
  <c r="Z40" i="30" s="1"/>
  <c r="X47" i="30"/>
  <c r="Y47" i="30" s="1"/>
  <c r="Z47" i="30" s="1"/>
  <c r="X65" i="30"/>
  <c r="Y65" i="30" s="1"/>
  <c r="Z65" i="30" s="1"/>
  <c r="X79" i="30"/>
  <c r="Y79" i="30" s="1"/>
  <c r="Z79" i="30" s="1"/>
  <c r="AP81" i="30"/>
  <c r="AQ81" i="30" s="1"/>
  <c r="X104" i="30"/>
  <c r="Y104" i="30" s="1"/>
  <c r="Z104" i="30" s="1"/>
  <c r="X129" i="30"/>
  <c r="Y129" i="30" s="1"/>
  <c r="Z129" i="30" s="1"/>
  <c r="AP204" i="30"/>
  <c r="AQ204" i="30" s="1"/>
  <c r="X238" i="30"/>
  <c r="Y238" i="30" s="1"/>
  <c r="Z238" i="30" s="1"/>
  <c r="X249" i="30"/>
  <c r="Y249" i="30" s="1"/>
  <c r="Z249" i="30" s="1"/>
  <c r="Q15" i="30"/>
  <c r="X50" i="30"/>
  <c r="Y50" i="30" s="1"/>
  <c r="Z50" i="30" s="1"/>
  <c r="X55" i="30"/>
  <c r="Y55" i="30" s="1"/>
  <c r="Z55" i="30" s="1"/>
  <c r="X77" i="30"/>
  <c r="Y77" i="30" s="1"/>
  <c r="Z77" i="30" s="1"/>
  <c r="X109" i="30"/>
  <c r="Y109" i="30" s="1"/>
  <c r="Z109" i="30" s="1"/>
  <c r="X116" i="30"/>
  <c r="Y116" i="30" s="1"/>
  <c r="Z116" i="30" s="1"/>
  <c r="X185" i="30"/>
  <c r="Y185" i="30" s="1"/>
  <c r="Z185" i="30" s="1"/>
  <c r="AP198" i="30"/>
  <c r="AQ198" i="30" s="1"/>
  <c r="X192" i="30"/>
  <c r="Y192" i="30" s="1"/>
  <c r="Z192" i="30" s="1"/>
  <c r="X207" i="30"/>
  <c r="Y207" i="30" s="1"/>
  <c r="Z207" i="30" s="1"/>
  <c r="X230" i="30"/>
  <c r="Y230" i="30" s="1"/>
  <c r="Z230" i="30" s="1"/>
  <c r="X34" i="30"/>
  <c r="Y34" i="30" s="1"/>
  <c r="Z34" i="30" s="1"/>
  <c r="AP43" i="30"/>
  <c r="AQ43" i="30" s="1"/>
  <c r="X73" i="30"/>
  <c r="Y73" i="30" s="1"/>
  <c r="Z73" i="30" s="1"/>
  <c r="X75" i="30"/>
  <c r="Y75" i="30" s="1"/>
  <c r="Z75" i="30" s="1"/>
  <c r="X107" i="30"/>
  <c r="Y107" i="30" s="1"/>
  <c r="Z107" i="30" s="1"/>
  <c r="X167" i="30"/>
  <c r="Y167" i="30" s="1"/>
  <c r="Z167" i="30" s="1"/>
  <c r="X250" i="30"/>
  <c r="Y250" i="30" s="1"/>
  <c r="Z250" i="30" s="1"/>
  <c r="N21" i="30"/>
  <c r="R15" i="30"/>
  <c r="X85" i="30"/>
  <c r="Y85" i="30" s="1"/>
  <c r="Z85" i="30" s="1"/>
  <c r="X105" i="30"/>
  <c r="Y105" i="30" s="1"/>
  <c r="Z105" i="30" s="1"/>
  <c r="X117" i="30"/>
  <c r="Y117" i="30" s="1"/>
  <c r="Z117" i="30" s="1"/>
  <c r="X151" i="30"/>
  <c r="Y151" i="30" s="1"/>
  <c r="Z151" i="30" s="1"/>
  <c r="X177" i="30"/>
  <c r="Y177" i="30" s="1"/>
  <c r="Z177" i="30" s="1"/>
  <c r="X209" i="30"/>
  <c r="Y209" i="30" s="1"/>
  <c r="Z209" i="30" s="1"/>
  <c r="X240" i="30"/>
  <c r="Y240" i="30" s="1"/>
  <c r="Z240" i="30" s="1"/>
  <c r="AP241" i="30"/>
  <c r="AQ241" i="30" s="1"/>
  <c r="X243" i="30"/>
  <c r="Y243" i="30" s="1"/>
  <c r="Z243" i="30" s="1"/>
  <c r="AP246" i="30"/>
  <c r="AQ246" i="30" s="1"/>
  <c r="AP249" i="30"/>
  <c r="AQ249" i="30" s="1"/>
  <c r="AP36" i="30"/>
  <c r="AQ36" i="30" s="1"/>
  <c r="X27" i="30"/>
  <c r="Y27" i="30" s="1"/>
  <c r="Z27" i="30" s="1"/>
  <c r="AP39" i="30"/>
  <c r="AQ39" i="30" s="1"/>
  <c r="AP70" i="30"/>
  <c r="AQ70" i="30" s="1"/>
  <c r="AP80" i="30"/>
  <c r="AQ80" i="30" s="1"/>
  <c r="AP86" i="30"/>
  <c r="AQ86" i="30" s="1"/>
  <c r="AP91" i="30"/>
  <c r="AQ91" i="30" s="1"/>
  <c r="AP107" i="30"/>
  <c r="AQ107" i="30" s="1"/>
  <c r="X114" i="30"/>
  <c r="Y114" i="30" s="1"/>
  <c r="Z114" i="30" s="1"/>
  <c r="X132" i="30"/>
  <c r="Y132" i="30" s="1"/>
  <c r="Z132" i="30" s="1"/>
  <c r="AP134" i="30"/>
  <c r="AQ134" i="30" s="1"/>
  <c r="X141" i="30"/>
  <c r="Y141" i="30" s="1"/>
  <c r="Z141" i="30" s="1"/>
  <c r="AP163" i="30"/>
  <c r="AQ163" i="30" s="1"/>
  <c r="X170" i="30"/>
  <c r="Y170" i="30" s="1"/>
  <c r="Z170" i="30" s="1"/>
  <c r="X184" i="30"/>
  <c r="Y184" i="30" s="1"/>
  <c r="Z184" i="30" s="1"/>
  <c r="AP185" i="30"/>
  <c r="AQ185" i="30" s="1"/>
  <c r="X187" i="30"/>
  <c r="Y187" i="30" s="1"/>
  <c r="Z187" i="30" s="1"/>
  <c r="X189" i="30"/>
  <c r="Y189" i="30" s="1"/>
  <c r="Z189" i="30" s="1"/>
  <c r="AP192" i="30"/>
  <c r="AQ192" i="30" s="1"/>
  <c r="X197" i="30"/>
  <c r="Y197" i="30" s="1"/>
  <c r="Z197" i="30" s="1"/>
  <c r="X200" i="30"/>
  <c r="Y200" i="30" s="1"/>
  <c r="Z200" i="30" s="1"/>
  <c r="X205" i="30"/>
  <c r="Y205" i="30" s="1"/>
  <c r="Z205" i="30" s="1"/>
  <c r="X221" i="30"/>
  <c r="Y221" i="30" s="1"/>
  <c r="Z221" i="30" s="1"/>
  <c r="AP224" i="30"/>
  <c r="AQ224" i="30" s="1"/>
  <c r="AP48" i="30"/>
  <c r="AQ48" i="30" s="1"/>
  <c r="M15" i="30"/>
  <c r="X35" i="30"/>
  <c r="Y35" i="30" s="1"/>
  <c r="Z35" i="30" s="1"/>
  <c r="X38" i="30"/>
  <c r="Y38" i="30" s="1"/>
  <c r="Z38" i="30" s="1"/>
  <c r="X90" i="30"/>
  <c r="Y90" i="30" s="1"/>
  <c r="Z90" i="30" s="1"/>
  <c r="X153" i="30"/>
  <c r="Y153" i="30" s="1"/>
  <c r="Z153" i="30" s="1"/>
  <c r="X158" i="30"/>
  <c r="Y158" i="30" s="1"/>
  <c r="Z158" i="30" s="1"/>
  <c r="X161" i="30"/>
  <c r="Y161" i="30" s="1"/>
  <c r="Z161" i="30" s="1"/>
  <c r="AP162" i="30"/>
  <c r="AQ162" i="30" s="1"/>
  <c r="X191" i="30"/>
  <c r="Y191" i="30" s="1"/>
  <c r="Z191" i="30" s="1"/>
  <c r="X202" i="30"/>
  <c r="Y202" i="30" s="1"/>
  <c r="Z202" i="30" s="1"/>
  <c r="X229" i="30"/>
  <c r="Y229" i="30" s="1"/>
  <c r="Z229" i="30" s="1"/>
  <c r="X236" i="30"/>
  <c r="Y236" i="30" s="1"/>
  <c r="Z236" i="30" s="1"/>
  <c r="AP40" i="30"/>
  <c r="AQ40" i="30" s="1"/>
  <c r="J21" i="30"/>
  <c r="R21" i="30"/>
  <c r="X199" i="30"/>
  <c r="Y199" i="30" s="1"/>
  <c r="Z199" i="30" s="1"/>
  <c r="X247" i="30"/>
  <c r="Y247" i="30" s="1"/>
  <c r="Z247" i="30" s="1"/>
  <c r="O15" i="30"/>
  <c r="K21" i="30"/>
  <c r="X46" i="30"/>
  <c r="Y46" i="30" s="1"/>
  <c r="Z46" i="30" s="1"/>
  <c r="X74" i="30"/>
  <c r="Y74" i="30" s="1"/>
  <c r="Z74" i="30" s="1"/>
  <c r="AP97" i="30"/>
  <c r="AQ97" i="30" s="1"/>
  <c r="X123" i="30"/>
  <c r="Y123" i="30" s="1"/>
  <c r="Z123" i="30" s="1"/>
  <c r="AP130" i="30"/>
  <c r="AQ130" i="30" s="1"/>
  <c r="X145" i="30"/>
  <c r="Y145" i="30" s="1"/>
  <c r="Z145" i="30" s="1"/>
  <c r="X155" i="30"/>
  <c r="Y155" i="30" s="1"/>
  <c r="Z155" i="30" s="1"/>
  <c r="X164" i="30"/>
  <c r="Y164" i="30" s="1"/>
  <c r="Z164" i="30" s="1"/>
  <c r="X190" i="30"/>
  <c r="Y190" i="30" s="1"/>
  <c r="Z190" i="30" s="1"/>
  <c r="AP199" i="30"/>
  <c r="AQ199" i="30" s="1"/>
  <c r="X208" i="30"/>
  <c r="Y208" i="30" s="1"/>
  <c r="Z208" i="30" s="1"/>
  <c r="X222" i="30"/>
  <c r="Y222" i="30" s="1"/>
  <c r="Z222" i="30" s="1"/>
  <c r="X235" i="30"/>
  <c r="Y235" i="30" s="1"/>
  <c r="Z235" i="30" s="1"/>
  <c r="X242" i="30"/>
  <c r="Y242" i="30" s="1"/>
  <c r="Z242" i="30" s="1"/>
  <c r="P15" i="30"/>
  <c r="L21" i="30"/>
  <c r="X28" i="30"/>
  <c r="Y28" i="30" s="1"/>
  <c r="Z28" i="30" s="1"/>
  <c r="X59" i="30"/>
  <c r="Y59" i="30" s="1"/>
  <c r="Z59" i="30" s="1"/>
  <c r="X96" i="30"/>
  <c r="Y96" i="30" s="1"/>
  <c r="Z96" i="30" s="1"/>
  <c r="X112" i="30"/>
  <c r="Y112" i="30" s="1"/>
  <c r="Z112" i="30" s="1"/>
  <c r="X120" i="30"/>
  <c r="Y120" i="30" s="1"/>
  <c r="Z120" i="30" s="1"/>
  <c r="X135" i="30"/>
  <c r="Y135" i="30" s="1"/>
  <c r="Z135" i="30" s="1"/>
  <c r="X154" i="30"/>
  <c r="Y154" i="30" s="1"/>
  <c r="Z154" i="30" s="1"/>
  <c r="X183" i="30"/>
  <c r="Y183" i="30" s="1"/>
  <c r="Z183" i="30" s="1"/>
  <c r="X225" i="30"/>
  <c r="Y225" i="30" s="1"/>
  <c r="Z225" i="30" s="1"/>
  <c r="X233" i="30"/>
  <c r="Y233" i="30" s="1"/>
  <c r="Z233" i="30" s="1"/>
  <c r="AP242" i="30"/>
  <c r="AQ242" i="30" s="1"/>
  <c r="X244" i="30"/>
  <c r="Y244" i="30" s="1"/>
  <c r="Z244" i="30" s="1"/>
  <c r="AP250" i="30"/>
  <c r="AQ250" i="30" s="1"/>
  <c r="X45" i="30"/>
  <c r="Y45" i="30" s="1"/>
  <c r="Z45" i="30" s="1"/>
  <c r="X51" i="30"/>
  <c r="Y51" i="30" s="1"/>
  <c r="Z51" i="30" s="1"/>
  <c r="X53" i="30"/>
  <c r="Y53" i="30" s="1"/>
  <c r="Z53" i="30" s="1"/>
  <c r="X56" i="30"/>
  <c r="Y56" i="30" s="1"/>
  <c r="Z56" i="30" s="1"/>
  <c r="X71" i="30"/>
  <c r="Y71" i="30" s="1"/>
  <c r="Z71" i="30" s="1"/>
  <c r="X88" i="30"/>
  <c r="Y88" i="30" s="1"/>
  <c r="Z88" i="30" s="1"/>
  <c r="X124" i="30"/>
  <c r="Y124" i="30" s="1"/>
  <c r="Z124" i="30" s="1"/>
  <c r="X142" i="30"/>
  <c r="Y142" i="30" s="1"/>
  <c r="Z142" i="30" s="1"/>
  <c r="X168" i="30"/>
  <c r="Y168" i="30" s="1"/>
  <c r="Z168" i="30" s="1"/>
  <c r="X175" i="30"/>
  <c r="Y175" i="30" s="1"/>
  <c r="Z175" i="30" s="1"/>
  <c r="X196" i="30"/>
  <c r="Y196" i="30" s="1"/>
  <c r="Z196" i="30" s="1"/>
  <c r="X248" i="30"/>
  <c r="Y248" i="30" s="1"/>
  <c r="Z248" i="30" s="1"/>
  <c r="K15" i="30"/>
  <c r="AP218" i="30"/>
  <c r="AQ218" i="30" s="1"/>
  <c r="AP211" i="30"/>
  <c r="AQ211" i="30" s="1"/>
  <c r="X210" i="30"/>
  <c r="Y210" i="30" s="1"/>
  <c r="Z210" i="30" s="1"/>
  <c r="X101" i="30"/>
  <c r="Q21" i="30"/>
  <c r="O21" i="30"/>
  <c r="S20" i="30"/>
  <c r="I15" i="30"/>
  <c r="I21" i="30"/>
  <c r="J15" i="30"/>
  <c r="S18" i="30"/>
  <c r="S9" i="30"/>
  <c r="S13" i="30"/>
  <c r="S8" i="30"/>
  <c r="S11" i="30"/>
  <c r="S14" i="30"/>
  <c r="S10" i="30"/>
  <c r="S12" i="30"/>
  <c r="H15" i="30"/>
  <c r="L15" i="30"/>
  <c r="G15" i="30"/>
  <c r="X111" i="30"/>
  <c r="Y111" i="30" s="1"/>
  <c r="Z111" i="30" s="1"/>
  <c r="AP111" i="30"/>
  <c r="AQ111" i="30" s="1"/>
  <c r="AQ139" i="30"/>
  <c r="U139" i="30"/>
  <c r="X139" i="30" s="1"/>
  <c r="Y139" i="30" s="1"/>
  <c r="Z139" i="30" s="1"/>
  <c r="S7" i="30"/>
  <c r="AP75" i="30"/>
  <c r="AQ75" i="30" s="1"/>
  <c r="AP28" i="30"/>
  <c r="AQ28" i="30" s="1"/>
  <c r="X32" i="30"/>
  <c r="Y32" i="30" s="1"/>
  <c r="Z32" i="30" s="1"/>
  <c r="AP46" i="30"/>
  <c r="AQ46" i="30" s="1"/>
  <c r="X62" i="30"/>
  <c r="Y62" i="30" s="1"/>
  <c r="Z62" i="30" s="1"/>
  <c r="AP74" i="30"/>
  <c r="AQ74" i="30" s="1"/>
  <c r="X127" i="30"/>
  <c r="Y127" i="30" s="1"/>
  <c r="Z127" i="30" s="1"/>
  <c r="AP127" i="30"/>
  <c r="AQ127" i="30" s="1"/>
  <c r="S6" i="30"/>
  <c r="G21" i="30"/>
  <c r="X33" i="30"/>
  <c r="Y33" i="30" s="1"/>
  <c r="Z33" i="30" s="1"/>
  <c r="X42" i="30"/>
  <c r="Y42" i="30" s="1"/>
  <c r="Z42" i="30" s="1"/>
  <c r="X54" i="30"/>
  <c r="Y54" i="30" s="1"/>
  <c r="Z54" i="30" s="1"/>
  <c r="X60" i="30"/>
  <c r="Y60" i="30" s="1"/>
  <c r="Z60" i="30" s="1"/>
  <c r="X78" i="30"/>
  <c r="Y78" i="30" s="1"/>
  <c r="Z78" i="30" s="1"/>
  <c r="AP27" i="30"/>
  <c r="AQ27" i="30" s="1"/>
  <c r="X95" i="30"/>
  <c r="Y95" i="30" s="1"/>
  <c r="Z95" i="30" s="1"/>
  <c r="AP95" i="30"/>
  <c r="AQ95" i="30" s="1"/>
  <c r="AP87" i="30"/>
  <c r="AQ87" i="30" s="1"/>
  <c r="X87" i="30"/>
  <c r="Y87" i="30" s="1"/>
  <c r="Z87" i="30" s="1"/>
  <c r="AP34" i="30"/>
  <c r="AQ34" i="30" s="1"/>
  <c r="AP59" i="30"/>
  <c r="AQ59" i="30" s="1"/>
  <c r="X67" i="30"/>
  <c r="Y67" i="30" s="1"/>
  <c r="Z67" i="30" s="1"/>
  <c r="AP71" i="30"/>
  <c r="AQ71" i="30" s="1"/>
  <c r="AP115" i="30"/>
  <c r="AQ115" i="30" s="1"/>
  <c r="X115" i="30"/>
  <c r="Y115" i="30" s="1"/>
  <c r="Z115" i="30" s="1"/>
  <c r="AC258" i="30"/>
  <c r="X83" i="30"/>
  <c r="Y83" i="30" s="1"/>
  <c r="Z83" i="30" s="1"/>
  <c r="AP123" i="30"/>
  <c r="AQ123" i="30" s="1"/>
  <c r="X131" i="30"/>
  <c r="Y131" i="30" s="1"/>
  <c r="Z131" i="30" s="1"/>
  <c r="X103" i="30"/>
  <c r="Y103" i="30" s="1"/>
  <c r="Z103" i="30" s="1"/>
  <c r="X119" i="30"/>
  <c r="Y119" i="30" s="1"/>
  <c r="Z119" i="30" s="1"/>
  <c r="AQ138" i="30"/>
  <c r="X173" i="30"/>
  <c r="Y173" i="30" s="1"/>
  <c r="Z173" i="30" s="1"/>
  <c r="AP173" i="30"/>
  <c r="AQ173" i="30" s="1"/>
  <c r="AP157" i="30"/>
  <c r="AQ157" i="30" s="1"/>
  <c r="X157" i="30"/>
  <c r="Y157" i="30" s="1"/>
  <c r="Z157" i="30" s="1"/>
  <c r="X106" i="30"/>
  <c r="Y106" i="30" s="1"/>
  <c r="Z106" i="30" s="1"/>
  <c r="X122" i="30"/>
  <c r="Y122" i="30" s="1"/>
  <c r="Z122" i="30" s="1"/>
  <c r="X144" i="30"/>
  <c r="Y144" i="30" s="1"/>
  <c r="Z144" i="30" s="1"/>
  <c r="X148" i="30"/>
  <c r="Y148" i="30" s="1"/>
  <c r="Z148" i="30" s="1"/>
  <c r="AP148" i="30"/>
  <c r="AQ148" i="30" s="1"/>
  <c r="X147" i="30"/>
  <c r="Y147" i="30" s="1"/>
  <c r="Z147" i="30" s="1"/>
  <c r="AP147" i="30"/>
  <c r="AQ147" i="30" s="1"/>
  <c r="X193" i="30"/>
  <c r="Y193" i="30" s="1"/>
  <c r="Z193" i="30" s="1"/>
  <c r="AP193" i="30"/>
  <c r="AQ193" i="30" s="1"/>
  <c r="X138" i="30"/>
  <c r="Y138" i="30" s="1"/>
  <c r="Z138" i="30" s="1"/>
  <c r="AP167" i="30"/>
  <c r="AQ167" i="30" s="1"/>
  <c r="X179" i="30"/>
  <c r="Y179" i="30" s="1"/>
  <c r="Z179" i="30" s="1"/>
  <c r="X237" i="30"/>
  <c r="Y237" i="30" s="1"/>
  <c r="Z237" i="30" s="1"/>
  <c r="AP237" i="30"/>
  <c r="AQ237" i="30" s="1"/>
  <c r="AP205" i="30"/>
  <c r="AQ205" i="30" s="1"/>
  <c r="AP160" i="30"/>
  <c r="AQ160" i="30" s="1"/>
  <c r="AP161" i="30"/>
  <c r="AQ161" i="30" s="1"/>
  <c r="X212" i="30"/>
  <c r="Y212" i="30" s="1"/>
  <c r="Z212" i="30" s="1"/>
  <c r="AP212" i="30"/>
  <c r="AQ212" i="30" s="1"/>
  <c r="X232" i="30"/>
  <c r="Y232" i="30" s="1"/>
  <c r="Z232" i="30" s="1"/>
  <c r="AP244" i="30"/>
  <c r="AQ244" i="30" s="1"/>
  <c r="X171" i="30"/>
  <c r="Y171" i="30" s="1"/>
  <c r="Z171" i="30" s="1"/>
  <c r="AP200" i="30"/>
  <c r="AQ200" i="30" s="1"/>
  <c r="X203" i="30"/>
  <c r="Y203" i="30" s="1"/>
  <c r="Z203" i="30" s="1"/>
  <c r="AP213" i="30"/>
  <c r="AQ213" i="30" s="1"/>
  <c r="X252" i="30"/>
  <c r="Y252" i="30" s="1"/>
  <c r="Z252" i="30" s="1"/>
  <c r="X214" i="30"/>
  <c r="Y214" i="30" s="1"/>
  <c r="Z214" i="30" s="1"/>
  <c r="G9" i="2"/>
  <c r="H9" i="2"/>
  <c r="I9" i="2"/>
  <c r="J9" i="2"/>
  <c r="K9" i="2"/>
  <c r="L9" i="2"/>
  <c r="M9" i="2"/>
  <c r="N9" i="2"/>
  <c r="O9" i="2"/>
  <c r="P9" i="2"/>
  <c r="Q9" i="2"/>
  <c r="R9" i="2"/>
  <c r="G6" i="2"/>
  <c r="R20" i="2"/>
  <c r="Q20" i="2"/>
  <c r="P20" i="2"/>
  <c r="O20" i="2"/>
  <c r="N20" i="2"/>
  <c r="M20" i="2"/>
  <c r="L20" i="2"/>
  <c r="K20" i="2"/>
  <c r="J20" i="2"/>
  <c r="I20" i="2"/>
  <c r="H20" i="2"/>
  <c r="G20" i="2"/>
  <c r="R18" i="2"/>
  <c r="Q18" i="2"/>
  <c r="P18" i="2"/>
  <c r="O18" i="2"/>
  <c r="N18" i="2"/>
  <c r="M18" i="2"/>
  <c r="L18" i="2"/>
  <c r="K18" i="2"/>
  <c r="J18" i="2"/>
  <c r="I18" i="2"/>
  <c r="H18" i="2"/>
  <c r="G18" i="2"/>
  <c r="R14" i="2"/>
  <c r="Q14" i="2"/>
  <c r="P14" i="2"/>
  <c r="O14" i="2"/>
  <c r="N14" i="2"/>
  <c r="M14" i="2"/>
  <c r="L14" i="2"/>
  <c r="K14" i="2"/>
  <c r="J14" i="2"/>
  <c r="I14" i="2"/>
  <c r="H14" i="2"/>
  <c r="G14" i="2"/>
  <c r="R13" i="2"/>
  <c r="Q13" i="2"/>
  <c r="P13" i="2"/>
  <c r="O13" i="2"/>
  <c r="N13" i="2"/>
  <c r="M13" i="2"/>
  <c r="L13" i="2"/>
  <c r="K13" i="2"/>
  <c r="J13" i="2"/>
  <c r="I13" i="2"/>
  <c r="H13" i="2"/>
  <c r="G13" i="2"/>
  <c r="R12" i="2"/>
  <c r="Q12" i="2"/>
  <c r="P12" i="2"/>
  <c r="O12" i="2"/>
  <c r="N12" i="2"/>
  <c r="M12" i="2"/>
  <c r="L12" i="2"/>
  <c r="K12" i="2"/>
  <c r="J12" i="2"/>
  <c r="I12" i="2"/>
  <c r="H12" i="2"/>
  <c r="G12" i="2"/>
  <c r="R11" i="2"/>
  <c r="Q11" i="2"/>
  <c r="P11" i="2"/>
  <c r="O11" i="2"/>
  <c r="N11" i="2"/>
  <c r="M11" i="2"/>
  <c r="L11" i="2"/>
  <c r="K11" i="2"/>
  <c r="J11" i="2"/>
  <c r="I11" i="2"/>
  <c r="H11" i="2"/>
  <c r="G11" i="2"/>
  <c r="R10" i="2"/>
  <c r="Q10" i="2"/>
  <c r="P10" i="2"/>
  <c r="O10" i="2"/>
  <c r="N10" i="2"/>
  <c r="M10" i="2"/>
  <c r="L10" i="2"/>
  <c r="K10" i="2"/>
  <c r="J10" i="2"/>
  <c r="I10" i="2"/>
  <c r="H10" i="2"/>
  <c r="G10" i="2"/>
  <c r="R8" i="2"/>
  <c r="Q8" i="2"/>
  <c r="P8" i="2"/>
  <c r="O8" i="2"/>
  <c r="N8" i="2"/>
  <c r="M8" i="2"/>
  <c r="L8" i="2"/>
  <c r="K8" i="2"/>
  <c r="J8" i="2"/>
  <c r="I8" i="2"/>
  <c r="H8" i="2"/>
  <c r="G8" i="2"/>
  <c r="R7" i="2"/>
  <c r="Q7" i="2"/>
  <c r="P7" i="2"/>
  <c r="O7" i="2"/>
  <c r="N7" i="2"/>
  <c r="M7" i="2"/>
  <c r="L7" i="2"/>
  <c r="K7" i="2"/>
  <c r="J7" i="2"/>
  <c r="I7" i="2"/>
  <c r="H7" i="2"/>
  <c r="G7" i="2"/>
  <c r="R6" i="2"/>
  <c r="Q6" i="2"/>
  <c r="P6" i="2"/>
  <c r="O6" i="2"/>
  <c r="N6" i="2"/>
  <c r="M6" i="2"/>
  <c r="L6" i="2"/>
  <c r="K6" i="2"/>
  <c r="J6" i="2"/>
  <c r="I6" i="2"/>
  <c r="H6" i="2"/>
  <c r="K21" i="2" l="1"/>
  <c r="N21" i="2"/>
  <c r="G21" i="2"/>
  <c r="O21" i="2"/>
  <c r="R21" i="2"/>
  <c r="AQ258" i="30"/>
  <c r="Y101" i="30"/>
  <c r="Z101" i="30" s="1"/>
  <c r="S21" i="30"/>
  <c r="S15" i="30"/>
  <c r="AP258" i="30"/>
  <c r="J21" i="2"/>
  <c r="S9" i="2"/>
  <c r="K15" i="2"/>
  <c r="L15" i="2"/>
  <c r="H21" i="2"/>
  <c r="P21" i="2"/>
  <c r="N15" i="2"/>
  <c r="P15" i="2"/>
  <c r="L21" i="2"/>
  <c r="J15" i="2"/>
  <c r="R15" i="2"/>
  <c r="M15" i="2"/>
  <c r="O15" i="2"/>
  <c r="S7" i="2"/>
  <c r="I15" i="2"/>
  <c r="I21" i="2"/>
  <c r="Q21" i="2"/>
  <c r="M21" i="2"/>
  <c r="S8" i="2"/>
  <c r="S10" i="2"/>
  <c r="Q15" i="2"/>
  <c r="S20" i="2"/>
  <c r="S11" i="2"/>
  <c r="S12" i="2"/>
  <c r="S18" i="2"/>
  <c r="S13" i="2"/>
  <c r="S14" i="2"/>
  <c r="S6" i="2"/>
  <c r="G15" i="2"/>
  <c r="H15" i="2"/>
  <c r="S21" i="2" l="1"/>
  <c r="S15" i="2"/>
  <c r="AC252" i="2" l="1"/>
  <c r="AP252" i="2" s="1"/>
  <c r="AQ252" i="2" s="1"/>
  <c r="AW252" i="2"/>
  <c r="AX252" i="2" s="1"/>
  <c r="U252" i="2"/>
  <c r="AB252" i="2" l="1"/>
  <c r="X252" i="2"/>
  <c r="Y252" i="2" s="1"/>
  <c r="Z252" i="2" s="1"/>
  <c r="AC251" i="2" l="1"/>
  <c r="AB251" i="2" s="1"/>
  <c r="AW251" i="2"/>
  <c r="U251" i="2"/>
  <c r="AC243" i="2" l="1"/>
  <c r="AC242" i="2"/>
  <c r="AC241" i="2"/>
  <c r="AC240" i="2"/>
  <c r="AC239" i="2"/>
  <c r="AC238" i="2"/>
  <c r="AC237" i="2"/>
  <c r="AC236" i="2"/>
  <c r="AC235" i="2"/>
  <c r="AC234" i="2"/>
  <c r="AC233" i="2"/>
  <c r="AC232" i="2"/>
  <c r="AC231" i="2"/>
  <c r="AC230" i="2"/>
  <c r="AC229" i="2"/>
  <c r="AC228" i="2"/>
  <c r="AC227" i="2"/>
  <c r="AC226" i="2"/>
  <c r="AC225" i="2"/>
  <c r="AC224" i="2"/>
  <c r="AC223" i="2"/>
  <c r="AC222" i="2"/>
  <c r="AC221" i="2"/>
  <c r="AC220" i="2"/>
  <c r="AC197" i="2"/>
  <c r="AC196" i="2"/>
  <c r="AC195" i="2"/>
  <c r="AC194" i="2"/>
  <c r="AC193" i="2"/>
  <c r="AC192" i="2"/>
  <c r="AC191" i="2"/>
  <c r="AC190" i="2"/>
  <c r="AC189" i="2"/>
  <c r="AC188" i="2"/>
  <c r="AC187" i="2"/>
  <c r="AC186" i="2"/>
  <c r="AC185" i="2"/>
  <c r="AC184" i="2"/>
  <c r="AC183" i="2"/>
  <c r="AC182" i="2"/>
  <c r="AC181" i="2"/>
  <c r="AC180" i="2"/>
  <c r="AC179" i="2"/>
  <c r="AC178" i="2"/>
  <c r="AC177" i="2"/>
  <c r="AC176" i="2"/>
  <c r="AC175" i="2"/>
  <c r="AC174" i="2"/>
  <c r="AC173" i="2"/>
  <c r="AC172" i="2"/>
  <c r="AC171" i="2"/>
  <c r="AC170" i="2"/>
  <c r="AC169" i="2"/>
  <c r="AC168" i="2"/>
  <c r="AC167" i="2"/>
  <c r="AC166" i="2"/>
  <c r="AC165" i="2"/>
  <c r="AC164" i="2"/>
  <c r="AC163" i="2"/>
  <c r="AC162" i="2"/>
  <c r="AC161" i="2"/>
  <c r="AC160" i="2"/>
  <c r="AC159" i="2"/>
  <c r="AC158" i="2"/>
  <c r="AC157" i="2"/>
  <c r="AC156" i="2"/>
  <c r="AC155" i="2"/>
  <c r="AC154" i="2"/>
  <c r="AC153" i="2"/>
  <c r="AC152" i="2"/>
  <c r="AC151" i="2"/>
  <c r="AC150" i="2"/>
  <c r="AC149" i="2"/>
  <c r="AC148" i="2"/>
  <c r="AC147" i="2"/>
  <c r="AC146" i="2"/>
  <c r="AC145" i="2"/>
  <c r="AC144" i="2"/>
  <c r="AC143" i="2"/>
  <c r="AC142" i="2"/>
  <c r="AC141" i="2"/>
  <c r="AC140" i="2"/>
  <c r="AC139" i="2"/>
  <c r="AC138" i="2"/>
  <c r="AC137" i="2"/>
  <c r="AC136" i="2"/>
  <c r="AC135" i="2"/>
  <c r="AC134" i="2"/>
  <c r="AC133" i="2"/>
  <c r="AC132" i="2"/>
  <c r="AC131" i="2"/>
  <c r="AC130" i="2"/>
  <c r="AC129" i="2"/>
  <c r="AC128" i="2"/>
  <c r="AC127" i="2"/>
  <c r="AC126" i="2"/>
  <c r="AC125" i="2"/>
  <c r="AC124" i="2"/>
  <c r="AC123" i="2"/>
  <c r="AC122" i="2"/>
  <c r="AC121" i="2"/>
  <c r="AC120" i="2"/>
  <c r="AC119" i="2"/>
  <c r="AC118" i="2"/>
  <c r="AC117" i="2"/>
  <c r="AC116" i="2"/>
  <c r="AC115" i="2"/>
  <c r="AC114" i="2"/>
  <c r="AC113" i="2"/>
  <c r="AC112" i="2"/>
  <c r="AC111" i="2"/>
  <c r="AC110" i="2"/>
  <c r="AC109" i="2"/>
  <c r="AC108" i="2"/>
  <c r="AC107" i="2"/>
  <c r="AC106" i="2"/>
  <c r="AC105" i="2"/>
  <c r="AC104" i="2"/>
  <c r="AC103" i="2"/>
  <c r="AC102" i="2"/>
  <c r="AC98" i="2"/>
  <c r="AC96" i="2"/>
  <c r="AC95" i="2"/>
  <c r="AC94" i="2"/>
  <c r="AC93" i="2"/>
  <c r="AC92" i="2"/>
  <c r="AC91" i="2"/>
  <c r="AC90" i="2"/>
  <c r="AC89" i="2"/>
  <c r="AC88" i="2"/>
  <c r="AC87" i="2"/>
  <c r="AC86" i="2"/>
  <c r="AC85" i="2"/>
  <c r="AC84" i="2"/>
  <c r="AC83" i="2"/>
  <c r="AC82" i="2"/>
  <c r="AC81" i="2"/>
  <c r="AC80" i="2"/>
  <c r="AC79" i="2"/>
  <c r="AC78" i="2"/>
  <c r="AC77" i="2"/>
  <c r="AC76" i="2"/>
  <c r="AC75" i="2"/>
  <c r="AC74" i="2"/>
  <c r="AC73" i="2"/>
  <c r="AC72" i="2"/>
  <c r="AC71" i="2"/>
  <c r="AC70" i="2"/>
  <c r="AC69" i="2"/>
  <c r="AC68" i="2"/>
  <c r="AC67" i="2"/>
  <c r="AC66" i="2"/>
  <c r="AC65" i="2"/>
  <c r="AC64" i="2"/>
  <c r="AC61" i="2"/>
  <c r="AC60" i="2"/>
  <c r="AC59" i="2"/>
  <c r="AC58" i="2"/>
  <c r="AC57" i="2"/>
  <c r="AC56" i="2"/>
  <c r="AC55" i="2"/>
  <c r="AC54" i="2"/>
  <c r="AC53" i="2"/>
  <c r="AC52" i="2"/>
  <c r="AC51" i="2"/>
  <c r="AC50" i="2"/>
  <c r="AC49" i="2"/>
  <c r="AC48" i="2"/>
  <c r="AC47" i="2"/>
  <c r="AC46" i="2"/>
  <c r="AC45" i="2"/>
  <c r="AC44" i="2"/>
  <c r="AC43" i="2"/>
  <c r="AC42" i="2"/>
  <c r="AC41" i="2"/>
  <c r="AC40" i="2"/>
  <c r="AC39" i="2"/>
  <c r="U218" i="2" l="1"/>
  <c r="U217" i="2"/>
  <c r="U216" i="2"/>
  <c r="U215" i="2"/>
  <c r="AP218" i="2"/>
  <c r="AQ218" i="2" s="1"/>
  <c r="AP217" i="2"/>
  <c r="AQ217" i="2" s="1"/>
  <c r="AP215" i="2"/>
  <c r="AQ215" i="2" s="1"/>
  <c r="AX219" i="2"/>
  <c r="AX214" i="2"/>
  <c r="AX213" i="2"/>
  <c r="AX56" i="2"/>
  <c r="AW250" i="2"/>
  <c r="AX250" i="2" s="1"/>
  <c r="AW249" i="2"/>
  <c r="AX249" i="2" s="1"/>
  <c r="AW248" i="2"/>
  <c r="AX248" i="2" s="1"/>
  <c r="AW247" i="2"/>
  <c r="AX247" i="2" s="1"/>
  <c r="AW246" i="2"/>
  <c r="AX246" i="2" s="1"/>
  <c r="AW245" i="2"/>
  <c r="AX245" i="2" s="1"/>
  <c r="AW244" i="2"/>
  <c r="AX244" i="2" s="1"/>
  <c r="AW243" i="2"/>
  <c r="AX243" i="2" s="1"/>
  <c r="AW242" i="2"/>
  <c r="AX242" i="2" s="1"/>
  <c r="AW241" i="2"/>
  <c r="AX241" i="2" s="1"/>
  <c r="AW240" i="2"/>
  <c r="AX240" i="2" s="1"/>
  <c r="AW239" i="2"/>
  <c r="AX239" i="2" s="1"/>
  <c r="AW238" i="2"/>
  <c r="AX238" i="2" s="1"/>
  <c r="AW236" i="2"/>
  <c r="AX236" i="2" s="1"/>
  <c r="AW235" i="2"/>
  <c r="AX235" i="2" s="1"/>
  <c r="AW234" i="2"/>
  <c r="AX234" i="2" s="1"/>
  <c r="AW233" i="2"/>
  <c r="AX233" i="2" s="1"/>
  <c r="AW232" i="2"/>
  <c r="AX232" i="2" s="1"/>
  <c r="AW231" i="2"/>
  <c r="AX231" i="2" s="1"/>
  <c r="AW230" i="2"/>
  <c r="AX230" i="2" s="1"/>
  <c r="AW229" i="2"/>
  <c r="AX229" i="2" s="1"/>
  <c r="AW228" i="2"/>
  <c r="AX228" i="2" s="1"/>
  <c r="AW227" i="2"/>
  <c r="AX227" i="2" s="1"/>
  <c r="AW226" i="2"/>
  <c r="AX226" i="2" s="1"/>
  <c r="AW225" i="2"/>
  <c r="AX225" i="2" s="1"/>
  <c r="AW224" i="2"/>
  <c r="AX224" i="2" s="1"/>
  <c r="AW223" i="2"/>
  <c r="AX223" i="2" s="1"/>
  <c r="AW222" i="2"/>
  <c r="AX222" i="2" s="1"/>
  <c r="AW220" i="2"/>
  <c r="AX220" i="2" s="1"/>
  <c r="AW212" i="2"/>
  <c r="AX212" i="2" s="1"/>
  <c r="AW211" i="2"/>
  <c r="AX211" i="2" s="1"/>
  <c r="AW210" i="2"/>
  <c r="AX210" i="2" s="1"/>
  <c r="AW209" i="2"/>
  <c r="AX209" i="2" s="1"/>
  <c r="AW208" i="2"/>
  <c r="AX208" i="2" s="1"/>
  <c r="AW207" i="2"/>
  <c r="AX207" i="2" s="1"/>
  <c r="AW206" i="2"/>
  <c r="AX206" i="2" s="1"/>
  <c r="AW205" i="2"/>
  <c r="AX205" i="2" s="1"/>
  <c r="AW202" i="2"/>
  <c r="AX202" i="2" s="1"/>
  <c r="AW201" i="2"/>
  <c r="AX201" i="2" s="1"/>
  <c r="AW198" i="2"/>
  <c r="AX198" i="2" s="1"/>
  <c r="AW195" i="2"/>
  <c r="AX195" i="2" s="1"/>
  <c r="AW194" i="2"/>
  <c r="AX194" i="2" s="1"/>
  <c r="AW193" i="2"/>
  <c r="AX193" i="2" s="1"/>
  <c r="AW158" i="2"/>
  <c r="AX158" i="2" s="1"/>
  <c r="AW157" i="2"/>
  <c r="AX157" i="2" s="1"/>
  <c r="AW156" i="2"/>
  <c r="AX156" i="2" s="1"/>
  <c r="AW155" i="2"/>
  <c r="AX155" i="2" s="1"/>
  <c r="AW154" i="2"/>
  <c r="AX154" i="2" s="1"/>
  <c r="AW153" i="2"/>
  <c r="AX153" i="2" s="1"/>
  <c r="AW152" i="2"/>
  <c r="AX152" i="2" s="1"/>
  <c r="AW151" i="2"/>
  <c r="AX151" i="2" s="1"/>
  <c r="AW150" i="2"/>
  <c r="AX150" i="2" s="1"/>
  <c r="AW148" i="2"/>
  <c r="AX148" i="2" s="1"/>
  <c r="AW147" i="2"/>
  <c r="AX147" i="2" s="1"/>
  <c r="AW146" i="2"/>
  <c r="AX146" i="2" s="1"/>
  <c r="AW145" i="2"/>
  <c r="AX145" i="2" s="1"/>
  <c r="AW144" i="2"/>
  <c r="AX144" i="2" s="1"/>
  <c r="AW143" i="2"/>
  <c r="AX143" i="2" s="1"/>
  <c r="AW141" i="2"/>
  <c r="AX141" i="2" s="1"/>
  <c r="AW140" i="2"/>
  <c r="AX140" i="2" s="1"/>
  <c r="AW127" i="2"/>
  <c r="AX127" i="2" s="1"/>
  <c r="AW126" i="2"/>
  <c r="AX126" i="2" s="1"/>
  <c r="AW124" i="2"/>
  <c r="AX124" i="2" s="1"/>
  <c r="AW123" i="2"/>
  <c r="AX123" i="2" s="1"/>
  <c r="AW122" i="2"/>
  <c r="AX122" i="2" s="1"/>
  <c r="AW121" i="2"/>
  <c r="AX121" i="2" s="1"/>
  <c r="AW118" i="2"/>
  <c r="AX118" i="2" s="1"/>
  <c r="AW117" i="2"/>
  <c r="AX117" i="2" s="1"/>
  <c r="AW116" i="2"/>
  <c r="AX116" i="2" s="1"/>
  <c r="AW115" i="2"/>
  <c r="AX115" i="2" s="1"/>
  <c r="AW101" i="2"/>
  <c r="AX101" i="2" s="1"/>
  <c r="AW100" i="2"/>
  <c r="AX100" i="2" s="1"/>
  <c r="AW99" i="2"/>
  <c r="AX99" i="2" s="1"/>
  <c r="AW98" i="2"/>
  <c r="AX98" i="2" s="1"/>
  <c r="AW97" i="2"/>
  <c r="AX97" i="2" s="1"/>
  <c r="AW96" i="2"/>
  <c r="AX96" i="2" s="1"/>
  <c r="AW95" i="2"/>
  <c r="AX95" i="2" s="1"/>
  <c r="AW94" i="2"/>
  <c r="AX94" i="2" s="1"/>
  <c r="AW93" i="2"/>
  <c r="AX93" i="2" s="1"/>
  <c r="AW92" i="2"/>
  <c r="AX92" i="2" s="1"/>
  <c r="AW91" i="2"/>
  <c r="AX91" i="2" s="1"/>
  <c r="AW90" i="2"/>
  <c r="AX90" i="2" s="1"/>
  <c r="AW89" i="2"/>
  <c r="AX89" i="2" s="1"/>
  <c r="AW88" i="2"/>
  <c r="AX88" i="2" s="1"/>
  <c r="AW87" i="2"/>
  <c r="AX87" i="2" s="1"/>
  <c r="AW86" i="2"/>
  <c r="AX86" i="2" s="1"/>
  <c r="AW85" i="2"/>
  <c r="AX85" i="2" s="1"/>
  <c r="AW84" i="2"/>
  <c r="AX84" i="2" s="1"/>
  <c r="AW83" i="2"/>
  <c r="AX83" i="2" s="1"/>
  <c r="AW82" i="2"/>
  <c r="AX82" i="2" s="1"/>
  <c r="AW81" i="2"/>
  <c r="AX81" i="2" s="1"/>
  <c r="AW80" i="2"/>
  <c r="AX80" i="2" s="1"/>
  <c r="AW79" i="2"/>
  <c r="AX79" i="2" s="1"/>
  <c r="AW78" i="2"/>
  <c r="AX78" i="2" s="1"/>
  <c r="AW77" i="2"/>
  <c r="AX77" i="2" s="1"/>
  <c r="AW76" i="2"/>
  <c r="AX76" i="2" s="1"/>
  <c r="AW75" i="2"/>
  <c r="AX75" i="2" s="1"/>
  <c r="AW74" i="2"/>
  <c r="AX74" i="2" s="1"/>
  <c r="AW73" i="2"/>
  <c r="AX73" i="2" s="1"/>
  <c r="AW72" i="2"/>
  <c r="AX72" i="2" s="1"/>
  <c r="AW71" i="2"/>
  <c r="AX71" i="2" s="1"/>
  <c r="AW70" i="2"/>
  <c r="AX70" i="2" s="1"/>
  <c r="AW69" i="2"/>
  <c r="AX69" i="2" s="1"/>
  <c r="AW68" i="2"/>
  <c r="AX68" i="2" s="1"/>
  <c r="AW67" i="2"/>
  <c r="AX67" i="2" s="1"/>
  <c r="AW66" i="2"/>
  <c r="AX66" i="2" s="1"/>
  <c r="AW65" i="2"/>
  <c r="AX65" i="2" s="1"/>
  <c r="AW64" i="2"/>
  <c r="AX64" i="2" s="1"/>
  <c r="AW63" i="2"/>
  <c r="AX63" i="2" s="1"/>
  <c r="AW62" i="2"/>
  <c r="AX62" i="2" s="1"/>
  <c r="AW61" i="2"/>
  <c r="AX61" i="2" s="1"/>
  <c r="AW60" i="2"/>
  <c r="AX60" i="2" s="1"/>
  <c r="AW59" i="2"/>
  <c r="AX59" i="2" s="1"/>
  <c r="AW58" i="2"/>
  <c r="AX58" i="2" s="1"/>
  <c r="AW57" i="2"/>
  <c r="AX57" i="2" s="1"/>
  <c r="AW55" i="2"/>
  <c r="AX55" i="2" s="1"/>
  <c r="AW54" i="2"/>
  <c r="AX54" i="2" s="1"/>
  <c r="AW53" i="2"/>
  <c r="AX53" i="2" s="1"/>
  <c r="AW52" i="2"/>
  <c r="AX52" i="2" s="1"/>
  <c r="AW51" i="2"/>
  <c r="AX51" i="2" s="1"/>
  <c r="AW50" i="2"/>
  <c r="AX50" i="2" s="1"/>
  <c r="AW49" i="2"/>
  <c r="AX49" i="2" s="1"/>
  <c r="AW48" i="2"/>
  <c r="AX48" i="2" s="1"/>
  <c r="AW47" i="2"/>
  <c r="AX47" i="2" s="1"/>
  <c r="AW46" i="2"/>
  <c r="AX46" i="2" s="1"/>
  <c r="AW45" i="2"/>
  <c r="AX45" i="2" s="1"/>
  <c r="AW44" i="2"/>
  <c r="AX44" i="2" s="1"/>
  <c r="AW43" i="2"/>
  <c r="AX43" i="2" s="1"/>
  <c r="AW42" i="2"/>
  <c r="AX42" i="2" s="1"/>
  <c r="AW41" i="2"/>
  <c r="AX41" i="2" s="1"/>
  <c r="AW40" i="2"/>
  <c r="AX40" i="2" s="1"/>
  <c r="AW39" i="2"/>
  <c r="AX39" i="2" s="1"/>
  <c r="AW38" i="2"/>
  <c r="AX38" i="2" s="1"/>
  <c r="AW37" i="2"/>
  <c r="AX37" i="2" s="1"/>
  <c r="AW36" i="2"/>
  <c r="AX36" i="2" s="1"/>
  <c r="AW35" i="2"/>
  <c r="AX35" i="2" s="1"/>
  <c r="AW34" i="2"/>
  <c r="AX34" i="2" s="1"/>
  <c r="AW33" i="2"/>
  <c r="AX33" i="2" s="1"/>
  <c r="AW32" i="2"/>
  <c r="AX32" i="2" s="1"/>
  <c r="AW31" i="2"/>
  <c r="AX31" i="2" s="1"/>
  <c r="AW30" i="2"/>
  <c r="AX30" i="2" s="1"/>
  <c r="AW29" i="2"/>
  <c r="AX29" i="2" s="1"/>
  <c r="AW28" i="2"/>
  <c r="AX28" i="2" s="1"/>
  <c r="AW27" i="2"/>
  <c r="AX27" i="2" s="1"/>
  <c r="AW26" i="2"/>
  <c r="AX26" i="2" s="1"/>
  <c r="X216" i="2" l="1"/>
  <c r="Y216" i="2" s="1"/>
  <c r="Z216" i="2" s="1"/>
  <c r="X215" i="2"/>
  <c r="Y215" i="2" s="1"/>
  <c r="Z215" i="2" s="1"/>
  <c r="AP216" i="2"/>
  <c r="AQ216" i="2" s="1"/>
  <c r="X217" i="2"/>
  <c r="Y217" i="2" s="1"/>
  <c r="Z217" i="2" s="1"/>
  <c r="X218" i="2"/>
  <c r="Y218" i="2" s="1"/>
  <c r="Z218" i="2" s="1"/>
  <c r="G5" i="24" l="1"/>
  <c r="AP101" i="2" l="1"/>
  <c r="AQ101" i="2" s="1"/>
  <c r="U101" i="2"/>
  <c r="X101" i="2" l="1"/>
  <c r="Y101" i="2" s="1"/>
  <c r="Z101" i="2" s="1"/>
  <c r="D9" i="1"/>
  <c r="G8" i="24" l="1"/>
  <c r="AP214" i="2" l="1"/>
  <c r="AQ214" i="2" s="1"/>
  <c r="U214" i="2"/>
  <c r="AP213" i="2"/>
  <c r="AQ213" i="2" s="1"/>
  <c r="U213" i="2"/>
  <c r="D17" i="1"/>
  <c r="X214" i="2" l="1"/>
  <c r="Y214" i="2" s="1"/>
  <c r="Z214" i="2" s="1"/>
  <c r="X213" i="2"/>
  <c r="Y213" i="2" s="1"/>
  <c r="Z213" i="2" s="1"/>
  <c r="AP212" i="2" l="1"/>
  <c r="AQ212" i="2" s="1"/>
  <c r="AP211" i="2"/>
  <c r="AQ211" i="2" s="1"/>
  <c r="AP210" i="2"/>
  <c r="AQ210" i="2" s="1"/>
  <c r="U212" i="2"/>
  <c r="X212" i="2" s="1"/>
  <c r="Y212" i="2" s="1"/>
  <c r="Z212" i="2" s="1"/>
  <c r="U211" i="2"/>
  <c r="U210" i="2"/>
  <c r="X211" i="2" l="1"/>
  <c r="Y211" i="2" s="1"/>
  <c r="Z211" i="2" s="1"/>
  <c r="X210" i="2"/>
  <c r="Y210" i="2" s="1"/>
  <c r="Z210" i="2" s="1"/>
  <c r="AW237" i="2"/>
  <c r="AX237" i="2" s="1"/>
  <c r="AW221" i="2"/>
  <c r="AX221" i="2" s="1"/>
  <c r="AW204" i="2" l="1"/>
  <c r="AX204" i="2" s="1"/>
  <c r="AW203" i="2"/>
  <c r="AX203" i="2" s="1"/>
  <c r="AW200" i="2"/>
  <c r="AX200" i="2" s="1"/>
  <c r="AW199" i="2"/>
  <c r="AX199" i="2" s="1"/>
  <c r="AW197" i="2"/>
  <c r="AX197" i="2" s="1"/>
  <c r="AW196" i="2"/>
  <c r="AX196" i="2" s="1"/>
  <c r="AW192" i="2"/>
  <c r="AX192" i="2" s="1"/>
  <c r="AW191" i="2"/>
  <c r="AX191" i="2" s="1"/>
  <c r="AW190" i="2"/>
  <c r="AX190" i="2" s="1"/>
  <c r="AW189" i="2"/>
  <c r="AX189" i="2" s="1"/>
  <c r="AW188" i="2"/>
  <c r="AX188" i="2" s="1"/>
  <c r="AW187" i="2"/>
  <c r="AX187" i="2" s="1"/>
  <c r="AW186" i="2"/>
  <c r="AX186" i="2" s="1"/>
  <c r="AW185" i="2"/>
  <c r="AX185" i="2" s="1"/>
  <c r="AW184" i="2"/>
  <c r="AX184" i="2" s="1"/>
  <c r="AW183" i="2"/>
  <c r="AX183" i="2" s="1"/>
  <c r="AW182" i="2"/>
  <c r="AX182" i="2" s="1"/>
  <c r="AW181" i="2"/>
  <c r="AX181" i="2" s="1"/>
  <c r="AW180" i="2"/>
  <c r="AX180" i="2" s="1"/>
  <c r="AW179" i="2"/>
  <c r="AX179" i="2" s="1"/>
  <c r="AW178" i="2"/>
  <c r="AX178" i="2" s="1"/>
  <c r="AW177" i="2"/>
  <c r="AX177" i="2" s="1"/>
  <c r="AW176" i="2"/>
  <c r="AX176" i="2" s="1"/>
  <c r="AW175" i="2"/>
  <c r="AX175" i="2" s="1"/>
  <c r="AW174" i="2"/>
  <c r="AX174" i="2" s="1"/>
  <c r="AW173" i="2"/>
  <c r="AX173" i="2" s="1"/>
  <c r="AW172" i="2"/>
  <c r="AX172" i="2" s="1"/>
  <c r="AW171" i="2"/>
  <c r="AX171" i="2" s="1"/>
  <c r="AW170" i="2"/>
  <c r="AX170" i="2" s="1"/>
  <c r="AW169" i="2"/>
  <c r="AX169" i="2" s="1"/>
  <c r="AW168" i="2"/>
  <c r="AX168" i="2" s="1"/>
  <c r="AW167" i="2"/>
  <c r="AX167" i="2" s="1"/>
  <c r="AW166" i="2"/>
  <c r="AX166" i="2" s="1"/>
  <c r="AW165" i="2"/>
  <c r="AX165" i="2" s="1"/>
  <c r="AW164" i="2"/>
  <c r="AX164" i="2" s="1"/>
  <c r="AW163" i="2"/>
  <c r="AX163" i="2" s="1"/>
  <c r="AW162" i="2"/>
  <c r="AX162" i="2" s="1"/>
  <c r="AW161" i="2"/>
  <c r="AX161" i="2" s="1"/>
  <c r="AW160" i="2"/>
  <c r="AX160" i="2" s="1"/>
  <c r="AW159" i="2"/>
  <c r="AX159" i="2" s="1"/>
  <c r="AW149" i="2"/>
  <c r="AX149" i="2" s="1"/>
  <c r="AW142" i="2"/>
  <c r="AX142" i="2" s="1"/>
  <c r="AW139" i="2"/>
  <c r="AX139" i="2" s="1"/>
  <c r="AW138" i="2"/>
  <c r="AX138" i="2" s="1"/>
  <c r="AW137" i="2"/>
  <c r="AX137" i="2" s="1"/>
  <c r="AW136" i="2"/>
  <c r="AX136" i="2" s="1"/>
  <c r="AW135" i="2"/>
  <c r="AX135" i="2" s="1"/>
  <c r="AW134" i="2"/>
  <c r="AX134" i="2" s="1"/>
  <c r="AW133" i="2"/>
  <c r="AX133" i="2" s="1"/>
  <c r="AW132" i="2"/>
  <c r="AX132" i="2" s="1"/>
  <c r="AW131" i="2"/>
  <c r="AX131" i="2" s="1"/>
  <c r="AW130" i="2"/>
  <c r="AX130" i="2" s="1"/>
  <c r="AW129" i="2"/>
  <c r="AX129" i="2" s="1"/>
  <c r="AW128" i="2"/>
  <c r="AX128" i="2" s="1"/>
  <c r="AW125" i="2"/>
  <c r="AX125" i="2" s="1"/>
  <c r="AW120" i="2"/>
  <c r="AX120" i="2" s="1"/>
  <c r="AW119" i="2"/>
  <c r="AX119" i="2" s="1"/>
  <c r="AW114" i="2"/>
  <c r="AX114" i="2" s="1"/>
  <c r="AW113" i="2"/>
  <c r="AX113" i="2" s="1"/>
  <c r="AW112" i="2"/>
  <c r="AX112" i="2" s="1"/>
  <c r="AW111" i="2"/>
  <c r="AX111" i="2" s="1"/>
  <c r="AW110" i="2"/>
  <c r="AX110" i="2" s="1"/>
  <c r="AW109" i="2"/>
  <c r="AX109" i="2" s="1"/>
  <c r="AW108" i="2"/>
  <c r="AX108" i="2" s="1"/>
  <c r="AW107" i="2"/>
  <c r="AX107" i="2" s="1"/>
  <c r="AW106" i="2"/>
  <c r="AX106" i="2" s="1"/>
  <c r="AW105" i="2"/>
  <c r="AX105" i="2" s="1"/>
  <c r="AW104" i="2"/>
  <c r="AX104" i="2" s="1"/>
  <c r="AW103" i="2"/>
  <c r="AX103" i="2" s="1"/>
  <c r="AW102" i="2"/>
  <c r="AX102" i="2" s="1"/>
  <c r="AP250" i="2" l="1"/>
  <c r="AQ250" i="2" s="1"/>
  <c r="U250" i="2"/>
  <c r="X250" i="2" l="1"/>
  <c r="Y250" i="2" s="1"/>
  <c r="Z250" i="2" s="1"/>
  <c r="AP100" i="2" l="1"/>
  <c r="AP249" i="2" l="1"/>
  <c r="U249" i="2"/>
  <c r="AQ249" i="2" l="1"/>
  <c r="X249" i="2"/>
  <c r="Y249" i="2" s="1"/>
  <c r="Z249" i="2" s="1"/>
  <c r="G26" i="24" l="1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9" i="24"/>
  <c r="G7" i="24"/>
  <c r="G6" i="24"/>
  <c r="G4" i="24"/>
  <c r="G27" i="24"/>
  <c r="I15" i="1" l="1"/>
  <c r="I27" i="1"/>
  <c r="I9" i="1"/>
  <c r="I17" i="1"/>
  <c r="U209" i="2"/>
  <c r="AP209" i="2" l="1"/>
  <c r="F28" i="1"/>
  <c r="E27" i="1"/>
  <c r="E15" i="1"/>
  <c r="D15" i="1"/>
  <c r="AQ209" i="2" l="1"/>
  <c r="X209" i="2"/>
  <c r="Y209" i="2" s="1"/>
  <c r="Z209" i="2" s="1"/>
  <c r="G15" i="1"/>
  <c r="J15" i="1" s="1"/>
  <c r="AP208" i="2"/>
  <c r="U208" i="2"/>
  <c r="AP207" i="2"/>
  <c r="U207" i="2"/>
  <c r="D27" i="1" l="1"/>
  <c r="G27" i="1" s="1"/>
  <c r="C39" i="1" s="1"/>
  <c r="AQ208" i="2"/>
  <c r="AQ207" i="2"/>
  <c r="X208" i="2"/>
  <c r="Y208" i="2" s="1"/>
  <c r="Z208" i="2" s="1"/>
  <c r="X207" i="2"/>
  <c r="Y207" i="2" s="1"/>
  <c r="Z207" i="2" s="1"/>
  <c r="E17" i="1" l="1"/>
  <c r="G17" i="1" s="1"/>
  <c r="J17" i="1" s="1"/>
  <c r="U206" i="2" l="1"/>
  <c r="U205" i="2"/>
  <c r="X205" i="2" l="1"/>
  <c r="Y205" i="2" s="1"/>
  <c r="Z205" i="2" s="1"/>
  <c r="X206" i="2"/>
  <c r="Y206" i="2" s="1"/>
  <c r="Z206" i="2" s="1"/>
  <c r="AP206" i="2"/>
  <c r="AQ206" i="2" l="1"/>
  <c r="AP205" i="2"/>
  <c r="AQ205" i="2" l="1"/>
  <c r="AP204" i="2"/>
  <c r="AP203" i="2"/>
  <c r="U204" i="2"/>
  <c r="U203" i="2"/>
  <c r="X203" i="2" s="1"/>
  <c r="AQ203" i="2" l="1"/>
  <c r="AQ204" i="2"/>
  <c r="X204" i="2"/>
  <c r="Y204" i="2" s="1"/>
  <c r="Z204" i="2" s="1"/>
  <c r="Y203" i="2"/>
  <c r="Z203" i="2" s="1"/>
  <c r="U202" i="2"/>
  <c r="U201" i="2"/>
  <c r="X202" i="2" l="1"/>
  <c r="Y202" i="2" s="1"/>
  <c r="Z202" i="2" s="1"/>
  <c r="AP202" i="2"/>
  <c r="AQ202" i="2" l="1"/>
  <c r="AP201" i="2"/>
  <c r="X201" i="2"/>
  <c r="Y201" i="2" s="1"/>
  <c r="Z201" i="2" s="1"/>
  <c r="AQ201" i="2" l="1"/>
  <c r="AP63" i="2" l="1"/>
  <c r="AP62" i="2"/>
  <c r="AQ62" i="2" l="1"/>
  <c r="AQ63" i="2"/>
  <c r="AP200" i="2" l="1"/>
  <c r="AP199" i="2"/>
  <c r="U200" i="2"/>
  <c r="X200" i="2" s="1"/>
  <c r="U199" i="2"/>
  <c r="AQ199" i="2" l="1"/>
  <c r="AQ200" i="2"/>
  <c r="X199" i="2"/>
  <c r="Y199" i="2" s="1"/>
  <c r="Z199" i="2" s="1"/>
  <c r="Y200" i="2"/>
  <c r="Z200" i="2" s="1"/>
  <c r="D10" i="1" l="1"/>
  <c r="AP248" i="2" l="1"/>
  <c r="U248" i="2"/>
  <c r="X248" i="2" s="1"/>
  <c r="J27" i="1"/>
  <c r="AQ248" i="2" l="1"/>
  <c r="Y248" i="2"/>
  <c r="Z248" i="2" s="1"/>
  <c r="AQ100" i="2" l="1"/>
  <c r="U100" i="2"/>
  <c r="X100" i="2" l="1"/>
  <c r="Y100" i="2" s="1"/>
  <c r="Z100" i="2" s="1"/>
  <c r="U63" i="2" l="1"/>
  <c r="U62" i="2"/>
  <c r="AP198" i="2"/>
  <c r="U198" i="2"/>
  <c r="AQ198" i="2" l="1"/>
  <c r="X63" i="2"/>
  <c r="Y63" i="2" s="1"/>
  <c r="Z63" i="2" s="1"/>
  <c r="X62" i="2"/>
  <c r="Y62" i="2" s="1"/>
  <c r="Z62" i="2" s="1"/>
  <c r="X198" i="2"/>
  <c r="Y198" i="2" l="1"/>
  <c r="Z198" i="2" s="1"/>
  <c r="Q18" i="24"/>
  <c r="Q17" i="24"/>
  <c r="Q16" i="24"/>
  <c r="Q15" i="24"/>
  <c r="Q14" i="24"/>
  <c r="Q13" i="24"/>
  <c r="Q12" i="24"/>
  <c r="Q11" i="24"/>
  <c r="Q10" i="24"/>
  <c r="Q9" i="24"/>
  <c r="Q8" i="24"/>
  <c r="Q7" i="24"/>
  <c r="Q6" i="24"/>
  <c r="Q5" i="24"/>
  <c r="Q4" i="24"/>
  <c r="AP247" i="2" l="1"/>
  <c r="U247" i="2"/>
  <c r="AQ247" i="2" l="1"/>
  <c r="X247" i="2"/>
  <c r="Y247" i="2" l="1"/>
  <c r="Z247" i="2" s="1"/>
  <c r="U246" i="2" l="1"/>
  <c r="AP245" i="2"/>
  <c r="AQ245" i="2" l="1"/>
  <c r="U245" i="2" l="1"/>
  <c r="X245" i="2" l="1"/>
  <c r="Y245" i="2" s="1"/>
  <c r="Z245" i="2" s="1"/>
  <c r="U61" i="2" l="1"/>
  <c r="U60" i="2"/>
  <c r="AP61" i="2" l="1"/>
  <c r="X60" i="2"/>
  <c r="Y60" i="2" s="1"/>
  <c r="Z60" i="2" s="1"/>
  <c r="AP60" i="2"/>
  <c r="E14" i="1"/>
  <c r="AQ61" i="2" l="1"/>
  <c r="AQ60" i="2"/>
  <c r="X61" i="2"/>
  <c r="Y61" i="2" s="1"/>
  <c r="Z61" i="2" s="1"/>
  <c r="D14" i="1" l="1"/>
  <c r="AP244" i="2" l="1"/>
  <c r="U244" i="2"/>
  <c r="X244" i="2" s="1"/>
  <c r="AQ244" i="2" l="1"/>
  <c r="Y244" i="2"/>
  <c r="Z244" i="2" s="1"/>
  <c r="H21" i="24" l="1"/>
  <c r="H20" i="24"/>
  <c r="H19" i="24"/>
  <c r="H18" i="24"/>
  <c r="H17" i="24"/>
  <c r="H16" i="24"/>
  <c r="H15" i="24"/>
  <c r="H14" i="24"/>
  <c r="H13" i="24"/>
  <c r="H12" i="24"/>
  <c r="H11" i="24"/>
  <c r="H10" i="24"/>
  <c r="H9" i="24"/>
  <c r="H8" i="24"/>
  <c r="H7" i="24"/>
  <c r="H6" i="24"/>
  <c r="H5" i="24"/>
  <c r="I21" i="1"/>
  <c r="U99" i="2" l="1"/>
  <c r="AP99" i="2" l="1"/>
  <c r="AQ99" i="2" l="1"/>
  <c r="X99" i="2"/>
  <c r="Y99" i="2" s="1"/>
  <c r="Z99" i="2" s="1"/>
  <c r="A8" i="19" l="1"/>
  <c r="A9" i="19" s="1"/>
  <c r="A10" i="19" s="1"/>
  <c r="E9" i="1" l="1"/>
  <c r="U243" i="2" l="1"/>
  <c r="X243" i="2" l="1"/>
  <c r="Y243" i="2" s="1"/>
  <c r="Z243" i="2" s="1"/>
  <c r="E24" i="1"/>
  <c r="AP243" i="2" l="1"/>
  <c r="AP231" i="2"/>
  <c r="AP221" i="2"/>
  <c r="AP220" i="2"/>
  <c r="AP129" i="2"/>
  <c r="AP128" i="2"/>
  <c r="AP127" i="2"/>
  <c r="AP126" i="2"/>
  <c r="AP125" i="2"/>
  <c r="AP124" i="2"/>
  <c r="AP123" i="2"/>
  <c r="AP122" i="2"/>
  <c r="AP121" i="2"/>
  <c r="AP120" i="2"/>
  <c r="AP119" i="2"/>
  <c r="AP118" i="2"/>
  <c r="AP117" i="2"/>
  <c r="AP116" i="2"/>
  <c r="AP115" i="2"/>
  <c r="AP114" i="2"/>
  <c r="AP113" i="2"/>
  <c r="AP112" i="2"/>
  <c r="AP111" i="2"/>
  <c r="AP110" i="2"/>
  <c r="AP109" i="2"/>
  <c r="AP108" i="2"/>
  <c r="AP107" i="2"/>
  <c r="AP106" i="2"/>
  <c r="AP105" i="2"/>
  <c r="AP104" i="2"/>
  <c r="AP103" i="2"/>
  <c r="AP102" i="2"/>
  <c r="AP73" i="2"/>
  <c r="AP72" i="2"/>
  <c r="AP71" i="2"/>
  <c r="AP70" i="2"/>
  <c r="AP69" i="2"/>
  <c r="AP68" i="2"/>
  <c r="AP67" i="2"/>
  <c r="AP66" i="2"/>
  <c r="AP65" i="2"/>
  <c r="AP64" i="2"/>
  <c r="AP43" i="2"/>
  <c r="AP42" i="2"/>
  <c r="AP41" i="2"/>
  <c r="AP40" i="2"/>
  <c r="AP39" i="2"/>
  <c r="AQ40" i="2" l="1"/>
  <c r="AQ73" i="2"/>
  <c r="AQ39" i="2"/>
  <c r="AQ66" i="2"/>
  <c r="AQ71" i="2"/>
  <c r="AQ243" i="2"/>
  <c r="AQ42" i="2"/>
  <c r="AQ67" i="2"/>
  <c r="AQ221" i="2"/>
  <c r="AQ220" i="2"/>
  <c r="AQ68" i="2"/>
  <c r="AQ231" i="2"/>
  <c r="AQ72" i="2"/>
  <c r="AQ41" i="2"/>
  <c r="AQ64" i="2"/>
  <c r="AQ69" i="2"/>
  <c r="AQ70" i="2"/>
  <c r="AQ43" i="2"/>
  <c r="AQ65" i="2"/>
  <c r="AQ102" i="2"/>
  <c r="AQ116" i="2"/>
  <c r="AQ119" i="2"/>
  <c r="AQ108" i="2"/>
  <c r="AQ120" i="2"/>
  <c r="AQ107" i="2"/>
  <c r="AQ124" i="2"/>
  <c r="AQ109" i="2"/>
  <c r="AQ113" i="2"/>
  <c r="AQ103" i="2"/>
  <c r="AQ117" i="2"/>
  <c r="AQ125" i="2"/>
  <c r="AQ104" i="2"/>
  <c r="AQ110" i="2"/>
  <c r="AQ118" i="2"/>
  <c r="AQ121" i="2"/>
  <c r="AQ128" i="2"/>
  <c r="AQ105" i="2"/>
  <c r="AQ111" i="2"/>
  <c r="AQ114" i="2"/>
  <c r="AQ122" i="2"/>
  <c r="AQ129" i="2"/>
  <c r="AQ106" i="2"/>
  <c r="AQ112" i="2"/>
  <c r="AQ115" i="2"/>
  <c r="AQ126" i="2"/>
  <c r="AQ123" i="2"/>
  <c r="AQ127" i="2"/>
  <c r="E21" i="1" l="1"/>
  <c r="H4" i="24" l="1"/>
  <c r="D30" i="24" s="1"/>
  <c r="I26" i="1" l="1"/>
  <c r="I25" i="1"/>
  <c r="I23" i="1"/>
  <c r="I22" i="1"/>
  <c r="I14" i="1"/>
  <c r="I13" i="1"/>
  <c r="I11" i="1"/>
  <c r="I10" i="1"/>
  <c r="AC24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X43" i="2" s="1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T138" i="2"/>
  <c r="U138" i="2" s="1"/>
  <c r="T139" i="2"/>
  <c r="U139" i="2" s="1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F257" i="2"/>
  <c r="E10" i="1"/>
  <c r="D11" i="1"/>
  <c r="G12" i="1"/>
  <c r="D13" i="1"/>
  <c r="D16" i="1"/>
  <c r="E16" i="1"/>
  <c r="F18" i="1"/>
  <c r="G24" i="1"/>
  <c r="I28" i="1" l="1"/>
  <c r="C30" i="1"/>
  <c r="E13" i="1"/>
  <c r="G13" i="1" s="1"/>
  <c r="E11" i="1"/>
  <c r="AP237" i="2"/>
  <c r="AP56" i="2"/>
  <c r="AP235" i="2"/>
  <c r="AP238" i="2"/>
  <c r="AP30" i="2"/>
  <c r="AP193" i="2"/>
  <c r="AP33" i="2"/>
  <c r="AP197" i="2"/>
  <c r="AP189" i="2"/>
  <c r="AP36" i="2"/>
  <c r="AP28" i="2"/>
  <c r="AP195" i="2"/>
  <c r="AP192" i="2"/>
  <c r="AP188" i="2"/>
  <c r="AP96" i="2"/>
  <c r="AP59" i="2"/>
  <c r="AP31" i="2"/>
  <c r="AP187" i="2"/>
  <c r="AP95" i="2"/>
  <c r="AP34" i="2"/>
  <c r="AP241" i="2"/>
  <c r="AP239" i="2"/>
  <c r="AP191" i="2"/>
  <c r="AP94" i="2"/>
  <c r="AP58" i="2"/>
  <c r="AP37" i="2"/>
  <c r="AP29" i="2"/>
  <c r="AP236" i="2"/>
  <c r="AP32" i="2"/>
  <c r="AP26" i="2"/>
  <c r="AP196" i="2"/>
  <c r="AP93" i="2"/>
  <c r="AP92" i="2"/>
  <c r="AP57" i="2"/>
  <c r="AP35" i="2"/>
  <c r="AP27" i="2"/>
  <c r="J24" i="1"/>
  <c r="A40" i="2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P185" i="2"/>
  <c r="AP183" i="2"/>
  <c r="AP186" i="2"/>
  <c r="AP184" i="2"/>
  <c r="AP182" i="2"/>
  <c r="AP194" i="2"/>
  <c r="X53" i="2"/>
  <c r="AP87" i="2"/>
  <c r="AP54" i="2"/>
  <c r="AP55" i="2"/>
  <c r="AP181" i="2"/>
  <c r="AP173" i="2"/>
  <c r="AP234" i="2"/>
  <c r="AP84" i="2"/>
  <c r="AP233" i="2"/>
  <c r="AP178" i="2"/>
  <c r="AP53" i="2"/>
  <c r="AP177" i="2"/>
  <c r="AP86" i="2"/>
  <c r="AP85" i="2"/>
  <c r="AP176" i="2"/>
  <c r="AP230" i="2"/>
  <c r="AP91" i="2"/>
  <c r="AP90" i="2"/>
  <c r="AP163" i="2"/>
  <c r="AP47" i="2"/>
  <c r="AP170" i="2"/>
  <c r="AP166" i="2"/>
  <c r="AP52" i="2"/>
  <c r="AP229" i="2"/>
  <c r="AP169" i="2"/>
  <c r="AP165" i="2"/>
  <c r="AP89" i="2"/>
  <c r="AP88" i="2"/>
  <c r="AP80" i="2"/>
  <c r="AP51" i="2"/>
  <c r="AP242" i="2"/>
  <c r="AP172" i="2"/>
  <c r="AP168" i="2"/>
  <c r="AP164" i="2"/>
  <c r="AP50" i="2"/>
  <c r="AP171" i="2"/>
  <c r="AP49" i="2"/>
  <c r="AP167" i="2"/>
  <c r="AP82" i="2"/>
  <c r="AP228" i="2"/>
  <c r="J12" i="1"/>
  <c r="C36" i="1"/>
  <c r="AP159" i="2"/>
  <c r="AP134" i="2"/>
  <c r="AP46" i="2"/>
  <c r="AP155" i="2"/>
  <c r="AP145" i="2"/>
  <c r="AP132" i="2"/>
  <c r="AP157" i="2"/>
  <c r="AP143" i="2"/>
  <c r="AP130" i="2"/>
  <c r="AP75" i="2"/>
  <c r="AP154" i="2"/>
  <c r="AP152" i="2"/>
  <c r="AP146" i="2"/>
  <c r="AP144" i="2"/>
  <c r="AP133" i="2"/>
  <c r="AP131" i="2"/>
  <c r="AP97" i="2"/>
  <c r="AP162" i="2"/>
  <c r="AP225" i="2"/>
  <c r="AP141" i="2"/>
  <c r="AP137" i="2"/>
  <c r="AP44" i="2"/>
  <c r="AP135" i="2"/>
  <c r="AP74" i="2"/>
  <c r="X64" i="2"/>
  <c r="Y64" i="2" s="1"/>
  <c r="Z64" i="2" s="1"/>
  <c r="AP224" i="2"/>
  <c r="AP150" i="2"/>
  <c r="AP148" i="2"/>
  <c r="AP158" i="2"/>
  <c r="AP223" i="2"/>
  <c r="AP77" i="2"/>
  <c r="AP226" i="2"/>
  <c r="AP222" i="2"/>
  <c r="AP227" i="2"/>
  <c r="AP142" i="2"/>
  <c r="AP140" i="2"/>
  <c r="AP160" i="2"/>
  <c r="AP79" i="2"/>
  <c r="AP161" i="2"/>
  <c r="AP153" i="2"/>
  <c r="AP151" i="2"/>
  <c r="AP149" i="2"/>
  <c r="AP147" i="2"/>
  <c r="AP136" i="2"/>
  <c r="AP98" i="2"/>
  <c r="AP45" i="2"/>
  <c r="I18" i="1"/>
  <c r="Y43" i="2"/>
  <c r="Z43" i="2" s="1"/>
  <c r="X220" i="2"/>
  <c r="Y220" i="2" s="1"/>
  <c r="Z220" i="2" s="1"/>
  <c r="X223" i="2"/>
  <c r="Y223" i="2" s="1"/>
  <c r="Z223" i="2" s="1"/>
  <c r="X72" i="2"/>
  <c r="Y72" i="2" s="1"/>
  <c r="Z72" i="2" s="1"/>
  <c r="X112" i="2"/>
  <c r="Y112" i="2" s="1"/>
  <c r="Z112" i="2" s="1"/>
  <c r="X116" i="2"/>
  <c r="Y116" i="2" s="1"/>
  <c r="Z116" i="2" s="1"/>
  <c r="X107" i="2"/>
  <c r="Y107" i="2" s="1"/>
  <c r="Z107" i="2" s="1"/>
  <c r="X118" i="2"/>
  <c r="Y118" i="2" s="1"/>
  <c r="Z118" i="2" s="1"/>
  <c r="X104" i="2"/>
  <c r="Y104" i="2" s="1"/>
  <c r="Z104" i="2" s="1"/>
  <c r="X129" i="2"/>
  <c r="Y129" i="2" s="1"/>
  <c r="Z129" i="2" s="1"/>
  <c r="X66" i="2"/>
  <c r="Y66" i="2" s="1"/>
  <c r="Z66" i="2" s="1"/>
  <c r="X231" i="2"/>
  <c r="Y231" i="2" s="1"/>
  <c r="Z231" i="2" s="1"/>
  <c r="X42" i="2"/>
  <c r="Y42" i="2" s="1"/>
  <c r="Z42" i="2" s="1"/>
  <c r="X111" i="2"/>
  <c r="Y111" i="2" s="1"/>
  <c r="Z111" i="2" s="1"/>
  <c r="X114" i="2"/>
  <c r="X40" i="2"/>
  <c r="Y40" i="2" s="1"/>
  <c r="Z40" i="2" s="1"/>
  <c r="G10" i="1"/>
  <c r="J10" i="1" s="1"/>
  <c r="X127" i="2"/>
  <c r="X109" i="2"/>
  <c r="X106" i="2"/>
  <c r="X102" i="2"/>
  <c r="X122" i="2"/>
  <c r="Y122" i="2" s="1"/>
  <c r="Z122" i="2" s="1"/>
  <c r="X126" i="2"/>
  <c r="X123" i="2"/>
  <c r="X121" i="2"/>
  <c r="X120" i="2"/>
  <c r="Y120" i="2" s="1"/>
  <c r="Z120" i="2" s="1"/>
  <c r="X73" i="2"/>
  <c r="X67" i="2"/>
  <c r="X115" i="2"/>
  <c r="X71" i="2"/>
  <c r="X69" i="2"/>
  <c r="X65" i="2"/>
  <c r="X39" i="2"/>
  <c r="X70" i="2"/>
  <c r="X68" i="2"/>
  <c r="X41" i="2"/>
  <c r="X128" i="2"/>
  <c r="X124" i="2"/>
  <c r="X119" i="2"/>
  <c r="X117" i="2"/>
  <c r="X113" i="2"/>
  <c r="X133" i="2"/>
  <c r="Y133" i="2" s="1"/>
  <c r="Z133" i="2" s="1"/>
  <c r="X108" i="2"/>
  <c r="X103" i="2"/>
  <c r="X105" i="2"/>
  <c r="Y105" i="2" s="1"/>
  <c r="Z105" i="2" s="1"/>
  <c r="G14" i="1"/>
  <c r="X221" i="2"/>
  <c r="X132" i="2"/>
  <c r="X125" i="2"/>
  <c r="X110" i="2"/>
  <c r="AP24" i="2"/>
  <c r="AQ24" i="2" s="1"/>
  <c r="G16" i="1"/>
  <c r="C32" i="1" s="1"/>
  <c r="G9" i="1"/>
  <c r="D18" i="1"/>
  <c r="E23" i="1" l="1"/>
  <c r="AQ46" i="2"/>
  <c r="AQ77" i="2"/>
  <c r="AQ50" i="2"/>
  <c r="AQ230" i="2"/>
  <c r="AQ27" i="2"/>
  <c r="AQ33" i="2"/>
  <c r="AQ238" i="2"/>
  <c r="AQ56" i="2"/>
  <c r="AQ52" i="2"/>
  <c r="AQ95" i="2"/>
  <c r="AQ75" i="2"/>
  <c r="AQ82" i="2"/>
  <c r="AQ45" i="2"/>
  <c r="AQ227" i="2"/>
  <c r="AQ51" i="2"/>
  <c r="AQ85" i="2"/>
  <c r="AQ54" i="2"/>
  <c r="AQ35" i="2"/>
  <c r="AQ29" i="2"/>
  <c r="AQ94" i="2"/>
  <c r="AQ98" i="2"/>
  <c r="AQ223" i="2"/>
  <c r="AQ225" i="2"/>
  <c r="AQ49" i="2"/>
  <c r="AQ80" i="2"/>
  <c r="AQ229" i="2"/>
  <c r="AQ90" i="2"/>
  <c r="AQ86" i="2"/>
  <c r="AQ57" i="2"/>
  <c r="AQ37" i="2"/>
  <c r="AQ236" i="2"/>
  <c r="AQ228" i="2"/>
  <c r="AQ47" i="2"/>
  <c r="AQ91" i="2"/>
  <c r="AQ233" i="2"/>
  <c r="AQ58" i="2"/>
  <c r="AQ34" i="2"/>
  <c r="AQ30" i="2"/>
  <c r="AQ222" i="2"/>
  <c r="AQ88" i="2"/>
  <c r="AQ87" i="2"/>
  <c r="AQ239" i="2"/>
  <c r="AQ31" i="2"/>
  <c r="AQ237" i="2"/>
  <c r="AQ44" i="2"/>
  <c r="AQ97" i="2"/>
  <c r="AQ89" i="2"/>
  <c r="AQ84" i="2"/>
  <c r="AQ241" i="2"/>
  <c r="AQ79" i="2"/>
  <c r="AQ242" i="2"/>
  <c r="AQ53" i="2"/>
  <c r="AQ234" i="2"/>
  <c r="AQ55" i="2"/>
  <c r="AQ59" i="2"/>
  <c r="AQ28" i="2"/>
  <c r="AQ26" i="2"/>
  <c r="AQ226" i="2"/>
  <c r="AQ32" i="2"/>
  <c r="AQ224" i="2"/>
  <c r="AQ96" i="2"/>
  <c r="AQ36" i="2"/>
  <c r="AQ235" i="2"/>
  <c r="AQ148" i="2"/>
  <c r="AQ152" i="2"/>
  <c r="AQ132" i="2"/>
  <c r="AQ159" i="2"/>
  <c r="AQ168" i="2"/>
  <c r="AQ183" i="2"/>
  <c r="AQ154" i="2"/>
  <c r="AQ197" i="2"/>
  <c r="AQ147" i="2"/>
  <c r="AQ158" i="2"/>
  <c r="AQ150" i="2"/>
  <c r="AQ137" i="2"/>
  <c r="AQ155" i="2"/>
  <c r="AQ173" i="2"/>
  <c r="AQ185" i="2"/>
  <c r="AQ145" i="2"/>
  <c r="AQ149" i="2"/>
  <c r="AQ141" i="2"/>
  <c r="AQ171" i="2"/>
  <c r="AQ176" i="2"/>
  <c r="AQ194" i="2"/>
  <c r="AQ188" i="2"/>
  <c r="AQ193" i="2"/>
  <c r="AQ172" i="2"/>
  <c r="AQ177" i="2"/>
  <c r="AQ151" i="2"/>
  <c r="AQ160" i="2"/>
  <c r="AQ131" i="2"/>
  <c r="AQ182" i="2"/>
  <c r="AQ192" i="2"/>
  <c r="AQ153" i="2"/>
  <c r="AQ140" i="2"/>
  <c r="AQ133" i="2"/>
  <c r="AQ130" i="2"/>
  <c r="AQ163" i="2"/>
  <c r="AQ181" i="2"/>
  <c r="AQ196" i="2"/>
  <c r="AQ189" i="2"/>
  <c r="AQ136" i="2"/>
  <c r="AQ142" i="2"/>
  <c r="AQ144" i="2"/>
  <c r="AQ143" i="2"/>
  <c r="AQ167" i="2"/>
  <c r="AQ165" i="2"/>
  <c r="AQ166" i="2"/>
  <c r="AQ184" i="2"/>
  <c r="AQ187" i="2"/>
  <c r="AQ195" i="2"/>
  <c r="AQ161" i="2"/>
  <c r="AQ135" i="2"/>
  <c r="AQ162" i="2"/>
  <c r="AQ146" i="2"/>
  <c r="AQ157" i="2"/>
  <c r="AQ134" i="2"/>
  <c r="AQ164" i="2"/>
  <c r="AQ169" i="2"/>
  <c r="AQ170" i="2"/>
  <c r="AQ178" i="2"/>
  <c r="AQ186" i="2"/>
  <c r="AQ191" i="2"/>
  <c r="AC257" i="2"/>
  <c r="AQ74" i="2"/>
  <c r="AQ92" i="2"/>
  <c r="G11" i="1"/>
  <c r="J11" i="1" s="1"/>
  <c r="D21" i="1"/>
  <c r="D22" i="1"/>
  <c r="Y53" i="2"/>
  <c r="Z53" i="2" s="1"/>
  <c r="AP232" i="2"/>
  <c r="E22" i="1"/>
  <c r="J16" i="1"/>
  <c r="J14" i="1"/>
  <c r="J13" i="1"/>
  <c r="J9" i="1"/>
  <c r="X130" i="2"/>
  <c r="Y130" i="2" s="1"/>
  <c r="Z130" i="2" s="1"/>
  <c r="X131" i="2"/>
  <c r="Y131" i="2" s="1"/>
  <c r="Z131" i="2" s="1"/>
  <c r="X233" i="2"/>
  <c r="Y233" i="2" s="1"/>
  <c r="Z233" i="2" s="1"/>
  <c r="AP138" i="2"/>
  <c r="AP139" i="2"/>
  <c r="X239" i="2"/>
  <c r="Y239" i="2" s="1"/>
  <c r="Z239" i="2" s="1"/>
  <c r="X52" i="2"/>
  <c r="Y52" i="2" s="1"/>
  <c r="Z52" i="2" s="1"/>
  <c r="X37" i="2"/>
  <c r="Y37" i="2" s="1"/>
  <c r="Z37" i="2" s="1"/>
  <c r="X194" i="2"/>
  <c r="Y194" i="2" s="1"/>
  <c r="Z194" i="2" s="1"/>
  <c r="X232" i="2"/>
  <c r="Y232" i="2" s="1"/>
  <c r="Z232" i="2" s="1"/>
  <c r="X144" i="2"/>
  <c r="Y144" i="2" s="1"/>
  <c r="Z144" i="2" s="1"/>
  <c r="X46" i="2"/>
  <c r="Y46" i="2" s="1"/>
  <c r="Z46" i="2" s="1"/>
  <c r="X79" i="2"/>
  <c r="Y79" i="2" s="1"/>
  <c r="Z79" i="2" s="1"/>
  <c r="X159" i="2"/>
  <c r="Y159" i="2" s="1"/>
  <c r="Z159" i="2" s="1"/>
  <c r="X34" i="2"/>
  <c r="Y34" i="2" s="1"/>
  <c r="Z34" i="2" s="1"/>
  <c r="X188" i="2"/>
  <c r="Y188" i="2" s="1"/>
  <c r="Z188" i="2" s="1"/>
  <c r="X150" i="2"/>
  <c r="Y150" i="2" s="1"/>
  <c r="Z150" i="2" s="1"/>
  <c r="X230" i="2"/>
  <c r="Y230" i="2" s="1"/>
  <c r="Z230" i="2" s="1"/>
  <c r="X167" i="2"/>
  <c r="Y167" i="2" s="1"/>
  <c r="Z167" i="2" s="1"/>
  <c r="X180" i="2"/>
  <c r="Y180" i="2" s="1"/>
  <c r="Z180" i="2" s="1"/>
  <c r="AP180" i="2"/>
  <c r="X38" i="2"/>
  <c r="Y38" i="2" s="1"/>
  <c r="Z38" i="2" s="1"/>
  <c r="AP38" i="2"/>
  <c r="X78" i="2"/>
  <c r="Y78" i="2" s="1"/>
  <c r="Z78" i="2" s="1"/>
  <c r="AP78" i="2"/>
  <c r="X80" i="2"/>
  <c r="Y80" i="2" s="1"/>
  <c r="Z80" i="2" s="1"/>
  <c r="X57" i="2"/>
  <c r="Y57" i="2" s="1"/>
  <c r="Z57" i="2" s="1"/>
  <c r="X85" i="2"/>
  <c r="Y85" i="2" s="1"/>
  <c r="Z85" i="2" s="1"/>
  <c r="X168" i="2"/>
  <c r="Y168" i="2" s="1"/>
  <c r="Z168" i="2" s="1"/>
  <c r="X134" i="2"/>
  <c r="Y134" i="2" s="1"/>
  <c r="Z134" i="2" s="1"/>
  <c r="X48" i="2"/>
  <c r="Y48" i="2" s="1"/>
  <c r="Z48" i="2" s="1"/>
  <c r="AP48" i="2"/>
  <c r="X76" i="2"/>
  <c r="Y76" i="2" s="1"/>
  <c r="Z76" i="2" s="1"/>
  <c r="AP76" i="2"/>
  <c r="X81" i="2"/>
  <c r="Y81" i="2" s="1"/>
  <c r="Z81" i="2" s="1"/>
  <c r="AP81" i="2"/>
  <c r="X175" i="2"/>
  <c r="Y175" i="2" s="1"/>
  <c r="Z175" i="2" s="1"/>
  <c r="AP175" i="2"/>
  <c r="X179" i="2"/>
  <c r="Y179" i="2" s="1"/>
  <c r="Z179" i="2" s="1"/>
  <c r="AP179" i="2"/>
  <c r="X190" i="2"/>
  <c r="Y190" i="2" s="1"/>
  <c r="Z190" i="2" s="1"/>
  <c r="AP190" i="2"/>
  <c r="X156" i="2"/>
  <c r="Y156" i="2" s="1"/>
  <c r="Z156" i="2" s="1"/>
  <c r="AP156" i="2"/>
  <c r="X240" i="2"/>
  <c r="Y240" i="2" s="1"/>
  <c r="Z240" i="2" s="1"/>
  <c r="AP240" i="2"/>
  <c r="X174" i="2"/>
  <c r="Y174" i="2" s="1"/>
  <c r="Z174" i="2" s="1"/>
  <c r="AP174" i="2"/>
  <c r="X84" i="2"/>
  <c r="Y84" i="2" s="1"/>
  <c r="Z84" i="2" s="1"/>
  <c r="X75" i="2"/>
  <c r="Y75" i="2" s="1"/>
  <c r="Z75" i="2" s="1"/>
  <c r="X83" i="2"/>
  <c r="Y83" i="2" s="1"/>
  <c r="Z83" i="2" s="1"/>
  <c r="AP83" i="2"/>
  <c r="X96" i="2"/>
  <c r="Y96" i="2" s="1"/>
  <c r="Z96" i="2" s="1"/>
  <c r="X89" i="2"/>
  <c r="Y89" i="2" s="1"/>
  <c r="Z89" i="2" s="1"/>
  <c r="X155" i="2"/>
  <c r="Y155" i="2" s="1"/>
  <c r="Z155" i="2" s="1"/>
  <c r="X224" i="2"/>
  <c r="Y224" i="2" s="1"/>
  <c r="Z224" i="2" s="1"/>
  <c r="X93" i="2"/>
  <c r="Y93" i="2" s="1"/>
  <c r="Z93" i="2" s="1"/>
  <c r="AQ93" i="2"/>
  <c r="X94" i="2"/>
  <c r="Y94" i="2" s="1"/>
  <c r="Z94" i="2" s="1"/>
  <c r="X142" i="2"/>
  <c r="Y142" i="2" s="1"/>
  <c r="Z142" i="2" s="1"/>
  <c r="X27" i="2"/>
  <c r="Y27" i="2" s="1"/>
  <c r="Z27" i="2" s="1"/>
  <c r="X26" i="2"/>
  <c r="Y26" i="2" s="1"/>
  <c r="Z26" i="2" s="1"/>
  <c r="X92" i="2"/>
  <c r="Y92" i="2" s="1"/>
  <c r="Z92" i="2" s="1"/>
  <c r="X236" i="2"/>
  <c r="Y236" i="2" s="1"/>
  <c r="Z236" i="2" s="1"/>
  <c r="X164" i="2"/>
  <c r="Y164" i="2" s="1"/>
  <c r="Z164" i="2" s="1"/>
  <c r="X44" i="2"/>
  <c r="Y44" i="2" s="1"/>
  <c r="Z44" i="2" s="1"/>
  <c r="X82" i="2"/>
  <c r="Y82" i="2" s="1"/>
  <c r="Z82" i="2" s="1"/>
  <c r="X95" i="2"/>
  <c r="Y95" i="2" s="1"/>
  <c r="Z95" i="2" s="1"/>
  <c r="X32" i="2"/>
  <c r="Y32" i="2" s="1"/>
  <c r="Z32" i="2" s="1"/>
  <c r="X30" i="2"/>
  <c r="Y30" i="2" s="1"/>
  <c r="Z30" i="2" s="1"/>
  <c r="X55" i="2"/>
  <c r="Y55" i="2" s="1"/>
  <c r="Z55" i="2" s="1"/>
  <c r="Y127" i="2"/>
  <c r="Z127" i="2" s="1"/>
  <c r="X141" i="2"/>
  <c r="Y141" i="2" s="1"/>
  <c r="Z141" i="2" s="1"/>
  <c r="X28" i="2"/>
  <c r="Y28" i="2" s="1"/>
  <c r="Z28" i="2" s="1"/>
  <c r="X137" i="2"/>
  <c r="Y137" i="2" s="1"/>
  <c r="Z137" i="2" s="1"/>
  <c r="Y128" i="2"/>
  <c r="Z128" i="2" s="1"/>
  <c r="X45" i="2"/>
  <c r="Y45" i="2" s="1"/>
  <c r="Z45" i="2" s="1"/>
  <c r="X166" i="2"/>
  <c r="Y166" i="2" s="1"/>
  <c r="Z166" i="2" s="1"/>
  <c r="X136" i="2"/>
  <c r="Y136" i="2" s="1"/>
  <c r="Z136" i="2" s="1"/>
  <c r="T257" i="2"/>
  <c r="X90" i="2"/>
  <c r="Y90" i="2" s="1"/>
  <c r="Z90" i="2" s="1"/>
  <c r="Y117" i="2"/>
  <c r="Z117" i="2" s="1"/>
  <c r="X154" i="2"/>
  <c r="Y154" i="2" s="1"/>
  <c r="Z154" i="2" s="1"/>
  <c r="X226" i="2"/>
  <c r="Y226" i="2" s="1"/>
  <c r="Z226" i="2" s="1"/>
  <c r="X225" i="2"/>
  <c r="Y225" i="2" s="1"/>
  <c r="Z225" i="2" s="1"/>
  <c r="X187" i="2"/>
  <c r="Y187" i="2" s="1"/>
  <c r="Z187" i="2" s="1"/>
  <c r="X192" i="2"/>
  <c r="Y192" i="2" s="1"/>
  <c r="Z192" i="2" s="1"/>
  <c r="X241" i="2"/>
  <c r="Y241" i="2" s="1"/>
  <c r="Z241" i="2" s="1"/>
  <c r="X98" i="2"/>
  <c r="Y98" i="2" s="1"/>
  <c r="Z98" i="2" s="1"/>
  <c r="X157" i="2"/>
  <c r="Y157" i="2" s="1"/>
  <c r="Z157" i="2" s="1"/>
  <c r="X229" i="2"/>
  <c r="Y229" i="2" s="1"/>
  <c r="Z229" i="2" s="1"/>
  <c r="X77" i="2"/>
  <c r="Y77" i="2" s="1"/>
  <c r="Z77" i="2" s="1"/>
  <c r="X87" i="2"/>
  <c r="Y87" i="2" s="1"/>
  <c r="Z87" i="2" s="1"/>
  <c r="X35" i="2"/>
  <c r="Y35" i="2" s="1"/>
  <c r="Z35" i="2" s="1"/>
  <c r="X88" i="2"/>
  <c r="Y88" i="2" s="1"/>
  <c r="Z88" i="2" s="1"/>
  <c r="X149" i="2"/>
  <c r="Y149" i="2" s="1"/>
  <c r="Z149" i="2" s="1"/>
  <c r="X140" i="2"/>
  <c r="Y140" i="2" s="1"/>
  <c r="Z140" i="2" s="1"/>
  <c r="X29" i="2"/>
  <c r="Y29" i="2" s="1"/>
  <c r="Z29" i="2" s="1"/>
  <c r="Y121" i="2"/>
  <c r="Z121" i="2" s="1"/>
  <c r="X238" i="2"/>
  <c r="Y238" i="2" s="1"/>
  <c r="Z238" i="2" s="1"/>
  <c r="X161" i="2"/>
  <c r="Y161" i="2" s="1"/>
  <c r="Z161" i="2" s="1"/>
  <c r="Y123" i="2"/>
  <c r="Z123" i="2" s="1"/>
  <c r="Y126" i="2"/>
  <c r="Z126" i="2" s="1"/>
  <c r="X184" i="2"/>
  <c r="Y184" i="2" s="1"/>
  <c r="Z184" i="2" s="1"/>
  <c r="Y132" i="2"/>
  <c r="Z132" i="2" s="1"/>
  <c r="Y103" i="2"/>
  <c r="Z103" i="2" s="1"/>
  <c r="X160" i="2"/>
  <c r="Y160" i="2" s="1"/>
  <c r="Z160" i="2" s="1"/>
  <c r="X86" i="2"/>
  <c r="Y86" i="2" s="1"/>
  <c r="Z86" i="2" s="1"/>
  <c r="X172" i="2"/>
  <c r="Y172" i="2" s="1"/>
  <c r="Z172" i="2" s="1"/>
  <c r="X227" i="2"/>
  <c r="Y227" i="2" s="1"/>
  <c r="Z227" i="2" s="1"/>
  <c r="Y108" i="2"/>
  <c r="Z108" i="2" s="1"/>
  <c r="X91" i="2"/>
  <c r="Y91" i="2" s="1"/>
  <c r="Z91" i="2" s="1"/>
  <c r="X143" i="2"/>
  <c r="Y143" i="2" s="1"/>
  <c r="Z143" i="2" s="1"/>
  <c r="Y114" i="2"/>
  <c r="Z114" i="2" s="1"/>
  <c r="Y39" i="2"/>
  <c r="Z39" i="2" s="1"/>
  <c r="Y69" i="2"/>
  <c r="Z69" i="2" s="1"/>
  <c r="X222" i="2"/>
  <c r="Y222" i="2" s="1"/>
  <c r="Z222" i="2" s="1"/>
  <c r="Y102" i="2"/>
  <c r="Z102" i="2" s="1"/>
  <c r="Y106" i="2"/>
  <c r="Z106" i="2" s="1"/>
  <c r="X135" i="2"/>
  <c r="Y135" i="2" s="1"/>
  <c r="Z135" i="2" s="1"/>
  <c r="X191" i="2"/>
  <c r="Y191" i="2" s="1"/>
  <c r="Z191" i="2" s="1"/>
  <c r="X147" i="2"/>
  <c r="Y147" i="2" s="1"/>
  <c r="Z147" i="2" s="1"/>
  <c r="Y70" i="2"/>
  <c r="Z70" i="2" s="1"/>
  <c r="Y65" i="2"/>
  <c r="Z65" i="2" s="1"/>
  <c r="Y71" i="2"/>
  <c r="Z71" i="2" s="1"/>
  <c r="Y115" i="2"/>
  <c r="Z115" i="2" s="1"/>
  <c r="Y67" i="2"/>
  <c r="Z67" i="2" s="1"/>
  <c r="Y73" i="2"/>
  <c r="Z73" i="2" s="1"/>
  <c r="Y109" i="2"/>
  <c r="Z109" i="2" s="1"/>
  <c r="X169" i="2"/>
  <c r="Y169" i="2" s="1"/>
  <c r="Z169" i="2" s="1"/>
  <c r="X242" i="2"/>
  <c r="Y242" i="2" s="1"/>
  <c r="Z242" i="2" s="1"/>
  <c r="Y221" i="2"/>
  <c r="Z221" i="2" s="1"/>
  <c r="Y124" i="2"/>
  <c r="Z124" i="2" s="1"/>
  <c r="X152" i="2"/>
  <c r="Y152" i="2" s="1"/>
  <c r="Z152" i="2" s="1"/>
  <c r="X182" i="2"/>
  <c r="Y182" i="2" s="1"/>
  <c r="Z182" i="2" s="1"/>
  <c r="Y113" i="2"/>
  <c r="Z113" i="2" s="1"/>
  <c r="X50" i="2"/>
  <c r="Y50" i="2" s="1"/>
  <c r="Z50" i="2" s="1"/>
  <c r="Y119" i="2"/>
  <c r="Z119" i="2" s="1"/>
  <c r="Y41" i="2"/>
  <c r="Z41" i="2" s="1"/>
  <c r="Y68" i="2"/>
  <c r="Z68" i="2" s="1"/>
  <c r="X146" i="2"/>
  <c r="Y146" i="2" s="1"/>
  <c r="Z146" i="2" s="1"/>
  <c r="X51" i="2"/>
  <c r="Y51" i="2" s="1"/>
  <c r="Z51" i="2" s="1"/>
  <c r="X36" i="2"/>
  <c r="Y36" i="2" s="1"/>
  <c r="Z36" i="2" s="1"/>
  <c r="X158" i="2"/>
  <c r="Y158" i="2" s="1"/>
  <c r="Z158" i="2" s="1"/>
  <c r="X195" i="2"/>
  <c r="Y195" i="2" s="1"/>
  <c r="Z195" i="2" s="1"/>
  <c r="X235" i="2"/>
  <c r="Y235" i="2" s="1"/>
  <c r="Z235" i="2" s="1"/>
  <c r="Y125" i="2"/>
  <c r="Z125" i="2" s="1"/>
  <c r="X185" i="2"/>
  <c r="Y185" i="2" s="1"/>
  <c r="Z185" i="2" s="1"/>
  <c r="Y110" i="2"/>
  <c r="Z110" i="2" s="1"/>
  <c r="X165" i="2"/>
  <c r="Y165" i="2" s="1"/>
  <c r="Z165" i="2" s="1"/>
  <c r="X173" i="2"/>
  <c r="Y173" i="2" s="1"/>
  <c r="Z173" i="2" s="1"/>
  <c r="X178" i="2"/>
  <c r="Y178" i="2" s="1"/>
  <c r="Z178" i="2" s="1"/>
  <c r="X145" i="2"/>
  <c r="Y145" i="2" s="1"/>
  <c r="Z145" i="2" s="1"/>
  <c r="X153" i="2"/>
  <c r="Y153" i="2" s="1"/>
  <c r="Z153" i="2" s="1"/>
  <c r="X170" i="2"/>
  <c r="Y170" i="2" s="1"/>
  <c r="Z170" i="2" s="1"/>
  <c r="X162" i="2"/>
  <c r="Y162" i="2" s="1"/>
  <c r="Z162" i="2" s="1"/>
  <c r="X163" i="2"/>
  <c r="Y163" i="2" s="1"/>
  <c r="Z163" i="2" s="1"/>
  <c r="X148" i="2"/>
  <c r="Y148" i="2" s="1"/>
  <c r="Z148" i="2" s="1"/>
  <c r="X189" i="2"/>
  <c r="Y189" i="2" s="1"/>
  <c r="Z189" i="2" s="1"/>
  <c r="X181" i="2"/>
  <c r="Y181" i="2" s="1"/>
  <c r="Z181" i="2" s="1"/>
  <c r="X183" i="2"/>
  <c r="Y183" i="2" s="1"/>
  <c r="Z183" i="2" s="1"/>
  <c r="X171" i="2"/>
  <c r="Y171" i="2" s="1"/>
  <c r="Z171" i="2" s="1"/>
  <c r="X237" i="2"/>
  <c r="Y237" i="2" s="1"/>
  <c r="Z237" i="2" s="1"/>
  <c r="X151" i="2"/>
  <c r="Y151" i="2" s="1"/>
  <c r="Z151" i="2" s="1"/>
  <c r="X186" i="2"/>
  <c r="Y186" i="2" s="1"/>
  <c r="Z186" i="2" s="1"/>
  <c r="X197" i="2"/>
  <c r="Y197" i="2" s="1"/>
  <c r="Z197" i="2" s="1"/>
  <c r="X97" i="2"/>
  <c r="Y97" i="2" s="1"/>
  <c r="Z97" i="2" s="1"/>
  <c r="X49" i="2"/>
  <c r="Y49" i="2" s="1"/>
  <c r="Z49" i="2" s="1"/>
  <c r="X59" i="2"/>
  <c r="Y59" i="2" s="1"/>
  <c r="Z59" i="2" s="1"/>
  <c r="X176" i="2"/>
  <c r="Y176" i="2" s="1"/>
  <c r="Z176" i="2" s="1"/>
  <c r="X228" i="2"/>
  <c r="Y228" i="2" s="1"/>
  <c r="Z228" i="2" s="1"/>
  <c r="X58" i="2"/>
  <c r="Y58" i="2" s="1"/>
  <c r="Z58" i="2" s="1"/>
  <c r="X177" i="2"/>
  <c r="Y177" i="2" s="1"/>
  <c r="Z177" i="2" s="1"/>
  <c r="X193" i="2"/>
  <c r="Y193" i="2" s="1"/>
  <c r="Z193" i="2" s="1"/>
  <c r="X196" i="2"/>
  <c r="Y196" i="2" s="1"/>
  <c r="Z196" i="2" s="1"/>
  <c r="X234" i="2"/>
  <c r="Y234" i="2" s="1"/>
  <c r="Z234" i="2" s="1"/>
  <c r="X47" i="2"/>
  <c r="Y47" i="2" s="1"/>
  <c r="Z47" i="2" s="1"/>
  <c r="X54" i="2"/>
  <c r="Y54" i="2" s="1"/>
  <c r="Z54" i="2" s="1"/>
  <c r="X33" i="2"/>
  <c r="Y33" i="2" s="1"/>
  <c r="Z33" i="2" s="1"/>
  <c r="X56" i="2"/>
  <c r="Y56" i="2" s="1"/>
  <c r="Z56" i="2" s="1"/>
  <c r="X74" i="2"/>
  <c r="Y74" i="2" s="1"/>
  <c r="Z74" i="2" s="1"/>
  <c r="X31" i="2"/>
  <c r="Y31" i="2" s="1"/>
  <c r="Z31" i="2" s="1"/>
  <c r="AQ76" i="2" l="1"/>
  <c r="AQ48" i="2"/>
  <c r="AQ38" i="2"/>
  <c r="AQ83" i="2"/>
  <c r="AQ240" i="2"/>
  <c r="AQ81" i="2"/>
  <c r="AQ78" i="2"/>
  <c r="AQ232" i="2"/>
  <c r="AQ139" i="2"/>
  <c r="AQ138" i="2"/>
  <c r="AQ179" i="2"/>
  <c r="AQ156" i="2"/>
  <c r="AQ180" i="2"/>
  <c r="AQ175" i="2"/>
  <c r="AQ174" i="2"/>
  <c r="AQ190" i="2"/>
  <c r="E25" i="1"/>
  <c r="E26" i="1"/>
  <c r="G21" i="1"/>
  <c r="G22" i="1"/>
  <c r="J18" i="1"/>
  <c r="X139" i="2"/>
  <c r="Y139" i="2" s="1"/>
  <c r="Z139" i="2" s="1"/>
  <c r="D23" i="1"/>
  <c r="X138" i="2"/>
  <c r="Y138" i="2" s="1"/>
  <c r="Z138" i="2" s="1"/>
  <c r="J22" i="1" l="1"/>
  <c r="E28" i="1"/>
  <c r="J21" i="1"/>
  <c r="C33" i="1"/>
  <c r="C34" i="1"/>
  <c r="E18" i="1"/>
  <c r="G23" i="1" l="1"/>
  <c r="G18" i="1"/>
  <c r="J23" i="1" l="1"/>
  <c r="C35" i="1"/>
  <c r="G19" i="1"/>
  <c r="X246" i="2" l="1"/>
  <c r="Y246" i="2" s="1"/>
  <c r="Z246" i="2" s="1"/>
  <c r="D26" i="1"/>
  <c r="AP246" i="2"/>
  <c r="AQ246" i="2" l="1"/>
  <c r="G26" i="1"/>
  <c r="C38" i="1" l="1"/>
  <c r="J26" i="1"/>
  <c r="D25" i="1" l="1"/>
  <c r="D28" i="1" s="1"/>
  <c r="G25" i="1" l="1"/>
  <c r="G28" i="1" s="1"/>
  <c r="J25" i="1" l="1"/>
  <c r="J28" i="1" s="1"/>
  <c r="C37" i="1"/>
  <c r="C40" i="1" s="1"/>
  <c r="C31" i="1" s="1"/>
  <c r="G30" i="1"/>
  <c r="AX251" i="2" l="1"/>
  <c r="AP251" i="2"/>
  <c r="AQ251" i="2" l="1"/>
  <c r="AQ257" i="2" s="1"/>
  <c r="AP257" i="2"/>
  <c r="X251" i="2"/>
  <c r="Y251" i="2" l="1"/>
  <c r="Z25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sankyu</author>
  </authors>
  <commentList>
    <comment ref="C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Balance December 2018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sankyu</author>
    <author>Rifky Awalul Huda</author>
  </authors>
  <commentList>
    <comment ref="H2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Date of Aquicition
</t>
        </r>
      </text>
    </comment>
    <comment ref="J2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Journal Aquicition
Note : Insert Comment journal Payment</t>
        </r>
      </text>
    </comment>
    <comment ref="B88" authorId="0" shapeId="0" xr:uid="{77245F9A-846A-4B36-87EF-64BF0863640F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Previus Site : SMG</t>
        </r>
      </text>
    </comment>
    <comment ref="C88" authorId="0" shapeId="0" xr:uid="{92EE2D0C-171E-4B5E-B8E2-9DC50B24061D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Previus Job : 7CJ4</t>
        </r>
      </text>
    </comment>
    <comment ref="B89" authorId="0" shapeId="0" xr:uid="{21F67B20-51BC-4AB4-BB10-FA8BFA92325A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Previus Site : SMG</t>
        </r>
      </text>
    </comment>
    <comment ref="C89" authorId="0" shapeId="0" xr:uid="{5ED31946-DC89-45B3-AC01-2385A29C172A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Previus Job : 7CJ4</t>
        </r>
      </text>
    </comment>
    <comment ref="B90" authorId="0" shapeId="0" xr:uid="{B8510A9E-B65C-4745-B02B-DD9AC69EFC62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Previus Site : SMG</t>
        </r>
      </text>
    </comment>
    <comment ref="C90" authorId="0" shapeId="0" xr:uid="{3BAD4387-8DEA-4A28-8BCA-59A0A21060B3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Previus Job : 7CJ4</t>
        </r>
      </text>
    </comment>
    <comment ref="B91" authorId="0" shapeId="0" xr:uid="{9A323C3D-545E-45AD-8C78-7CFE7F0A7F4A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Previus Site : SMG</t>
        </r>
      </text>
    </comment>
    <comment ref="C91" authorId="0" shapeId="0" xr:uid="{13876034-C60B-4F29-9277-395B794BB2CD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Previus Job : 7CJ4</t>
        </r>
      </text>
    </comment>
    <comment ref="C97" authorId="1" shapeId="0" xr:uid="{FE62A279-93FB-492A-866C-6261FDA91083}">
      <text>
        <r>
          <rPr>
            <b/>
            <sz val="9"/>
            <color indexed="81"/>
            <rFont val="Tahoma"/>
            <family val="2"/>
          </rPr>
          <t>Rifky Awalul Huda:</t>
        </r>
        <r>
          <rPr>
            <sz val="9"/>
            <color indexed="81"/>
            <rFont val="Tahoma"/>
            <family val="2"/>
          </rPr>
          <t xml:space="preserve">
Finish Depre on Jul'25</t>
        </r>
      </text>
    </comment>
    <comment ref="C102" authorId="0" shapeId="0" xr:uid="{00000000-0006-0000-0100-000017000000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Prev : 7CL</t>
        </r>
      </text>
    </comment>
    <comment ref="C103" authorId="0" shapeId="0" xr:uid="{00000000-0006-0000-0100-000018000000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Prev : 7CL</t>
        </r>
      </text>
    </comment>
    <comment ref="C104" authorId="0" shapeId="0" xr:uid="{00000000-0006-0000-0100-00001A000000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Prev : 7CL</t>
        </r>
      </text>
    </comment>
    <comment ref="C106" authorId="0" shapeId="0" xr:uid="{00000000-0006-0000-0100-00001C000000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Prev : 7CL</t>
        </r>
      </text>
    </comment>
    <comment ref="C107" authorId="0" shapeId="0" xr:uid="{00000000-0006-0000-0100-00001E000000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Prev : 7CL</t>
        </r>
      </text>
    </comment>
    <comment ref="C108" authorId="0" shapeId="0" xr:uid="{00000000-0006-0000-0100-00001F000000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Prev : 7CL</t>
        </r>
      </text>
    </comment>
    <comment ref="C109" authorId="0" shapeId="0" xr:uid="{00000000-0006-0000-0100-000021000000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Prev : 7CL</t>
        </r>
      </text>
    </comment>
    <comment ref="C113" authorId="0" shapeId="0" xr:uid="{00000000-0006-0000-0100-00002E000000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Prev : 7CL</t>
        </r>
      </text>
    </comment>
    <comment ref="C114" authorId="0" shapeId="0" xr:uid="{00000000-0006-0000-0100-00002F000000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Prev : 7CL</t>
        </r>
      </text>
    </comment>
    <comment ref="C251" authorId="1" shapeId="0" xr:uid="{3BA20E0D-B620-443E-9570-FFB6CE4C7D55}">
      <text>
        <r>
          <rPr>
            <b/>
            <sz val="9"/>
            <color indexed="81"/>
            <rFont val="Tahoma"/>
            <family val="2"/>
          </rPr>
          <t>Rifky Awalul Huda:</t>
        </r>
        <r>
          <rPr>
            <sz val="9"/>
            <color indexed="81"/>
            <rFont val="Tahoma"/>
            <family val="2"/>
          </rPr>
          <t xml:space="preserve">
New Asset Start Oct'25</t>
        </r>
      </text>
    </comment>
    <comment ref="C252" authorId="1" shapeId="0" xr:uid="{F8E9D3A4-F5CF-40EF-99DA-3449FA768012}">
      <text>
        <r>
          <rPr>
            <b/>
            <sz val="9"/>
            <color indexed="81"/>
            <rFont val="Tahoma"/>
            <family val="2"/>
          </rPr>
          <t>Rifky Awalul Huda:</t>
        </r>
        <r>
          <rPr>
            <sz val="9"/>
            <color indexed="81"/>
            <rFont val="Tahoma"/>
            <family val="2"/>
          </rPr>
          <t xml:space="preserve">
New Asset Start Oct'25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sankyu</author>
    <author>Rifky Awalul Huda</author>
  </authors>
  <commentList>
    <comment ref="H23" authorId="0" shapeId="0" xr:uid="{E62C2063-85A3-42F0-BC3A-66D6219B033D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Date of Aquicition
</t>
        </r>
      </text>
    </comment>
    <comment ref="J23" authorId="0" shapeId="0" xr:uid="{C6063BE8-084B-461A-AB6E-B21114942A6F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Journal Aquicition
Note : Insert Comment journal Payment</t>
        </r>
      </text>
    </comment>
    <comment ref="B88" authorId="0" shapeId="0" xr:uid="{6EC06E88-53A6-4CEC-8F2B-197594DAA435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Previus Site : SMG</t>
        </r>
      </text>
    </comment>
    <comment ref="C88" authorId="0" shapeId="0" xr:uid="{972CB750-A242-4A5A-A693-4C5CC4E41E95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Previus Job : 7CJ4</t>
        </r>
      </text>
    </comment>
    <comment ref="B89" authorId="0" shapeId="0" xr:uid="{6D3D21D5-4BAE-44DF-AD57-BBDA61ABF2B4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Previus Site : SMG</t>
        </r>
      </text>
    </comment>
    <comment ref="C89" authorId="0" shapeId="0" xr:uid="{685EA946-F013-495A-88DB-D82875A7EFC4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Previus Job : 7CJ4</t>
        </r>
      </text>
    </comment>
    <comment ref="B90" authorId="0" shapeId="0" xr:uid="{83BCB124-FDA3-4669-9DB1-6CF8463C6A60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Previus Site : SMG</t>
        </r>
      </text>
    </comment>
    <comment ref="C90" authorId="0" shapeId="0" xr:uid="{7506E1A7-5EAA-4E90-9BEC-8691F4ED317D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Previus Job : 7CJ4</t>
        </r>
      </text>
    </comment>
    <comment ref="B91" authorId="0" shapeId="0" xr:uid="{BA87B111-3A17-4609-9B54-F87F25911C6B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Previus Site : SMG</t>
        </r>
      </text>
    </comment>
    <comment ref="C91" authorId="0" shapeId="0" xr:uid="{26F3953A-6E6D-46AD-8B95-799E929C7040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Previus Job : 7CJ4</t>
        </r>
      </text>
    </comment>
    <comment ref="C99" authorId="1" shapeId="0" xr:uid="{51C522A3-E7B4-4376-95F1-410F276CFAE5}">
      <text>
        <r>
          <rPr>
            <b/>
            <sz val="9"/>
            <color indexed="81"/>
            <rFont val="Tahoma"/>
            <family val="2"/>
          </rPr>
          <t>Rifky Awalul Huda:</t>
        </r>
        <r>
          <rPr>
            <sz val="9"/>
            <color indexed="81"/>
            <rFont val="Tahoma"/>
            <family val="2"/>
          </rPr>
          <t xml:space="preserve">
Finish Depre on Mar'26</t>
        </r>
      </text>
    </comment>
    <comment ref="C102" authorId="0" shapeId="0" xr:uid="{F586289F-7EEB-4A04-8E9C-0E0C32AA335E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Prev : 7CL</t>
        </r>
      </text>
    </comment>
    <comment ref="C103" authorId="0" shapeId="0" xr:uid="{FC59E173-795F-4016-AAC4-875BA41B523B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Prev : 7CL</t>
        </r>
      </text>
    </comment>
    <comment ref="C104" authorId="0" shapeId="0" xr:uid="{08280420-D4D2-48EE-98F4-DADB88106E08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Prev : 7CL</t>
        </r>
      </text>
    </comment>
    <comment ref="C106" authorId="0" shapeId="0" xr:uid="{9E7B07C3-9D41-40B2-A145-D1EDB6A05B67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Prev : 7CL</t>
        </r>
      </text>
    </comment>
    <comment ref="C107" authorId="0" shapeId="0" xr:uid="{7F2B74C7-4E9D-4D55-B18E-1F4ED3B004E3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Prev : 7CL</t>
        </r>
      </text>
    </comment>
    <comment ref="C108" authorId="0" shapeId="0" xr:uid="{BC33C210-D54A-4D1D-B718-9E8AF2EF19A1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Prev : 7CL</t>
        </r>
      </text>
    </comment>
    <comment ref="C109" authorId="0" shapeId="0" xr:uid="{C59934A7-D7EB-4EB1-9B41-D367304BCC57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Prev : 7CL</t>
        </r>
      </text>
    </comment>
    <comment ref="C113" authorId="0" shapeId="0" xr:uid="{C6BA32C6-085D-406B-9278-BCCDF8CBD9FB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Prev : 7CL</t>
        </r>
      </text>
    </comment>
    <comment ref="C114" authorId="0" shapeId="0" xr:uid="{96FA345C-3173-4A73-B950-244B317C4D98}">
      <text>
        <r>
          <rPr>
            <b/>
            <sz val="9"/>
            <color indexed="81"/>
            <rFont val="Tahoma"/>
            <family val="2"/>
          </rPr>
          <t>sankyu:</t>
        </r>
        <r>
          <rPr>
            <sz val="9"/>
            <color indexed="81"/>
            <rFont val="Tahoma"/>
            <family val="2"/>
          </rPr>
          <t xml:space="preserve">
Prev : 7CL</t>
        </r>
      </text>
    </comment>
    <comment ref="C244" authorId="1" shapeId="0" xr:uid="{1631C0A9-3FD2-4D58-B317-6A307A39203B}">
      <text>
        <r>
          <rPr>
            <b/>
            <sz val="9"/>
            <color indexed="81"/>
            <rFont val="Tahoma"/>
            <family val="2"/>
          </rPr>
          <t>Rifky Awalul Huda:</t>
        </r>
        <r>
          <rPr>
            <sz val="9"/>
            <color indexed="81"/>
            <rFont val="Tahoma"/>
            <family val="2"/>
          </rPr>
          <t xml:space="preserve">
Finish Depre on Jun'25</t>
        </r>
      </text>
    </comment>
    <comment ref="C248" authorId="1" shapeId="0" xr:uid="{7787BAB8-FAE6-45D5-AB49-86896121F64D}">
      <text>
        <r>
          <rPr>
            <b/>
            <sz val="9"/>
            <color indexed="81"/>
            <rFont val="Tahoma"/>
            <family val="2"/>
          </rPr>
          <t>Rifky Awalul Huda:</t>
        </r>
        <r>
          <rPr>
            <sz val="9"/>
            <color indexed="81"/>
            <rFont val="Tahoma"/>
            <family val="2"/>
          </rPr>
          <t xml:space="preserve">
Finish Depre on May'25</t>
        </r>
      </text>
    </comment>
    <comment ref="C251" authorId="1" shapeId="0" xr:uid="{0B651772-CE29-478A-B741-80FD99E861CF}">
      <text>
        <r>
          <rPr>
            <b/>
            <sz val="9"/>
            <color indexed="81"/>
            <rFont val="Tahoma"/>
            <family val="2"/>
          </rPr>
          <t>Rifky Awalul Huda:</t>
        </r>
        <r>
          <rPr>
            <sz val="9"/>
            <color indexed="81"/>
            <rFont val="Tahoma"/>
            <family val="2"/>
          </rPr>
          <t xml:space="preserve">
New Asset Start Oct'25</t>
        </r>
      </text>
    </comment>
    <comment ref="C252" authorId="1" shapeId="0" xr:uid="{58E5E7A3-296B-421C-86E9-313260799F74}">
      <text>
        <r>
          <rPr>
            <b/>
            <sz val="9"/>
            <color indexed="81"/>
            <rFont val="Tahoma"/>
            <family val="2"/>
          </rPr>
          <t>Rifky Awalul Huda:</t>
        </r>
        <r>
          <rPr>
            <sz val="9"/>
            <color indexed="81"/>
            <rFont val="Tahoma"/>
            <family val="2"/>
          </rPr>
          <t xml:space="preserve">
New Asset Start Oct'25</t>
        </r>
      </text>
    </comment>
    <comment ref="C253" authorId="1" shapeId="0" xr:uid="{D4AAFD78-4575-4E93-9B4E-B7F7BC88F19B}">
      <text>
        <r>
          <rPr>
            <b/>
            <sz val="9"/>
            <color indexed="81"/>
            <rFont val="Tahoma"/>
            <family val="2"/>
          </rPr>
          <t>Rifky Awalul Huda:</t>
        </r>
        <r>
          <rPr>
            <sz val="9"/>
            <color indexed="81"/>
            <rFont val="Tahoma"/>
            <family val="2"/>
          </rPr>
          <t xml:space="preserve">
New Asset Mar'26</t>
        </r>
      </text>
    </comment>
    <comment ref="C254" authorId="1" shapeId="0" xr:uid="{E40272CD-934B-4CC6-A699-90948C92FCD5}">
      <text>
        <r>
          <rPr>
            <b/>
            <sz val="9"/>
            <color indexed="81"/>
            <rFont val="Tahoma"/>
            <family val="2"/>
          </rPr>
          <t>Rifky Awalul Huda:</t>
        </r>
        <r>
          <rPr>
            <sz val="9"/>
            <color indexed="81"/>
            <rFont val="Tahoma"/>
            <family val="2"/>
          </rPr>
          <t xml:space="preserve">
New Asset Mar'26</t>
        </r>
      </text>
    </comment>
  </commentList>
</comments>
</file>

<file path=xl/sharedStrings.xml><?xml version="1.0" encoding="utf-8"?>
<sst xmlns="http://schemas.openxmlformats.org/spreadsheetml/2006/main" count="7302" uniqueCount="1750">
  <si>
    <t>TB July 2020</t>
  </si>
  <si>
    <t>Ledger account</t>
  </si>
  <si>
    <t>Name</t>
  </si>
  <si>
    <t>Opening balance</t>
  </si>
  <si>
    <t>Debit</t>
  </si>
  <si>
    <t>Credit</t>
  </si>
  <si>
    <t>Closing balance</t>
  </si>
  <si>
    <t>Land</t>
  </si>
  <si>
    <t>Buildings</t>
  </si>
  <si>
    <t>Structures</t>
  </si>
  <si>
    <t>Machinery &amp; Equipment</t>
  </si>
  <si>
    <t>Vehicles</t>
  </si>
  <si>
    <t>Tools, Furniture &amp; Fixtures</t>
  </si>
  <si>
    <t>Lease Hold Improvement Machine&amp; Equipment</t>
  </si>
  <si>
    <t>Down Payment: Machinary &amp; Equipment</t>
  </si>
  <si>
    <t>Lease Hold Improvement Vehicle</t>
  </si>
  <si>
    <t>Down Payment: Vehicles</t>
  </si>
  <si>
    <t>Down Payment: Building</t>
  </si>
  <si>
    <t>Down Payment: Tools, Furniture &amp; Fixtures</t>
  </si>
  <si>
    <t>Down Payment: Structures</t>
  </si>
  <si>
    <t>System &amp; Software</t>
  </si>
  <si>
    <t>Accumulated Depreciation: Building</t>
  </si>
  <si>
    <t>Accumulated Depreciation: Structures</t>
  </si>
  <si>
    <t>Accumulated Depreciation: Machine</t>
  </si>
  <si>
    <t>Accumulated Depreciation: Vehicles</t>
  </si>
  <si>
    <t>Accumulated Depreciation: Tools, Furniture &amp; Fixtures</t>
  </si>
  <si>
    <t>Accumulated Depreciation: System &amp; Software</t>
  </si>
  <si>
    <t>Gain from Sold FA Building</t>
  </si>
  <si>
    <t>Gain from Sold FA Machinary &amp; Equipment</t>
  </si>
  <si>
    <t>Gain from Sold FA Vehicles</t>
  </si>
  <si>
    <t>Gain from Sold FA Tools, Furniture &amp; Fixtures</t>
  </si>
  <si>
    <t>151*,152*,153*,154*,155*,156*,161*,251*,161*158*,42*,17*,254*</t>
  </si>
  <si>
    <t>PT. Sankyu Indonesia International</t>
  </si>
  <si>
    <t>Total of Fixed Asset</t>
  </si>
  <si>
    <t>No.</t>
  </si>
  <si>
    <t>Name of Fixed Assets</t>
  </si>
  <si>
    <t>Fixed Asset (List)</t>
  </si>
  <si>
    <t>Beginning Balance</t>
  </si>
  <si>
    <t>Additional</t>
  </si>
  <si>
    <t>Disposals</t>
  </si>
  <si>
    <t>Adjustment</t>
  </si>
  <si>
    <t>Ending Balace</t>
  </si>
  <si>
    <t>Total</t>
  </si>
  <si>
    <t>Different</t>
  </si>
  <si>
    <t>a</t>
  </si>
  <si>
    <t>b</t>
  </si>
  <si>
    <t>c = a - b</t>
  </si>
  <si>
    <t>Purchase Price</t>
  </si>
  <si>
    <t>152</t>
  </si>
  <si>
    <t>153</t>
  </si>
  <si>
    <t>154</t>
  </si>
  <si>
    <t>Machinery &amp; Equipments</t>
  </si>
  <si>
    <t>Vessels</t>
  </si>
  <si>
    <t>155</t>
  </si>
  <si>
    <t>156</t>
  </si>
  <si>
    <t>Tools, Furnitures &amp; Fixtures</t>
  </si>
  <si>
    <t>System</t>
  </si>
  <si>
    <t>151</t>
  </si>
  <si>
    <t>Construction In Process</t>
  </si>
  <si>
    <t>Grand Total</t>
  </si>
  <si>
    <t>Accumulated Depreciation (251)</t>
  </si>
  <si>
    <t>Fixed Asset (Net)</t>
  </si>
  <si>
    <t>Net Book Value (251)</t>
  </si>
  <si>
    <t>PT. SANKYU INDONESIA INTERNATIONAL</t>
  </si>
  <si>
    <t>LIST OF FIXED ASSETS AND DEPRECIATION SCHEDULE</t>
  </si>
  <si>
    <t>Site/
Location</t>
  </si>
  <si>
    <t>Job</t>
  </si>
  <si>
    <t>Account</t>
  </si>
  <si>
    <t>Asset</t>
  </si>
  <si>
    <t>Fixed asset number</t>
  </si>
  <si>
    <t>Purchase Date</t>
  </si>
  <si>
    <t>Group</t>
  </si>
  <si>
    <t>Voucher</t>
  </si>
  <si>
    <t>Name of Fixed Asset</t>
  </si>
  <si>
    <t>Maker/Type/Location</t>
  </si>
  <si>
    <t>Capacity/Size/User</t>
  </si>
  <si>
    <t>Year</t>
  </si>
  <si>
    <t>Police</t>
  </si>
  <si>
    <t>Machine</t>
  </si>
  <si>
    <t>Chasis</t>
  </si>
  <si>
    <t>Quantity</t>
  </si>
  <si>
    <t>Valas</t>
  </si>
  <si>
    <t>Monthly Depreciation</t>
  </si>
  <si>
    <t xml:space="preserve">                       Depreciation Period</t>
  </si>
  <si>
    <t>Accumulated Depreciation</t>
  </si>
  <si>
    <t>Net Book Value</t>
  </si>
  <si>
    <t>Depreciation Expense Current</t>
  </si>
  <si>
    <t>Status</t>
  </si>
  <si>
    <t>Acquisition</t>
  </si>
  <si>
    <t>Remark</t>
  </si>
  <si>
    <t>Checker Name                                                          ( A )</t>
  </si>
  <si>
    <t>Existing                                                        ( B )</t>
  </si>
  <si>
    <t>If Yes (Existing)                                       ( C )</t>
  </si>
  <si>
    <t>If Not Used                                                ( D )</t>
  </si>
  <si>
    <t>Sticker                                      ( E )</t>
  </si>
  <si>
    <t>AX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</si>
  <si>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</si>
  <si>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</si>
  <si>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</si>
  <si>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</si>
  <si>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</si>
  <si>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</si>
  <si>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</si>
  <si>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</si>
  <si>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</si>
  <si>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</si>
  <si>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</si>
  <si>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</si>
  <si>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Condition</t>
  </si>
  <si>
    <t>Site</t>
  </si>
  <si>
    <t>HO</t>
  </si>
  <si>
    <t>Yes</t>
  </si>
  <si>
    <t>No</t>
  </si>
  <si>
    <t>Still Used</t>
  </si>
  <si>
    <t>Not Used</t>
  </si>
  <si>
    <t>Repair</t>
  </si>
  <si>
    <t>Good</t>
  </si>
  <si>
    <t>Bad</t>
  </si>
  <si>
    <t>b=a:c</t>
  </si>
  <si>
    <t>c</t>
  </si>
  <si>
    <t>d=h:b</t>
  </si>
  <si>
    <t>e=j:b</t>
  </si>
  <si>
    <t>f=d+e</t>
  </si>
  <si>
    <t>g=c-f</t>
  </si>
  <si>
    <t>l=h+j</t>
  </si>
  <si>
    <t>m=a-l</t>
  </si>
  <si>
    <t>j=total k (jAC-des)</t>
  </si>
  <si>
    <t>k</t>
  </si>
  <si>
    <t>KS</t>
  </si>
  <si>
    <t>Building</t>
  </si>
  <si>
    <t>-</t>
  </si>
  <si>
    <t>ASH</t>
  </si>
  <si>
    <t>CLGL</t>
  </si>
  <si>
    <t>7CL</t>
  </si>
  <si>
    <t>7R</t>
  </si>
  <si>
    <t>JKTC</t>
  </si>
  <si>
    <t>7BF</t>
  </si>
  <si>
    <t>CLGA</t>
  </si>
  <si>
    <t>CLGC</t>
  </si>
  <si>
    <t>Cikarang Warehouse and Office</t>
  </si>
  <si>
    <t>Kawasan Industri Terpadu Indonesia China (KITIC) Kav. 20, Cikarang, West Java</t>
  </si>
  <si>
    <t>Head Ofice &amp; Cikarang Logistic</t>
  </si>
  <si>
    <t>CLC</t>
  </si>
  <si>
    <t>CLCWH</t>
  </si>
  <si>
    <t>CLC131-001</t>
  </si>
  <si>
    <t>BLD000048</t>
  </si>
  <si>
    <t>CLC131-004</t>
  </si>
  <si>
    <t>BLD000063</t>
  </si>
  <si>
    <t>IMB Tax Warehouse Phase II</t>
  </si>
  <si>
    <t>Cikarang Logistic Center</t>
  </si>
  <si>
    <t>CLC131-002</t>
  </si>
  <si>
    <t>BLD000064</t>
  </si>
  <si>
    <t>05</t>
  </si>
  <si>
    <t>Lobby &amp; Office Phase 2</t>
  </si>
  <si>
    <t>BLD000065</t>
  </si>
  <si>
    <t>Warehouse Phase 2 Floor 2</t>
  </si>
  <si>
    <t>BLD000066</t>
  </si>
  <si>
    <t>Warehouse Phase 2 Floor 1</t>
  </si>
  <si>
    <t>BLD000067</t>
  </si>
  <si>
    <t>Cold Room Area Phase 2</t>
  </si>
  <si>
    <t>BLD000068</t>
  </si>
  <si>
    <t>Cargo Lifter Phase 2</t>
  </si>
  <si>
    <t>CLC131-003</t>
  </si>
  <si>
    <t>BLD000069</t>
  </si>
  <si>
    <t>BLD000070</t>
  </si>
  <si>
    <t>Canopy Area Phase 2</t>
  </si>
  <si>
    <t>BLD000071</t>
  </si>
  <si>
    <t>Omni Lifter Phase 2</t>
  </si>
  <si>
    <t>BLD000072</t>
  </si>
  <si>
    <t>BLD000073</t>
  </si>
  <si>
    <t>Mezzanine Area Phase 2</t>
  </si>
  <si>
    <t>102</t>
  </si>
  <si>
    <t>CLC131-005</t>
  </si>
  <si>
    <t>BLD000076</t>
  </si>
  <si>
    <t>007-12</t>
  </si>
  <si>
    <t>Roof for Motorcycle Parking Area (80%)</t>
  </si>
  <si>
    <t>SII JKC</t>
  </si>
  <si>
    <t>KITIC Office</t>
  </si>
  <si>
    <t>CLC133-001</t>
  </si>
  <si>
    <t>STR000005</t>
  </si>
  <si>
    <t>Security system &amp; installation</t>
  </si>
  <si>
    <t>SECOM Indonesia</t>
  </si>
  <si>
    <t>Cikarang Warehouse &amp; Office</t>
  </si>
  <si>
    <t>CLC133-002</t>
  </si>
  <si>
    <t>STR000006</t>
  </si>
  <si>
    <t>CCTV system WH 1</t>
  </si>
  <si>
    <t>CLC133-003</t>
  </si>
  <si>
    <t>STR000007</t>
  </si>
  <si>
    <t>Access control</t>
  </si>
  <si>
    <t>CLC133-004</t>
  </si>
  <si>
    <t>STR000008</t>
  </si>
  <si>
    <t>KDDI Indonesia</t>
  </si>
  <si>
    <t>CLC133-026</t>
  </si>
  <si>
    <t>STR000013</t>
  </si>
  <si>
    <t>Wifi Terminal DG</t>
  </si>
  <si>
    <t>Dangerous Room (KDDI Indonesia)</t>
  </si>
  <si>
    <t>Seamec Asia</t>
  </si>
  <si>
    <t>CLC_SBY</t>
  </si>
  <si>
    <t>CLC133-007</t>
  </si>
  <si>
    <t>STR000023</t>
  </si>
  <si>
    <t>20</t>
  </si>
  <si>
    <t>Wifi Instalation Warehouse Surabaya</t>
  </si>
  <si>
    <t>CLC133-008</t>
  </si>
  <si>
    <t>STR000024</t>
  </si>
  <si>
    <t>22</t>
  </si>
  <si>
    <t>Installation High Bay Lighting Warehouse</t>
  </si>
  <si>
    <t>WH 1</t>
  </si>
  <si>
    <t>CLC133-009</t>
  </si>
  <si>
    <t>STR000025</t>
  </si>
  <si>
    <t>16</t>
  </si>
  <si>
    <t>Internet System</t>
  </si>
  <si>
    <t>WH &amp; Office Phase 2</t>
  </si>
  <si>
    <t>CLC133-010</t>
  </si>
  <si>
    <t>STR000026</t>
  </si>
  <si>
    <t>27</t>
  </si>
  <si>
    <t>Install PABX</t>
  </si>
  <si>
    <t>Install New PABX at server room</t>
  </si>
  <si>
    <t>CLC133-011</t>
  </si>
  <si>
    <t>STR000027</t>
  </si>
  <si>
    <t>35</t>
  </si>
  <si>
    <t>CCTV system</t>
  </si>
  <si>
    <t>WH 2</t>
  </si>
  <si>
    <t>CLC133-012</t>
  </si>
  <si>
    <t>STR000028</t>
  </si>
  <si>
    <t>Pariometer Border System</t>
  </si>
  <si>
    <t>CLC133-013</t>
  </si>
  <si>
    <t>STR000029</t>
  </si>
  <si>
    <t>08</t>
  </si>
  <si>
    <t>CCTV system fr Security Guard House</t>
  </si>
  <si>
    <t>CLC133-014</t>
  </si>
  <si>
    <t>STR000030</t>
  </si>
  <si>
    <t>Finger Scan Acces for W/H Phase 2</t>
  </si>
  <si>
    <t>CLC133-015</t>
  </si>
  <si>
    <t>STR000031</t>
  </si>
  <si>
    <t>Pariometer Border System in Central Area W/H CLC</t>
  </si>
  <si>
    <t>SMCC Utama</t>
  </si>
  <si>
    <t>CLC133-016</t>
  </si>
  <si>
    <t>STR000035</t>
  </si>
  <si>
    <t>New Panic Bar</t>
  </si>
  <si>
    <t>CLC133-017</t>
  </si>
  <si>
    <t>STR000045</t>
  </si>
  <si>
    <t>WIFI Installation Warehouse Medan</t>
  </si>
  <si>
    <t>Multi Sentosa Teknik</t>
  </si>
  <si>
    <t>CLC133-018</t>
  </si>
  <si>
    <t>STR000048</t>
  </si>
  <si>
    <t>Wifi Installation WH 1</t>
  </si>
  <si>
    <t>CLC133-019</t>
  </si>
  <si>
    <t>STR000050</t>
  </si>
  <si>
    <t>CCTV System fr PLB Area WH II</t>
  </si>
  <si>
    <t>CLC133-020</t>
  </si>
  <si>
    <t>STR000051</t>
  </si>
  <si>
    <t>JKT_GL004975</t>
  </si>
  <si>
    <t>Wifi Installation at Pekan Baru</t>
  </si>
  <si>
    <t>CLC133-021</t>
  </si>
  <si>
    <t>STR000053</t>
  </si>
  <si>
    <t>JKT_GL007420</t>
  </si>
  <si>
    <t>Wifi Installation at Medan B7</t>
  </si>
  <si>
    <t>CLC133-022</t>
  </si>
  <si>
    <t>STR000055</t>
  </si>
  <si>
    <t>JKT_GL010375</t>
  </si>
  <si>
    <t>Wifi Installation at W/H Palembang</t>
  </si>
  <si>
    <t>ASC</t>
  </si>
  <si>
    <t>CLC134-021</t>
  </si>
  <si>
    <t>STR000062</t>
  </si>
  <si>
    <t>JKT_GL016704</t>
  </si>
  <si>
    <t>Handrail at Loading Dock WH 1</t>
  </si>
  <si>
    <t>CLC134-022</t>
  </si>
  <si>
    <t>STR000063</t>
  </si>
  <si>
    <t>JKT_GL016759</t>
  </si>
  <si>
    <t>Handrail at Loading Dock WH 2</t>
  </si>
  <si>
    <t>STR000064</t>
  </si>
  <si>
    <t>Air Conditioner</t>
  </si>
  <si>
    <t>STR000065</t>
  </si>
  <si>
    <t>7-A-040</t>
  </si>
  <si>
    <t>STR000066</t>
  </si>
  <si>
    <t>Prima Mandiri</t>
  </si>
  <si>
    <t>7-A-041</t>
  </si>
  <si>
    <t>STR000067</t>
  </si>
  <si>
    <t>CLC134-023</t>
  </si>
  <si>
    <t>STR000068</t>
  </si>
  <si>
    <t>JKT_GL019011</t>
  </si>
  <si>
    <t>Body Harness Hangers</t>
  </si>
  <si>
    <t>STR000069</t>
  </si>
  <si>
    <t>MNE000001</t>
  </si>
  <si>
    <t>Machinary and Equipment</t>
  </si>
  <si>
    <t>MNE000002</t>
  </si>
  <si>
    <t>MNE000003</t>
  </si>
  <si>
    <t>MNE000004</t>
  </si>
  <si>
    <t>MNE000005</t>
  </si>
  <si>
    <t>MNE000006</t>
  </si>
  <si>
    <t>MNE000007</t>
  </si>
  <si>
    <t>MNE000008</t>
  </si>
  <si>
    <t>03</t>
  </si>
  <si>
    <t>CLC134-016</t>
  </si>
  <si>
    <t>MNE000029</t>
  </si>
  <si>
    <t xml:space="preserve">Container </t>
  </si>
  <si>
    <t>20 Feet</t>
  </si>
  <si>
    <t>40 Feet</t>
  </si>
  <si>
    <t>Chassis High Bed</t>
  </si>
  <si>
    <t>Toshiba</t>
  </si>
  <si>
    <t>Hino</t>
  </si>
  <si>
    <t>CLC134-001</t>
  </si>
  <si>
    <t>MNE000131</t>
  </si>
  <si>
    <t>VNA Racking System</t>
  </si>
  <si>
    <t xml:space="preserve">VNA </t>
  </si>
  <si>
    <t>CLC134-003</t>
  </si>
  <si>
    <t>MNE000132</t>
  </si>
  <si>
    <t>Racking System</t>
  </si>
  <si>
    <t>JSR Trading</t>
  </si>
  <si>
    <t>CLC134-006</t>
  </si>
  <si>
    <t>MNE000135</t>
  </si>
  <si>
    <t>Fire Extinguisher &amp; Alarm System</t>
  </si>
  <si>
    <t>Citra Teknik Safetindo</t>
  </si>
  <si>
    <t>CLC134-002</t>
  </si>
  <si>
    <t>MNE000136</t>
  </si>
  <si>
    <t>CLC134-007</t>
  </si>
  <si>
    <t>MNE000137</t>
  </si>
  <si>
    <t>CLC134-008</t>
  </si>
  <si>
    <t>MNE000138</t>
  </si>
  <si>
    <t>Nutech Industries</t>
  </si>
  <si>
    <t>CLC-A-001</t>
  </si>
  <si>
    <t>MNE000141</t>
  </si>
  <si>
    <t>Scruber Dryer</t>
  </si>
  <si>
    <t>Gaddle GT50</t>
  </si>
  <si>
    <t>CLC134-009</t>
  </si>
  <si>
    <t>MNE000142</t>
  </si>
  <si>
    <t>CLC134-010</t>
  </si>
  <si>
    <t>MNE000159</t>
  </si>
  <si>
    <t>CLC134-011</t>
  </si>
  <si>
    <t>MNE000186</t>
  </si>
  <si>
    <t>Nestainer &amp; Joint Pallet</t>
  </si>
  <si>
    <t>Hanwa Indonesia</t>
  </si>
  <si>
    <t>Sato Nagatomi</t>
  </si>
  <si>
    <t>CLC134-013</t>
  </si>
  <si>
    <t>MNE000202</t>
  </si>
  <si>
    <t>Lightening Rod</t>
  </si>
  <si>
    <t>Joko</t>
  </si>
  <si>
    <t>WH Surabaya</t>
  </si>
  <si>
    <t>CLC134-014</t>
  </si>
  <si>
    <t>MNE000203</t>
  </si>
  <si>
    <t>Fire Alarm</t>
  </si>
  <si>
    <t>Gagas Mandiri</t>
  </si>
  <si>
    <t>CLC134-015</t>
  </si>
  <si>
    <t>MNE000204</t>
  </si>
  <si>
    <t>Exsposion proof lamp</t>
  </si>
  <si>
    <t>07</t>
  </si>
  <si>
    <t>15 T</t>
  </si>
  <si>
    <t>CLC-R-01</t>
  </si>
  <si>
    <t>MNE000208</t>
  </si>
  <si>
    <t>09</t>
  </si>
  <si>
    <t>Sankyu Construction Jakarta</t>
  </si>
  <si>
    <t>CLC-R-02</t>
  </si>
  <si>
    <t>MNE000209</t>
  </si>
  <si>
    <t>CLC-R-03</t>
  </si>
  <si>
    <t>MNE000211</t>
  </si>
  <si>
    <t xml:space="preserve">Nestainer </t>
  </si>
  <si>
    <t>CLC-R-04</t>
  </si>
  <si>
    <t>MNE000212</t>
  </si>
  <si>
    <t>2025</t>
  </si>
  <si>
    <t>CLC-R-05</t>
  </si>
  <si>
    <t>MNE000215</t>
  </si>
  <si>
    <t>Nestainer Rack</t>
  </si>
  <si>
    <t>Kranindo</t>
  </si>
  <si>
    <t>CLC-R-06</t>
  </si>
  <si>
    <t>MNE000218</t>
  </si>
  <si>
    <t>Nestainer and Joint Pallet</t>
  </si>
  <si>
    <t>CLC134-017</t>
  </si>
  <si>
    <t>MNE000219</t>
  </si>
  <si>
    <t>15</t>
  </si>
  <si>
    <t>Modification Eye Washer</t>
  </si>
  <si>
    <t>CLC-R-07</t>
  </si>
  <si>
    <t>MNE000220</t>
  </si>
  <si>
    <t>CLC-R-08</t>
  </si>
  <si>
    <t>MNE000230</t>
  </si>
  <si>
    <t>CLC-R-09</t>
  </si>
  <si>
    <t>MNE000233</t>
  </si>
  <si>
    <t>JKT_GL000856</t>
  </si>
  <si>
    <t>Finish 28 Feb 23</t>
  </si>
  <si>
    <t>Traktor Nusantara</t>
  </si>
  <si>
    <t>Container 40 Ft (Second)</t>
  </si>
  <si>
    <t>Wahana Bintang Transindo</t>
  </si>
  <si>
    <t>CLC134-066</t>
  </si>
  <si>
    <t>MNE000236</t>
  </si>
  <si>
    <t>CLC134-067</t>
  </si>
  <si>
    <t>MNE000237</t>
  </si>
  <si>
    <t>CLC134-068</t>
  </si>
  <si>
    <t>MNE000238</t>
  </si>
  <si>
    <t>CLC134-069</t>
  </si>
  <si>
    <t>MNE000239</t>
  </si>
  <si>
    <t>CLC-R-10</t>
  </si>
  <si>
    <t>MNE000243</t>
  </si>
  <si>
    <t>JKT_GL003844</t>
  </si>
  <si>
    <t>CLC-R-11</t>
  </si>
  <si>
    <t>MNE000244</t>
  </si>
  <si>
    <t>JKT_GL003850</t>
  </si>
  <si>
    <t>Jakarta Construction</t>
  </si>
  <si>
    <t>CLC134-018</t>
  </si>
  <si>
    <t>MNE000251</t>
  </si>
  <si>
    <t>JKT_GL004318</t>
  </si>
  <si>
    <t>Fire Alarm System at Surabaya</t>
  </si>
  <si>
    <t>Panca Jaya Kencana</t>
  </si>
  <si>
    <t>Surabaya</t>
  </si>
  <si>
    <t>CLC134-019</t>
  </si>
  <si>
    <t>MNE000250</t>
  </si>
  <si>
    <t>CCTV Warehouse at Surabaya</t>
  </si>
  <si>
    <t>CLC134-020</t>
  </si>
  <si>
    <t>MNE000249</t>
  </si>
  <si>
    <t>Fire Alarm (Smoke Detector) at Surabaya</t>
  </si>
  <si>
    <t>CLC-R-13</t>
  </si>
  <si>
    <t>MNE000290</t>
  </si>
  <si>
    <t>JKT_GL012307</t>
  </si>
  <si>
    <t>Nestainer</t>
  </si>
  <si>
    <t>344 Unit</t>
  </si>
  <si>
    <t>182 Rack Nestainer</t>
  </si>
  <si>
    <t>162 Joint Pallet</t>
  </si>
  <si>
    <t>1 Unit</t>
  </si>
  <si>
    <t>CLC133-025</t>
  </si>
  <si>
    <t>MNE000292</t>
  </si>
  <si>
    <t>JKT_GL012424</t>
  </si>
  <si>
    <t>Stand Baterry</t>
  </si>
  <si>
    <t>CLC-R-12</t>
  </si>
  <si>
    <t>MNE000298</t>
  </si>
  <si>
    <t>JKT_GL014337</t>
  </si>
  <si>
    <t>Nistainer</t>
  </si>
  <si>
    <t>905 Unit</t>
  </si>
  <si>
    <t>L1190xW1250xH1250</t>
  </si>
  <si>
    <t>W 1250 (L1250)</t>
  </si>
  <si>
    <t>M10-B-128</t>
  </si>
  <si>
    <t>MNE000299</t>
  </si>
  <si>
    <t>M10-B-129</t>
  </si>
  <si>
    <t>MNE000300</t>
  </si>
  <si>
    <t>MNE000301</t>
  </si>
  <si>
    <t>7R-B-004</t>
  </si>
  <si>
    <t>MNE000302</t>
  </si>
  <si>
    <t>M10-C-053</t>
  </si>
  <si>
    <t>MNE000303</t>
  </si>
  <si>
    <t>M10-B-131</t>
  </si>
  <si>
    <t>MNE000304</t>
  </si>
  <si>
    <t>M10-B-132</t>
  </si>
  <si>
    <t>MNE000305</t>
  </si>
  <si>
    <t>3A-B-071</t>
  </si>
  <si>
    <t>MNE000306</t>
  </si>
  <si>
    <t>3A-B-072</t>
  </si>
  <si>
    <t>MNE000307</t>
  </si>
  <si>
    <t>M10-B-133</t>
  </si>
  <si>
    <t>MNE000308</t>
  </si>
  <si>
    <t>M10-B-134</t>
  </si>
  <si>
    <t>MNE000309</t>
  </si>
  <si>
    <t>M10-B-135</t>
  </si>
  <si>
    <t>MNE000310</t>
  </si>
  <si>
    <t>M10-B-136</t>
  </si>
  <si>
    <t>MNE000311</t>
  </si>
  <si>
    <t>M10-B-137</t>
  </si>
  <si>
    <t>MNE000312</t>
  </si>
  <si>
    <t>M10-B-138</t>
  </si>
  <si>
    <t>MNE000313</t>
  </si>
  <si>
    <t>2T</t>
  </si>
  <si>
    <t>M10-B-139</t>
  </si>
  <si>
    <t>MNE000314</t>
  </si>
  <si>
    <t>CLC-R-14</t>
  </si>
  <si>
    <t>MNE000315</t>
  </si>
  <si>
    <t>JKTGL_019643</t>
  </si>
  <si>
    <t>445 Set</t>
  </si>
  <si>
    <t>Nestainer 227 Set</t>
  </si>
  <si>
    <t>Join 218  Set</t>
  </si>
  <si>
    <t>MCCI</t>
  </si>
  <si>
    <t>Truck Crane</t>
  </si>
  <si>
    <t>Forklift TCM</t>
  </si>
  <si>
    <t>Forklift</t>
  </si>
  <si>
    <t>Toyota</t>
  </si>
  <si>
    <t>2,5T</t>
  </si>
  <si>
    <t>Sumitomo</t>
  </si>
  <si>
    <t>Head Trucktor</t>
  </si>
  <si>
    <t>Nissan Diesel</t>
  </si>
  <si>
    <t>CLCTRP</t>
  </si>
  <si>
    <t>TG-C-015</t>
  </si>
  <si>
    <t>VEH000067</t>
  </si>
  <si>
    <t>26T</t>
  </si>
  <si>
    <t>A 9174 RM</t>
  </si>
  <si>
    <t>PE6195714T</t>
  </si>
  <si>
    <t>MHPWM432H5K000005</t>
  </si>
  <si>
    <t>TG-C-014</t>
  </si>
  <si>
    <t>VEH000068</t>
  </si>
  <si>
    <t>25T</t>
  </si>
  <si>
    <t>A 9173 RM</t>
  </si>
  <si>
    <t>PE6195713T</t>
  </si>
  <si>
    <t>MHPWM432H5K000004</t>
  </si>
  <si>
    <t>Head Tractor</t>
  </si>
  <si>
    <t>TG-C-021</t>
  </si>
  <si>
    <t>VEH000075</t>
  </si>
  <si>
    <t>A 9170 RM</t>
  </si>
  <si>
    <t>PE6195715T</t>
  </si>
  <si>
    <t>MHPWM432H5K000006</t>
  </si>
  <si>
    <t>CLC-C-21T</t>
  </si>
  <si>
    <t>VEH000077</t>
  </si>
  <si>
    <t>Masana (for Nissan)</t>
  </si>
  <si>
    <t>40 feet; 3 axcle</t>
  </si>
  <si>
    <t>Chassis 40 Feet</t>
  </si>
  <si>
    <t>TG-C-036</t>
  </si>
  <si>
    <t>VEH000080</t>
  </si>
  <si>
    <t>MS-03</t>
  </si>
  <si>
    <t>TG-C-028</t>
  </si>
  <si>
    <t>VEH000083</t>
  </si>
  <si>
    <t>MS-04</t>
  </si>
  <si>
    <t>MTR0605128443</t>
  </si>
  <si>
    <t>TG-C-029</t>
  </si>
  <si>
    <t>VEH000084</t>
  </si>
  <si>
    <t>MS-09</t>
  </si>
  <si>
    <t>MTR0605128434</t>
  </si>
  <si>
    <t>TG-C-031</t>
  </si>
  <si>
    <t>VEH000086</t>
  </si>
  <si>
    <t>MS-10</t>
  </si>
  <si>
    <t>MTR0605128441</t>
  </si>
  <si>
    <t>CLC-C-25T</t>
  </si>
  <si>
    <t>VEH000088</t>
  </si>
  <si>
    <t>CLC-C-15T</t>
  </si>
  <si>
    <t>VEH000089</t>
  </si>
  <si>
    <t>20 feet</t>
  </si>
  <si>
    <t>Chassis 20 Feet</t>
  </si>
  <si>
    <t>4T</t>
  </si>
  <si>
    <t>CLC-C-04T</t>
  </si>
  <si>
    <t>VEH000166</t>
  </si>
  <si>
    <t>Tronton Wingbox</t>
  </si>
  <si>
    <t>B 9594 UU</t>
  </si>
  <si>
    <t>J08EUGJ19933</t>
  </si>
  <si>
    <t>MJEFL8JWKAJG13893</t>
  </si>
  <si>
    <t>7C-C-133</t>
  </si>
  <si>
    <t>VEH000211</t>
  </si>
  <si>
    <t>A 9155 TZ</t>
  </si>
  <si>
    <t>P11CUBJ-15323</t>
  </si>
  <si>
    <t>MJEFM2PKKCJZ-14141</t>
  </si>
  <si>
    <t>Prima Remaja Engineering</t>
  </si>
  <si>
    <t xml:space="preserve">40 Feet  </t>
  </si>
  <si>
    <t>CLC-C-56T</t>
  </si>
  <si>
    <t>VEH000221</t>
  </si>
  <si>
    <t>RM-05</t>
  </si>
  <si>
    <t>RM 40T - 12.605 ST</t>
  </si>
  <si>
    <t>Pick Up</t>
  </si>
  <si>
    <t>Avanza</t>
  </si>
  <si>
    <t>CLC-C-01</t>
  </si>
  <si>
    <t>VEH000273</t>
  </si>
  <si>
    <t xml:space="preserve">Forklift </t>
  </si>
  <si>
    <t>Nichiyu</t>
  </si>
  <si>
    <t>F256470MS</t>
  </si>
  <si>
    <t>257C00173 / 39021T</t>
  </si>
  <si>
    <t>Forklift Nichiyu</t>
  </si>
  <si>
    <t>CLC-C-03</t>
  </si>
  <si>
    <t>VEH000275</t>
  </si>
  <si>
    <t>257C00174 / 39022T</t>
  </si>
  <si>
    <t>CLC-C-04</t>
  </si>
  <si>
    <t>VEH000276</t>
  </si>
  <si>
    <t>1,5T</t>
  </si>
  <si>
    <t>182ZR3497 / 3ZXR17</t>
  </si>
  <si>
    <t>R18K470MS</t>
  </si>
  <si>
    <t>CLC-C-07</t>
  </si>
  <si>
    <t>VEH000279</t>
  </si>
  <si>
    <t>182ZR3495 / 3ZXR19</t>
  </si>
  <si>
    <t>Nissin Foods Indonesia</t>
  </si>
  <si>
    <t>Toyota Avanza</t>
  </si>
  <si>
    <t>CLC-C-13T</t>
  </si>
  <si>
    <t>VEH000283</t>
  </si>
  <si>
    <t>Wing Box Truck 26T</t>
  </si>
  <si>
    <t>FL 235 JW</t>
  </si>
  <si>
    <t>B 9126 SEU</t>
  </si>
  <si>
    <t>J08EUGJ-40586</t>
  </si>
  <si>
    <t>MJEFL8JWKDJG-21054</t>
  </si>
  <si>
    <t>VEH000285</t>
  </si>
  <si>
    <t>Wing Box for B 9126 SEU</t>
  </si>
  <si>
    <t>for Hino Truck</t>
  </si>
  <si>
    <t>Forklift Sumitomo</t>
  </si>
  <si>
    <t>CLC-C-010</t>
  </si>
  <si>
    <t>VEH000287</t>
  </si>
  <si>
    <t>U2254</t>
  </si>
  <si>
    <t>R1H-4389</t>
  </si>
  <si>
    <t>CLC-C-011</t>
  </si>
  <si>
    <t>VEH000288</t>
  </si>
  <si>
    <t>U2284</t>
  </si>
  <si>
    <t>R1H-04424</t>
  </si>
  <si>
    <t>CLC-C-013</t>
  </si>
  <si>
    <t>VEH000290</t>
  </si>
  <si>
    <t>U2283</t>
  </si>
  <si>
    <t>R1H-04425</t>
  </si>
  <si>
    <t>CLC-C-015</t>
  </si>
  <si>
    <t>VEH000292</t>
  </si>
  <si>
    <t>U2003</t>
  </si>
  <si>
    <t>R1H-04112</t>
  </si>
  <si>
    <t>CLC-C-17T</t>
  </si>
  <si>
    <t>VEH000300</t>
  </si>
  <si>
    <t>Daihatsu Grand Max</t>
  </si>
  <si>
    <t>2,1T</t>
  </si>
  <si>
    <t>B 9971 SYM</t>
  </si>
  <si>
    <t>DEH7723</t>
  </si>
  <si>
    <t>MHKP3CA1JEK056935</t>
  </si>
  <si>
    <t xml:space="preserve">Forklift Reach Truck&amp; Camera </t>
  </si>
  <si>
    <t>OMG Neos II TRI AC</t>
  </si>
  <si>
    <t>CLC-C-018</t>
  </si>
  <si>
    <t>VEH000311</t>
  </si>
  <si>
    <t>CLC-C-019</t>
  </si>
  <si>
    <t>VEH000312</t>
  </si>
  <si>
    <t>CLC-C-20T</t>
  </si>
  <si>
    <t>VEH000319</t>
  </si>
  <si>
    <t>Head Truck</t>
  </si>
  <si>
    <t>B 9152 SEU</t>
  </si>
  <si>
    <t>J08EUGJ-43777</t>
  </si>
  <si>
    <t>MJEFL8JWKEJG-22479</t>
  </si>
  <si>
    <t>VEH000320</t>
  </si>
  <si>
    <t>Wing Box for B 9152 SEU</t>
  </si>
  <si>
    <t>CLC-C-27T</t>
  </si>
  <si>
    <t>VEH000345</t>
  </si>
  <si>
    <t>Wing Box for A 9503 TX</t>
  </si>
  <si>
    <t>15T</t>
  </si>
  <si>
    <t>A 9503 TX</t>
  </si>
  <si>
    <t>MJEFC9JNKFJN-10084</t>
  </si>
  <si>
    <t>CLC-C-26T</t>
  </si>
  <si>
    <t>VEH000346</t>
  </si>
  <si>
    <t>Wing Box for A 9502 TX</t>
  </si>
  <si>
    <t>A 9502 TX</t>
  </si>
  <si>
    <t>MJEFC9JNKFJN-10085</t>
  </si>
  <si>
    <t>VEH000347</t>
  </si>
  <si>
    <t>Wing Box Truck 10T (Head)</t>
  </si>
  <si>
    <t>Hino FC 190 J</t>
  </si>
  <si>
    <t>J05EUP1-0182</t>
  </si>
  <si>
    <t>VEH000348</t>
  </si>
  <si>
    <t>J05EUP1-0183</t>
  </si>
  <si>
    <t>CLC-C-31T</t>
  </si>
  <si>
    <t>VEH000349</t>
  </si>
  <si>
    <t>Pick Up Box</t>
  </si>
  <si>
    <t>B 9972 SYM</t>
  </si>
  <si>
    <t>DFF9506</t>
  </si>
  <si>
    <t>MHKP3CA1JFK084174</t>
  </si>
  <si>
    <t>CLC-C-28T</t>
  </si>
  <si>
    <t>VEH000350</t>
  </si>
  <si>
    <t>Wing Box Truck 15T (Head)</t>
  </si>
  <si>
    <t>Hino Truck FG235JP</t>
  </si>
  <si>
    <t>B 9485 SXR</t>
  </si>
  <si>
    <t>J08EUGJ47148</t>
  </si>
  <si>
    <t>MJEFG8JPKJG31040</t>
  </si>
  <si>
    <t>CLC-C-29T</t>
  </si>
  <si>
    <t>VEH000351</t>
  </si>
  <si>
    <t>Wing Box Truck 15T</t>
  </si>
  <si>
    <t>B 9187 SYV</t>
  </si>
  <si>
    <t>J08EUGJ47147</t>
  </si>
  <si>
    <t>MJEFG8JPKFJG1039</t>
  </si>
  <si>
    <t>CLC-C-30T</t>
  </si>
  <si>
    <t>VEH000352</t>
  </si>
  <si>
    <t>Hino Truck FG235JP / Mitra Toyotaka</t>
  </si>
  <si>
    <t>B 9188 SYV</t>
  </si>
  <si>
    <t>J08EUGJ47161</t>
  </si>
  <si>
    <t>MJEFG8JPKFJG31047</t>
  </si>
  <si>
    <t>CLC-C-33T</t>
  </si>
  <si>
    <t>VEH000357</t>
  </si>
  <si>
    <t>04</t>
  </si>
  <si>
    <t>Wing Box Truck 26T (Head)</t>
  </si>
  <si>
    <t>B 9289 SEU</t>
  </si>
  <si>
    <t>J08EUFJ-72240</t>
  </si>
  <si>
    <t>MJEFM8JWIFJE-10218</t>
  </si>
  <si>
    <t>CLC-C-32T</t>
  </si>
  <si>
    <t>VEH000358</t>
  </si>
  <si>
    <t>B 9672 SEH</t>
  </si>
  <si>
    <t>PIICVPJ-10166</t>
  </si>
  <si>
    <t>MJEFM2PKIFJM-10044</t>
  </si>
  <si>
    <t>CLC-C-22</t>
  </si>
  <si>
    <t>VEH000359</t>
  </si>
  <si>
    <t>Electric Reach Truck</t>
  </si>
  <si>
    <t>1,8T</t>
  </si>
  <si>
    <t>RC20671</t>
  </si>
  <si>
    <t>52344</t>
  </si>
  <si>
    <t>CLC-C-21</t>
  </si>
  <si>
    <t>VEH000360</t>
  </si>
  <si>
    <t>17</t>
  </si>
  <si>
    <t>RC20554</t>
  </si>
  <si>
    <t>52306</t>
  </si>
  <si>
    <t>VEH000361</t>
  </si>
  <si>
    <t>11</t>
  </si>
  <si>
    <t>QR4-944OL/ J08E4FJ72240</t>
  </si>
  <si>
    <t>10218/JKT1521511</t>
  </si>
  <si>
    <t>18</t>
  </si>
  <si>
    <t>United Tractors</t>
  </si>
  <si>
    <t>CLC-C-23</t>
  </si>
  <si>
    <t>VEH000364</t>
  </si>
  <si>
    <t>21</t>
  </si>
  <si>
    <t>CB Forklift Diesel</t>
  </si>
  <si>
    <t> 4,5 T</t>
  </si>
  <si>
    <t>8FD45N-10799</t>
  </si>
  <si>
    <t>AA12259</t>
  </si>
  <si>
    <t>CLC-C-31</t>
  </si>
  <si>
    <t>VEH000365</t>
  </si>
  <si>
    <t>Reach Truck Forklift</t>
  </si>
  <si>
    <t> 1,8 T</t>
  </si>
  <si>
    <t>7FBR18-52578</t>
  </si>
  <si>
    <t>RC22659</t>
  </si>
  <si>
    <t>CLC-C-38</t>
  </si>
  <si>
    <t>VEH000366</t>
  </si>
  <si>
    <t>7FBR18-52571</t>
  </si>
  <si>
    <t>RC22511</t>
  </si>
  <si>
    <t>CLC-C-30</t>
  </si>
  <si>
    <t>VEH000367</t>
  </si>
  <si>
    <t>7FBR18-52567</t>
  </si>
  <si>
    <t>RC22539</t>
  </si>
  <si>
    <t>CLC-C-29</t>
  </si>
  <si>
    <t>VEH000368</t>
  </si>
  <si>
    <t>7FBR18-52569</t>
  </si>
  <si>
    <t>RC22568</t>
  </si>
  <si>
    <t>CLC-C-32</t>
  </si>
  <si>
    <t>VEH000369</t>
  </si>
  <si>
    <t>7FBR18-52568</t>
  </si>
  <si>
    <t>RC22408</t>
  </si>
  <si>
    <t>CLC-C-36</t>
  </si>
  <si>
    <t>VEH000370</t>
  </si>
  <si>
    <t>7FBR18-52583</t>
  </si>
  <si>
    <t>RC22720</t>
  </si>
  <si>
    <t>CLC-C-37</t>
  </si>
  <si>
    <t>VEH000371</t>
  </si>
  <si>
    <t>7FBR18-52579</t>
  </si>
  <si>
    <t>RC22736</t>
  </si>
  <si>
    <t>CLC-C-33</t>
  </si>
  <si>
    <t>VEH000372</t>
  </si>
  <si>
    <t>7FBR18-52585</t>
  </si>
  <si>
    <t>RC22430</t>
  </si>
  <si>
    <t>CLC-C-34</t>
  </si>
  <si>
    <t>VEH000373</t>
  </si>
  <si>
    <t>7FBR18-52588</t>
  </si>
  <si>
    <t>RC22636</t>
  </si>
  <si>
    <t>CLC-C-35</t>
  </si>
  <si>
    <t>VEH000374</t>
  </si>
  <si>
    <t>7FBR18-52590</t>
  </si>
  <si>
    <t>RC22620</t>
  </si>
  <si>
    <t>CLC-C-25</t>
  </si>
  <si>
    <t>VEH000375</t>
  </si>
  <si>
    <t>Counter Balance Forklift</t>
  </si>
  <si>
    <t>7FB25-56205</t>
  </si>
  <si>
    <t>AP15-B62882</t>
  </si>
  <si>
    <t>CLC-C-28</t>
  </si>
  <si>
    <t>VEH000376</t>
  </si>
  <si>
    <t>7FB25-56183</t>
  </si>
  <si>
    <t>AP15-B62859</t>
  </si>
  <si>
    <t>CLC-C-26</t>
  </si>
  <si>
    <t>VEH000377</t>
  </si>
  <si>
    <t>7FB25-56194</t>
  </si>
  <si>
    <t>AP15-B62872</t>
  </si>
  <si>
    <t>CLC-C-24</t>
  </si>
  <si>
    <t>VEH000378</t>
  </si>
  <si>
    <t>7FB25-56215</t>
  </si>
  <si>
    <t>AP15-B62894</t>
  </si>
  <si>
    <t>CLC-C-27</t>
  </si>
  <si>
    <t>VEH000379</t>
  </si>
  <si>
    <t>7FB25-56181</t>
  </si>
  <si>
    <t>AP15-B62857</t>
  </si>
  <si>
    <t>Simojoyo</t>
  </si>
  <si>
    <t>06</t>
  </si>
  <si>
    <t>CLC-C-34T</t>
  </si>
  <si>
    <t>VEH000391</t>
  </si>
  <si>
    <t>CLC-C-35T</t>
  </si>
  <si>
    <t>VEH000392</t>
  </si>
  <si>
    <t>CLC-C-36T</t>
  </si>
  <si>
    <t>VEH000393</t>
  </si>
  <si>
    <t>CLC-C-37T</t>
  </si>
  <si>
    <t>VEH000395</t>
  </si>
  <si>
    <t>UD TRUCK</t>
  </si>
  <si>
    <t>34T</t>
  </si>
  <si>
    <t xml:space="preserve">B 9692 SEH </t>
  </si>
  <si>
    <t>GH8*417121*A1*P</t>
  </si>
  <si>
    <t>JPCZXY0DXFT011891</t>
  </si>
  <si>
    <t>Motorcycle</t>
  </si>
  <si>
    <t>Tractor Head</t>
  </si>
  <si>
    <t>Wheel Loader</t>
  </si>
  <si>
    <t>CLC-C-40 T</t>
  </si>
  <si>
    <t>VEH000438</t>
  </si>
  <si>
    <t>HINO</t>
  </si>
  <si>
    <t>B 9974 SYM</t>
  </si>
  <si>
    <t>CLC-C-41 T</t>
  </si>
  <si>
    <t>VEH000439</t>
  </si>
  <si>
    <t>B 9979 SYM</t>
  </si>
  <si>
    <t>CLC-C-42 T</t>
  </si>
  <si>
    <t>VEH000440</t>
  </si>
  <si>
    <t>B 9985 SYM</t>
  </si>
  <si>
    <t>CLC-C-43 T</t>
  </si>
  <si>
    <t>VEH000441</t>
  </si>
  <si>
    <t>B 9986 SYM</t>
  </si>
  <si>
    <t>CLC-C-44 T</t>
  </si>
  <si>
    <t>VEH000442</t>
  </si>
  <si>
    <t>B 9987 SYM</t>
  </si>
  <si>
    <t>CLC-C-45 T</t>
  </si>
  <si>
    <t>VEH000443</t>
  </si>
  <si>
    <t>B 9980 SYM</t>
  </si>
  <si>
    <t>CLC-C-46 T</t>
  </si>
  <si>
    <t>VEH000444</t>
  </si>
  <si>
    <t>B 9981 SYM</t>
  </si>
  <si>
    <t>CLC-C-47 T</t>
  </si>
  <si>
    <t>VEH000445</t>
  </si>
  <si>
    <t>B 9982 SYM</t>
  </si>
  <si>
    <t>CLC-C-48 T</t>
  </si>
  <si>
    <t>VEH000446</t>
  </si>
  <si>
    <t>B 9983 SYM</t>
  </si>
  <si>
    <t>CLC-C-49 T</t>
  </si>
  <si>
    <t>VEH000447</t>
  </si>
  <si>
    <t>B 9984 SYM</t>
  </si>
  <si>
    <t>CLC-C-38T</t>
  </si>
  <si>
    <t>VEH000453</t>
  </si>
  <si>
    <t>Rizky Mitra Abadi</t>
  </si>
  <si>
    <t>Chassis High Bed 20 feet</t>
  </si>
  <si>
    <t>CLC-C-39T</t>
  </si>
  <si>
    <t>VEH000454</t>
  </si>
  <si>
    <t>CLC-C-46T</t>
  </si>
  <si>
    <t>VEH000458</t>
  </si>
  <si>
    <t xml:space="preserve">B 9981 SYM </t>
  </si>
  <si>
    <t>Modification fee</t>
  </si>
  <si>
    <t>CLC-C-50T</t>
  </si>
  <si>
    <t>VEH000471</t>
  </si>
  <si>
    <t>Truck Quester</t>
  </si>
  <si>
    <t>B 9532 FEU</t>
  </si>
  <si>
    <t>JPCZX22C3HT018394</t>
  </si>
  <si>
    <t>VEH000472</t>
  </si>
  <si>
    <t>Wing box Hino</t>
  </si>
  <si>
    <t>Mitra Toyotaka</t>
  </si>
  <si>
    <t>QR4-NEW ZINC-HYD 9200L</t>
  </si>
  <si>
    <t>CLC-C-51T</t>
  </si>
  <si>
    <t>VEH000477</t>
  </si>
  <si>
    <t>Head Truck UD Quester</t>
  </si>
  <si>
    <t>B 9531 FEU</t>
  </si>
  <si>
    <t>CLC-C-52T</t>
  </si>
  <si>
    <t>VEH000478</t>
  </si>
  <si>
    <t>B 9530 FEU</t>
  </si>
  <si>
    <t>2.5 T</t>
  </si>
  <si>
    <t>VEH000486</t>
  </si>
  <si>
    <t>Wing Box</t>
  </si>
  <si>
    <t>Cost for Wing Box B 9532 FEU</t>
  </si>
  <si>
    <t>VEH000487</t>
  </si>
  <si>
    <t>Cost for Wing Box B 9531 FEU</t>
  </si>
  <si>
    <t>VEH000496</t>
  </si>
  <si>
    <t>JKT_GL000854</t>
  </si>
  <si>
    <t>Cost for Wing Box B 9530 FEU</t>
  </si>
  <si>
    <t>CLC-C-53T</t>
  </si>
  <si>
    <t>VEH000497</t>
  </si>
  <si>
    <t>21T</t>
  </si>
  <si>
    <t>B 9538 FEU</t>
  </si>
  <si>
    <t>CLC-C-54T</t>
  </si>
  <si>
    <t>VEH000498</t>
  </si>
  <si>
    <t>B 9539 FEU</t>
  </si>
  <si>
    <t>VEH000494</t>
  </si>
  <si>
    <t>JKT_GL000857</t>
  </si>
  <si>
    <t>Mitsubishi Fuso Head Truck</t>
  </si>
  <si>
    <t>Salindo Berlian</t>
  </si>
  <si>
    <t>VEH000495</t>
  </si>
  <si>
    <t>Bulldozer</t>
  </si>
  <si>
    <t>CLC-C-58T</t>
  </si>
  <si>
    <t>VEH000520</t>
  </si>
  <si>
    <t>UD Truck (head Truck)</t>
  </si>
  <si>
    <t>Astra International</t>
  </si>
  <si>
    <t>B 9686 FEU</t>
  </si>
  <si>
    <t>CLC-C-57T</t>
  </si>
  <si>
    <t>VEH000521</t>
  </si>
  <si>
    <t>B 9684 FEU</t>
  </si>
  <si>
    <t>CLC-C-59T</t>
  </si>
  <si>
    <t>VEH000523</t>
  </si>
  <si>
    <t>JKT_GL004973</t>
  </si>
  <si>
    <t>Wing Box Nissan</t>
  </si>
  <si>
    <t>Sumber Tehnik Service</t>
  </si>
  <si>
    <t>B 9519 FXT</t>
  </si>
  <si>
    <t>457888</t>
  </si>
  <si>
    <t>019316</t>
  </si>
  <si>
    <t>VEH000524</t>
  </si>
  <si>
    <t>JKT_GL004978</t>
  </si>
  <si>
    <t>Head Truck Quester</t>
  </si>
  <si>
    <t>GH8*457888*A1*P</t>
  </si>
  <si>
    <t>JPCZX22A4JT019316</t>
  </si>
  <si>
    <t>VEH000525</t>
  </si>
  <si>
    <t>JKT_GL004979</t>
  </si>
  <si>
    <t>Wing Box Quester</t>
  </si>
  <si>
    <t>Mitra Toyotaka Indonesia</t>
  </si>
  <si>
    <t>Cost for Wing Box</t>
  </si>
  <si>
    <t/>
  </si>
  <si>
    <t>VEH000526</t>
  </si>
  <si>
    <t>CLC135-003</t>
  </si>
  <si>
    <t>VEH000530</t>
  </si>
  <si>
    <t>JKT_GL005176</t>
  </si>
  <si>
    <t>F54GM/T11</t>
  </si>
  <si>
    <t>B 1778 FIN</t>
  </si>
  <si>
    <t>2NRF759218</t>
  </si>
  <si>
    <t>MHKM5FA3JJK006672</t>
  </si>
  <si>
    <t>CLC135-002</t>
  </si>
  <si>
    <t>VEH000535</t>
  </si>
  <si>
    <t>JKT_GL006403</t>
  </si>
  <si>
    <t>Avanza Veloz</t>
  </si>
  <si>
    <t>F54VA/T11 (Mr, Sudrajat)</t>
  </si>
  <si>
    <t>B1611FIR</t>
  </si>
  <si>
    <t>MHKM5FB4JJK020570</t>
  </si>
  <si>
    <t>2NRF790205/57045</t>
  </si>
  <si>
    <t>CLC-C-040</t>
  </si>
  <si>
    <t>VEH000556</t>
  </si>
  <si>
    <t>JKT_GL008338</t>
  </si>
  <si>
    <t>8FBR18-11624</t>
  </si>
  <si>
    <t>SE13120</t>
  </si>
  <si>
    <t>CLC-C-041</t>
  </si>
  <si>
    <t>CLC-C-042</t>
  </si>
  <si>
    <t>VEH000566</t>
  </si>
  <si>
    <t>JKT_GL010716</t>
  </si>
  <si>
    <t>Wingbox Electric HINO 235 JP</t>
  </si>
  <si>
    <t>VEH000565</t>
  </si>
  <si>
    <t>Push Pull</t>
  </si>
  <si>
    <t>A&amp;T Engineering</t>
  </si>
  <si>
    <t>M10-C-042</t>
  </si>
  <si>
    <t>VEH000590</t>
  </si>
  <si>
    <t>M10-C-043</t>
  </si>
  <si>
    <t>VEH000591</t>
  </si>
  <si>
    <t>M10-C-044</t>
  </si>
  <si>
    <t>VEH000592</t>
  </si>
  <si>
    <t>M10-C-045</t>
  </si>
  <si>
    <t>VEH000593</t>
  </si>
  <si>
    <t>3A-C-259</t>
  </si>
  <si>
    <t>VEH000594</t>
  </si>
  <si>
    <t>7CL-C-181</t>
  </si>
  <si>
    <t>VEH000595</t>
  </si>
  <si>
    <t>M10-C-046</t>
  </si>
  <si>
    <t>VEH000596</t>
  </si>
  <si>
    <t>Anugrah Wibawa</t>
  </si>
  <si>
    <t>M10-C-047</t>
  </si>
  <si>
    <t>VEH000597</t>
  </si>
  <si>
    <t>M10-C-048</t>
  </si>
  <si>
    <t>VEH000598</t>
  </si>
  <si>
    <t>M10-C-049</t>
  </si>
  <si>
    <t>VEH000599</t>
  </si>
  <si>
    <t>M10-C-050</t>
  </si>
  <si>
    <t>VEH000600</t>
  </si>
  <si>
    <t>M10-C-051</t>
  </si>
  <si>
    <t>VEH000601</t>
  </si>
  <si>
    <t>M10-C-052</t>
  </si>
  <si>
    <t>VEH000602</t>
  </si>
  <si>
    <t>3A-C-260</t>
  </si>
  <si>
    <t>VEH000603</t>
  </si>
  <si>
    <t>Whell Loader</t>
  </si>
  <si>
    <t>3A-B-063</t>
  </si>
  <si>
    <t>VEH000604</t>
  </si>
  <si>
    <t>3A-B-064</t>
  </si>
  <si>
    <t>VEH000605</t>
  </si>
  <si>
    <t>3A-B-065</t>
  </si>
  <si>
    <t>VEH000606</t>
  </si>
  <si>
    <t>3A-B-066</t>
  </si>
  <si>
    <t>VEH000607</t>
  </si>
  <si>
    <t>3A-B-067</t>
  </si>
  <si>
    <t>VEH000608</t>
  </si>
  <si>
    <t>3A-B-068</t>
  </si>
  <si>
    <t>VEH000609</t>
  </si>
  <si>
    <t>3A-C-261</t>
  </si>
  <si>
    <t>VEH000610</t>
  </si>
  <si>
    <t>3A-C-262</t>
  </si>
  <si>
    <t>VEH000611</t>
  </si>
  <si>
    <t>3A-B-069</t>
  </si>
  <si>
    <t>VEH000612</t>
  </si>
  <si>
    <t>Drum Dumper</t>
  </si>
  <si>
    <t>Assurich</t>
  </si>
  <si>
    <t>3A-B-070</t>
  </si>
  <si>
    <t>VEH000613</t>
  </si>
  <si>
    <t>3A-C-263</t>
  </si>
  <si>
    <t>VEH000614</t>
  </si>
  <si>
    <t>Fortuner</t>
  </si>
  <si>
    <t>M10-C-054</t>
  </si>
  <si>
    <t>VEH000615</t>
  </si>
  <si>
    <t>3A-C-265</t>
  </si>
  <si>
    <t>VEH000617</t>
  </si>
  <si>
    <t>3A-C-266</t>
  </si>
  <si>
    <t>VEH000618</t>
  </si>
  <si>
    <t>3A-C-267</t>
  </si>
  <si>
    <t>VEH000619</t>
  </si>
  <si>
    <t>VEH000620</t>
  </si>
  <si>
    <t>3A-C-268</t>
  </si>
  <si>
    <t>VEH000621</t>
  </si>
  <si>
    <t>3A-C-271</t>
  </si>
  <si>
    <t>VEH000622</t>
  </si>
  <si>
    <t>3A-C-269</t>
  </si>
  <si>
    <t>VEH000623</t>
  </si>
  <si>
    <t>3A-C-270</t>
  </si>
  <si>
    <t>VEH000624</t>
  </si>
  <si>
    <t>3A-C-273</t>
  </si>
  <si>
    <t>VEH000625</t>
  </si>
  <si>
    <t>3A-C-274</t>
  </si>
  <si>
    <t>VEH000626</t>
  </si>
  <si>
    <t>3A-C-272</t>
  </si>
  <si>
    <t>VEH000627</t>
  </si>
  <si>
    <t>3A-C-275</t>
  </si>
  <si>
    <t>VEH000628</t>
  </si>
  <si>
    <t>7R-C-051</t>
  </si>
  <si>
    <t>VEH000629</t>
  </si>
  <si>
    <t>3A-C-277</t>
  </si>
  <si>
    <t>VEH000630</t>
  </si>
  <si>
    <t>3A-C-276</t>
  </si>
  <si>
    <t>VEH000631</t>
  </si>
  <si>
    <t>CLC135-001</t>
  </si>
  <si>
    <t>VEH000632</t>
  </si>
  <si>
    <t>JKT_GL018716</t>
  </si>
  <si>
    <t>Kijang Inova</t>
  </si>
  <si>
    <t>B 2779 FKI</t>
  </si>
  <si>
    <t>ITRB033830</t>
  </si>
  <si>
    <t>MHFJWBBM7N2403048</t>
  </si>
  <si>
    <t>3A-C-278</t>
  </si>
  <si>
    <t>VEH000633</t>
  </si>
  <si>
    <t>Excavator</t>
  </si>
  <si>
    <t>VEH000634</t>
  </si>
  <si>
    <t>M10-C-055</t>
  </si>
  <si>
    <t>VEH000635</t>
  </si>
  <si>
    <t>M10-C-056</t>
  </si>
  <si>
    <t>VEH000636</t>
  </si>
  <si>
    <t>M10-C-057</t>
  </si>
  <si>
    <t>VEH000637</t>
  </si>
  <si>
    <t>Truck Loader Crane</t>
  </si>
  <si>
    <t>3A-C-279</t>
  </si>
  <si>
    <t>VEH000638</t>
  </si>
  <si>
    <t>M10-C-058</t>
  </si>
  <si>
    <t>VEH000639</t>
  </si>
  <si>
    <t>Avanza 1.5 G CVT</t>
  </si>
  <si>
    <t>3A-C-280</t>
  </si>
  <si>
    <t>VEH000640</t>
  </si>
  <si>
    <t>M10-C-059</t>
  </si>
  <si>
    <t>VEH000645</t>
  </si>
  <si>
    <t>UD Truck</t>
  </si>
  <si>
    <t>M10-C-060</t>
  </si>
  <si>
    <t>VEH000646</t>
  </si>
  <si>
    <t>3A-C-281</t>
  </si>
  <si>
    <t>VEH000647</t>
  </si>
  <si>
    <t>3A-C-282</t>
  </si>
  <si>
    <t>VEH000648</t>
  </si>
  <si>
    <t>3A-C-283</t>
  </si>
  <si>
    <t>VEH000649</t>
  </si>
  <si>
    <t>VEH000650</t>
  </si>
  <si>
    <t>clc-c-67T(A)</t>
  </si>
  <si>
    <t>VEH000652</t>
  </si>
  <si>
    <t>JKT_GL021069</t>
  </si>
  <si>
    <t>Truck Box Hino SDL</t>
  </si>
  <si>
    <t>5.4T</t>
  </si>
  <si>
    <t>B 9042 FXY</t>
  </si>
  <si>
    <t>N04CWVJ12471</t>
  </si>
  <si>
    <t>MJECCA4FXN5006430</t>
  </si>
  <si>
    <t>clc-c-67T(B)</t>
  </si>
  <si>
    <t>VEH000653</t>
  </si>
  <si>
    <t>Truck Box Hino SDL - Box</t>
  </si>
  <si>
    <t>8FB25</t>
  </si>
  <si>
    <t>VEH000663</t>
  </si>
  <si>
    <t>8FB25-44208</t>
  </si>
  <si>
    <t>AN14-AS380070</t>
  </si>
  <si>
    <t>VEH000664</t>
  </si>
  <si>
    <t>8FBR15</t>
  </si>
  <si>
    <t>8FBR15-39390</t>
  </si>
  <si>
    <t>SE61240</t>
  </si>
  <si>
    <t>CLC-C-68T (a)</t>
  </si>
  <si>
    <t>VEH000665</t>
  </si>
  <si>
    <t>Truck Box Hino 300 MDL</t>
  </si>
  <si>
    <t>B 9750 FXY</t>
  </si>
  <si>
    <t>N04CWYJ27373</t>
  </si>
  <si>
    <t>MJEECB0F9P5003252</t>
  </si>
  <si>
    <t>CLC-C-68T (b)</t>
  </si>
  <si>
    <t>VEH000666</t>
  </si>
  <si>
    <t>BOX-Truck Box Hino 300 MDL</t>
  </si>
  <si>
    <t>KRS-03-27373</t>
  </si>
  <si>
    <t>CLC-C-043</t>
  </si>
  <si>
    <t>VEH000667</t>
  </si>
  <si>
    <t>Reach Forklift</t>
  </si>
  <si>
    <t>FSVE61</t>
  </si>
  <si>
    <t>8FBR15-40290</t>
  </si>
  <si>
    <t>CLC-C-044</t>
  </si>
  <si>
    <t>VEH000668</t>
  </si>
  <si>
    <t>8FBR15-40258</t>
  </si>
  <si>
    <t>JKC</t>
  </si>
  <si>
    <t>CLC-C-045</t>
  </si>
  <si>
    <t>VEH000685</t>
  </si>
  <si>
    <t>8FBR15-42491</t>
  </si>
  <si>
    <t>CLC-C-046</t>
  </si>
  <si>
    <t>VEH000686</t>
  </si>
  <si>
    <t>8FBR15-42599</t>
  </si>
  <si>
    <t>CLC-C-047</t>
  </si>
  <si>
    <t>VEH000688</t>
  </si>
  <si>
    <t>AN14-AS42124</t>
  </si>
  <si>
    <t>8FB25-47750</t>
  </si>
  <si>
    <t>CLC-C-64T</t>
  </si>
  <si>
    <t>Truck Box 110 LD</t>
  </si>
  <si>
    <t>B 9973 SYM</t>
  </si>
  <si>
    <t>W04DTPJ24913</t>
  </si>
  <si>
    <t>MJEC1JG41C5042261</t>
  </si>
  <si>
    <t>Forklift Batery</t>
  </si>
  <si>
    <t>Forklift Diesel</t>
  </si>
  <si>
    <t>FNF000002</t>
  </si>
  <si>
    <t>FNF000003</t>
  </si>
  <si>
    <t>FNF000004</t>
  </si>
  <si>
    <t>FNF000005</t>
  </si>
  <si>
    <t>FNF000024</t>
  </si>
  <si>
    <t>FNF000025</t>
  </si>
  <si>
    <t>FNF000026</t>
  </si>
  <si>
    <t>FNF000029</t>
  </si>
  <si>
    <t>SBY</t>
  </si>
  <si>
    <t>FNF000043</t>
  </si>
  <si>
    <t>FNF000046</t>
  </si>
  <si>
    <t>FNF000047</t>
  </si>
  <si>
    <t>JPO</t>
  </si>
  <si>
    <t>PJT14</t>
  </si>
  <si>
    <t>CLC137-001</t>
  </si>
  <si>
    <t>FNF000108</t>
  </si>
  <si>
    <t>Copyboard</t>
  </si>
  <si>
    <t>N-204</t>
  </si>
  <si>
    <t>CLC-C-61T</t>
  </si>
  <si>
    <t>FNF000120</t>
  </si>
  <si>
    <t>1/21/2015</t>
  </si>
  <si>
    <t>GPS Tracking System</t>
  </si>
  <si>
    <t>Mobile Innovation</t>
  </si>
  <si>
    <t>Astra Graphia</t>
  </si>
  <si>
    <t>CLC-A-073</t>
  </si>
  <si>
    <t>FNF000124</t>
  </si>
  <si>
    <t>Biotation &amp; Power Supply</t>
  </si>
  <si>
    <t>Secom Indonesia</t>
  </si>
  <si>
    <t>Absen Record Machine</t>
  </si>
  <si>
    <t>CLC-A-006</t>
  </si>
  <si>
    <t>FNF000126</t>
  </si>
  <si>
    <t>19</t>
  </si>
  <si>
    <t>Barcode Printer at Surabaya</t>
  </si>
  <si>
    <t>CL412NX (300dpi)</t>
  </si>
  <si>
    <t>5F031664, 1645</t>
  </si>
  <si>
    <t>CLC-A-007</t>
  </si>
  <si>
    <t>FNF000127</t>
  </si>
  <si>
    <t>Barcode Printer at Medan</t>
  </si>
  <si>
    <t>CLC-A-004</t>
  </si>
  <si>
    <t>FNF000128</t>
  </si>
  <si>
    <t>Barcode Printer</t>
  </si>
  <si>
    <t>5F031648, 1651</t>
  </si>
  <si>
    <t>CLC-A-005</t>
  </si>
  <si>
    <t>FNF000129</t>
  </si>
  <si>
    <t>CLC-A-036</t>
  </si>
  <si>
    <t>FNF000133</t>
  </si>
  <si>
    <t>Office Furniture f/ Warehouse II (cabinet)</t>
  </si>
  <si>
    <t>Nawa Citra Utama (Briliant)</t>
  </si>
  <si>
    <t>FNF000153</t>
  </si>
  <si>
    <t>2023</t>
  </si>
  <si>
    <t>Daikin EDI System</t>
  </si>
  <si>
    <t>Sankyu Southeast</t>
  </si>
  <si>
    <t>CLC131-006</t>
  </si>
  <si>
    <t>FNF000154</t>
  </si>
  <si>
    <t>Wall Partition Mezzanine Room</t>
  </si>
  <si>
    <t>Phase II Lt, 2</t>
  </si>
  <si>
    <t>CLC-A-051</t>
  </si>
  <si>
    <t>FNF000165</t>
  </si>
  <si>
    <t>Printer Barcode</t>
  </si>
  <si>
    <t>Medan</t>
  </si>
  <si>
    <t>P/N.WWC20160VN-NESIA</t>
  </si>
  <si>
    <t>CLC-A-052</t>
  </si>
  <si>
    <t>FNF000166</t>
  </si>
  <si>
    <t>Nissin</t>
  </si>
  <si>
    <t>CLC-A-046 s/d CLC-A-050</t>
  </si>
  <si>
    <t>FNF000167</t>
  </si>
  <si>
    <t>Handy Scanner</t>
  </si>
  <si>
    <t>CLC-A-053 s/d CLC-A-055</t>
  </si>
  <si>
    <t>FNF000175</t>
  </si>
  <si>
    <t>Keyence Handy Terminal</t>
  </si>
  <si>
    <t>Sato Label Solution</t>
  </si>
  <si>
    <t>at Nissin</t>
  </si>
  <si>
    <t>BT-W100G</t>
  </si>
  <si>
    <t>CLC-A-056 s/d CLC-A-057</t>
  </si>
  <si>
    <t>FNF000176</t>
  </si>
  <si>
    <t>Handy Scanner Terminal</t>
  </si>
  <si>
    <t>CLC-A-058 s/d CLC-A-060</t>
  </si>
  <si>
    <t>FNF000183</t>
  </si>
  <si>
    <t>JKT_GL002897</t>
  </si>
  <si>
    <t>Handy Scanner Terminal and Barcode Printer</t>
  </si>
  <si>
    <t>CLC-A-038 s/d CLC-A-045</t>
  </si>
  <si>
    <t>FNF000184</t>
  </si>
  <si>
    <t>CLC131-007</t>
  </si>
  <si>
    <t>FNF000185</t>
  </si>
  <si>
    <t>JKT_GL002899</t>
  </si>
  <si>
    <t>PLB Site Office and Fence</t>
  </si>
  <si>
    <t>Phase II Lt, 3</t>
  </si>
  <si>
    <t>CLC-A-071</t>
  </si>
  <si>
    <t>FNF000193</t>
  </si>
  <si>
    <t>JKT_GL009446</t>
  </si>
  <si>
    <t>Barcode Handy Terminal</t>
  </si>
  <si>
    <t>Keyence Indonesia</t>
  </si>
  <si>
    <t>BT-W350GI</t>
  </si>
  <si>
    <t>CLC-A-072</t>
  </si>
  <si>
    <t>FNF000194</t>
  </si>
  <si>
    <t>BT-WUC8U</t>
  </si>
  <si>
    <t>CLC-A-070</t>
  </si>
  <si>
    <t>FNF000195</t>
  </si>
  <si>
    <t>JKT_GL010373</t>
  </si>
  <si>
    <t>B-SA4TM 4"</t>
  </si>
  <si>
    <t>CLC-A-061 s/d CLC-A-069</t>
  </si>
  <si>
    <t>FNF000196</t>
  </si>
  <si>
    <t>JKT_GL010377</t>
  </si>
  <si>
    <t>CLC133-027</t>
  </si>
  <si>
    <t>FNF000197</t>
  </si>
  <si>
    <t>JKT_GL012431</t>
  </si>
  <si>
    <t>Wifi Instalation WH Makasar</t>
  </si>
  <si>
    <t>CLC-015</t>
  </si>
  <si>
    <t>FNF000201</t>
  </si>
  <si>
    <t>JKT_GL013507</t>
  </si>
  <si>
    <t>BA410T-TS12</t>
  </si>
  <si>
    <t>Multi Akses Kreasitama</t>
  </si>
  <si>
    <t>FNF000203</t>
  </si>
  <si>
    <t>FNF000204</t>
  </si>
  <si>
    <t>JKT_GL015433</t>
  </si>
  <si>
    <t>SMART CDMS BLC Software</t>
  </si>
  <si>
    <t>Solusi Manufactur Technologi</t>
  </si>
  <si>
    <t>7-A-039</t>
  </si>
  <si>
    <t>FNF000205</t>
  </si>
  <si>
    <t>Inti Warna Sentosa</t>
  </si>
  <si>
    <t>CLC133-024</t>
  </si>
  <si>
    <t>FNF000206</t>
  </si>
  <si>
    <t>JKT_GL016938</t>
  </si>
  <si>
    <t>Access Poin WH1</t>
  </si>
  <si>
    <t>901-T310-WW20</t>
  </si>
  <si>
    <t>CLC133-023</t>
  </si>
  <si>
    <t>FNF000207</t>
  </si>
  <si>
    <t>JKT_GL016939</t>
  </si>
  <si>
    <t>Access Poin WH2 pt.1</t>
  </si>
  <si>
    <t>FNF000208</t>
  </si>
  <si>
    <t>JKT_GL017686</t>
  </si>
  <si>
    <t>Access Poin WH2 pt. 2</t>
  </si>
  <si>
    <t>M10-A-034</t>
  </si>
  <si>
    <t>FNF000209</t>
  </si>
  <si>
    <t>7C-A-015</t>
  </si>
  <si>
    <t>FNF000210</t>
  </si>
  <si>
    <t>CLC134-070</t>
  </si>
  <si>
    <t>FNF000213</t>
  </si>
  <si>
    <t>JKT_GL020323</t>
  </si>
  <si>
    <t>Timbangan Digital</t>
  </si>
  <si>
    <t>A12E</t>
  </si>
  <si>
    <t>KDDI</t>
  </si>
  <si>
    <t>3G</t>
  </si>
  <si>
    <t xml:space="preserve"> 7    Location</t>
  </si>
  <si>
    <t>78   Office and Workshop</t>
  </si>
  <si>
    <t>61    Structure</t>
  </si>
  <si>
    <t>278  Machine &amp; Equipment</t>
  </si>
  <si>
    <t>474  Vehicle</t>
  </si>
  <si>
    <t>181  Tools &amp; Furnitur</t>
  </si>
  <si>
    <t>Non-Asset</t>
  </si>
  <si>
    <t>88    Item Machine, Tools and Vehicle</t>
  </si>
  <si>
    <t>Date</t>
  </si>
  <si>
    <t>LIST OF ACQUISITION &amp; DISPOSALS ASSET</t>
  </si>
  <si>
    <t>Fixed Asset</t>
  </si>
  <si>
    <t>Bookslip No.</t>
  </si>
  <si>
    <t>Purchase/Disposal Prices</t>
  </si>
  <si>
    <t>Vendor/Customer</t>
  </si>
  <si>
    <t>Ok</t>
  </si>
  <si>
    <t>M10</t>
  </si>
  <si>
    <t>Rizqi Putra Pribumi</t>
  </si>
  <si>
    <t>HO-001</t>
  </si>
  <si>
    <t>Kranindo Perjaya</t>
  </si>
  <si>
    <t>OK</t>
  </si>
  <si>
    <t>ACS</t>
  </si>
  <si>
    <t>3A</t>
  </si>
  <si>
    <t>Fajar Hikmah</t>
  </si>
  <si>
    <t>Ciptamas Persada</t>
  </si>
  <si>
    <t>HEXINDO</t>
  </si>
  <si>
    <t>Application</t>
  </si>
  <si>
    <t>Sahabat Mobilindo</t>
  </si>
  <si>
    <t>3A-038</t>
  </si>
  <si>
    <t>3A-039</t>
  </si>
  <si>
    <t>Tunas Radian</t>
  </si>
  <si>
    <t>7R-001</t>
  </si>
  <si>
    <t>7R-002</t>
  </si>
  <si>
    <t>7R-003</t>
  </si>
  <si>
    <t>7R-004</t>
  </si>
  <si>
    <t>7R-005</t>
  </si>
  <si>
    <t>3A-037</t>
  </si>
  <si>
    <t>AGC</t>
  </si>
  <si>
    <t>JAN - JUN 2022 (1st SEMESTER)</t>
  </si>
  <si>
    <t>Purchase/Disposed Date</t>
  </si>
  <si>
    <t>VEH000322</t>
  </si>
  <si>
    <t>7R-C-044</t>
  </si>
  <si>
    <t>20220225_070-02</t>
  </si>
  <si>
    <t>Rizqi Putra P.</t>
  </si>
  <si>
    <t>20220830_006-08</t>
  </si>
  <si>
    <t>Forklift 10 Ton</t>
  </si>
  <si>
    <t>Kasana</t>
  </si>
  <si>
    <t>STR000022</t>
  </si>
  <si>
    <t>CLC133-006</t>
  </si>
  <si>
    <t>CLC1133-006</t>
  </si>
  <si>
    <t>20220225_071-02</t>
  </si>
  <si>
    <t>Floor Harder</t>
  </si>
  <si>
    <t>20220322_009-03</t>
  </si>
  <si>
    <t>Toyota Fortuner</t>
  </si>
  <si>
    <t>Tunas Radean</t>
  </si>
  <si>
    <t>3A-031</t>
  </si>
  <si>
    <t>VEH000138</t>
  </si>
  <si>
    <t>M10-C-012</t>
  </si>
  <si>
    <t>CLGC-22-001S</t>
  </si>
  <si>
    <t>20220231_034-03</t>
  </si>
  <si>
    <t>Hydraulic Crane 45 Ton</t>
  </si>
  <si>
    <t>Fedis Putra U.</t>
  </si>
  <si>
    <t>502-001</t>
  </si>
  <si>
    <t>20220331_012-03</t>
  </si>
  <si>
    <t>AC Daikin</t>
  </si>
  <si>
    <t>Manunggal SD</t>
  </si>
  <si>
    <t>20221115_015-11</t>
  </si>
  <si>
    <t>Mini Excavator</t>
  </si>
  <si>
    <t>VEH000462</t>
  </si>
  <si>
    <t>M10-C-034</t>
  </si>
  <si>
    <t>CLGC-22-002S</t>
  </si>
  <si>
    <t>20220331_035-03</t>
  </si>
  <si>
    <t>Mitsubishi Fajero</t>
  </si>
  <si>
    <t>VEH000463</t>
  </si>
  <si>
    <t>3A-C-208</t>
  </si>
  <si>
    <t>CLG</t>
  </si>
  <si>
    <t>7-001</t>
  </si>
  <si>
    <t>20220414_012-04</t>
  </si>
  <si>
    <t>CLGC-22-002P</t>
  </si>
  <si>
    <t>20220513_012-05</t>
  </si>
  <si>
    <t>Magnrtic Drilling Machine</t>
  </si>
  <si>
    <t>Kawan Lama</t>
  </si>
  <si>
    <t>ADM</t>
  </si>
  <si>
    <t>20220530_005-04</t>
  </si>
  <si>
    <t>Avanza E M.T</t>
  </si>
  <si>
    <t>Auto2000</t>
  </si>
  <si>
    <t>VEH000090</t>
  </si>
  <si>
    <t>CLC-C-14T</t>
  </si>
  <si>
    <t>20220531_070-05</t>
  </si>
  <si>
    <t>Truck Flat Bad</t>
  </si>
  <si>
    <t>Teguh Arifian</t>
  </si>
  <si>
    <t>3ID</t>
  </si>
  <si>
    <t>VEH000555</t>
  </si>
  <si>
    <t>20220531_071-05</t>
  </si>
  <si>
    <t>Guzilla</t>
  </si>
  <si>
    <t>VEH000422</t>
  </si>
  <si>
    <t>3A-C-202</t>
  </si>
  <si>
    <t>20220531_072-05</t>
  </si>
  <si>
    <t>Mutiara S. K.</t>
  </si>
  <si>
    <t>VEH000111</t>
  </si>
  <si>
    <t>7C-C-083</t>
  </si>
  <si>
    <t>20220630_065-06</t>
  </si>
  <si>
    <t>Truck Dyna</t>
  </si>
  <si>
    <t>VEH000193</t>
  </si>
  <si>
    <t>7C-C-129</t>
  </si>
  <si>
    <t>20220630_064-06</t>
  </si>
  <si>
    <t>CR-V</t>
  </si>
  <si>
    <t>Start Muri Indonesia</t>
  </si>
  <si>
    <t>3A-034-035</t>
  </si>
  <si>
    <t>20230608_007-06</t>
  </si>
  <si>
    <t>3A-C-184</t>
  </si>
  <si>
    <t>20230717_006-07</t>
  </si>
  <si>
    <t>20230228_087-02</t>
  </si>
  <si>
    <t>20220915_007-09</t>
  </si>
  <si>
    <t>3A-034-033</t>
  </si>
  <si>
    <t>20220729_102</t>
  </si>
  <si>
    <t>Drum Cliper</t>
  </si>
  <si>
    <t>Sunstream Indonesia</t>
  </si>
  <si>
    <t>3A-032</t>
  </si>
  <si>
    <t>20230130_046-01</t>
  </si>
  <si>
    <t>Forlift Battery</t>
  </si>
  <si>
    <t>CLGC-22-003P</t>
  </si>
  <si>
    <t>20221230_117</t>
  </si>
  <si>
    <t>Unic Crane 10T - Head</t>
  </si>
  <si>
    <t>20221230_118</t>
  </si>
  <si>
    <t>Unic Crane 10T - Crane</t>
  </si>
  <si>
    <t>FNF000106</t>
  </si>
  <si>
    <t>M10-A-023</t>
  </si>
  <si>
    <t>CLGC-22-003S</t>
  </si>
  <si>
    <t>20220831_116-08</t>
  </si>
  <si>
    <t>FC Xerox</t>
  </si>
  <si>
    <t>CLGC-22-004P</t>
  </si>
  <si>
    <t>20220831_115-08</t>
  </si>
  <si>
    <t>20220914_005-09</t>
  </si>
  <si>
    <t>VEH000559</t>
  </si>
  <si>
    <t>3A-C-235</t>
  </si>
  <si>
    <t>3A-036</t>
  </si>
  <si>
    <t>20220931_044-09</t>
  </si>
  <si>
    <t>MNE000231</t>
  </si>
  <si>
    <t>3A-B-051</t>
  </si>
  <si>
    <t>MNE000232</t>
  </si>
  <si>
    <t>3A-B-052</t>
  </si>
  <si>
    <t>CLGC-22-005P</t>
  </si>
  <si>
    <t>30-4-232</t>
  </si>
  <si>
    <t>20230515_010-05</t>
  </si>
  <si>
    <t>7CL-2202</t>
  </si>
  <si>
    <t>20110930_045-09</t>
  </si>
  <si>
    <t>IJ-CAD STD (AutoCad)</t>
  </si>
  <si>
    <t>System Metrix</t>
  </si>
  <si>
    <t>CLC134-023A</t>
  </si>
  <si>
    <t>202241031_086-10</t>
  </si>
  <si>
    <t>CLC134-023B</t>
  </si>
  <si>
    <t>CLGC-22-007P</t>
  </si>
  <si>
    <t>20221230_116-12</t>
  </si>
  <si>
    <t>Tadano Rough Terrain Crane</t>
  </si>
  <si>
    <t>20230131-046-01</t>
  </si>
  <si>
    <t>Nestainer &amp; Join Pallet</t>
  </si>
  <si>
    <t>CLGC-22-006P</t>
  </si>
  <si>
    <t>20230217_009-02</t>
  </si>
  <si>
    <t>Astra Intl</t>
  </si>
  <si>
    <t>CLGC-22-008P</t>
  </si>
  <si>
    <t>20221230_014-12</t>
  </si>
  <si>
    <t>JO-Tech Electric Winch 1 Ton</t>
  </si>
  <si>
    <t>Mutiara Andalas Strategi</t>
  </si>
  <si>
    <t>CLGC-22-009P</t>
  </si>
  <si>
    <t>JO-Tech Electric Winch 2 Ton</t>
  </si>
  <si>
    <t>CLGC-22-010P</t>
  </si>
  <si>
    <t>Hyperthem Portable Plasma Cuting</t>
  </si>
  <si>
    <t>JAN - JUN 2021 (1st SEMESTER)</t>
  </si>
  <si>
    <t>7CACA</t>
  </si>
  <si>
    <t>FNF000089</t>
  </si>
  <si>
    <t>JKT-001</t>
  </si>
  <si>
    <t>20210129_022-01</t>
  </si>
  <si>
    <t>Air Purfier</t>
  </si>
  <si>
    <t>JKT PJ</t>
  </si>
  <si>
    <t>JKHO</t>
  </si>
  <si>
    <t>FNF000099</t>
  </si>
  <si>
    <t>JKT-002</t>
  </si>
  <si>
    <t>20210129_023-01</t>
  </si>
  <si>
    <t>Laptop NEC</t>
  </si>
  <si>
    <t>FNF000100</t>
  </si>
  <si>
    <t>JKT-003</t>
  </si>
  <si>
    <t>20210129_024-01</t>
  </si>
  <si>
    <t>Printer Hewlet Packard</t>
  </si>
  <si>
    <t>FNF000101</t>
  </si>
  <si>
    <t>JKT-004</t>
  </si>
  <si>
    <t>20210129_025-01</t>
  </si>
  <si>
    <t>Apple Macbook Pro</t>
  </si>
  <si>
    <t>VEH000330</t>
  </si>
  <si>
    <t>3A-C-178</t>
  </si>
  <si>
    <t>20210226_111-02</t>
  </si>
  <si>
    <t>Bintang Timur Musawa</t>
  </si>
  <si>
    <t>VEH000384</t>
  </si>
  <si>
    <t>3A-C-188</t>
  </si>
  <si>
    <t>3A-033</t>
  </si>
  <si>
    <t>20210226_112-02</t>
  </si>
  <si>
    <t>SAN-Swa Equipment</t>
  </si>
  <si>
    <t>VEH000385</t>
  </si>
  <si>
    <t>3A-C-189</t>
  </si>
  <si>
    <t>VEH000387</t>
  </si>
  <si>
    <t>3A-C-192</t>
  </si>
  <si>
    <t>VEH000318</t>
  </si>
  <si>
    <t>3A-C-176</t>
  </si>
  <si>
    <t>3A-034</t>
  </si>
  <si>
    <t>20210226_113-02</t>
  </si>
  <si>
    <t>VEH000448</t>
  </si>
  <si>
    <t>3A-C-206</t>
  </si>
  <si>
    <t>VEH000172</t>
  </si>
  <si>
    <t>3A-C-145</t>
  </si>
  <si>
    <t>3A-035</t>
  </si>
  <si>
    <t>20210226_114-02</t>
  </si>
  <si>
    <t>Duta Champion Utama</t>
  </si>
  <si>
    <t>VEH000207</t>
  </si>
  <si>
    <t>3A-C-156</t>
  </si>
  <si>
    <t>VEH000263</t>
  </si>
  <si>
    <t>3A-C-169</t>
  </si>
  <si>
    <t>VEH000332</t>
  </si>
  <si>
    <t>3A-C-197</t>
  </si>
  <si>
    <t>VEH000386</t>
  </si>
  <si>
    <t>3A-C-180</t>
  </si>
  <si>
    <t>VEH000400</t>
  </si>
  <si>
    <t>3A-C-187</t>
  </si>
  <si>
    <t>VEH000241</t>
  </si>
  <si>
    <t>3A-C-162</t>
  </si>
  <si>
    <t>20210226_115-02</t>
  </si>
  <si>
    <t>Biru Reforma Indonesia</t>
  </si>
  <si>
    <t>VEH000266</t>
  </si>
  <si>
    <t>3A-C-171</t>
  </si>
  <si>
    <t>VEH000029</t>
  </si>
  <si>
    <t>M10-C-001</t>
  </si>
  <si>
    <t>CLGC-21-001</t>
  </si>
  <si>
    <t>20210331_098-03</t>
  </si>
  <si>
    <t>Fedis Putra Utama</t>
  </si>
  <si>
    <t>VEH000030</t>
  </si>
  <si>
    <t>M10-C-006</t>
  </si>
  <si>
    <t>VEH000015</t>
  </si>
  <si>
    <t>M10-C-002</t>
  </si>
  <si>
    <t>20210531_103-05</t>
  </si>
  <si>
    <t>Server SPISy Core Payroll Basic</t>
  </si>
  <si>
    <t>CLC-001</t>
  </si>
  <si>
    <t>20210729_015-07</t>
  </si>
  <si>
    <t>CDMS BLC Software</t>
  </si>
  <si>
    <t>Solution Manufaktur Teknologi</t>
  </si>
  <si>
    <t>VEH000003</t>
  </si>
  <si>
    <t>7C-C-044</t>
  </si>
  <si>
    <t>20210331_110-03</t>
  </si>
  <si>
    <t>VEH000020</t>
  </si>
  <si>
    <t>3B-C-004</t>
  </si>
  <si>
    <t>CLC-002</t>
  </si>
  <si>
    <t>20210331_096-03</t>
  </si>
  <si>
    <t>CLGC-21-001P</t>
  </si>
  <si>
    <t>20210422_002-04</t>
  </si>
  <si>
    <t>Avanza 1.3 A/T</t>
  </si>
  <si>
    <t>01-7CL-21</t>
  </si>
  <si>
    <t>20210317_012-03
20210531_102-05</t>
  </si>
  <si>
    <t>Deugro</t>
  </si>
  <si>
    <t>3A-026</t>
  </si>
  <si>
    <t>20210430_041-04</t>
  </si>
  <si>
    <t>VEH000191</t>
  </si>
  <si>
    <t>3A-C-150</t>
  </si>
  <si>
    <t>20210331_102-03</t>
  </si>
  <si>
    <t>MNE000123</t>
  </si>
  <si>
    <t>JKTC-001</t>
  </si>
  <si>
    <t>20210331_097-03</t>
  </si>
  <si>
    <t>Container 40Ft</t>
  </si>
  <si>
    <t>VEH000179</t>
  </si>
  <si>
    <t>3A-C-147</t>
  </si>
  <si>
    <t>CLG-21-002S</t>
  </si>
  <si>
    <t>20210430_039-04</t>
  </si>
  <si>
    <t>Inova</t>
  </si>
  <si>
    <t>VEH000233</t>
  </si>
  <si>
    <t>M10-C-019</t>
  </si>
  <si>
    <t>CLG-21-003S</t>
  </si>
  <si>
    <t>VEH000235</t>
  </si>
  <si>
    <t>M10-C-022</t>
  </si>
  <si>
    <t>CLG-21-004S</t>
  </si>
  <si>
    <t>VEH000234</t>
  </si>
  <si>
    <t>M10-C-021</t>
  </si>
  <si>
    <t>CLG-21-005S</t>
  </si>
  <si>
    <t>CLGC-21-004P</t>
  </si>
  <si>
    <t>20210430_101-04</t>
  </si>
  <si>
    <t>20FT Dry Container</t>
  </si>
  <si>
    <t>Mutiara Andalas S.</t>
  </si>
  <si>
    <t>CLGC-21-003P</t>
  </si>
  <si>
    <t>20210531_110-05</t>
  </si>
  <si>
    <t>Trailer Hight Bed 40F</t>
  </si>
  <si>
    <t>CLGC-21-002P</t>
  </si>
  <si>
    <t>25T Roughter Crane</t>
  </si>
  <si>
    <t>3A-027</t>
  </si>
  <si>
    <t>20210913_008-09</t>
  </si>
  <si>
    <t>20220224_009-02</t>
  </si>
  <si>
    <t>20220131_081-01</t>
  </si>
  <si>
    <t>3A-028</t>
  </si>
  <si>
    <t>20220531_007-05</t>
  </si>
  <si>
    <t>CIP000093</t>
  </si>
  <si>
    <t>20220330_010-03 (Paid to Traktor Nusantara_asset)</t>
  </si>
  <si>
    <t>VEH000123</t>
  </si>
  <si>
    <t>3G-C-053</t>
  </si>
  <si>
    <t>CLG-MCCI-21-001 S</t>
  </si>
  <si>
    <t>20210631_058-06</t>
  </si>
  <si>
    <t>VEH000167</t>
  </si>
  <si>
    <t>3G-C-057</t>
  </si>
  <si>
    <t>CLG-MCCI-21-002 S</t>
  </si>
  <si>
    <t>7-</t>
  </si>
  <si>
    <t>20210730_118-07</t>
  </si>
  <si>
    <t>Tera Neo Post</t>
  </si>
  <si>
    <t>MGASH</t>
  </si>
  <si>
    <t>VEH000041</t>
  </si>
  <si>
    <t>MGASH-001-2021-S</t>
  </si>
  <si>
    <t>20210831_041-08</t>
  </si>
  <si>
    <t>Cahaya Indah Purnama</t>
  </si>
  <si>
    <t>VEH000042</t>
  </si>
  <si>
    <t>MGASH-002-2021-S</t>
  </si>
  <si>
    <t>VEH000043</t>
  </si>
  <si>
    <t>MGASH-003-2021-S</t>
  </si>
  <si>
    <t>VEH000044</t>
  </si>
  <si>
    <t>MGASH-004-2021-S</t>
  </si>
  <si>
    <t>VEH000006</t>
  </si>
  <si>
    <t>7S-C-014</t>
  </si>
  <si>
    <t>7BF-002</t>
  </si>
  <si>
    <t>20210730_116-07</t>
  </si>
  <si>
    <t>Track Loader</t>
  </si>
  <si>
    <t>VEH000115</t>
  </si>
  <si>
    <t>7R-C-031</t>
  </si>
  <si>
    <t>VEH000102</t>
  </si>
  <si>
    <t>7R-C-040</t>
  </si>
  <si>
    <t>VEH000131</t>
  </si>
  <si>
    <t>7S-C-032</t>
  </si>
  <si>
    <t>7BF-001</t>
  </si>
  <si>
    <t>VEH000056</t>
  </si>
  <si>
    <t>3A-C-097</t>
  </si>
  <si>
    <t>VEH000120</t>
  </si>
  <si>
    <t>7R-C-037</t>
  </si>
  <si>
    <t>M10-C-130</t>
  </si>
  <si>
    <t>20210730_117-07</t>
  </si>
  <si>
    <t>Load Cell for Unich</t>
  </si>
  <si>
    <t>20210818_005-08</t>
  </si>
  <si>
    <t>Jet Cleaner Assy</t>
  </si>
  <si>
    <t>20220629_005-06</t>
  </si>
  <si>
    <t>United Tractor</t>
  </si>
  <si>
    <t>CLGC-21-006P</t>
  </si>
  <si>
    <t>20220331_007-01</t>
  </si>
  <si>
    <t>Tadano Crane</t>
  </si>
  <si>
    <t>20220331_017-03</t>
  </si>
  <si>
    <t>Taiyu Drum Dumper</t>
  </si>
  <si>
    <t>VEH000223</t>
  </si>
  <si>
    <t>3A-C-161</t>
  </si>
  <si>
    <t>20211029_092-10</t>
  </si>
  <si>
    <t>Wheeloader</t>
  </si>
  <si>
    <t>3A-030</t>
  </si>
  <si>
    <t>20211028_007-10</t>
  </si>
  <si>
    <t>3A-029</t>
  </si>
  <si>
    <t>20220615_008-06</t>
  </si>
  <si>
    <t>20220414_013-09</t>
  </si>
  <si>
    <t>20211028_008-10</t>
  </si>
  <si>
    <t>20220908_006-09</t>
  </si>
  <si>
    <t>CLC-016</t>
  </si>
  <si>
    <t>20211230_046-12</t>
  </si>
  <si>
    <t>Handrail WH 1</t>
  </si>
  <si>
    <t>SMCC</t>
  </si>
  <si>
    <t>20211230_047-12</t>
  </si>
  <si>
    <t>Handrail WH 2</t>
  </si>
  <si>
    <t>CLC-017</t>
  </si>
  <si>
    <t>20220131_082-01</t>
  </si>
  <si>
    <t>Access Point WH 1</t>
  </si>
  <si>
    <t>CLC-018</t>
  </si>
  <si>
    <t>Access Point WH 2</t>
  </si>
  <si>
    <t>VEH000246</t>
  </si>
  <si>
    <t>7C-C-150</t>
  </si>
  <si>
    <t>20211330_048-12</t>
  </si>
  <si>
    <t>VEH000247</t>
  </si>
  <si>
    <t>PJTCW</t>
  </si>
  <si>
    <t>VEH000491</t>
  </si>
  <si>
    <t>20220131_090-01</t>
  </si>
  <si>
    <t>Moring Safety Boat</t>
  </si>
  <si>
    <t>Aquila Transindo Utama</t>
  </si>
  <si>
    <t>FNF000248</t>
  </si>
  <si>
    <t>FortiGate 50E</t>
  </si>
  <si>
    <t>5G</t>
  </si>
  <si>
    <t>GE RJ45</t>
  </si>
  <si>
    <t>FG-60F-85-12</t>
  </si>
  <si>
    <t>Photo 
Status</t>
  </si>
  <si>
    <t>10 T</t>
  </si>
  <si>
    <t>1.8 T</t>
  </si>
  <si>
    <t>Check</t>
  </si>
  <si>
    <t>Acc. 2024</t>
  </si>
  <si>
    <t>Yearly 2025</t>
  </si>
  <si>
    <t>Until 2025</t>
  </si>
  <si>
    <t>Apeos C3070 CPS</t>
  </si>
  <si>
    <t>CLC-A-075</t>
  </si>
  <si>
    <t>FNF000297</t>
  </si>
  <si>
    <t>Printer Color</t>
  </si>
  <si>
    <t>SN : 860297</t>
  </si>
  <si>
    <t>MainAccount</t>
  </si>
  <si>
    <t>D365</t>
  </si>
  <si>
    <t>VEH000711</t>
  </si>
  <si>
    <t>VEH000712</t>
  </si>
  <si>
    <t>VEH000713</t>
  </si>
  <si>
    <t>CLC-C-048</t>
  </si>
  <si>
    <t>8FB25-52291</t>
  </si>
  <si>
    <t>CLC-C-049</t>
  </si>
  <si>
    <t>8FBR18-20282</t>
  </si>
  <si>
    <t>CLC-C-050</t>
  </si>
  <si>
    <t>8FBR18-20265</t>
  </si>
  <si>
    <t>CLC-C-69T (A)</t>
  </si>
  <si>
    <t>CLC-C-69T (B)</t>
  </si>
  <si>
    <t>VEH000717</t>
  </si>
  <si>
    <t>VEH000718</t>
  </si>
  <si>
    <t>Truck Head HINO</t>
  </si>
  <si>
    <t>24 T</t>
  </si>
  <si>
    <t>B 9781 FEV</t>
  </si>
  <si>
    <t>J08EWEJ22989</t>
  </si>
  <si>
    <t>MJEFL8JW2RJP16399</t>
  </si>
  <si>
    <t>CLC134-071</t>
  </si>
  <si>
    <t>MNE000332</t>
  </si>
  <si>
    <t>Loading/Unloading Ramping System</t>
  </si>
  <si>
    <t>PTR10WM/10T</t>
  </si>
  <si>
    <t xml:space="preserve">A825-138 </t>
  </si>
  <si>
    <t>DHE-809-80</t>
  </si>
  <si>
    <t>1520000</t>
  </si>
  <si>
    <t>1615500</t>
  </si>
  <si>
    <t>2515200</t>
  </si>
  <si>
    <t>1615400</t>
  </si>
  <si>
    <t>1560000</t>
  </si>
  <si>
    <t>1510000</t>
  </si>
  <si>
    <t>1540000</t>
  </si>
  <si>
    <t>1530000</t>
  </si>
  <si>
    <t>1720000</t>
  </si>
  <si>
    <t>1550000</t>
  </si>
  <si>
    <t>2515600</t>
  </si>
  <si>
    <t>2515400</t>
  </si>
  <si>
    <t>2515300</t>
  </si>
  <si>
    <t>2540000</t>
  </si>
  <si>
    <t>2515500</t>
  </si>
  <si>
    <t>4215500</t>
  </si>
  <si>
    <t>4215400</t>
  </si>
  <si>
    <t>4215600</t>
  </si>
  <si>
    <t>1615600</t>
  </si>
  <si>
    <t>1585400</t>
  </si>
  <si>
    <t>1585500</t>
  </si>
  <si>
    <t>1615200</t>
  </si>
  <si>
    <t>1615300</t>
  </si>
  <si>
    <t>4215200</t>
  </si>
  <si>
    <t>Gain from Sold FA Machinary &amp; Equipment-</t>
  </si>
  <si>
    <t>Gain from Sold FA Vehicles-</t>
  </si>
  <si>
    <t>Gain from Sold FA Tools, Furniture &amp; Fixtures-</t>
  </si>
  <si>
    <t>Buildings-</t>
  </si>
  <si>
    <t>Down Payment: Vehicles-</t>
  </si>
  <si>
    <t>Accumulated Depreciation: Building-</t>
  </si>
  <si>
    <t>Down Payment: Machinary &amp; Equipment-</t>
  </si>
  <si>
    <t>Tools, Furniture &amp; Fixtures-</t>
  </si>
  <si>
    <t>Land-</t>
  </si>
  <si>
    <t>Machinery &amp; Equipment-</t>
  </si>
  <si>
    <t>Structures-</t>
  </si>
  <si>
    <t>System &amp; Software-</t>
  </si>
  <si>
    <t>Vehicles-</t>
  </si>
  <si>
    <t>Accumulated Depreciation: Tools, Furniture &amp; Fixtures-</t>
  </si>
  <si>
    <t>Accumulated Depreciation: Machine-</t>
  </si>
  <si>
    <t>Accumulated Depreciation: Structures-</t>
  </si>
  <si>
    <t>Accumulated Depreciation: System &amp; Software-</t>
  </si>
  <si>
    <t>Accumulated Depreciation: Vehicles-</t>
  </si>
  <si>
    <t>Down Payment: Tools, Furniture &amp; Fixtures-</t>
  </si>
  <si>
    <t>Indotara</t>
  </si>
  <si>
    <t>INV</t>
  </si>
  <si>
    <t>DEPRECIATION 2025 ( MONTHLY )</t>
  </si>
  <si>
    <t>VEH000740</t>
  </si>
  <si>
    <t>VEH000741</t>
  </si>
  <si>
    <t>VEH000742</t>
  </si>
  <si>
    <t>VEH000743</t>
  </si>
  <si>
    <t>CLC-C-70T (A)</t>
  </si>
  <si>
    <t>HINO 500 FG 260 JU (Head Truck)</t>
  </si>
  <si>
    <t>B 9454 FFX</t>
  </si>
  <si>
    <t>MJEFG8JS2SJL11948</t>
  </si>
  <si>
    <t>J08EWEJ25152</t>
  </si>
  <si>
    <t>CLC-C-70T (B)</t>
  </si>
  <si>
    <t>9400L x 2400W x 2500H</t>
  </si>
  <si>
    <t>9700L x 2500W x 2700H</t>
  </si>
  <si>
    <t>CLC-C-71T (A)</t>
  </si>
  <si>
    <t>CLC-C-71T (B)</t>
  </si>
  <si>
    <t>B 9455 FFX</t>
  </si>
  <si>
    <t>MJEFG8JS2SJL11918</t>
  </si>
  <si>
    <t>J08EWEJ24909</t>
  </si>
  <si>
    <t>30 September 2025</t>
  </si>
  <si>
    <t>Category</t>
  </si>
  <si>
    <t>WH1</t>
  </si>
  <si>
    <t>WH2</t>
  </si>
  <si>
    <t>OTHERS</t>
  </si>
  <si>
    <t>MDN</t>
  </si>
  <si>
    <t>PBG</t>
  </si>
  <si>
    <t>BALI</t>
  </si>
  <si>
    <t>TRP</t>
  </si>
  <si>
    <t>MKS</t>
  </si>
  <si>
    <t>Remain &gt; 2026</t>
  </si>
  <si>
    <t>Printer Apeos C3371</t>
  </si>
  <si>
    <t>Chasis Trailer 20 feet</t>
  </si>
  <si>
    <t>CATEGORY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</si>
  <si>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</si>
  <si>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</si>
  <si>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</si>
  <si>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</si>
  <si>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</si>
  <si>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</si>
  <si>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</si>
  <si>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</si>
  <si>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</si>
  <si>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</si>
  <si>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</si>
  <si>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</si>
  <si>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TOTAL/YEAR</t>
  </si>
  <si>
    <t>Warehouse 1</t>
  </si>
  <si>
    <t>Warehouse 2</t>
  </si>
  <si>
    <t>Transport</t>
  </si>
  <si>
    <t>Palembang</t>
  </si>
  <si>
    <t>Makassar</t>
  </si>
  <si>
    <t>Forklift, Shuttle Car, Equipment, Nestainer Rack</t>
  </si>
  <si>
    <t>SITE</t>
  </si>
  <si>
    <t>Bali</t>
  </si>
  <si>
    <t>Yearly 2026</t>
  </si>
  <si>
    <t>Acc. 2025</t>
  </si>
  <si>
    <t>Until 2026</t>
  </si>
  <si>
    <t>Remain &gt; 2027</t>
  </si>
  <si>
    <t>DEPRECIATION 2026 ( MONTHLY )</t>
  </si>
  <si>
    <t>CLCOWH</t>
  </si>
  <si>
    <t>Bali Warehouse</t>
  </si>
  <si>
    <t>Herminto</t>
  </si>
  <si>
    <t>Palembang Warehouse</t>
  </si>
  <si>
    <t>Dedi Kesuma</t>
  </si>
  <si>
    <t>Surabaya Warehouse</t>
  </si>
  <si>
    <t>Astri Damayanti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</si>
</sst>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1" formatCode="_-* #,##0_-;\-* #,##0_-;_-* &quot;-&quot;_-;_-@_-"/>
    <numFmt numFmtId="43" formatCode="_-* #,##0.00_-;\-* #,##0.00_-;_-* &quot;-&quot;??_-;_-@_-"/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[$-409]mmmm\ d\,\ yyyy;@"/>
    <numFmt numFmtId="169" formatCode="_(* #,##0_);_(* \(#,##0\);_(* &quot;-&quot;??_);_(@_)"/>
    <numFmt numFmtId="170" formatCode="_ * #,##0.00_ ;_ * \-#,##0.00_ ;_ * &quot;-&quot;??_ ;_ @_ "/>
    <numFmt numFmtId="171" formatCode="_ * #,##0_ ;_ * \-#,##0_ ;_ * &quot;-&quot;??_ ;_ @_ "/>
    <numFmt numFmtId="172" formatCode="m/d/yyyy;@"/>
    <numFmt numFmtId="173" formatCode="mm/dd/yy;@"/>
    <numFmt numFmtId="174" formatCode="_([$JPY]\ * #,##0.00_);_([$JPY]\ * \(#,##0.00\);_([$JPY]\ * &quot;-&quot;??_);_(@_)"/>
    <numFmt numFmtId="175" formatCode="[$JPY]\ #,##0.00"/>
    <numFmt numFmtId="176" formatCode="[$-409]d\-mmm\-yy;@"/>
    <numFmt numFmtId="177" formatCode="&quot;$&quot;#,##0.00"/>
    <numFmt numFmtId="178" formatCode="_([$EUR]\ * #,##0.00_);_([$EUR]\ * \(#,##0.00\);_([$EUR]\ * &quot;-&quot;??_);_(@_)"/>
    <numFmt numFmtId="179" formatCode="&quot;$&quot;\ #,##0.00;[Red]&quot;$&quot;\ \-#,##0.00"/>
    <numFmt numFmtId="180" formatCode="0.00_)"/>
    <numFmt numFmtId="181" formatCode="0%_);\(0%\)"/>
    <numFmt numFmtId="182" formatCode="&quot;\&quot;#,##0.00;[Red]&quot;\&quot;\-#,##0.00"/>
    <numFmt numFmtId="183" formatCode="&quot;\&quot;#,##0;[Red]&quot;\&quot;\-#,##0"/>
    <numFmt numFmtId="184" formatCode="_(* #,##0.0_);_(* \(#,##0.0\);_(* &quot;-&quot;??_);_(@_)"/>
    <numFmt numFmtId="185" formatCode="_-[$¥-411]* #,##0.00_-;\-[$¥-411]* #,##0.00_-;_-[$¥-411]* &quot;-&quot;??_-;_-@_-"/>
    <numFmt numFmtId="186" formatCode="_([$SGD]\ * #,##0.00_);_([$SGD]\ * \(#,##0.00\);_([$SGD]\ * &quot;-&quot;??_);_(@_)"/>
    <numFmt numFmtId="187" formatCode="_(* #,##0.00_);_(* \(#,##0.00\);_(* &quot;-&quot;_);_(@_)"/>
    <numFmt numFmtId="188" formatCode="#,##0;[Red]\(#,##0\);&quot;-&quot;;"/>
    <numFmt numFmtId="189" formatCode="[$EUR]\ #,##0.00"/>
    <numFmt numFmtId="190" formatCode="yyyy\-mm\-dd;@"/>
    <numFmt numFmtId="191" formatCode="0.000000%"/>
  </numFmts>
  <fonts count="117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12"/>
      <color indexed="10"/>
      <name val="Arial"/>
      <family val="2"/>
    </font>
    <font>
      <b/>
      <sz val="10"/>
      <color indexed="10"/>
      <name val="Arial"/>
      <family val="2"/>
    </font>
    <font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1"/>
      <name val="Times New Roman"/>
      <family val="1"/>
    </font>
    <font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8"/>
      <name val="Arial"/>
      <family val="2"/>
    </font>
    <font>
      <sz val="11"/>
      <name val="ＭＳ Ｐゴシック"/>
      <family val="3"/>
      <charset val="128"/>
    </font>
    <font>
      <b/>
      <i/>
      <sz val="16"/>
      <name val="Helv"/>
      <family val="2"/>
    </font>
    <font>
      <sz val="11"/>
      <color indexed="8"/>
      <name val="Calibri"/>
      <family val="2"/>
      <charset val="1"/>
    </font>
    <font>
      <sz val="10"/>
      <color indexed="8"/>
      <name val="匠牥晩††††††††††"/>
    </font>
    <font>
      <sz val="10"/>
      <color indexed="8"/>
      <name val="MS Sans Serif"/>
      <family val="2"/>
    </font>
    <font>
      <sz val="12"/>
      <name val="SWISS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8"/>
      <name val="Calibri"/>
      <family val="2"/>
    </font>
    <font>
      <sz val="11"/>
      <name val="Times New Roman"/>
      <family val="1"/>
    </font>
    <font>
      <sz val="11"/>
      <name val="Times New Roman"/>
      <family val="1"/>
    </font>
    <font>
      <sz val="11"/>
      <name val="Times New Roman"/>
      <family val="1"/>
    </font>
    <font>
      <sz val="8"/>
      <name val="Arial"/>
      <family val="2"/>
    </font>
    <font>
      <sz val="12"/>
      <color indexed="12"/>
      <name val="Arial"/>
      <family val="2"/>
    </font>
    <font>
      <b/>
      <sz val="12"/>
      <color indexed="12"/>
      <name val="Arial"/>
      <family val="2"/>
    </font>
    <font>
      <sz val="12"/>
      <color indexed="10"/>
      <name val="Arial"/>
      <family val="2"/>
    </font>
    <font>
      <sz val="11"/>
      <name val="ＭＳ Ｐゴシック"/>
      <family val="3"/>
      <charset val="128"/>
    </font>
    <font>
      <b/>
      <sz val="10"/>
      <name val="Calibri"/>
      <family val="2"/>
    </font>
    <font>
      <b/>
      <sz val="16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1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sz val="10"/>
      <color indexed="1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 tint="4.9989318521683403E-2"/>
      <name val="Calibri"/>
      <family val="2"/>
      <scheme val="minor"/>
    </font>
    <font>
      <sz val="10"/>
      <name val="Angsana New"/>
      <family val="1"/>
      <charset val="222"/>
    </font>
    <font>
      <sz val="8"/>
      <name val="Angsana New"/>
      <family val="1"/>
      <charset val="222"/>
    </font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9"/>
      <color rgb="FF000000"/>
      <name val="Meiryo"/>
      <family val="2"/>
      <charset val="128"/>
    </font>
    <font>
      <u/>
      <sz val="9"/>
      <color theme="2" tint="-0.74999237037263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11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51"/>
      </patternFill>
    </fill>
    <fill>
      <patternFill patternType="solid">
        <fgColor indexed="36"/>
      </patternFill>
    </fill>
    <fill>
      <patternFill patternType="solid">
        <fgColor indexed="43"/>
      </patternFill>
    </fill>
    <fill>
      <patternFill patternType="solid">
        <fgColor indexed="52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7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33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40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0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</borders>
  <cellStyleXfs count="476">
    <xf numFmtId="0" fontId="0" fillId="0" borderId="0"/>
    <xf numFmtId="0" fontId="58" fillId="2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60" fillId="0" borderId="3">
      <alignment horizontal="center"/>
    </xf>
    <xf numFmtId="170" fontId="50" fillId="0" borderId="0" applyFont="0" applyFill="0" applyBorder="0" applyAlignment="0" applyProtection="0"/>
    <xf numFmtId="165" fontId="82" fillId="0" borderId="0" applyFont="0" applyFill="0" applyBorder="0" applyAlignment="0" applyProtection="0"/>
    <xf numFmtId="38" fontId="61" fillId="0" borderId="0" applyFont="0" applyFill="0" applyBorder="0" applyAlignment="0" applyProtection="0"/>
    <xf numFmtId="165" fontId="44" fillId="0" borderId="0" applyFont="0" applyFill="0" applyBorder="0" applyAlignment="0" applyProtection="0"/>
    <xf numFmtId="165" fontId="44" fillId="0" borderId="0" applyFont="0" applyFill="0" applyBorder="0" applyAlignment="0" applyProtection="0"/>
    <xf numFmtId="165" fontId="43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85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44" fillId="0" borderId="0" applyFont="0" applyFill="0" applyBorder="0" applyAlignment="0" applyProtection="0"/>
    <xf numFmtId="40" fontId="90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51" fillId="0" borderId="0" applyFont="0" applyFill="0" applyBorder="0" applyAlignment="0" applyProtection="0"/>
    <xf numFmtId="167" fontId="44" fillId="0" borderId="0" applyFont="0" applyFill="0" applyBorder="0" applyAlignment="0" applyProtection="0"/>
    <xf numFmtId="170" fontId="50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79" fontId="50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5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83" fillId="0" borderId="0" applyFont="0" applyFill="0" applyBorder="0" applyAlignment="0" applyProtection="0"/>
    <xf numFmtId="167" fontId="8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44" fillId="0" borderId="0" applyFont="0" applyFill="0" applyBorder="0" applyAlignment="0" applyProtection="0"/>
    <xf numFmtId="166" fontId="55" fillId="0" borderId="0" applyFont="0" applyFill="0" applyBorder="0" applyAlignment="0" applyProtection="0"/>
    <xf numFmtId="166" fontId="44" fillId="0" borderId="0" applyFont="0" applyFill="0" applyBorder="0" applyAlignment="0" applyProtection="0"/>
    <xf numFmtId="166" fontId="44" fillId="0" borderId="0" applyFont="0" applyFill="0" applyBorder="0" applyAlignment="0" applyProtection="0"/>
    <xf numFmtId="166" fontId="55" fillId="0" borderId="0" applyFont="0" applyFill="0" applyBorder="0" applyAlignment="0" applyProtection="0"/>
    <xf numFmtId="166" fontId="43" fillId="0" borderId="0" applyFont="0" applyFill="0" applyBorder="0" applyAlignment="0" applyProtection="0"/>
    <xf numFmtId="41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14" fontId="47" fillId="23" borderId="4">
      <alignment horizontal="center" vertical="center" wrapText="1"/>
    </xf>
    <xf numFmtId="180" fontId="62" fillId="0" borderId="0"/>
    <xf numFmtId="0" fontId="44" fillId="0" borderId="0"/>
    <xf numFmtId="0" fontId="54" fillId="0" borderId="0"/>
    <xf numFmtId="0" fontId="54" fillId="0" borderId="0"/>
    <xf numFmtId="0" fontId="54" fillId="0" borderId="0"/>
    <xf numFmtId="0" fontId="83" fillId="0" borderId="0"/>
    <xf numFmtId="0" fontId="54" fillId="0" borderId="0"/>
    <xf numFmtId="0" fontId="84" fillId="0" borderId="0"/>
    <xf numFmtId="0" fontId="54" fillId="0" borderId="0"/>
    <xf numFmtId="0" fontId="85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4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90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4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4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54" fillId="0" borderId="0"/>
    <xf numFmtId="0" fontId="44" fillId="0" borderId="0"/>
    <xf numFmtId="0" fontId="64" fillId="0" borderId="0"/>
    <xf numFmtId="0" fontId="65" fillId="0" borderId="0"/>
    <xf numFmtId="0" fontId="44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65" fillId="0" borderId="0"/>
    <xf numFmtId="0" fontId="54" fillId="0" borderId="0"/>
    <xf numFmtId="0" fontId="54" fillId="0" borderId="0"/>
    <xf numFmtId="0" fontId="65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4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44" fillId="0" borderId="0"/>
    <xf numFmtId="0" fontId="53" fillId="0" borderId="0"/>
    <xf numFmtId="0" fontId="54" fillId="0" borderId="0"/>
    <xf numFmtId="0" fontId="44" fillId="0" borderId="0"/>
    <xf numFmtId="37" fontId="44" fillId="0" borderId="0"/>
    <xf numFmtId="0" fontId="44" fillId="0" borderId="0"/>
    <xf numFmtId="181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37" fontId="66" fillId="7" borderId="0"/>
    <xf numFmtId="0" fontId="44" fillId="0" borderId="0"/>
    <xf numFmtId="0" fontId="49" fillId="0" borderId="0" applyFill="0" applyBorder="0" applyProtection="0">
      <alignment horizontal="left" vertical="top"/>
    </xf>
    <xf numFmtId="164" fontId="44" fillId="0" borderId="0" applyFont="0" applyFill="0" applyBorder="0" applyAlignment="0" applyProtection="0"/>
    <xf numFmtId="166" fontId="44" fillId="0" borderId="0" applyFont="0" applyFill="0" applyBorder="0" applyAlignment="0" applyProtection="0"/>
    <xf numFmtId="0" fontId="59" fillId="24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22" borderId="2" applyNumberFormat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1" fillId="6" borderId="6" applyNumberFormat="0" applyFont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1" fillId="9" borderId="1" applyNumberFormat="0" applyAlignment="0" applyProtection="0">
      <alignment vertical="center"/>
    </xf>
    <xf numFmtId="0" fontId="72" fillId="21" borderId="7" applyNumberFormat="0" applyAlignment="0" applyProtection="0">
      <alignment vertical="center"/>
    </xf>
    <xf numFmtId="0" fontId="73" fillId="3" borderId="0" applyNumberFormat="0" applyBorder="0" applyAlignment="0" applyProtection="0">
      <alignment vertical="center"/>
    </xf>
    <xf numFmtId="167" fontId="44" fillId="0" borderId="0" applyFont="0" applyFill="0" applyBorder="0" applyAlignment="0" applyProtection="0"/>
    <xf numFmtId="40" fontId="61" fillId="0" borderId="0" applyFont="0" applyFill="0" applyBorder="0" applyAlignment="0" applyProtection="0"/>
    <xf numFmtId="165" fontId="44" fillId="0" borderId="0" applyFont="0" applyFill="0" applyBorder="0" applyAlignment="0" applyProtection="0"/>
    <xf numFmtId="38" fontId="61" fillId="0" borderId="0" applyFont="0" applyFill="0" applyBorder="0" applyAlignment="0" applyProtection="0"/>
    <xf numFmtId="0" fontId="44" fillId="0" borderId="0"/>
    <xf numFmtId="0" fontId="61" fillId="0" borderId="0"/>
    <xf numFmtId="0" fontId="74" fillId="4" borderId="0" applyNumberFormat="0" applyBorder="0" applyAlignment="0" applyProtection="0">
      <alignment vertical="center"/>
    </xf>
    <xf numFmtId="0" fontId="75" fillId="0" borderId="8" applyNumberFormat="0" applyFill="0" applyAlignment="0" applyProtection="0">
      <alignment vertical="center"/>
    </xf>
    <xf numFmtId="0" fontId="76" fillId="0" borderId="9" applyNumberFormat="0" applyFill="0" applyAlignment="0" applyProtection="0">
      <alignment vertical="center"/>
    </xf>
    <xf numFmtId="0" fontId="77" fillId="0" borderId="10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1" borderId="1" applyNumberFormat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2" fontId="61" fillId="0" borderId="0" applyFont="0" applyFill="0" applyBorder="0" applyAlignment="0" applyProtection="0"/>
    <xf numFmtId="183" fontId="61" fillId="0" borderId="0" applyFont="0" applyFill="0" applyBorder="0" applyAlignment="0" applyProtection="0"/>
    <xf numFmtId="0" fontId="81" fillId="0" borderId="11" applyNumberFormat="0" applyFill="0" applyAlignment="0" applyProtection="0">
      <alignment vertical="center"/>
    </xf>
    <xf numFmtId="0" fontId="42" fillId="0" borderId="0"/>
    <xf numFmtId="0" fontId="42" fillId="0" borderId="0"/>
    <xf numFmtId="0" fontId="41" fillId="0" borderId="0"/>
    <xf numFmtId="0" fontId="41" fillId="0" borderId="0"/>
    <xf numFmtId="0" fontId="40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7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3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906">
    <xf numFmtId="0" fontId="0" fillId="0" borderId="0" xfId="0"/>
    <xf numFmtId="0" fontId="45" fillId="0" borderId="0" xfId="295" applyFont="1" applyAlignment="1">
      <alignment vertical="center"/>
    </xf>
    <xf numFmtId="0" fontId="46" fillId="0" borderId="0" xfId="295" applyFont="1" applyAlignment="1">
      <alignment vertical="center"/>
    </xf>
    <xf numFmtId="0" fontId="51" fillId="0" borderId="0" xfId="292" applyFont="1"/>
    <xf numFmtId="0" fontId="52" fillId="0" borderId="0" xfId="295" applyFont="1" applyAlignment="1">
      <alignment vertical="center"/>
    </xf>
    <xf numFmtId="0" fontId="47" fillId="0" borderId="0" xfId="0" applyFont="1"/>
    <xf numFmtId="0" fontId="48" fillId="0" borderId="12" xfId="295" applyFont="1" applyBorder="1" applyAlignment="1">
      <alignment vertical="center"/>
    </xf>
    <xf numFmtId="0" fontId="51" fillId="0" borderId="0" xfId="295" applyFont="1" applyAlignment="1">
      <alignment vertical="center"/>
    </xf>
    <xf numFmtId="17" fontId="51" fillId="0" borderId="0" xfId="295" quotePrefix="1" applyNumberFormat="1" applyFont="1" applyAlignment="1">
      <alignment horizontal="center" vertical="center"/>
    </xf>
    <xf numFmtId="0" fontId="51" fillId="0" borderId="0" xfId="295" applyFont="1" applyAlignment="1">
      <alignment horizontal="center" vertical="center"/>
    </xf>
    <xf numFmtId="0" fontId="51" fillId="0" borderId="14" xfId="295" applyFont="1" applyBorder="1" applyAlignment="1">
      <alignment vertical="center"/>
    </xf>
    <xf numFmtId="0" fontId="51" fillId="0" borderId="0" xfId="0" applyFont="1"/>
    <xf numFmtId="0" fontId="51" fillId="0" borderId="12" xfId="295" applyFont="1" applyBorder="1" applyAlignment="1">
      <alignment vertical="center"/>
    </xf>
    <xf numFmtId="17" fontId="51" fillId="0" borderId="14" xfId="295" quotePrefix="1" applyNumberFormat="1" applyFont="1" applyBorder="1" applyAlignment="1">
      <alignment horizontal="center" vertical="center"/>
    </xf>
    <xf numFmtId="167" fontId="87" fillId="0" borderId="0" xfId="142" applyFont="1" applyAlignment="1">
      <alignment vertical="center"/>
    </xf>
    <xf numFmtId="167" fontId="51" fillId="0" borderId="0" xfId="142" applyFont="1" applyAlignment="1">
      <alignment vertical="center"/>
    </xf>
    <xf numFmtId="167" fontId="88" fillId="0" borderId="0" xfId="142" applyFont="1" applyAlignment="1">
      <alignment vertical="center"/>
    </xf>
    <xf numFmtId="37" fontId="88" fillId="0" borderId="0" xfId="296" applyFont="1"/>
    <xf numFmtId="167" fontId="89" fillId="0" borderId="0" xfId="142" applyFont="1" applyAlignment="1">
      <alignment vertical="center"/>
    </xf>
    <xf numFmtId="167" fontId="51" fillId="0" borderId="0" xfId="142" applyFont="1" applyAlignment="1">
      <alignment horizontal="left" vertical="center"/>
    </xf>
    <xf numFmtId="0" fontId="51" fillId="0" borderId="0" xfId="295" applyFont="1" applyAlignment="1">
      <alignment horizontal="left" vertical="center"/>
    </xf>
    <xf numFmtId="0" fontId="51" fillId="0" borderId="12" xfId="295" applyFont="1" applyBorder="1" applyAlignment="1">
      <alignment horizontal="center" vertical="center"/>
    </xf>
    <xf numFmtId="14" fontId="51" fillId="0" borderId="0" xfId="295" applyNumberFormat="1" applyFont="1" applyAlignment="1">
      <alignment vertical="center"/>
    </xf>
    <xf numFmtId="0" fontId="96" fillId="0" borderId="0" xfId="0" applyFont="1"/>
    <xf numFmtId="0" fontId="96" fillId="0" borderId="0" xfId="0" applyFont="1" applyAlignment="1">
      <alignment horizontal="left"/>
    </xf>
    <xf numFmtId="0" fontId="97" fillId="0" borderId="0" xfId="0" applyFont="1" applyAlignment="1">
      <alignment horizontal="left" vertical="center"/>
    </xf>
    <xf numFmtId="0" fontId="98" fillId="0" borderId="0" xfId="0" applyFont="1" applyAlignment="1">
      <alignment horizontal="left"/>
    </xf>
    <xf numFmtId="0" fontId="96" fillId="0" borderId="0" xfId="0" applyFont="1" applyAlignment="1">
      <alignment horizontal="left" vertical="center"/>
    </xf>
    <xf numFmtId="0" fontId="97" fillId="0" borderId="0" xfId="0" applyFont="1"/>
    <xf numFmtId="0" fontId="97" fillId="0" borderId="0" xfId="0" applyFont="1" applyAlignment="1">
      <alignment vertical="center"/>
    </xf>
    <xf numFmtId="0" fontId="97" fillId="0" borderId="0" xfId="0" applyFont="1" applyAlignment="1">
      <alignment horizontal="center" vertical="center"/>
    </xf>
    <xf numFmtId="0" fontId="97" fillId="0" borderId="0" xfId="293" applyFont="1" applyAlignment="1">
      <alignment horizontal="left" vertical="center"/>
    </xf>
    <xf numFmtId="169" fontId="97" fillId="0" borderId="0" xfId="49" applyNumberFormat="1" applyFont="1" applyAlignment="1">
      <alignment horizontal="center" vertical="center"/>
    </xf>
    <xf numFmtId="171" fontId="96" fillId="0" borderId="0" xfId="20" applyNumberFormat="1" applyFont="1" applyAlignment="1">
      <alignment horizontal="left" vertical="center"/>
    </xf>
    <xf numFmtId="184" fontId="100" fillId="0" borderId="0" xfId="49" applyNumberFormat="1" applyFont="1" applyAlignment="1">
      <alignment horizontal="left" vertical="center"/>
    </xf>
    <xf numFmtId="0" fontId="96" fillId="27" borderId="0" xfId="0" applyFont="1" applyFill="1"/>
    <xf numFmtId="0" fontId="96" fillId="27" borderId="0" xfId="0" applyFont="1" applyFill="1" applyAlignment="1">
      <alignment horizontal="left"/>
    </xf>
    <xf numFmtId="0" fontId="98" fillId="27" borderId="0" xfId="0" applyFont="1" applyFill="1" applyAlignment="1">
      <alignment horizontal="left"/>
    </xf>
    <xf numFmtId="0" fontId="101" fillId="0" borderId="0" xfId="0" applyFont="1" applyAlignment="1">
      <alignment horizontal="center" vertical="center"/>
    </xf>
    <xf numFmtId="0" fontId="96" fillId="0" borderId="0" xfId="0" applyFont="1" applyAlignment="1">
      <alignment vertical="center"/>
    </xf>
    <xf numFmtId="0" fontId="44" fillId="0" borderId="0" xfId="0" applyFont="1"/>
    <xf numFmtId="38" fontId="97" fillId="27" borderId="0" xfId="0" applyNumberFormat="1" applyFont="1" applyFill="1"/>
    <xf numFmtId="0" fontId="99" fillId="30" borderId="16" xfId="293" applyFont="1" applyFill="1" applyBorder="1" applyAlignment="1">
      <alignment horizontal="center" vertical="center" wrapText="1"/>
    </xf>
    <xf numFmtId="0" fontId="99" fillId="30" borderId="16" xfId="293" applyFont="1" applyFill="1" applyBorder="1" applyAlignment="1">
      <alignment horizontal="center" vertical="center"/>
    </xf>
    <xf numFmtId="0" fontId="99" fillId="30" borderId="16" xfId="0" applyFont="1" applyFill="1" applyBorder="1" applyAlignment="1">
      <alignment horizontal="center" vertical="center"/>
    </xf>
    <xf numFmtId="0" fontId="99" fillId="30" borderId="16" xfId="0" applyFont="1" applyFill="1" applyBorder="1" applyAlignment="1">
      <alignment horizontal="center" vertical="center" wrapText="1"/>
    </xf>
    <xf numFmtId="0" fontId="99" fillId="30" borderId="21" xfId="0" applyFont="1" applyFill="1" applyBorder="1" applyAlignment="1">
      <alignment horizontal="center" vertical="center"/>
    </xf>
    <xf numFmtId="0" fontId="99" fillId="30" borderId="21" xfId="293" applyFont="1" applyFill="1" applyBorder="1" applyAlignment="1">
      <alignment horizontal="center" vertical="center"/>
    </xf>
    <xf numFmtId="0" fontId="99" fillId="30" borderId="21" xfId="293" applyFont="1" applyFill="1" applyBorder="1" applyAlignment="1">
      <alignment horizontal="center" vertical="center" wrapText="1"/>
    </xf>
    <xf numFmtId="168" fontId="99" fillId="30" borderId="21" xfId="0" applyNumberFormat="1" applyFont="1" applyFill="1" applyBorder="1" applyAlignment="1">
      <alignment horizontal="center" vertical="center"/>
    </xf>
    <xf numFmtId="0" fontId="99" fillId="30" borderId="23" xfId="0" applyFont="1" applyFill="1" applyBorder="1" applyAlignment="1">
      <alignment horizontal="center" vertical="center"/>
    </xf>
    <xf numFmtId="168" fontId="99" fillId="30" borderId="25" xfId="0" applyNumberFormat="1" applyFont="1" applyFill="1" applyBorder="1" applyAlignment="1">
      <alignment horizontal="center" vertical="center"/>
    </xf>
    <xf numFmtId="168" fontId="102" fillId="30" borderId="25" xfId="0" applyNumberFormat="1" applyFont="1" applyFill="1" applyBorder="1" applyAlignment="1">
      <alignment horizontal="center" vertical="center"/>
    </xf>
    <xf numFmtId="170" fontId="46" fillId="0" borderId="0" xfId="20" applyFont="1" applyAlignment="1">
      <alignment vertical="center"/>
    </xf>
    <xf numFmtId="167" fontId="46" fillId="0" borderId="0" xfId="295" applyNumberFormat="1" applyFont="1" applyAlignment="1">
      <alignment vertical="center"/>
    </xf>
    <xf numFmtId="169" fontId="0" fillId="0" borderId="0" xfId="0" applyNumberFormat="1"/>
    <xf numFmtId="187" fontId="97" fillId="0" borderId="0" xfId="21" applyNumberFormat="1" applyFont="1" applyAlignment="1">
      <alignment horizontal="center" vertical="center"/>
    </xf>
    <xf numFmtId="187" fontId="97" fillId="0" borderId="0" xfId="21" applyNumberFormat="1" applyFont="1"/>
    <xf numFmtId="0" fontId="104" fillId="27" borderId="0" xfId="0" applyFont="1" applyFill="1"/>
    <xf numFmtId="0" fontId="104" fillId="27" borderId="0" xfId="0" applyFont="1" applyFill="1" applyAlignment="1">
      <alignment horizontal="left"/>
    </xf>
    <xf numFmtId="187" fontId="102" fillId="27" borderId="0" xfId="21" applyNumberFormat="1" applyFont="1" applyFill="1"/>
    <xf numFmtId="38" fontId="102" fillId="27" borderId="0" xfId="0" applyNumberFormat="1" applyFont="1" applyFill="1"/>
    <xf numFmtId="169" fontId="102" fillId="27" borderId="0" xfId="0" applyNumberFormat="1" applyFont="1" applyFill="1"/>
    <xf numFmtId="15" fontId="96" fillId="0" borderId="0" xfId="0" applyNumberFormat="1" applyFont="1" applyAlignment="1">
      <alignment horizontal="left"/>
    </xf>
    <xf numFmtId="15" fontId="97" fillId="0" borderId="0" xfId="293" applyNumberFormat="1" applyFont="1" applyAlignment="1">
      <alignment horizontal="left" vertical="center"/>
    </xf>
    <xf numFmtId="188" fontId="96" fillId="0" borderId="0" xfId="21" applyNumberFormat="1" applyFont="1"/>
    <xf numFmtId="188" fontId="97" fillId="0" borderId="0" xfId="21" applyNumberFormat="1" applyFont="1" applyAlignment="1">
      <alignment horizontal="center" vertical="center"/>
    </xf>
    <xf numFmtId="168" fontId="99" fillId="30" borderId="24" xfId="21" applyNumberFormat="1" applyFont="1" applyFill="1" applyBorder="1" applyAlignment="1">
      <alignment horizontal="center" vertical="center"/>
    </xf>
    <xf numFmtId="0" fontId="102" fillId="30" borderId="22" xfId="21" applyNumberFormat="1" applyFont="1" applyFill="1" applyBorder="1" applyAlignment="1">
      <alignment horizontal="center" vertical="center"/>
    </xf>
    <xf numFmtId="1" fontId="95" fillId="0" borderId="0" xfId="0" applyNumberFormat="1" applyFont="1" applyAlignment="1">
      <alignment horizontal="left" vertical="center"/>
    </xf>
    <xf numFmtId="0" fontId="105" fillId="0" borderId="26" xfId="0" applyFont="1" applyBorder="1" applyAlignment="1">
      <alignment vertical="center" wrapText="1"/>
    </xf>
    <xf numFmtId="176" fontId="105" fillId="0" borderId="26" xfId="0" applyNumberFormat="1" applyFont="1" applyBorder="1" applyAlignment="1">
      <alignment vertical="center" wrapText="1"/>
    </xf>
    <xf numFmtId="0" fontId="0" fillId="0" borderId="0" xfId="0" applyAlignment="1">
      <alignment horizontal="center"/>
    </xf>
    <xf numFmtId="0" fontId="105" fillId="0" borderId="31" xfId="0" applyFont="1" applyBorder="1" applyAlignment="1">
      <alignment vertical="center" wrapText="1"/>
    </xf>
    <xf numFmtId="176" fontId="105" fillId="0" borderId="31" xfId="0" applyNumberFormat="1" applyFont="1" applyBorder="1" applyAlignment="1">
      <alignment vertical="center" wrapText="1"/>
    </xf>
    <xf numFmtId="0" fontId="105" fillId="0" borderId="26" xfId="0" applyFont="1" applyBorder="1" applyAlignment="1">
      <alignment horizontal="left" vertical="center" wrapText="1"/>
    </xf>
    <xf numFmtId="1" fontId="105" fillId="0" borderId="26" xfId="0" applyNumberFormat="1" applyFont="1" applyBorder="1" applyAlignment="1">
      <alignment horizontal="left" vertical="center" wrapText="1"/>
    </xf>
    <xf numFmtId="0" fontId="105" fillId="0" borderId="26" xfId="0" applyFont="1" applyBorder="1" applyAlignment="1">
      <alignment horizontal="center" vertical="center" wrapText="1"/>
    </xf>
    <xf numFmtId="0" fontId="105" fillId="0" borderId="29" xfId="0" applyFont="1" applyBorder="1" applyAlignment="1">
      <alignment vertical="center" wrapText="1"/>
    </xf>
    <xf numFmtId="176" fontId="0" fillId="0" borderId="0" xfId="0" applyNumberFormat="1"/>
    <xf numFmtId="0" fontId="105" fillId="0" borderId="0" xfId="0" applyFont="1" applyAlignment="1">
      <alignment horizontal="center" vertical="center" wrapText="1"/>
    </xf>
    <xf numFmtId="1" fontId="105" fillId="0" borderId="0" xfId="0" applyNumberFormat="1" applyFont="1" applyAlignment="1">
      <alignment horizontal="center" vertical="center" wrapText="1"/>
    </xf>
    <xf numFmtId="0" fontId="105" fillId="0" borderId="0" xfId="0" applyFont="1" applyAlignment="1">
      <alignment vertical="center" wrapText="1"/>
    </xf>
    <xf numFmtId="176" fontId="105" fillId="0" borderId="0" xfId="0" applyNumberFormat="1" applyFont="1" applyAlignment="1">
      <alignment vertical="center" wrapText="1"/>
    </xf>
    <xf numFmtId="1" fontId="95" fillId="0" borderId="0" xfId="0" applyNumberFormat="1" applyFont="1"/>
    <xf numFmtId="0" fontId="107" fillId="32" borderId="3" xfId="0" applyFont="1" applyFill="1" applyBorder="1" applyAlignment="1">
      <alignment horizontal="center" vertical="center" wrapText="1"/>
    </xf>
    <xf numFmtId="168" fontId="107" fillId="32" borderId="3" xfId="0" applyNumberFormat="1" applyFont="1" applyFill="1" applyBorder="1" applyAlignment="1">
      <alignment horizontal="center" vertical="center" wrapText="1"/>
    </xf>
    <xf numFmtId="0" fontId="102" fillId="27" borderId="0" xfId="0" applyFont="1" applyFill="1"/>
    <xf numFmtId="0" fontId="97" fillId="27" borderId="0" xfId="0" applyFont="1" applyFill="1"/>
    <xf numFmtId="43" fontId="0" fillId="0" borderId="0" xfId="0" applyNumberFormat="1"/>
    <xf numFmtId="168" fontId="91" fillId="28" borderId="19" xfId="201" applyNumberFormat="1" applyFont="1" applyFill="1" applyBorder="1" applyAlignment="1">
      <alignment horizontal="center" vertical="center"/>
    </xf>
    <xf numFmtId="168" fontId="91" fillId="28" borderId="17" xfId="201" applyNumberFormat="1" applyFont="1" applyFill="1" applyBorder="1" applyAlignment="1">
      <alignment horizontal="center" vertical="center"/>
    </xf>
    <xf numFmtId="168" fontId="91" fillId="28" borderId="20" xfId="201" applyNumberFormat="1" applyFont="1" applyFill="1" applyBorder="1" applyAlignment="1">
      <alignment horizontal="center" vertical="center"/>
    </xf>
    <xf numFmtId="0" fontId="97" fillId="34" borderId="18" xfId="0" applyFont="1" applyFill="1" applyBorder="1" applyAlignment="1">
      <alignment horizontal="center" vertical="center"/>
    </xf>
    <xf numFmtId="0" fontId="105" fillId="0" borderId="31" xfId="0" applyFont="1" applyBorder="1" applyAlignment="1">
      <alignment horizontal="left" vertical="center" wrapText="1"/>
    </xf>
    <xf numFmtId="0" fontId="105" fillId="0" borderId="26" xfId="0" applyFont="1" applyBorder="1" applyAlignment="1">
      <alignment vertical="center"/>
    </xf>
    <xf numFmtId="168" fontId="105" fillId="0" borderId="26" xfId="0" applyNumberFormat="1" applyFont="1" applyBorder="1" applyAlignment="1">
      <alignment vertical="center" wrapText="1"/>
    </xf>
    <xf numFmtId="1" fontId="0" fillId="0" borderId="0" xfId="0" applyNumberFormat="1" applyAlignment="1">
      <alignment horizontal="center"/>
    </xf>
    <xf numFmtId="0" fontId="52" fillId="0" borderId="0" xfId="295" applyFont="1" applyAlignment="1">
      <alignment horizontal="center" vertical="center"/>
    </xf>
    <xf numFmtId="168" fontId="52" fillId="0" borderId="0" xfId="295" applyNumberFormat="1" applyFont="1" applyAlignment="1">
      <alignment horizontal="center" vertical="center"/>
    </xf>
    <xf numFmtId="169" fontId="52" fillId="0" borderId="0" xfId="142" applyNumberFormat="1" applyFont="1" applyFill="1" applyBorder="1" applyAlignment="1">
      <alignment vertical="center"/>
    </xf>
    <xf numFmtId="0" fontId="86" fillId="0" borderId="0" xfId="0" applyFont="1"/>
    <xf numFmtId="1" fontId="95" fillId="0" borderId="0" xfId="0" applyNumberFormat="1" applyFont="1" applyAlignment="1">
      <alignment horizontal="left"/>
    </xf>
    <xf numFmtId="43" fontId="51" fillId="0" borderId="0" xfId="295" applyNumberFormat="1" applyFont="1" applyAlignment="1">
      <alignment vertical="center"/>
    </xf>
    <xf numFmtId="169" fontId="51" fillId="0" borderId="0" xfId="295" applyNumberFormat="1" applyFont="1" applyAlignment="1">
      <alignment vertical="center"/>
    </xf>
    <xf numFmtId="169" fontId="51" fillId="0" borderId="0" xfId="0" applyNumberFormat="1" applyFont="1"/>
    <xf numFmtId="1" fontId="105" fillId="0" borderId="26" xfId="0" quotePrefix="1" applyNumberFormat="1" applyFont="1" applyBorder="1" applyAlignment="1">
      <alignment horizontal="left" vertical="center" wrapText="1"/>
    </xf>
    <xf numFmtId="1" fontId="105" fillId="0" borderId="30" xfId="0" applyNumberFormat="1" applyFont="1" applyBorder="1" applyAlignment="1">
      <alignment vertical="center" wrapText="1"/>
    </xf>
    <xf numFmtId="0" fontId="105" fillId="0" borderId="35" xfId="0" applyFont="1" applyBorder="1" applyAlignment="1">
      <alignment vertical="center" wrapText="1"/>
    </xf>
    <xf numFmtId="0" fontId="105" fillId="0" borderId="35" xfId="0" applyFont="1" applyBorder="1" applyAlignment="1">
      <alignment horizontal="left" vertical="center" wrapText="1"/>
    </xf>
    <xf numFmtId="1" fontId="105" fillId="0" borderId="35" xfId="0" applyNumberFormat="1" applyFont="1" applyBorder="1" applyAlignment="1">
      <alignment horizontal="left" vertical="center" wrapText="1"/>
    </xf>
    <xf numFmtId="176" fontId="105" fillId="0" borderId="35" xfId="0" applyNumberFormat="1" applyFont="1" applyBorder="1" applyAlignment="1">
      <alignment vertical="center" wrapText="1"/>
    </xf>
    <xf numFmtId="168" fontId="105" fillId="0" borderId="35" xfId="0" applyNumberFormat="1" applyFont="1" applyBorder="1" applyAlignment="1">
      <alignment vertical="center" wrapText="1"/>
    </xf>
    <xf numFmtId="0" fontId="105" fillId="0" borderId="42" xfId="0" applyFont="1" applyBorder="1" applyAlignment="1">
      <alignment vertical="center" wrapText="1"/>
    </xf>
    <xf numFmtId="0" fontId="105" fillId="0" borderId="36" xfId="0" applyFont="1" applyBorder="1" applyAlignment="1">
      <alignment vertical="center" wrapText="1"/>
    </xf>
    <xf numFmtId="0" fontId="105" fillId="0" borderId="36" xfId="0" applyFont="1" applyBorder="1" applyAlignment="1">
      <alignment horizontal="left" vertical="center" wrapText="1"/>
    </xf>
    <xf numFmtId="1" fontId="105" fillId="0" borderId="36" xfId="0" applyNumberFormat="1" applyFont="1" applyBorder="1" applyAlignment="1">
      <alignment horizontal="left" vertical="center" wrapText="1"/>
    </xf>
    <xf numFmtId="176" fontId="105" fillId="0" borderId="36" xfId="0" applyNumberFormat="1" applyFont="1" applyBorder="1" applyAlignment="1">
      <alignment vertical="center" wrapText="1"/>
    </xf>
    <xf numFmtId="0" fontId="105" fillId="0" borderId="43" xfId="0" applyFont="1" applyBorder="1" applyAlignment="1">
      <alignment vertical="center" wrapText="1"/>
    </xf>
    <xf numFmtId="176" fontId="105" fillId="35" borderId="26" xfId="0" applyNumberFormat="1" applyFont="1" applyFill="1" applyBorder="1" applyAlignment="1">
      <alignment vertical="center" wrapText="1"/>
    </xf>
    <xf numFmtId="0" fontId="94" fillId="31" borderId="44" xfId="189" applyFont="1" applyFill="1" applyBorder="1"/>
    <xf numFmtId="0" fontId="94" fillId="31" borderId="45" xfId="189" applyFont="1" applyFill="1" applyBorder="1"/>
    <xf numFmtId="0" fontId="94" fillId="31" borderId="46" xfId="189" applyFont="1" applyFill="1" applyBorder="1"/>
    <xf numFmtId="0" fontId="105" fillId="0" borderId="34" xfId="0" applyFont="1" applyBorder="1" applyAlignment="1">
      <alignment vertical="center" wrapText="1"/>
    </xf>
    <xf numFmtId="0" fontId="105" fillId="0" borderId="34" xfId="0" applyFont="1" applyBorder="1" applyAlignment="1">
      <alignment horizontal="left" vertical="center" wrapText="1"/>
    </xf>
    <xf numFmtId="1" fontId="105" fillId="0" borderId="34" xfId="0" applyNumberFormat="1" applyFont="1" applyBorder="1" applyAlignment="1">
      <alignment horizontal="left" vertical="center" wrapText="1"/>
    </xf>
    <xf numFmtId="176" fontId="105" fillId="0" borderId="34" xfId="0" applyNumberFormat="1" applyFont="1" applyBorder="1" applyAlignment="1">
      <alignment vertical="center" wrapText="1"/>
    </xf>
    <xf numFmtId="0" fontId="106" fillId="0" borderId="35" xfId="0" applyFont="1" applyBorder="1" applyAlignment="1">
      <alignment vertical="center" wrapText="1"/>
    </xf>
    <xf numFmtId="176" fontId="106" fillId="0" borderId="35" xfId="0" applyNumberFormat="1" applyFont="1" applyBorder="1" applyAlignment="1">
      <alignment vertical="center" wrapText="1"/>
    </xf>
    <xf numFmtId="0" fontId="106" fillId="0" borderId="35" xfId="0" applyFont="1" applyBorder="1" applyAlignment="1">
      <alignment horizontal="center" vertical="center" wrapText="1"/>
    </xf>
    <xf numFmtId="0" fontId="106" fillId="0" borderId="34" xfId="0" applyFont="1" applyBorder="1" applyAlignment="1">
      <alignment vertical="center" wrapText="1"/>
    </xf>
    <xf numFmtId="176" fontId="106" fillId="0" borderId="34" xfId="0" applyNumberFormat="1" applyFont="1" applyBorder="1" applyAlignment="1">
      <alignment vertical="center" wrapText="1"/>
    </xf>
    <xf numFmtId="0" fontId="106" fillId="0" borderId="34" xfId="0" applyFont="1" applyBorder="1" applyAlignment="1">
      <alignment horizontal="center" vertical="center" wrapText="1"/>
    </xf>
    <xf numFmtId="0" fontId="106" fillId="0" borderId="36" xfId="0" applyFont="1" applyBorder="1" applyAlignment="1">
      <alignment vertical="center" wrapText="1"/>
    </xf>
    <xf numFmtId="1" fontId="105" fillId="0" borderId="47" xfId="0" applyNumberFormat="1" applyFont="1" applyBorder="1" applyAlignment="1">
      <alignment vertical="center" wrapText="1"/>
    </xf>
    <xf numFmtId="0" fontId="105" fillId="0" borderId="50" xfId="0" applyFont="1" applyBorder="1" applyAlignment="1">
      <alignment vertical="center" wrapText="1"/>
    </xf>
    <xf numFmtId="1" fontId="105" fillId="0" borderId="35" xfId="0" quotePrefix="1" applyNumberFormat="1" applyFont="1" applyBorder="1" applyAlignment="1">
      <alignment horizontal="left" vertical="center" wrapText="1"/>
    </xf>
    <xf numFmtId="1" fontId="105" fillId="0" borderId="34" xfId="0" quotePrefix="1" applyNumberFormat="1" applyFont="1" applyBorder="1" applyAlignment="1">
      <alignment horizontal="left" vertical="center" wrapText="1"/>
    </xf>
    <xf numFmtId="0" fontId="105" fillId="0" borderId="36" xfId="0" applyFont="1" applyBorder="1" applyAlignment="1">
      <alignment vertical="center"/>
    </xf>
    <xf numFmtId="1" fontId="105" fillId="0" borderId="36" xfId="0" quotePrefix="1" applyNumberFormat="1" applyFont="1" applyBorder="1" applyAlignment="1">
      <alignment horizontal="left" vertical="center" wrapText="1"/>
    </xf>
    <xf numFmtId="0" fontId="105" fillId="0" borderId="34" xfId="0" applyFont="1" applyBorder="1" applyAlignment="1">
      <alignment vertical="center"/>
    </xf>
    <xf numFmtId="0" fontId="105" fillId="0" borderId="3" xfId="0" applyFont="1" applyBorder="1" applyAlignment="1">
      <alignment vertical="center" wrapText="1"/>
    </xf>
    <xf numFmtId="0" fontId="105" fillId="0" borderId="3" xfId="0" applyFont="1" applyBorder="1" applyAlignment="1">
      <alignment horizontal="left" vertical="center" wrapText="1"/>
    </xf>
    <xf numFmtId="1" fontId="105" fillId="0" borderId="3" xfId="0" applyNumberFormat="1" applyFont="1" applyBorder="1" applyAlignment="1">
      <alignment horizontal="left" vertical="center" wrapText="1"/>
    </xf>
    <xf numFmtId="176" fontId="105" fillId="0" borderId="3" xfId="0" applyNumberFormat="1" applyFont="1" applyBorder="1" applyAlignment="1">
      <alignment vertical="center" wrapText="1"/>
    </xf>
    <xf numFmtId="0" fontId="105" fillId="0" borderId="53" xfId="0" applyFont="1" applyBorder="1" applyAlignment="1">
      <alignment vertical="center" wrapText="1"/>
    </xf>
    <xf numFmtId="165" fontId="0" fillId="0" borderId="0" xfId="21" applyFont="1"/>
    <xf numFmtId="14" fontId="52" fillId="0" borderId="0" xfId="295" applyNumberFormat="1" applyFont="1" applyAlignment="1">
      <alignment vertical="center"/>
    </xf>
    <xf numFmtId="17" fontId="52" fillId="0" borderId="0" xfId="295" quotePrefix="1" applyNumberFormat="1" applyFont="1" applyAlignment="1">
      <alignment horizontal="center" vertical="center"/>
    </xf>
    <xf numFmtId="0" fontId="52" fillId="0" borderId="0" xfId="0" applyFont="1"/>
    <xf numFmtId="49" fontId="40" fillId="0" borderId="0" xfId="341" applyNumberFormat="1" applyAlignment="1">
      <alignment horizontal="left"/>
    </xf>
    <xf numFmtId="4" fontId="40" fillId="0" borderId="0" xfId="341" applyNumberFormat="1" applyAlignment="1">
      <alignment horizontal="right"/>
    </xf>
    <xf numFmtId="0" fontId="0" fillId="0" borderId="26" xfId="0" applyBorder="1"/>
    <xf numFmtId="168" fontId="105" fillId="0" borderId="36" xfId="0" applyNumberFormat="1" applyFont="1" applyBorder="1" applyAlignment="1">
      <alignment vertical="center" wrapText="1"/>
    </xf>
    <xf numFmtId="1" fontId="105" fillId="0" borderId="30" xfId="0" applyNumberFormat="1" applyFont="1" applyBorder="1" applyAlignment="1">
      <alignment horizontal="center" vertical="center" wrapText="1"/>
    </xf>
    <xf numFmtId="169" fontId="51" fillId="0" borderId="0" xfId="292" applyNumberFormat="1" applyFont="1"/>
    <xf numFmtId="0" fontId="52" fillId="0" borderId="71" xfId="295" quotePrefix="1" applyFont="1" applyBorder="1" applyAlignment="1">
      <alignment horizontal="center" vertical="center"/>
    </xf>
    <xf numFmtId="0" fontId="52" fillId="0" borderId="48" xfId="295" applyFont="1" applyBorder="1" applyAlignment="1">
      <alignment horizontal="left" vertical="center" indent="1"/>
    </xf>
    <xf numFmtId="0" fontId="52" fillId="0" borderId="63" xfId="295" quotePrefix="1" applyFont="1" applyBorder="1" applyAlignment="1">
      <alignment horizontal="center" vertical="center"/>
    </xf>
    <xf numFmtId="0" fontId="52" fillId="0" borderId="34" xfId="295" applyFont="1" applyBorder="1" applyAlignment="1">
      <alignment horizontal="left" vertical="center" indent="1"/>
    </xf>
    <xf numFmtId="167" fontId="52" fillId="36" borderId="49" xfId="295" applyNumberFormat="1" applyFont="1" applyFill="1" applyBorder="1" applyAlignment="1">
      <alignment vertical="center"/>
    </xf>
    <xf numFmtId="169" fontId="52" fillId="36" borderId="50" xfId="295" applyNumberFormat="1" applyFont="1" applyFill="1" applyBorder="1" applyAlignment="1">
      <alignment vertical="center"/>
    </xf>
    <xf numFmtId="169" fontId="52" fillId="36" borderId="50" xfId="292" applyNumberFormat="1" applyFont="1" applyFill="1" applyBorder="1"/>
    <xf numFmtId="0" fontId="52" fillId="36" borderId="37" xfId="295" applyFont="1" applyFill="1" applyBorder="1" applyAlignment="1">
      <alignment horizontal="center" vertical="center"/>
    </xf>
    <xf numFmtId="0" fontId="52" fillId="36" borderId="32" xfId="295" applyFont="1" applyFill="1" applyBorder="1" applyAlignment="1">
      <alignment horizontal="center" vertical="center"/>
    </xf>
    <xf numFmtId="0" fontId="52" fillId="36" borderId="40" xfId="295" applyFont="1" applyFill="1" applyBorder="1" applyAlignment="1">
      <alignment horizontal="center" vertical="center"/>
    </xf>
    <xf numFmtId="0" fontId="52" fillId="36" borderId="33" xfId="295" applyFont="1" applyFill="1" applyBorder="1" applyAlignment="1">
      <alignment horizontal="center" vertical="center"/>
    </xf>
    <xf numFmtId="168" fontId="52" fillId="36" borderId="41" xfId="295" applyNumberFormat="1" applyFont="1" applyFill="1" applyBorder="1" applyAlignment="1">
      <alignment horizontal="center" vertical="center"/>
    </xf>
    <xf numFmtId="0" fontId="51" fillId="36" borderId="73" xfId="292" applyFont="1" applyFill="1" applyBorder="1"/>
    <xf numFmtId="0" fontId="52" fillId="36" borderId="70" xfId="295" applyFont="1" applyFill="1" applyBorder="1" applyAlignment="1">
      <alignment horizontal="center" vertical="center"/>
    </xf>
    <xf numFmtId="169" fontId="52" fillId="36" borderId="70" xfId="142" applyNumberFormat="1" applyFont="1" applyFill="1" applyBorder="1" applyAlignment="1">
      <alignment vertical="center"/>
    </xf>
    <xf numFmtId="169" fontId="52" fillId="36" borderId="72" xfId="142" applyNumberFormat="1" applyFont="1" applyFill="1" applyBorder="1" applyAlignment="1">
      <alignment vertical="center"/>
    </xf>
    <xf numFmtId="169" fontId="52" fillId="0" borderId="48" xfId="142" applyNumberFormat="1" applyFont="1" applyBorder="1" applyAlignment="1">
      <alignment vertical="center"/>
    </xf>
    <xf numFmtId="169" fontId="51" fillId="0" borderId="48" xfId="142" applyNumberFormat="1" applyFont="1" applyBorder="1" applyAlignment="1">
      <alignment vertical="center"/>
    </xf>
    <xf numFmtId="165" fontId="52" fillId="36" borderId="49" xfId="21" applyFont="1" applyFill="1" applyBorder="1" applyAlignment="1">
      <alignment vertical="center"/>
    </xf>
    <xf numFmtId="169" fontId="52" fillId="0" borderId="34" xfId="142" applyNumberFormat="1" applyFont="1" applyBorder="1" applyAlignment="1">
      <alignment vertical="center"/>
    </xf>
    <xf numFmtId="169" fontId="51" fillId="0" borderId="34" xfId="142" applyNumberFormat="1" applyFont="1" applyBorder="1" applyAlignment="1">
      <alignment vertical="center"/>
    </xf>
    <xf numFmtId="169" fontId="52" fillId="36" borderId="50" xfId="142" applyNumberFormat="1" applyFont="1" applyFill="1" applyBorder="1" applyAlignment="1">
      <alignment vertical="center"/>
    </xf>
    <xf numFmtId="0" fontId="52" fillId="0" borderId="65" xfId="295" quotePrefix="1" applyFont="1" applyBorder="1" applyAlignment="1">
      <alignment horizontal="center" vertical="center"/>
    </xf>
    <xf numFmtId="0" fontId="52" fillId="0" borderId="51" xfId="295" applyFont="1" applyBorder="1" applyAlignment="1">
      <alignment horizontal="left" vertical="center" indent="1"/>
    </xf>
    <xf numFmtId="169" fontId="51" fillId="0" borderId="51" xfId="142" applyNumberFormat="1" applyFont="1" applyBorder="1" applyAlignment="1">
      <alignment vertical="center"/>
    </xf>
    <xf numFmtId="169" fontId="52" fillId="36" borderId="52" xfId="142" applyNumberFormat="1" applyFont="1" applyFill="1" applyBorder="1" applyAlignment="1">
      <alignment vertical="center"/>
    </xf>
    <xf numFmtId="169" fontId="51" fillId="0" borderId="71" xfId="142" applyNumberFormat="1" applyFont="1" applyBorder="1" applyAlignment="1">
      <alignment vertical="center"/>
    </xf>
    <xf numFmtId="169" fontId="52" fillId="36" borderId="49" xfId="142" applyNumberFormat="1" applyFont="1" applyFill="1" applyBorder="1" applyAlignment="1">
      <alignment vertical="center"/>
    </xf>
    <xf numFmtId="169" fontId="51" fillId="0" borderId="63" xfId="142" applyNumberFormat="1" applyFont="1" applyBorder="1" applyAlignment="1">
      <alignment vertical="center"/>
    </xf>
    <xf numFmtId="169" fontId="51" fillId="0" borderId="65" xfId="142" applyNumberFormat="1" applyFont="1" applyBorder="1" applyAlignment="1">
      <alignment vertical="center"/>
    </xf>
    <xf numFmtId="169" fontId="52" fillId="36" borderId="74" xfId="142" applyNumberFormat="1" applyFont="1" applyFill="1" applyBorder="1" applyAlignment="1">
      <alignment vertical="center"/>
    </xf>
    <xf numFmtId="169" fontId="52" fillId="36" borderId="75" xfId="142" applyNumberFormat="1" applyFont="1" applyFill="1" applyBorder="1" applyAlignment="1">
      <alignment vertical="center"/>
    </xf>
    <xf numFmtId="169" fontId="52" fillId="36" borderId="24" xfId="142" applyNumberFormat="1" applyFont="1" applyFill="1" applyBorder="1" applyAlignment="1">
      <alignment vertical="center"/>
    </xf>
    <xf numFmtId="169" fontId="52" fillId="36" borderId="57" xfId="142" applyNumberFormat="1" applyFont="1" applyFill="1" applyBorder="1" applyAlignment="1">
      <alignment vertical="center"/>
    </xf>
    <xf numFmtId="37" fontId="52" fillId="0" borderId="0" xfId="296" applyFont="1" applyAlignment="1">
      <alignment horizontal="center"/>
    </xf>
    <xf numFmtId="37" fontId="52" fillId="0" borderId="0" xfId="296" applyFont="1" applyAlignment="1">
      <alignment horizontal="left" indent="1"/>
    </xf>
    <xf numFmtId="37" fontId="51" fillId="0" borderId="0" xfId="296" applyFont="1"/>
    <xf numFmtId="0" fontId="51" fillId="36" borderId="76" xfId="295" applyFont="1" applyFill="1" applyBorder="1" applyAlignment="1">
      <alignment vertical="center"/>
    </xf>
    <xf numFmtId="0" fontId="52" fillId="36" borderId="77" xfId="295" applyFont="1" applyFill="1" applyBorder="1" applyAlignment="1">
      <alignment vertical="center"/>
    </xf>
    <xf numFmtId="167" fontId="52" fillId="36" borderId="78" xfId="292" applyNumberFormat="1" applyFont="1" applyFill="1" applyBorder="1"/>
    <xf numFmtId="167" fontId="52" fillId="36" borderId="50" xfId="295" applyNumberFormat="1" applyFont="1" applyFill="1" applyBorder="1" applyAlignment="1">
      <alignment vertical="center"/>
    </xf>
    <xf numFmtId="0" fontId="108" fillId="0" borderId="0" xfId="0" applyFont="1"/>
    <xf numFmtId="0" fontId="109" fillId="0" borderId="0" xfId="0" applyFont="1"/>
    <xf numFmtId="4" fontId="37" fillId="0" borderId="0" xfId="344" applyNumberFormat="1" applyAlignment="1">
      <alignment horizontal="right"/>
    </xf>
    <xf numFmtId="4" fontId="37" fillId="0" borderId="0" xfId="345" applyNumberFormat="1" applyAlignment="1">
      <alignment horizontal="right"/>
    </xf>
    <xf numFmtId="169" fontId="52" fillId="0" borderId="51" xfId="142" applyNumberFormat="1" applyFont="1" applyBorder="1" applyAlignment="1">
      <alignment vertical="center" wrapText="1"/>
    </xf>
    <xf numFmtId="0" fontId="48" fillId="0" borderId="4" xfId="295" applyFont="1" applyBorder="1" applyAlignment="1">
      <alignment horizontal="left" vertical="center"/>
    </xf>
    <xf numFmtId="0" fontId="105" fillId="0" borderId="35" xfId="0" applyFont="1" applyBorder="1" applyAlignment="1">
      <alignment horizontal="center" vertical="center" wrapText="1"/>
    </xf>
    <xf numFmtId="0" fontId="105" fillId="0" borderId="36" xfId="0" applyFont="1" applyBorder="1" applyAlignment="1">
      <alignment horizontal="center" vertical="center" wrapText="1"/>
    </xf>
    <xf numFmtId="0" fontId="105" fillId="0" borderId="34" xfId="0" applyFont="1" applyBorder="1" applyAlignment="1">
      <alignment horizontal="center" vertical="center" wrapText="1"/>
    </xf>
    <xf numFmtId="168" fontId="105" fillId="0" borderId="31" xfId="0" applyNumberFormat="1" applyFont="1" applyBorder="1" applyAlignment="1">
      <alignment vertical="center" wrapText="1"/>
    </xf>
    <xf numFmtId="1" fontId="105" fillId="0" borderId="26" xfId="0" applyNumberFormat="1" applyFont="1" applyBorder="1" applyAlignment="1">
      <alignment horizontal="center" vertical="center" wrapText="1"/>
    </xf>
    <xf numFmtId="0" fontId="105" fillId="0" borderId="66" xfId="0" applyFont="1" applyBorder="1" applyAlignment="1">
      <alignment vertical="center" wrapText="1"/>
    </xf>
    <xf numFmtId="0" fontId="105" fillId="0" borderId="31" xfId="0" applyFont="1" applyBorder="1" applyAlignment="1">
      <alignment horizontal="center" vertical="center" wrapText="1"/>
    </xf>
    <xf numFmtId="0" fontId="105" fillId="0" borderId="80" xfId="0" applyFont="1" applyBorder="1" applyAlignment="1">
      <alignment vertical="center" wrapText="1"/>
    </xf>
    <xf numFmtId="1" fontId="105" fillId="0" borderId="79" xfId="0" applyNumberFormat="1" applyFont="1" applyBorder="1" applyAlignment="1">
      <alignment horizontal="center" vertical="center" wrapText="1"/>
    </xf>
    <xf numFmtId="0" fontId="105" fillId="0" borderId="35" xfId="294" applyFont="1" applyBorder="1" applyAlignment="1">
      <alignment vertical="center"/>
    </xf>
    <xf numFmtId="0" fontId="105" fillId="0" borderId="82" xfId="0" applyFont="1" applyBorder="1" applyAlignment="1">
      <alignment vertical="center" wrapText="1"/>
    </xf>
    <xf numFmtId="168" fontId="105" fillId="0" borderId="34" xfId="0" applyNumberFormat="1" applyFont="1" applyBorder="1" applyAlignment="1">
      <alignment vertical="center" wrapText="1"/>
    </xf>
    <xf numFmtId="0" fontId="105" fillId="0" borderId="84" xfId="0" applyFont="1" applyBorder="1" applyAlignment="1">
      <alignment vertical="center" wrapText="1"/>
    </xf>
    <xf numFmtId="0" fontId="105" fillId="0" borderId="86" xfId="0" applyFont="1" applyBorder="1" applyAlignment="1">
      <alignment vertical="center" wrapText="1"/>
    </xf>
    <xf numFmtId="0" fontId="105" fillId="0" borderId="35" xfId="0" applyFont="1" applyBorder="1" applyAlignment="1">
      <alignment vertical="center"/>
    </xf>
    <xf numFmtId="4" fontId="0" fillId="0" borderId="0" xfId="0" applyNumberFormat="1"/>
    <xf numFmtId="0" fontId="105" fillId="0" borderId="3" xfId="0" applyFont="1" applyBorder="1" applyAlignment="1">
      <alignment horizontal="center" vertical="center" wrapText="1"/>
    </xf>
    <xf numFmtId="1" fontId="105" fillId="0" borderId="3" xfId="0" quotePrefix="1" applyNumberFormat="1" applyFont="1" applyBorder="1" applyAlignment="1">
      <alignment horizontal="left" vertical="center" wrapText="1"/>
    </xf>
    <xf numFmtId="0" fontId="105" fillId="0" borderId="26" xfId="294" applyFont="1" applyBorder="1" applyAlignment="1">
      <alignment vertical="center"/>
    </xf>
    <xf numFmtId="1" fontId="105" fillId="0" borderId="87" xfId="0" applyNumberFormat="1" applyFont="1" applyBorder="1" applyAlignment="1">
      <alignment horizontal="center" vertical="center" wrapText="1"/>
    </xf>
    <xf numFmtId="0" fontId="105" fillId="0" borderId="3" xfId="294" applyFont="1" applyBorder="1" applyAlignment="1">
      <alignment vertical="center"/>
    </xf>
    <xf numFmtId="168" fontId="105" fillId="0" borderId="66" xfId="0" applyNumberFormat="1" applyFont="1" applyBorder="1" applyAlignment="1">
      <alignment vertical="center" wrapText="1"/>
    </xf>
    <xf numFmtId="1" fontId="105" fillId="0" borderId="81" xfId="0" applyNumberFormat="1" applyFont="1" applyBorder="1" applyAlignment="1">
      <alignment horizontal="center" vertical="center" wrapText="1"/>
    </xf>
    <xf numFmtId="1" fontId="105" fillId="0" borderId="12" xfId="0" applyNumberFormat="1" applyFont="1" applyBorder="1" applyAlignment="1">
      <alignment vertical="center" wrapText="1"/>
    </xf>
    <xf numFmtId="0" fontId="105" fillId="0" borderId="0" xfId="0" applyFont="1" applyAlignment="1">
      <alignment horizontal="left" vertical="center" wrapText="1"/>
    </xf>
    <xf numFmtId="1" fontId="105" fillId="0" borderId="0" xfId="0" applyNumberFormat="1" applyFont="1" applyAlignment="1">
      <alignment horizontal="left" vertical="center" wrapText="1"/>
    </xf>
    <xf numFmtId="0" fontId="105" fillId="0" borderId="14" xfId="0" applyFont="1" applyBorder="1" applyAlignment="1">
      <alignment vertical="center" wrapText="1"/>
    </xf>
    <xf numFmtId="1" fontId="105" fillId="0" borderId="13" xfId="0" applyNumberFormat="1" applyFont="1" applyBorder="1" applyAlignment="1">
      <alignment vertical="center" wrapText="1"/>
    </xf>
    <xf numFmtId="0" fontId="105" fillId="0" borderId="4" xfId="0" applyFont="1" applyBorder="1" applyAlignment="1">
      <alignment vertical="center" wrapText="1"/>
    </xf>
    <xf numFmtId="0" fontId="105" fillId="0" borderId="4" xfId="0" applyFont="1" applyBorder="1" applyAlignment="1">
      <alignment horizontal="left" vertical="center" wrapText="1"/>
    </xf>
    <xf numFmtId="1" fontId="105" fillId="0" borderId="4" xfId="0" applyNumberFormat="1" applyFont="1" applyBorder="1" applyAlignment="1">
      <alignment horizontal="left" vertical="center" wrapText="1"/>
    </xf>
    <xf numFmtId="176" fontId="105" fillId="0" borderId="4" xfId="0" applyNumberFormat="1" applyFont="1" applyBorder="1" applyAlignment="1">
      <alignment vertical="center" wrapText="1"/>
    </xf>
    <xf numFmtId="0" fontId="105" fillId="0" borderId="4" xfId="0" applyFont="1" applyBorder="1" applyAlignment="1">
      <alignment horizontal="center" vertical="center" wrapText="1"/>
    </xf>
    <xf numFmtId="0" fontId="105" fillId="0" borderId="39" xfId="0" applyFont="1" applyBorder="1" applyAlignment="1">
      <alignment vertical="center" wrapText="1"/>
    </xf>
    <xf numFmtId="1" fontId="105" fillId="0" borderId="26" xfId="0" applyNumberFormat="1" applyFont="1" applyBorder="1" applyAlignment="1">
      <alignment vertical="center" wrapText="1"/>
    </xf>
    <xf numFmtId="0" fontId="107" fillId="32" borderId="3" xfId="293" applyFont="1" applyFill="1" applyBorder="1" applyAlignment="1">
      <alignment horizontal="center" vertical="center" wrapText="1"/>
    </xf>
    <xf numFmtId="0" fontId="105" fillId="0" borderId="88" xfId="0" applyFont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108" fillId="0" borderId="0" xfId="0" applyFont="1" applyAlignment="1">
      <alignment horizontal="left" vertical="center"/>
    </xf>
    <xf numFmtId="0" fontId="109" fillId="0" borderId="0" xfId="0" applyFont="1" applyAlignment="1">
      <alignment horizontal="left" vertical="center"/>
    </xf>
    <xf numFmtId="0" fontId="10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107" fillId="32" borderId="3" xfId="293" applyFont="1" applyFill="1" applyBorder="1" applyAlignment="1">
      <alignment horizontal="left" vertical="center" wrapText="1"/>
    </xf>
    <xf numFmtId="176" fontId="105" fillId="0" borderId="26" xfId="0" applyNumberFormat="1" applyFont="1" applyBorder="1" applyAlignment="1">
      <alignment horizontal="left" vertical="center" wrapText="1"/>
    </xf>
    <xf numFmtId="187" fontId="0" fillId="0" borderId="0" xfId="21" applyNumberFormat="1" applyFont="1"/>
    <xf numFmtId="187" fontId="105" fillId="0" borderId="26" xfId="21" applyNumberFormat="1" applyFont="1" applyFill="1" applyBorder="1" applyAlignment="1">
      <alignment vertical="center" wrapText="1"/>
    </xf>
    <xf numFmtId="187" fontId="106" fillId="0" borderId="26" xfId="21" applyNumberFormat="1" applyFont="1" applyFill="1" applyBorder="1" applyAlignment="1">
      <alignment vertical="center" wrapText="1"/>
    </xf>
    <xf numFmtId="187" fontId="105" fillId="0" borderId="26" xfId="21" applyNumberFormat="1" applyFont="1" applyBorder="1" applyAlignment="1">
      <alignment vertical="center" wrapText="1"/>
    </xf>
    <xf numFmtId="187" fontId="105" fillId="0" borderId="35" xfId="21" applyNumberFormat="1" applyFont="1" applyFill="1" applyBorder="1" applyAlignment="1">
      <alignment vertical="center" wrapText="1"/>
    </xf>
    <xf numFmtId="187" fontId="105" fillId="0" borderId="34" xfId="21" applyNumberFormat="1" applyFont="1" applyFill="1" applyBorder="1" applyAlignment="1">
      <alignment vertical="center" wrapText="1"/>
    </xf>
    <xf numFmtId="187" fontId="105" fillId="0" borderId="36" xfId="21" applyNumberFormat="1" applyFont="1" applyFill="1" applyBorder="1" applyAlignment="1">
      <alignment vertical="center" wrapText="1"/>
    </xf>
    <xf numFmtId="187" fontId="105" fillId="0" borderId="31" xfId="21" applyNumberFormat="1" applyFont="1" applyFill="1" applyBorder="1" applyAlignment="1">
      <alignment vertical="center" wrapText="1"/>
    </xf>
    <xf numFmtId="187" fontId="105" fillId="0" borderId="3" xfId="21" applyNumberFormat="1" applyFont="1" applyFill="1" applyBorder="1" applyAlignment="1">
      <alignment vertical="center" wrapText="1"/>
    </xf>
    <xf numFmtId="187" fontId="106" fillId="0" borderId="36" xfId="21" applyNumberFormat="1" applyFont="1" applyFill="1" applyBorder="1" applyAlignment="1">
      <alignment vertical="center" wrapText="1"/>
    </xf>
    <xf numFmtId="187" fontId="105" fillId="0" borderId="0" xfId="21" applyNumberFormat="1" applyFont="1" applyFill="1" applyBorder="1" applyAlignment="1">
      <alignment vertical="center" wrapText="1"/>
    </xf>
    <xf numFmtId="187" fontId="105" fillId="0" borderId="4" xfId="21" applyNumberFormat="1" applyFont="1" applyFill="1" applyBorder="1" applyAlignment="1">
      <alignment vertical="center" wrapText="1"/>
    </xf>
    <xf numFmtId="187" fontId="106" fillId="0" borderId="35" xfId="21" applyNumberFormat="1" applyFont="1" applyFill="1" applyBorder="1" applyAlignment="1">
      <alignment vertical="center" wrapText="1"/>
    </xf>
    <xf numFmtId="187" fontId="106" fillId="0" borderId="34" xfId="21" applyNumberFormat="1" applyFont="1" applyFill="1" applyBorder="1" applyAlignment="1">
      <alignment vertical="center" wrapText="1"/>
    </xf>
    <xf numFmtId="176" fontId="107" fillId="32" borderId="3" xfId="293" applyNumberFormat="1" applyFont="1" applyFill="1" applyBorder="1" applyAlignment="1">
      <alignment horizontal="center" vertical="center" wrapText="1"/>
    </xf>
    <xf numFmtId="176" fontId="106" fillId="0" borderId="36" xfId="0" applyNumberFormat="1" applyFont="1" applyBorder="1" applyAlignment="1">
      <alignment vertical="center" wrapText="1"/>
    </xf>
    <xf numFmtId="1" fontId="105" fillId="0" borderId="88" xfId="0" applyNumberFormat="1" applyFont="1" applyBorder="1" applyAlignment="1">
      <alignment horizontal="left" vertical="center" wrapText="1"/>
    </xf>
    <xf numFmtId="176" fontId="105" fillId="0" borderId="88" xfId="0" applyNumberFormat="1" applyFont="1" applyBorder="1" applyAlignment="1">
      <alignment vertical="center" wrapText="1"/>
    </xf>
    <xf numFmtId="0" fontId="105" fillId="0" borderId="88" xfId="0" applyFont="1" applyBorder="1" applyAlignment="1">
      <alignment horizontal="center" vertical="center" wrapText="1"/>
    </xf>
    <xf numFmtId="187" fontId="105" fillId="0" borderId="88" xfId="21" applyNumberFormat="1" applyFont="1" applyFill="1" applyBorder="1" applyAlignment="1">
      <alignment vertical="center" wrapText="1"/>
    </xf>
    <xf numFmtId="0" fontId="105" fillId="0" borderId="91" xfId="0" applyFont="1" applyBorder="1" applyAlignment="1">
      <alignment vertical="center" wrapText="1"/>
    </xf>
    <xf numFmtId="0" fontId="106" fillId="0" borderId="26" xfId="0" applyFont="1" applyBorder="1" applyAlignment="1">
      <alignment vertical="center" wrapText="1"/>
    </xf>
    <xf numFmtId="0" fontId="0" fillId="0" borderId="26" xfId="0" applyBorder="1" applyAlignment="1">
      <alignment horizontal="center"/>
    </xf>
    <xf numFmtId="14" fontId="106" fillId="0" borderId="35" xfId="0" applyNumberFormat="1" applyFont="1" applyBorder="1" applyAlignment="1">
      <alignment vertical="center" wrapText="1"/>
    </xf>
    <xf numFmtId="14" fontId="106" fillId="0" borderId="36" xfId="0" applyNumberFormat="1" applyFont="1" applyBorder="1" applyAlignment="1">
      <alignment vertical="center" wrapText="1"/>
    </xf>
    <xf numFmtId="14" fontId="99" fillId="30" borderId="21" xfId="0" applyNumberFormat="1" applyFont="1" applyFill="1" applyBorder="1" applyAlignment="1">
      <alignment horizontal="center" vertical="center"/>
    </xf>
    <xf numFmtId="0" fontId="108" fillId="0" borderId="0" xfId="0" applyFont="1" applyAlignment="1">
      <alignment vertical="center" wrapText="1"/>
    </xf>
    <xf numFmtId="49" fontId="20" fillId="0" borderId="0" xfId="378" applyNumberFormat="1" applyAlignment="1">
      <alignment horizontal="left"/>
    </xf>
    <xf numFmtId="188" fontId="97" fillId="27" borderId="0" xfId="21" applyNumberFormat="1" applyFont="1" applyFill="1"/>
    <xf numFmtId="0" fontId="103" fillId="0" borderId="0" xfId="0" applyFont="1" applyAlignment="1">
      <alignment vertical="center"/>
    </xf>
    <xf numFmtId="0" fontId="103" fillId="0" borderId="0" xfId="0" applyFont="1" applyAlignment="1">
      <alignment horizontal="left"/>
    </xf>
    <xf numFmtId="187" fontId="111" fillId="0" borderId="0" xfId="21" applyNumberFormat="1" applyFont="1" applyAlignment="1">
      <alignment horizontal="centerContinuous" vertical="center"/>
    </xf>
    <xf numFmtId="0" fontId="103" fillId="0" borderId="0" xfId="0" applyFont="1" applyAlignment="1">
      <alignment horizontal="centerContinuous" vertical="center"/>
    </xf>
    <xf numFmtId="188" fontId="103" fillId="0" borderId="0" xfId="21" applyNumberFormat="1" applyFont="1" applyAlignment="1">
      <alignment horizontal="centerContinuous" vertical="center"/>
    </xf>
    <xf numFmtId="0" fontId="103" fillId="0" borderId="0" xfId="0" applyFont="1" applyAlignment="1">
      <alignment horizontal="left" vertical="center"/>
    </xf>
    <xf numFmtId="0" fontId="110" fillId="0" borderId="0" xfId="0" applyFont="1"/>
    <xf numFmtId="171" fontId="103" fillId="0" borderId="0" xfId="20" applyNumberFormat="1" applyFont="1" applyAlignment="1">
      <alignment horizontal="left" vertical="center"/>
    </xf>
    <xf numFmtId="0" fontId="112" fillId="0" borderId="0" xfId="0" applyFont="1"/>
    <xf numFmtId="0" fontId="111" fillId="0" borderId="0" xfId="293" applyFont="1" applyAlignment="1">
      <alignment horizontal="centerContinuous" vertical="center"/>
    </xf>
    <xf numFmtId="0" fontId="111" fillId="0" borderId="0" xfId="293" applyFont="1" applyAlignment="1">
      <alignment vertical="center"/>
    </xf>
    <xf numFmtId="15" fontId="103" fillId="0" borderId="0" xfId="293" applyNumberFormat="1" applyFont="1" applyAlignment="1">
      <alignment horizontal="left" vertical="center"/>
    </xf>
    <xf numFmtId="0" fontId="103" fillId="0" borderId="0" xfId="293" applyFont="1" applyAlignment="1">
      <alignment horizontal="left" vertical="center"/>
    </xf>
    <xf numFmtId="0" fontId="103" fillId="0" borderId="0" xfId="293" applyFont="1" applyAlignment="1">
      <alignment horizontal="centerContinuous" vertical="center"/>
    </xf>
    <xf numFmtId="0" fontId="103" fillId="0" borderId="0" xfId="0" applyFont="1"/>
    <xf numFmtId="0" fontId="94" fillId="0" borderId="0" xfId="0" applyFont="1" applyAlignment="1">
      <alignment vertical="center"/>
    </xf>
    <xf numFmtId="15" fontId="103" fillId="0" borderId="0" xfId="0" applyNumberFormat="1" applyFont="1"/>
    <xf numFmtId="0" fontId="111" fillId="0" borderId="0" xfId="0" applyFont="1" applyAlignment="1">
      <alignment vertical="center"/>
    </xf>
    <xf numFmtId="187" fontId="111" fillId="0" borderId="0" xfId="21" applyNumberFormat="1" applyFont="1" applyAlignment="1">
      <alignment vertical="center"/>
    </xf>
    <xf numFmtId="188" fontId="103" fillId="0" borderId="0" xfId="21" applyNumberFormat="1" applyFont="1" applyAlignment="1">
      <alignment vertical="center"/>
    </xf>
    <xf numFmtId="171" fontId="103" fillId="0" borderId="0" xfId="20" applyNumberFormat="1" applyFont="1" applyAlignment="1">
      <alignment vertical="center"/>
    </xf>
    <xf numFmtId="171" fontId="103" fillId="27" borderId="0" xfId="0" applyNumberFormat="1" applyFont="1" applyFill="1"/>
    <xf numFmtId="188" fontId="103" fillId="27" borderId="0" xfId="21" applyNumberFormat="1" applyFont="1" applyFill="1" applyAlignment="1"/>
    <xf numFmtId="169" fontId="111" fillId="0" borderId="0" xfId="0" applyNumberFormat="1" applyFont="1" applyAlignment="1">
      <alignment vertical="center"/>
    </xf>
    <xf numFmtId="1" fontId="105" fillId="0" borderId="35" xfId="0" applyNumberFormat="1" applyFont="1" applyBorder="1" applyAlignment="1">
      <alignment vertical="center" wrapText="1"/>
    </xf>
    <xf numFmtId="1" fontId="105" fillId="0" borderId="36" xfId="0" applyNumberFormat="1" applyFont="1" applyBorder="1" applyAlignment="1">
      <alignment vertical="center" wrapText="1"/>
    </xf>
    <xf numFmtId="43" fontId="96" fillId="27" borderId="0" xfId="0" applyNumberFormat="1" applyFont="1" applyFill="1"/>
    <xf numFmtId="0" fontId="96" fillId="0" borderId="63" xfId="293" applyFont="1" applyBorder="1"/>
    <xf numFmtId="0" fontId="96" fillId="0" borderId="34" xfId="293" applyFont="1" applyBorder="1" applyAlignment="1">
      <alignment horizontal="center" vertical="center"/>
    </xf>
    <xf numFmtId="0" fontId="96" fillId="0" borderId="34" xfId="293" applyFont="1" applyBorder="1" applyAlignment="1">
      <alignment horizontal="center"/>
    </xf>
    <xf numFmtId="0" fontId="96" fillId="0" borderId="34" xfId="293" applyFont="1" applyBorder="1" applyAlignment="1">
      <alignment vertical="center"/>
    </xf>
    <xf numFmtId="15" fontId="96" fillId="0" borderId="34" xfId="0" quotePrefix="1" applyNumberFormat="1" applyFont="1" applyBorder="1" applyAlignment="1">
      <alignment horizontal="left" vertical="center"/>
    </xf>
    <xf numFmtId="173" fontId="96" fillId="0" borderId="34" xfId="0" quotePrefix="1" applyNumberFormat="1" applyFont="1" applyBorder="1" applyAlignment="1">
      <alignment horizontal="left" vertical="center"/>
    </xf>
    <xf numFmtId="0" fontId="96" fillId="0" borderId="34" xfId="293" applyFont="1" applyBorder="1" applyAlignment="1">
      <alignment horizontal="left" vertical="center"/>
    </xf>
    <xf numFmtId="0" fontId="96" fillId="0" borderId="34" xfId="293" applyFont="1" applyBorder="1" applyAlignment="1">
      <alignment horizontal="left"/>
    </xf>
    <xf numFmtId="0" fontId="96" fillId="27" borderId="34" xfId="293" applyFont="1" applyFill="1" applyBorder="1" applyAlignment="1">
      <alignment horizontal="left"/>
    </xf>
    <xf numFmtId="169" fontId="97" fillId="0" borderId="34" xfId="49" applyNumberFormat="1" applyFont="1" applyBorder="1" applyAlignment="1">
      <alignment horizontal="right" vertical="center"/>
    </xf>
    <xf numFmtId="169" fontId="97" fillId="0" borderId="34" xfId="49" applyNumberFormat="1" applyFont="1" applyBorder="1"/>
    <xf numFmtId="171" fontId="96" fillId="0" borderId="34" xfId="20" applyNumberFormat="1" applyFont="1" applyBorder="1"/>
    <xf numFmtId="169" fontId="96" fillId="0" borderId="34" xfId="0" applyNumberFormat="1" applyFont="1" applyBorder="1"/>
    <xf numFmtId="0" fontId="96" fillId="0" borderId="34" xfId="0" applyFont="1" applyBorder="1"/>
    <xf numFmtId="171" fontId="96" fillId="0" borderId="34" xfId="0" applyNumberFormat="1" applyFont="1" applyBorder="1"/>
    <xf numFmtId="169" fontId="96" fillId="0" borderId="34" xfId="49" applyNumberFormat="1" applyFont="1" applyBorder="1" applyAlignment="1">
      <alignment horizontal="center"/>
    </xf>
    <xf numFmtId="188" fontId="96" fillId="0" borderId="34" xfId="21" applyNumberFormat="1" applyFont="1" applyBorder="1" applyAlignment="1">
      <alignment horizontal="right"/>
    </xf>
    <xf numFmtId="38" fontId="96" fillId="0" borderId="34" xfId="20" applyNumberFormat="1" applyFont="1" applyBorder="1" applyAlignment="1">
      <alignment horizontal="left"/>
    </xf>
    <xf numFmtId="184" fontId="100" fillId="0" borderId="34" xfId="49" applyNumberFormat="1" applyFont="1" applyBorder="1" applyAlignment="1">
      <alignment horizontal="left" vertical="center"/>
    </xf>
    <xf numFmtId="0" fontId="96" fillId="0" borderId="50" xfId="20" applyNumberFormat="1" applyFont="1" applyBorder="1" applyAlignment="1">
      <alignment horizontal="left"/>
    </xf>
    <xf numFmtId="184" fontId="100" fillId="29" borderId="34" xfId="20" applyNumberFormat="1" applyFont="1" applyFill="1" applyBorder="1" applyAlignment="1">
      <alignment horizontal="left" vertical="center"/>
    </xf>
    <xf numFmtId="0" fontId="96" fillId="0" borderId="63" xfId="293" applyFont="1" applyBorder="1" applyAlignment="1">
      <alignment vertical="center"/>
    </xf>
    <xf numFmtId="15" fontId="96" fillId="0" borderId="34" xfId="293" applyNumberFormat="1" applyFont="1" applyBorder="1" applyAlignment="1">
      <alignment horizontal="left" vertical="center"/>
    </xf>
    <xf numFmtId="173" fontId="96" fillId="0" borderId="34" xfId="293" applyNumberFormat="1" applyFont="1" applyBorder="1" applyAlignment="1">
      <alignment horizontal="left" vertical="center"/>
    </xf>
    <xf numFmtId="169" fontId="97" fillId="0" borderId="34" xfId="49" applyNumberFormat="1" applyFont="1" applyBorder="1" applyAlignment="1">
      <alignment vertical="center"/>
    </xf>
    <xf numFmtId="171" fontId="96" fillId="0" borderId="34" xfId="20" applyNumberFormat="1" applyFont="1" applyBorder="1" applyAlignment="1">
      <alignment vertical="center"/>
    </xf>
    <xf numFmtId="169" fontId="96" fillId="0" borderId="34" xfId="0" applyNumberFormat="1" applyFont="1" applyBorder="1" applyAlignment="1">
      <alignment vertical="center"/>
    </xf>
    <xf numFmtId="171" fontId="96" fillId="0" borderId="34" xfId="0" applyNumberFormat="1" applyFont="1" applyBorder="1" applyAlignment="1">
      <alignment vertical="center"/>
    </xf>
    <xf numFmtId="169" fontId="96" fillId="0" borderId="34" xfId="49" applyNumberFormat="1" applyFont="1" applyBorder="1" applyAlignment="1">
      <alignment horizontal="center" vertical="center"/>
    </xf>
    <xf numFmtId="188" fontId="96" fillId="0" borderId="34" xfId="21" applyNumberFormat="1" applyFont="1" applyBorder="1" applyAlignment="1">
      <alignment horizontal="right" vertical="center"/>
    </xf>
    <xf numFmtId="38" fontId="96" fillId="0" borderId="34" xfId="20" applyNumberFormat="1" applyFont="1" applyBorder="1" applyAlignment="1">
      <alignment horizontal="left" vertical="center"/>
    </xf>
    <xf numFmtId="0" fontId="96" fillId="0" borderId="50" xfId="20" applyNumberFormat="1" applyFont="1" applyBorder="1" applyAlignment="1">
      <alignment horizontal="left" vertical="center"/>
    </xf>
    <xf numFmtId="0" fontId="96" fillId="0" borderId="34" xfId="0" applyFont="1" applyBorder="1" applyAlignment="1">
      <alignment horizontal="center" vertical="center"/>
    </xf>
    <xf numFmtId="0" fontId="96" fillId="0" borderId="34" xfId="0" applyFont="1" applyBorder="1" applyAlignment="1">
      <alignment vertical="center"/>
    </xf>
    <xf numFmtId="166" fontId="96" fillId="0" borderId="34" xfId="147" applyFont="1" applyBorder="1" applyAlignment="1">
      <alignment horizontal="center" vertical="center"/>
    </xf>
    <xf numFmtId="187" fontId="97" fillId="0" borderId="34" xfId="49" applyNumberFormat="1" applyFont="1" applyBorder="1" applyAlignment="1">
      <alignment vertical="center"/>
    </xf>
    <xf numFmtId="0" fontId="96" fillId="27" borderId="34" xfId="293" applyFont="1" applyFill="1" applyBorder="1" applyAlignment="1">
      <alignment horizontal="center" vertical="center"/>
    </xf>
    <xf numFmtId="0" fontId="96" fillId="0" borderId="34" xfId="293" quotePrefix="1" applyFont="1" applyBorder="1" applyAlignment="1">
      <alignment horizontal="left" vertical="center"/>
    </xf>
    <xf numFmtId="0" fontId="96" fillId="27" borderId="34" xfId="293" applyFont="1" applyFill="1" applyBorder="1" applyAlignment="1">
      <alignment vertical="center"/>
    </xf>
    <xf numFmtId="15" fontId="96" fillId="27" borderId="34" xfId="293" applyNumberFormat="1" applyFont="1" applyFill="1" applyBorder="1" applyAlignment="1">
      <alignment horizontal="left" vertical="center"/>
    </xf>
    <xf numFmtId="0" fontId="96" fillId="27" borderId="34" xfId="293" quotePrefix="1" applyFont="1" applyFill="1" applyBorder="1" applyAlignment="1">
      <alignment horizontal="left" vertical="center"/>
    </xf>
    <xf numFmtId="0" fontId="96" fillId="27" borderId="34" xfId="293" applyFont="1" applyFill="1" applyBorder="1" applyAlignment="1">
      <alignment horizontal="left" vertical="center"/>
    </xf>
    <xf numFmtId="38" fontId="96" fillId="27" borderId="34" xfId="20" applyNumberFormat="1" applyFont="1" applyFill="1" applyBorder="1" applyAlignment="1">
      <alignment horizontal="left" vertical="center"/>
    </xf>
    <xf numFmtId="184" fontId="100" fillId="27" borderId="34" xfId="49" applyNumberFormat="1" applyFont="1" applyFill="1" applyBorder="1" applyAlignment="1">
      <alignment horizontal="left" vertical="center"/>
    </xf>
    <xf numFmtId="0" fontId="96" fillId="27" borderId="50" xfId="20" applyNumberFormat="1" applyFont="1" applyFill="1" applyBorder="1" applyAlignment="1">
      <alignment horizontal="left" vertical="center"/>
    </xf>
    <xf numFmtId="166" fontId="96" fillId="27" borderId="34" xfId="143" applyFont="1" applyFill="1" applyBorder="1" applyAlignment="1">
      <alignment horizontal="center" vertical="center"/>
    </xf>
    <xf numFmtId="169" fontId="97" fillId="27" borderId="34" xfId="49" applyNumberFormat="1" applyFont="1" applyFill="1" applyBorder="1" applyAlignment="1">
      <alignment vertical="center"/>
    </xf>
    <xf numFmtId="171" fontId="96" fillId="27" borderId="34" xfId="20" applyNumberFormat="1" applyFont="1" applyFill="1" applyBorder="1" applyAlignment="1">
      <alignment vertical="center"/>
    </xf>
    <xf numFmtId="0" fontId="96" fillId="0" borderId="34" xfId="0" applyFont="1" applyBorder="1" applyAlignment="1">
      <alignment horizontal="left" vertical="center"/>
    </xf>
    <xf numFmtId="0" fontId="96" fillId="0" borderId="34" xfId="168" applyFont="1" applyBorder="1" applyAlignment="1">
      <alignment horizontal="left" vertical="center"/>
    </xf>
    <xf numFmtId="175" fontId="96" fillId="27" borderId="34" xfId="0" applyNumberFormat="1" applyFont="1" applyFill="1" applyBorder="1" applyAlignment="1">
      <alignment horizontal="right" vertical="center"/>
    </xf>
    <xf numFmtId="3" fontId="97" fillId="0" borderId="34" xfId="20" applyNumberFormat="1" applyFont="1" applyBorder="1" applyAlignment="1">
      <alignment vertical="center"/>
    </xf>
    <xf numFmtId="0" fontId="96" fillId="27" borderId="34" xfId="0" applyFont="1" applyFill="1" applyBorder="1" applyAlignment="1">
      <alignment vertical="center"/>
    </xf>
    <xf numFmtId="184" fontId="100" fillId="27" borderId="34" xfId="20" applyNumberFormat="1" applyFont="1" applyFill="1" applyBorder="1" applyAlignment="1">
      <alignment horizontal="left" vertical="center"/>
    </xf>
    <xf numFmtId="14" fontId="96" fillId="27" borderId="50" xfId="20" applyNumberFormat="1" applyFont="1" applyFill="1" applyBorder="1" applyAlignment="1">
      <alignment horizontal="left" vertical="center"/>
    </xf>
    <xf numFmtId="169" fontId="97" fillId="0" borderId="34" xfId="49" applyNumberFormat="1" applyFont="1" applyBorder="1" applyAlignment="1">
      <alignment horizontal="center" vertical="center"/>
    </xf>
    <xf numFmtId="0" fontId="96" fillId="0" borderId="34" xfId="294" applyFont="1" applyBorder="1" applyAlignment="1">
      <alignment horizontal="left" vertical="center"/>
    </xf>
    <xf numFmtId="0" fontId="96" fillId="0" borderId="34" xfId="293" quotePrefix="1" applyFont="1" applyBorder="1" applyAlignment="1">
      <alignment horizontal="center" vertical="center"/>
    </xf>
    <xf numFmtId="166" fontId="96" fillId="0" borderId="34" xfId="144" quotePrefix="1" applyFont="1" applyBorder="1" applyAlignment="1">
      <alignment horizontal="center" vertical="center"/>
    </xf>
    <xf numFmtId="0" fontId="96" fillId="0" borderId="34" xfId="0" quotePrefix="1" applyFont="1" applyBorder="1" applyAlignment="1">
      <alignment horizontal="left" vertical="center"/>
    </xf>
    <xf numFmtId="0" fontId="96" fillId="0" borderId="34" xfId="253" applyFont="1" applyBorder="1" applyAlignment="1">
      <alignment vertical="center"/>
    </xf>
    <xf numFmtId="171" fontId="97" fillId="0" borderId="34" xfId="20" applyNumberFormat="1" applyFont="1" applyBorder="1" applyAlignment="1">
      <alignment vertical="center"/>
    </xf>
    <xf numFmtId="184" fontId="100" fillId="0" borderId="34" xfId="20" applyNumberFormat="1" applyFont="1" applyBorder="1" applyAlignment="1">
      <alignment horizontal="left" vertical="center"/>
    </xf>
    <xf numFmtId="175" fontId="96" fillId="0" borderId="34" xfId="0" applyNumberFormat="1" applyFont="1" applyBorder="1" applyAlignment="1">
      <alignment horizontal="right" vertical="center"/>
    </xf>
    <xf numFmtId="0" fontId="96" fillId="0" borderId="34" xfId="156" applyFont="1" applyBorder="1" applyAlignment="1">
      <alignment horizontal="left" vertical="center"/>
    </xf>
    <xf numFmtId="15" fontId="96" fillId="0" borderId="34" xfId="0" applyNumberFormat="1" applyFont="1" applyBorder="1" applyAlignment="1">
      <alignment horizontal="left" vertical="center"/>
    </xf>
    <xf numFmtId="177" fontId="96" fillId="0" borderId="34" xfId="0" applyNumberFormat="1" applyFont="1" applyBorder="1" applyAlignment="1">
      <alignment horizontal="right" vertical="center"/>
    </xf>
    <xf numFmtId="187" fontId="97" fillId="0" borderId="34" xfId="20" applyNumberFormat="1" applyFont="1" applyBorder="1" applyAlignment="1">
      <alignment vertical="center"/>
    </xf>
    <xf numFmtId="38" fontId="97" fillId="0" borderId="34" xfId="20" applyNumberFormat="1" applyFont="1" applyBorder="1" applyAlignment="1">
      <alignment vertical="center"/>
    </xf>
    <xf numFmtId="0" fontId="96" fillId="0" borderId="34" xfId="157" applyFont="1" applyBorder="1" applyAlignment="1">
      <alignment horizontal="left" vertical="center"/>
    </xf>
    <xf numFmtId="15" fontId="96" fillId="27" borderId="34" xfId="0" applyNumberFormat="1" applyFont="1" applyFill="1" applyBorder="1" applyAlignment="1">
      <alignment horizontal="left" vertical="center"/>
    </xf>
    <xf numFmtId="3" fontId="97" fillId="27" borderId="34" xfId="20" applyNumberFormat="1" applyFont="1" applyFill="1" applyBorder="1" applyAlignment="1">
      <alignment vertical="center"/>
    </xf>
    <xf numFmtId="189" fontId="96" fillId="27" borderId="34" xfId="0" applyNumberFormat="1" applyFont="1" applyFill="1" applyBorder="1" applyAlignment="1">
      <alignment horizontal="right" vertical="center"/>
    </xf>
    <xf numFmtId="0" fontId="96" fillId="0" borderId="34" xfId="168" quotePrefix="1" applyFont="1" applyBorder="1" applyAlignment="1">
      <alignment horizontal="left" vertical="center"/>
    </xf>
    <xf numFmtId="0" fontId="96" fillId="0" borderId="34" xfId="0" applyFont="1" applyBorder="1" applyAlignment="1">
      <alignment horizontal="center"/>
    </xf>
    <xf numFmtId="173" fontId="96" fillId="0" borderId="34" xfId="293" applyNumberFormat="1" applyFont="1" applyBorder="1" applyAlignment="1">
      <alignment horizontal="left"/>
    </xf>
    <xf numFmtId="0" fontId="96" fillId="0" borderId="34" xfId="0" applyFont="1" applyBorder="1" applyAlignment="1">
      <alignment horizontal="left"/>
    </xf>
    <xf numFmtId="38" fontId="96" fillId="27" borderId="34" xfId="20" applyNumberFormat="1" applyFont="1" applyFill="1" applyBorder="1" applyAlignment="1">
      <alignment horizontal="left"/>
    </xf>
    <xf numFmtId="0" fontId="96" fillId="27" borderId="50" xfId="20" applyNumberFormat="1" applyFont="1" applyFill="1" applyBorder="1" applyAlignment="1">
      <alignment horizontal="left"/>
    </xf>
    <xf numFmtId="0" fontId="103" fillId="0" borderId="34" xfId="0" applyFont="1" applyBorder="1" applyAlignment="1">
      <alignment horizontal="center"/>
    </xf>
    <xf numFmtId="15" fontId="96" fillId="0" borderId="34" xfId="0" applyNumberFormat="1" applyFont="1" applyBorder="1" applyAlignment="1">
      <alignment horizontal="left"/>
    </xf>
    <xf numFmtId="184" fontId="100" fillId="0" borderId="34" xfId="49" applyNumberFormat="1" applyFont="1" applyBorder="1" applyAlignment="1">
      <alignment horizontal="left"/>
    </xf>
    <xf numFmtId="0" fontId="103" fillId="0" borderId="34" xfId="294" applyFont="1" applyBorder="1" applyAlignment="1">
      <alignment vertical="center"/>
    </xf>
    <xf numFmtId="0" fontId="96" fillId="0" borderId="34" xfId="294" applyFont="1" applyBorder="1" applyAlignment="1">
      <alignment horizontal="left"/>
    </xf>
    <xf numFmtId="0" fontId="96" fillId="0" borderId="34" xfId="49" quotePrefix="1" applyNumberFormat="1" applyFont="1" applyBorder="1" applyAlignment="1">
      <alignment horizontal="center"/>
    </xf>
    <xf numFmtId="169" fontId="96" fillId="0" borderId="34" xfId="49" quotePrefix="1" applyNumberFormat="1" applyFont="1" applyBorder="1" applyAlignment="1">
      <alignment horizontal="center"/>
    </xf>
    <xf numFmtId="0" fontId="96" fillId="0" borderId="34" xfId="294" applyFont="1" applyBorder="1" applyAlignment="1">
      <alignment vertical="center"/>
    </xf>
    <xf numFmtId="0" fontId="96" fillId="0" borderId="34" xfId="0" quotePrefix="1" applyFont="1" applyBorder="1" applyAlignment="1">
      <alignment horizontal="left"/>
    </xf>
    <xf numFmtId="15" fontId="96" fillId="0" borderId="34" xfId="294" quotePrefix="1" applyNumberFormat="1" applyFont="1" applyBorder="1" applyAlignment="1">
      <alignment horizontal="left"/>
    </xf>
    <xf numFmtId="173" fontId="96" fillId="0" borderId="34" xfId="294" quotePrefix="1" applyNumberFormat="1" applyFont="1" applyBorder="1" applyAlignment="1">
      <alignment horizontal="left"/>
    </xf>
    <xf numFmtId="0" fontId="96" fillId="0" borderId="34" xfId="297" applyFont="1" applyBorder="1" applyAlignment="1">
      <alignment horizontal="left" vertical="center"/>
    </xf>
    <xf numFmtId="15" fontId="96" fillId="0" borderId="34" xfId="293" applyNumberFormat="1" applyFont="1" applyBorder="1" applyAlignment="1">
      <alignment horizontal="left"/>
    </xf>
    <xf numFmtId="0" fontId="96" fillId="0" borderId="34" xfId="293" quotePrefix="1" applyFont="1" applyBorder="1" applyAlignment="1">
      <alignment horizontal="left"/>
    </xf>
    <xf numFmtId="177" fontId="96" fillId="0" borderId="34" xfId="0" applyNumberFormat="1" applyFont="1" applyBorder="1" applyAlignment="1">
      <alignment horizontal="right"/>
    </xf>
    <xf numFmtId="175" fontId="96" fillId="0" borderId="34" xfId="0" applyNumberFormat="1" applyFont="1" applyBorder="1" applyAlignment="1">
      <alignment horizontal="right"/>
    </xf>
    <xf numFmtId="0" fontId="103" fillId="0" borderId="34" xfId="270" applyFont="1" applyBorder="1" applyAlignment="1">
      <alignment vertical="center"/>
    </xf>
    <xf numFmtId="0" fontId="96" fillId="0" borderId="34" xfId="259" applyFont="1" applyBorder="1" applyAlignment="1">
      <alignment horizontal="left" vertical="center"/>
    </xf>
    <xf numFmtId="166" fontId="96" fillId="0" borderId="34" xfId="143" applyFont="1" applyBorder="1" applyAlignment="1">
      <alignment horizontal="left"/>
    </xf>
    <xf numFmtId="166" fontId="96" fillId="0" borderId="34" xfId="147" applyFont="1" applyBorder="1" applyAlignment="1">
      <alignment horizontal="left"/>
    </xf>
    <xf numFmtId="178" fontId="96" fillId="0" borderId="34" xfId="143" applyNumberFormat="1" applyFont="1" applyBorder="1"/>
    <xf numFmtId="169" fontId="97" fillId="0" borderId="34" xfId="26" applyNumberFormat="1" applyFont="1" applyBorder="1"/>
    <xf numFmtId="0" fontId="96" fillId="0" borderId="34" xfId="0" applyFont="1" applyBorder="1" applyAlignment="1">
      <alignment horizontal="right"/>
    </xf>
    <xf numFmtId="0" fontId="96" fillId="0" borderId="50" xfId="20" applyNumberFormat="1" applyFont="1" applyFill="1" applyBorder="1" applyAlignment="1">
      <alignment horizontal="left"/>
    </xf>
    <xf numFmtId="0" fontId="96" fillId="31" borderId="34" xfId="0" applyFont="1" applyFill="1" applyBorder="1" applyAlignment="1">
      <alignment horizontal="left"/>
    </xf>
    <xf numFmtId="187" fontId="97" fillId="0" borderId="34" xfId="26" applyNumberFormat="1" applyFont="1" applyBorder="1" applyAlignment="1">
      <alignment vertical="center"/>
    </xf>
    <xf numFmtId="185" fontId="96" fillId="0" borderId="34" xfId="143" applyNumberFormat="1" applyFont="1" applyBorder="1" applyAlignment="1">
      <alignment horizontal="left"/>
    </xf>
    <xf numFmtId="0" fontId="96" fillId="0" borderId="34" xfId="0" applyFont="1" applyBorder="1" applyAlignment="1">
      <alignment horizontal="left" vertical="center" wrapText="1"/>
    </xf>
    <xf numFmtId="166" fontId="96" fillId="0" borderId="34" xfId="143" applyFont="1" applyFill="1" applyBorder="1" applyAlignment="1">
      <alignment horizontal="left"/>
    </xf>
    <xf numFmtId="169" fontId="97" fillId="0" borderId="34" xfId="49" applyNumberFormat="1" applyFont="1" applyFill="1" applyBorder="1"/>
    <xf numFmtId="171" fontId="96" fillId="0" borderId="34" xfId="20" applyNumberFormat="1" applyFont="1" applyFill="1" applyBorder="1"/>
    <xf numFmtId="169" fontId="96" fillId="0" borderId="34" xfId="49" applyNumberFormat="1" applyFont="1" applyFill="1" applyBorder="1" applyAlignment="1">
      <alignment horizontal="center"/>
    </xf>
    <xf numFmtId="188" fontId="96" fillId="0" borderId="34" xfId="21" applyNumberFormat="1" applyFont="1" applyFill="1" applyBorder="1" applyAlignment="1">
      <alignment horizontal="right"/>
    </xf>
    <xf numFmtId="38" fontId="96" fillId="0" borderId="34" xfId="20" applyNumberFormat="1" applyFont="1" applyFill="1" applyBorder="1" applyAlignment="1">
      <alignment horizontal="left"/>
    </xf>
    <xf numFmtId="184" fontId="100" fillId="0" borderId="34" xfId="20" applyNumberFormat="1" applyFont="1" applyFill="1" applyBorder="1" applyAlignment="1">
      <alignment horizontal="left" vertical="center"/>
    </xf>
    <xf numFmtId="167" fontId="96" fillId="0" borderId="34" xfId="49" applyFont="1" applyBorder="1" applyAlignment="1">
      <alignment horizontal="center"/>
    </xf>
    <xf numFmtId="166" fontId="96" fillId="0" borderId="34" xfId="147" applyFont="1" applyFill="1" applyBorder="1" applyAlignment="1">
      <alignment horizontal="left"/>
    </xf>
    <xf numFmtId="3" fontId="97" fillId="0" borderId="34" xfId="20" applyNumberFormat="1" applyFont="1" applyFill="1" applyBorder="1" applyAlignment="1">
      <alignment vertical="center"/>
    </xf>
    <xf numFmtId="15" fontId="96" fillId="0" borderId="34" xfId="293" quotePrefix="1" applyNumberFormat="1" applyFont="1" applyBorder="1" applyAlignment="1">
      <alignment horizontal="left"/>
    </xf>
    <xf numFmtId="172" fontId="96" fillId="0" borderId="34" xfId="293" applyNumberFormat="1" applyFont="1" applyBorder="1" applyAlignment="1">
      <alignment horizontal="left"/>
    </xf>
    <xf numFmtId="174" fontId="96" fillId="0" borderId="34" xfId="143" applyNumberFormat="1" applyFont="1" applyFill="1" applyBorder="1" applyAlignment="1">
      <alignment horizontal="center"/>
    </xf>
    <xf numFmtId="38" fontId="97" fillId="0" borderId="34" xfId="49" applyNumberFormat="1" applyFont="1" applyFill="1" applyBorder="1"/>
    <xf numFmtId="38" fontId="100" fillId="27" borderId="34" xfId="49" applyNumberFormat="1" applyFont="1" applyFill="1" applyBorder="1" applyAlignment="1">
      <alignment horizontal="left"/>
    </xf>
    <xf numFmtId="0" fontId="96" fillId="27" borderId="34" xfId="0" applyFont="1" applyFill="1" applyBorder="1" applyAlignment="1">
      <alignment horizontal="left" vertical="center"/>
    </xf>
    <xf numFmtId="0" fontId="96" fillId="27" borderId="34" xfId="0" applyFont="1" applyFill="1" applyBorder="1" applyAlignment="1">
      <alignment horizontal="left"/>
    </xf>
    <xf numFmtId="166" fontId="96" fillId="27" borderId="34" xfId="143" applyFont="1" applyFill="1" applyBorder="1" applyAlignment="1">
      <alignment horizontal="left"/>
    </xf>
    <xf numFmtId="0" fontId="0" fillId="0" borderId="34" xfId="0" applyBorder="1"/>
    <xf numFmtId="15" fontId="96" fillId="27" borderId="34" xfId="293" quotePrefix="1" applyNumberFormat="1" applyFont="1" applyFill="1" applyBorder="1" applyAlignment="1">
      <alignment horizontal="left"/>
    </xf>
    <xf numFmtId="172" fontId="96" fillId="27" borderId="34" xfId="293" applyNumberFormat="1" applyFont="1" applyFill="1" applyBorder="1" applyAlignment="1">
      <alignment horizontal="left"/>
    </xf>
    <xf numFmtId="174" fontId="96" fillId="27" borderId="34" xfId="147" applyNumberFormat="1" applyFont="1" applyFill="1" applyBorder="1" applyAlignment="1">
      <alignment horizontal="center"/>
    </xf>
    <xf numFmtId="38" fontId="97" fillId="27" borderId="34" xfId="49" applyNumberFormat="1" applyFont="1" applyFill="1" applyBorder="1"/>
    <xf numFmtId="0" fontId="96" fillId="0" borderId="34" xfId="0" applyFont="1" applyBorder="1" applyAlignment="1">
      <alignment horizontal="left" wrapText="1"/>
    </xf>
    <xf numFmtId="14" fontId="96" fillId="27" borderId="50" xfId="20" applyNumberFormat="1" applyFont="1" applyFill="1" applyBorder="1" applyAlignment="1">
      <alignment horizontal="left"/>
    </xf>
    <xf numFmtId="174" fontId="96" fillId="0" borderId="34" xfId="49" applyNumberFormat="1" applyFont="1" applyFill="1" applyBorder="1"/>
    <xf numFmtId="169" fontId="97" fillId="0" borderId="34" xfId="49" applyNumberFormat="1" applyFont="1" applyFill="1" applyBorder="1" applyAlignment="1">
      <alignment horizontal="center"/>
    </xf>
    <xf numFmtId="166" fontId="96" fillId="0" borderId="34" xfId="49" applyNumberFormat="1" applyFont="1" applyFill="1" applyBorder="1" applyAlignment="1">
      <alignment horizontal="center"/>
    </xf>
    <xf numFmtId="185" fontId="96" fillId="0" borderId="34" xfId="49" applyNumberFormat="1" applyFont="1" applyFill="1" applyBorder="1" applyAlignment="1">
      <alignment horizontal="center"/>
    </xf>
    <xf numFmtId="187" fontId="97" fillId="0" borderId="34" xfId="49" applyNumberFormat="1" applyFont="1" applyFill="1" applyBorder="1" applyAlignment="1">
      <alignment horizontal="center"/>
    </xf>
    <xf numFmtId="186" fontId="96" fillId="0" borderId="34" xfId="49" applyNumberFormat="1" applyFont="1" applyFill="1" applyBorder="1"/>
    <xf numFmtId="186" fontId="96" fillId="0" borderId="34" xfId="147" applyNumberFormat="1" applyFont="1" applyFill="1" applyBorder="1" applyAlignment="1">
      <alignment horizontal="center"/>
    </xf>
    <xf numFmtId="186" fontId="96" fillId="27" borderId="34" xfId="147" applyNumberFormat="1" applyFont="1" applyFill="1" applyBorder="1" applyAlignment="1">
      <alignment horizontal="center"/>
    </xf>
    <xf numFmtId="0" fontId="96" fillId="27" borderId="34" xfId="293" quotePrefix="1" applyFont="1" applyFill="1" applyBorder="1" applyAlignment="1">
      <alignment horizontal="left"/>
    </xf>
    <xf numFmtId="174" fontId="96" fillId="27" borderId="34" xfId="143" applyNumberFormat="1" applyFont="1" applyFill="1" applyBorder="1" applyAlignment="1">
      <alignment horizontal="center"/>
    </xf>
    <xf numFmtId="169" fontId="97" fillId="27" borderId="34" xfId="49" applyNumberFormat="1" applyFont="1" applyFill="1" applyBorder="1"/>
    <xf numFmtId="169" fontId="96" fillId="27" borderId="34" xfId="49" applyNumberFormat="1" applyFont="1" applyFill="1" applyBorder="1"/>
    <xf numFmtId="169" fontId="96" fillId="27" borderId="34" xfId="49" applyNumberFormat="1" applyFont="1" applyFill="1" applyBorder="1" applyAlignment="1">
      <alignment horizontal="center"/>
    </xf>
    <xf numFmtId="188" fontId="96" fillId="27" borderId="34" xfId="21" applyNumberFormat="1" applyFont="1" applyFill="1" applyBorder="1" applyAlignment="1">
      <alignment horizontal="right"/>
    </xf>
    <xf numFmtId="171" fontId="102" fillId="33" borderId="76" xfId="20" applyNumberFormat="1" applyFont="1" applyFill="1" applyBorder="1" applyAlignment="1">
      <alignment vertical="center"/>
    </xf>
    <xf numFmtId="171" fontId="102" fillId="33" borderId="77" xfId="20" applyNumberFormat="1" applyFont="1" applyFill="1" applyBorder="1" applyAlignment="1">
      <alignment horizontal="center" vertical="center"/>
    </xf>
    <xf numFmtId="171" fontId="102" fillId="33" borderId="77" xfId="20" applyNumberFormat="1" applyFont="1" applyFill="1" applyBorder="1" applyAlignment="1">
      <alignment vertical="center"/>
    </xf>
    <xf numFmtId="15" fontId="102" fillId="33" borderId="77" xfId="20" quotePrefix="1" applyNumberFormat="1" applyFont="1" applyFill="1" applyBorder="1" applyAlignment="1">
      <alignment horizontal="left" vertical="center"/>
    </xf>
    <xf numFmtId="171" fontId="102" fillId="33" borderId="77" xfId="20" applyNumberFormat="1" applyFont="1" applyFill="1" applyBorder="1" applyAlignment="1">
      <alignment horizontal="left" vertical="center"/>
    </xf>
    <xf numFmtId="0" fontId="104" fillId="33" borderId="77" xfId="293" applyFont="1" applyFill="1" applyBorder="1" applyAlignment="1">
      <alignment horizontal="left"/>
    </xf>
    <xf numFmtId="188" fontId="102" fillId="33" borderId="77" xfId="21" applyNumberFormat="1" applyFont="1" applyFill="1" applyBorder="1" applyAlignment="1">
      <alignment vertical="center"/>
    </xf>
    <xf numFmtId="38" fontId="104" fillId="33" borderId="77" xfId="20" applyNumberFormat="1" applyFont="1" applyFill="1" applyBorder="1" applyAlignment="1">
      <alignment horizontal="left" vertical="center"/>
    </xf>
    <xf numFmtId="0" fontId="102" fillId="33" borderId="78" xfId="20" applyNumberFormat="1" applyFont="1" applyFill="1" applyBorder="1" applyAlignment="1">
      <alignment horizontal="left" vertical="center"/>
    </xf>
    <xf numFmtId="0" fontId="96" fillId="0" borderId="92" xfId="293" applyFont="1" applyBorder="1" applyAlignment="1">
      <alignment horizontal="center"/>
    </xf>
    <xf numFmtId="0" fontId="96" fillId="0" borderId="92" xfId="293" applyFont="1" applyBorder="1" applyAlignment="1">
      <alignment vertical="center"/>
    </xf>
    <xf numFmtId="15" fontId="96" fillId="0" borderId="92" xfId="0" quotePrefix="1" applyNumberFormat="1" applyFont="1" applyBorder="1" applyAlignment="1">
      <alignment horizontal="left" vertical="center"/>
    </xf>
    <xf numFmtId="173" fontId="96" fillId="0" borderId="92" xfId="0" quotePrefix="1" applyNumberFormat="1" applyFont="1" applyBorder="1" applyAlignment="1">
      <alignment horizontal="left" vertical="center"/>
    </xf>
    <xf numFmtId="0" fontId="96" fillId="0" borderId="92" xfId="293" applyFont="1" applyBorder="1" applyAlignment="1">
      <alignment horizontal="left" vertical="center"/>
    </xf>
    <xf numFmtId="0" fontId="96" fillId="0" borderId="92" xfId="293" applyFont="1" applyBorder="1" applyAlignment="1">
      <alignment horizontal="left"/>
    </xf>
    <xf numFmtId="0" fontId="96" fillId="27" borderId="92" xfId="293" applyFont="1" applyFill="1" applyBorder="1" applyAlignment="1">
      <alignment horizontal="left"/>
    </xf>
    <xf numFmtId="0" fontId="96" fillId="27" borderId="92" xfId="293" quotePrefix="1" applyFont="1" applyFill="1" applyBorder="1" applyAlignment="1">
      <alignment horizontal="center" vertical="center"/>
    </xf>
    <xf numFmtId="169" fontId="97" fillId="0" borderId="92" xfId="49" applyNumberFormat="1" applyFont="1" applyBorder="1" applyAlignment="1">
      <alignment horizontal="right" vertical="center"/>
    </xf>
    <xf numFmtId="169" fontId="97" fillId="0" borderId="92" xfId="49" applyNumberFormat="1" applyFont="1" applyBorder="1"/>
    <xf numFmtId="171" fontId="96" fillId="0" borderId="92" xfId="20" applyNumberFormat="1" applyFont="1" applyBorder="1"/>
    <xf numFmtId="0" fontId="96" fillId="0" borderId="92" xfId="0" applyFont="1" applyBorder="1"/>
    <xf numFmtId="171" fontId="96" fillId="0" borderId="92" xfId="0" applyNumberFormat="1" applyFont="1" applyBorder="1"/>
    <xf numFmtId="169" fontId="96" fillId="0" borderId="92" xfId="49" applyNumberFormat="1" applyFont="1" applyBorder="1" applyAlignment="1">
      <alignment horizontal="center"/>
    </xf>
    <xf numFmtId="188" fontId="96" fillId="0" borderId="92" xfId="21" applyNumberFormat="1" applyFont="1" applyBorder="1" applyAlignment="1">
      <alignment horizontal="right"/>
    </xf>
    <xf numFmtId="38" fontId="96" fillId="0" borderId="92" xfId="20" applyNumberFormat="1" applyFont="1" applyBorder="1" applyAlignment="1">
      <alignment horizontal="left"/>
    </xf>
    <xf numFmtId="184" fontId="100" fillId="0" borderId="92" xfId="49" applyNumberFormat="1" applyFont="1" applyBorder="1" applyAlignment="1">
      <alignment horizontal="left" vertical="center"/>
    </xf>
    <xf numFmtId="0" fontId="96" fillId="0" borderId="93" xfId="20" applyNumberFormat="1" applyFont="1" applyBorder="1" applyAlignment="1">
      <alignment horizontal="left"/>
    </xf>
    <xf numFmtId="1" fontId="96" fillId="0" borderId="34" xfId="0" applyNumberFormat="1" applyFont="1" applyBorder="1"/>
    <xf numFmtId="16" fontId="96" fillId="0" borderId="34" xfId="293" quotePrefix="1" applyNumberFormat="1" applyFont="1" applyBorder="1" applyAlignment="1">
      <alignment horizontal="left" vertical="center"/>
    </xf>
    <xf numFmtId="166" fontId="96" fillId="0" borderId="34" xfId="293" quotePrefix="1" applyNumberFormat="1" applyFont="1" applyBorder="1" applyAlignment="1">
      <alignment horizontal="center" vertical="center"/>
    </xf>
    <xf numFmtId="4" fontId="15" fillId="0" borderId="0" xfId="385" applyNumberFormat="1" applyAlignment="1">
      <alignment horizontal="right"/>
    </xf>
    <xf numFmtId="0" fontId="111" fillId="0" borderId="0" xfId="293" applyFont="1" applyAlignment="1">
      <alignment horizontal="left" vertical="center"/>
    </xf>
    <xf numFmtId="169" fontId="96" fillId="0" borderId="34" xfId="49" applyNumberFormat="1" applyFont="1" applyBorder="1" applyAlignment="1">
      <alignment horizontal="left" vertical="center"/>
    </xf>
    <xf numFmtId="169" fontId="96" fillId="0" borderId="92" xfId="49" applyNumberFormat="1" applyFont="1" applyBorder="1" applyAlignment="1">
      <alignment horizontal="left" vertical="center"/>
    </xf>
    <xf numFmtId="0" fontId="103" fillId="0" borderId="34" xfId="0" applyFont="1" applyBorder="1" applyAlignment="1">
      <alignment horizontal="left" vertical="center"/>
    </xf>
    <xf numFmtId="0" fontId="103" fillId="0" borderId="34" xfId="294" applyFont="1" applyBorder="1" applyAlignment="1">
      <alignment horizontal="left" vertical="center"/>
    </xf>
    <xf numFmtId="0" fontId="102" fillId="27" borderId="0" xfId="0" applyFont="1" applyFill="1" applyAlignment="1">
      <alignment horizontal="left"/>
    </xf>
    <xf numFmtId="49" fontId="110" fillId="0" borderId="94" xfId="0" applyNumberFormat="1" applyFont="1" applyBorder="1" applyAlignment="1">
      <alignment horizontal="left"/>
    </xf>
    <xf numFmtId="49" fontId="110" fillId="0" borderId="95" xfId="0" applyNumberFormat="1" applyFont="1" applyBorder="1" applyAlignment="1">
      <alignment horizontal="left"/>
    </xf>
    <xf numFmtId="49" fontId="110" fillId="0" borderId="0" xfId="0" applyNumberFormat="1" applyFont="1" applyAlignment="1">
      <alignment horizontal="left"/>
    </xf>
    <xf numFmtId="49" fontId="10" fillId="37" borderId="94" xfId="391" applyNumberFormat="1" applyFill="1" applyBorder="1" applyAlignment="1">
      <alignment horizontal="left"/>
    </xf>
    <xf numFmtId="49" fontId="10" fillId="37" borderId="95" xfId="391" applyNumberFormat="1" applyFill="1" applyBorder="1" applyAlignment="1">
      <alignment horizontal="left"/>
    </xf>
    <xf numFmtId="165" fontId="110" fillId="0" borderId="0" xfId="21" applyFont="1"/>
    <xf numFmtId="165" fontId="96" fillId="0" borderId="0" xfId="21" applyFont="1" applyAlignment="1">
      <alignment horizontal="left" vertical="center"/>
    </xf>
    <xf numFmtId="0" fontId="105" fillId="0" borderId="34" xfId="294" applyFont="1" applyBorder="1" applyAlignment="1">
      <alignment vertical="center"/>
    </xf>
    <xf numFmtId="0" fontId="105" fillId="0" borderId="36" xfId="294" applyFont="1" applyBorder="1" applyAlignment="1">
      <alignment vertical="center"/>
    </xf>
    <xf numFmtId="0" fontId="96" fillId="38" borderId="34" xfId="293" applyFont="1" applyFill="1" applyBorder="1" applyAlignment="1">
      <alignment vertical="center"/>
    </xf>
    <xf numFmtId="0" fontId="96" fillId="38" borderId="34" xfId="293" applyFont="1" applyFill="1" applyBorder="1" applyAlignment="1">
      <alignment horizontal="left" vertical="center"/>
    </xf>
    <xf numFmtId="169" fontId="97" fillId="38" borderId="34" xfId="49" applyNumberFormat="1" applyFont="1" applyFill="1" applyBorder="1"/>
    <xf numFmtId="169" fontId="96" fillId="38" borderId="34" xfId="49" applyNumberFormat="1" applyFont="1" applyFill="1" applyBorder="1" applyAlignment="1">
      <alignment horizontal="center"/>
    </xf>
    <xf numFmtId="38" fontId="96" fillId="38" borderId="34" xfId="20" applyNumberFormat="1" applyFont="1" applyFill="1" applyBorder="1" applyAlignment="1">
      <alignment horizontal="left"/>
    </xf>
    <xf numFmtId="1" fontId="105" fillId="0" borderId="31" xfId="0" applyNumberFormat="1" applyFont="1" applyBorder="1" applyAlignment="1">
      <alignment horizontal="center" vertical="center" wrapText="1"/>
    </xf>
    <xf numFmtId="165" fontId="0" fillId="0" borderId="0" xfId="0" applyNumberFormat="1"/>
    <xf numFmtId="0" fontId="108" fillId="0" borderId="0" xfId="0" applyFont="1" applyAlignment="1">
      <alignment vertical="center"/>
    </xf>
    <xf numFmtId="1" fontId="105" fillId="0" borderId="96" xfId="0" applyNumberFormat="1" applyFont="1" applyBorder="1" applyAlignment="1">
      <alignment horizontal="center" vertical="center" wrapText="1"/>
    </xf>
    <xf numFmtId="0" fontId="105" fillId="0" borderId="96" xfId="0" applyFont="1" applyBorder="1" applyAlignment="1">
      <alignment vertical="center" wrapText="1"/>
    </xf>
    <xf numFmtId="0" fontId="105" fillId="0" borderId="96" xfId="0" applyFont="1" applyBorder="1" applyAlignment="1">
      <alignment horizontal="left" vertical="center" wrapText="1"/>
    </xf>
    <xf numFmtId="176" fontId="105" fillId="0" borderId="96" xfId="0" applyNumberFormat="1" applyFont="1" applyBorder="1" applyAlignment="1">
      <alignment vertical="center" wrapText="1"/>
    </xf>
    <xf numFmtId="0" fontId="105" fillId="0" borderId="96" xfId="0" applyFont="1" applyBorder="1" applyAlignment="1">
      <alignment horizontal="center" vertical="center" wrapText="1"/>
    </xf>
    <xf numFmtId="187" fontId="105" fillId="0" borderId="96" xfId="21" applyNumberFormat="1" applyFont="1" applyFill="1" applyBorder="1" applyAlignment="1">
      <alignment vertical="center" wrapText="1"/>
    </xf>
    <xf numFmtId="0" fontId="105" fillId="0" borderId="92" xfId="0" applyFont="1" applyBorder="1" applyAlignment="1">
      <alignment vertical="center" wrapText="1"/>
    </xf>
    <xf numFmtId="0" fontId="105" fillId="0" borderId="92" xfId="0" applyFont="1" applyBorder="1" applyAlignment="1">
      <alignment horizontal="left" vertical="center" wrapText="1"/>
    </xf>
    <xf numFmtId="176" fontId="105" fillId="0" borderId="92" xfId="0" applyNumberFormat="1" applyFont="1" applyBorder="1" applyAlignment="1">
      <alignment vertical="center" wrapText="1"/>
    </xf>
    <xf numFmtId="0" fontId="105" fillId="0" borderId="92" xfId="0" applyFont="1" applyBorder="1" applyAlignment="1">
      <alignment horizontal="center" vertical="center" wrapText="1"/>
    </xf>
    <xf numFmtId="187" fontId="105" fillId="0" borderId="92" xfId="21" applyNumberFormat="1" applyFont="1" applyFill="1" applyBorder="1" applyAlignment="1">
      <alignment vertical="center" wrapText="1"/>
    </xf>
    <xf numFmtId="168" fontId="105" fillId="0" borderId="92" xfId="0" applyNumberFormat="1" applyFont="1" applyBorder="1" applyAlignment="1">
      <alignment vertical="center" wrapText="1"/>
    </xf>
    <xf numFmtId="0" fontId="107" fillId="32" borderId="33" xfId="0" applyFont="1" applyFill="1" applyBorder="1" applyAlignment="1">
      <alignment horizontal="center" vertical="center" wrapText="1"/>
    </xf>
    <xf numFmtId="0" fontId="107" fillId="32" borderId="33" xfId="293" applyFont="1" applyFill="1" applyBorder="1" applyAlignment="1">
      <alignment horizontal="left" vertical="center" wrapText="1"/>
    </xf>
    <xf numFmtId="176" fontId="107" fillId="32" borderId="33" xfId="293" applyNumberFormat="1" applyFont="1" applyFill="1" applyBorder="1" applyAlignment="1">
      <alignment horizontal="center" vertical="center" wrapText="1"/>
    </xf>
    <xf numFmtId="168" fontId="107" fillId="32" borderId="33" xfId="0" applyNumberFormat="1" applyFont="1" applyFill="1" applyBorder="1" applyAlignment="1">
      <alignment horizontal="center" vertical="center" wrapText="1"/>
    </xf>
    <xf numFmtId="0" fontId="107" fillId="32" borderId="33" xfId="293" applyFont="1" applyFill="1" applyBorder="1" applyAlignment="1">
      <alignment horizontal="center" vertical="center" wrapText="1"/>
    </xf>
    <xf numFmtId="49" fontId="40" fillId="38" borderId="0" xfId="341" applyNumberFormat="1" applyFill="1" applyAlignment="1">
      <alignment horizontal="left"/>
    </xf>
    <xf numFmtId="4" fontId="40" fillId="38" borderId="0" xfId="341" applyNumberFormat="1" applyFill="1" applyAlignment="1">
      <alignment horizontal="right"/>
    </xf>
    <xf numFmtId="0" fontId="0" fillId="38" borderId="0" xfId="0" applyFill="1"/>
    <xf numFmtId="169" fontId="96" fillId="27" borderId="34" xfId="293" applyNumberFormat="1" applyFont="1" applyFill="1" applyBorder="1" applyAlignment="1">
      <alignment horizontal="left" vertical="center"/>
    </xf>
    <xf numFmtId="38" fontId="97" fillId="27" borderId="34" xfId="49" applyNumberFormat="1" applyFont="1" applyFill="1" applyBorder="1" applyAlignment="1">
      <alignment horizontal="left"/>
    </xf>
    <xf numFmtId="165" fontId="44" fillId="0" borderId="0" xfId="21" applyFont="1"/>
    <xf numFmtId="0" fontId="96" fillId="27" borderId="35" xfId="293" applyFont="1" applyFill="1" applyBorder="1" applyAlignment="1">
      <alignment vertical="center"/>
    </xf>
    <xf numFmtId="0" fontId="96" fillId="27" borderId="35" xfId="293" applyFont="1" applyFill="1" applyBorder="1" applyAlignment="1">
      <alignment horizontal="left" vertical="center"/>
    </xf>
    <xf numFmtId="0" fontId="96" fillId="0" borderId="35" xfId="0" applyFont="1" applyBorder="1" applyAlignment="1">
      <alignment horizontal="center"/>
    </xf>
    <xf numFmtId="15" fontId="96" fillId="27" borderId="35" xfId="293" quotePrefix="1" applyNumberFormat="1" applyFont="1" applyFill="1" applyBorder="1" applyAlignment="1">
      <alignment horizontal="left"/>
    </xf>
    <xf numFmtId="173" fontId="96" fillId="0" borderId="35" xfId="294" quotePrefix="1" applyNumberFormat="1" applyFont="1" applyBorder="1" applyAlignment="1">
      <alignment horizontal="left"/>
    </xf>
    <xf numFmtId="0" fontId="96" fillId="0" borderId="35" xfId="0" applyFont="1" applyBorder="1" applyAlignment="1">
      <alignment horizontal="left" wrapText="1"/>
    </xf>
    <xf numFmtId="0" fontId="96" fillId="27" borderId="35" xfId="293" applyFont="1" applyFill="1" applyBorder="1" applyAlignment="1">
      <alignment horizontal="left"/>
    </xf>
    <xf numFmtId="172" fontId="96" fillId="27" borderId="35" xfId="293" applyNumberFormat="1" applyFont="1" applyFill="1" applyBorder="1" applyAlignment="1">
      <alignment horizontal="left"/>
    </xf>
    <xf numFmtId="0" fontId="96" fillId="0" borderId="35" xfId="293" applyFont="1" applyBorder="1" applyAlignment="1">
      <alignment horizontal="left"/>
    </xf>
    <xf numFmtId="0" fontId="96" fillId="0" borderId="35" xfId="293" applyFont="1" applyBorder="1" applyAlignment="1">
      <alignment horizontal="center"/>
    </xf>
    <xf numFmtId="174" fontId="96" fillId="27" borderId="35" xfId="147" applyNumberFormat="1" applyFont="1" applyFill="1" applyBorder="1" applyAlignment="1">
      <alignment horizontal="center"/>
    </xf>
    <xf numFmtId="169" fontId="97" fillId="0" borderId="35" xfId="49" applyNumberFormat="1" applyFont="1" applyFill="1" applyBorder="1"/>
    <xf numFmtId="0" fontId="96" fillId="0" borderId="35" xfId="0" applyFont="1" applyBorder="1"/>
    <xf numFmtId="169" fontId="96" fillId="0" borderId="35" xfId="0" applyNumberFormat="1" applyFont="1" applyBorder="1"/>
    <xf numFmtId="171" fontId="96" fillId="0" borderId="35" xfId="20" applyNumberFormat="1" applyFont="1" applyBorder="1"/>
    <xf numFmtId="171" fontId="96" fillId="0" borderId="35" xfId="0" applyNumberFormat="1" applyFont="1" applyBorder="1"/>
    <xf numFmtId="169" fontId="96" fillId="0" borderId="35" xfId="49" applyNumberFormat="1" applyFont="1" applyFill="1" applyBorder="1" applyAlignment="1">
      <alignment horizontal="center"/>
    </xf>
    <xf numFmtId="169" fontId="96" fillId="0" borderId="35" xfId="49" applyNumberFormat="1" applyFont="1" applyBorder="1" applyAlignment="1">
      <alignment horizontal="center"/>
    </xf>
    <xf numFmtId="188" fontId="96" fillId="0" borderId="35" xfId="21" applyNumberFormat="1" applyFont="1" applyBorder="1" applyAlignment="1">
      <alignment horizontal="right"/>
    </xf>
    <xf numFmtId="38" fontId="96" fillId="27" borderId="35" xfId="20" applyNumberFormat="1" applyFont="1" applyFill="1" applyBorder="1" applyAlignment="1">
      <alignment horizontal="left"/>
    </xf>
    <xf numFmtId="38" fontId="100" fillId="27" borderId="35" xfId="49" applyNumberFormat="1" applyFont="1" applyFill="1" applyBorder="1" applyAlignment="1">
      <alignment horizontal="left"/>
    </xf>
    <xf numFmtId="14" fontId="96" fillId="27" borderId="42" xfId="20" applyNumberFormat="1" applyFont="1" applyFill="1" applyBorder="1" applyAlignment="1">
      <alignment horizontal="left"/>
    </xf>
    <xf numFmtId="0" fontId="96" fillId="0" borderId="92" xfId="0" applyFont="1" applyBorder="1" applyAlignment="1">
      <alignment horizontal="left" vertical="center"/>
    </xf>
    <xf numFmtId="0" fontId="96" fillId="38" borderId="34" xfId="0" applyFont="1" applyFill="1" applyBorder="1"/>
    <xf numFmtId="169" fontId="96" fillId="38" borderId="34" xfId="0" applyNumberFormat="1" applyFont="1" applyFill="1" applyBorder="1"/>
    <xf numFmtId="171" fontId="96" fillId="38" borderId="34" xfId="20" applyNumberFormat="1" applyFont="1" applyFill="1" applyBorder="1"/>
    <xf numFmtId="171" fontId="96" fillId="38" borderId="34" xfId="0" applyNumberFormat="1" applyFont="1" applyFill="1" applyBorder="1"/>
    <xf numFmtId="188" fontId="96" fillId="38" borderId="34" xfId="21" applyNumberFormat="1" applyFont="1" applyFill="1" applyBorder="1" applyAlignment="1">
      <alignment horizontal="right"/>
    </xf>
    <xf numFmtId="190" fontId="103" fillId="0" borderId="34" xfId="20" applyNumberFormat="1" applyFont="1" applyBorder="1" applyAlignment="1">
      <alignment horizontal="left" vertical="center"/>
    </xf>
    <xf numFmtId="169" fontId="52" fillId="0" borderId="0" xfId="295" applyNumberFormat="1" applyFont="1" applyAlignment="1">
      <alignment vertical="center"/>
    </xf>
    <xf numFmtId="49" fontId="1" fillId="37" borderId="94" xfId="422" applyNumberFormat="1" applyFill="1" applyBorder="1" applyAlignment="1">
      <alignment horizontal="left"/>
    </xf>
    <xf numFmtId="49" fontId="1" fillId="37" borderId="95" xfId="422" applyNumberFormat="1" applyFill="1" applyBorder="1" applyAlignment="1">
      <alignment horizontal="left"/>
    </xf>
    <xf numFmtId="169" fontId="96" fillId="0" borderId="92" xfId="0" applyNumberFormat="1" applyFont="1" applyBorder="1"/>
    <xf numFmtId="38" fontId="96" fillId="27" borderId="92" xfId="20" applyNumberFormat="1" applyFont="1" applyFill="1" applyBorder="1" applyAlignment="1">
      <alignment horizontal="left"/>
    </xf>
    <xf numFmtId="0" fontId="96" fillId="27" borderId="92" xfId="293" applyFont="1" applyFill="1" applyBorder="1" applyAlignment="1">
      <alignment vertical="center"/>
    </xf>
    <xf numFmtId="169" fontId="96" fillId="27" borderId="92" xfId="293" applyNumberFormat="1" applyFont="1" applyFill="1" applyBorder="1" applyAlignment="1">
      <alignment horizontal="left" vertical="center"/>
    </xf>
    <xf numFmtId="0" fontId="96" fillId="0" borderId="92" xfId="0" applyFont="1" applyBorder="1" applyAlignment="1">
      <alignment horizontal="center"/>
    </xf>
    <xf numFmtId="15" fontId="96" fillId="27" borderId="92" xfId="293" quotePrefix="1" applyNumberFormat="1" applyFont="1" applyFill="1" applyBorder="1" applyAlignment="1">
      <alignment horizontal="left"/>
    </xf>
    <xf numFmtId="172" fontId="96" fillId="27" borderId="92" xfId="293" applyNumberFormat="1" applyFont="1" applyFill="1" applyBorder="1" applyAlignment="1">
      <alignment horizontal="left"/>
    </xf>
    <xf numFmtId="169" fontId="97" fillId="0" borderId="92" xfId="49" applyNumberFormat="1" applyFont="1" applyFill="1" applyBorder="1"/>
    <xf numFmtId="173" fontId="96" fillId="0" borderId="92" xfId="294" quotePrefix="1" applyNumberFormat="1" applyFont="1" applyBorder="1" applyAlignment="1">
      <alignment horizontal="left"/>
    </xf>
    <xf numFmtId="0" fontId="96" fillId="0" borderId="92" xfId="0" applyFont="1" applyBorder="1" applyAlignment="1">
      <alignment horizontal="left" wrapText="1"/>
    </xf>
    <xf numFmtId="174" fontId="96" fillId="27" borderId="92" xfId="147" applyNumberFormat="1" applyFont="1" applyFill="1" applyBorder="1" applyAlignment="1">
      <alignment horizontal="center"/>
    </xf>
    <xf numFmtId="169" fontId="96" fillId="0" borderId="92" xfId="49" applyNumberFormat="1" applyFont="1" applyFill="1" applyBorder="1" applyAlignment="1">
      <alignment horizontal="center"/>
    </xf>
    <xf numFmtId="38" fontId="100" fillId="27" borderId="92" xfId="49" applyNumberFormat="1" applyFont="1" applyFill="1" applyBorder="1" applyAlignment="1">
      <alignment horizontal="left"/>
    </xf>
    <xf numFmtId="14" fontId="96" fillId="27" borderId="93" xfId="20" applyNumberFormat="1" applyFont="1" applyFill="1" applyBorder="1" applyAlignment="1">
      <alignment horizontal="left"/>
    </xf>
    <xf numFmtId="165" fontId="51" fillId="0" borderId="0" xfId="21" applyFont="1"/>
    <xf numFmtId="165" fontId="51" fillId="0" borderId="0" xfId="21" applyFont="1" applyAlignment="1">
      <alignment vertical="center"/>
    </xf>
    <xf numFmtId="0" fontId="96" fillId="0" borderId="92" xfId="293" applyFont="1" applyBorder="1" applyAlignment="1">
      <alignment horizontal="center" vertical="center"/>
    </xf>
    <xf numFmtId="173" fontId="96" fillId="0" borderId="92" xfId="293" applyNumberFormat="1" applyFont="1" applyBorder="1" applyAlignment="1">
      <alignment horizontal="left" vertical="center"/>
    </xf>
    <xf numFmtId="169" fontId="96" fillId="0" borderId="92" xfId="0" applyNumberFormat="1" applyFont="1" applyBorder="1" applyAlignment="1">
      <alignment vertical="center"/>
    </xf>
    <xf numFmtId="171" fontId="96" fillId="0" borderId="92" xfId="0" applyNumberFormat="1" applyFont="1" applyBorder="1" applyAlignment="1">
      <alignment vertical="center"/>
    </xf>
    <xf numFmtId="0" fontId="0" fillId="0" borderId="97" xfId="0" applyBorder="1"/>
    <xf numFmtId="0" fontId="52" fillId="0" borderId="90" xfId="295" quotePrefix="1" applyFont="1" applyBorder="1" applyAlignment="1">
      <alignment horizontal="center" vertical="center"/>
    </xf>
    <xf numFmtId="0" fontId="52" fillId="0" borderId="88" xfId="295" applyFont="1" applyBorder="1" applyAlignment="1">
      <alignment horizontal="left" vertical="center" indent="1"/>
    </xf>
    <xf numFmtId="169" fontId="52" fillId="0" borderId="88" xfId="142" applyNumberFormat="1" applyFont="1" applyBorder="1" applyAlignment="1">
      <alignment vertical="center"/>
    </xf>
    <xf numFmtId="169" fontId="51" fillId="0" borderId="88" xfId="142" applyNumberFormat="1" applyFont="1" applyBorder="1" applyAlignment="1">
      <alignment vertical="center"/>
    </xf>
    <xf numFmtId="169" fontId="52" fillId="36" borderId="91" xfId="142" applyNumberFormat="1" applyFont="1" applyFill="1" applyBorder="1" applyAlignment="1">
      <alignment vertical="center"/>
    </xf>
    <xf numFmtId="0" fontId="51" fillId="36" borderId="98" xfId="292" applyFont="1" applyFill="1" applyBorder="1"/>
    <xf numFmtId="0" fontId="52" fillId="36" borderId="99" xfId="295" applyFont="1" applyFill="1" applyBorder="1" applyAlignment="1">
      <alignment horizontal="center" vertical="center"/>
    </xf>
    <xf numFmtId="169" fontId="52" fillId="36" borderId="99" xfId="142" applyNumberFormat="1" applyFont="1" applyFill="1" applyBorder="1" applyAlignment="1">
      <alignment vertical="center"/>
    </xf>
    <xf numFmtId="169" fontId="52" fillId="26" borderId="99" xfId="142" applyNumberFormat="1" applyFont="1" applyFill="1" applyBorder="1" applyAlignment="1">
      <alignment vertical="center"/>
    </xf>
    <xf numFmtId="0" fontId="52" fillId="0" borderId="73" xfId="295" quotePrefix="1" applyFont="1" applyBorder="1" applyAlignment="1">
      <alignment horizontal="center" vertical="center"/>
    </xf>
    <xf numFmtId="0" fontId="52" fillId="0" borderId="70" xfId="295" applyFont="1" applyBorder="1" applyAlignment="1">
      <alignment horizontal="left" vertical="center" indent="1"/>
    </xf>
    <xf numFmtId="49" fontId="1" fillId="37" borderId="0" xfId="422" applyNumberFormat="1" applyFill="1" applyAlignment="1">
      <alignment horizontal="left"/>
    </xf>
    <xf numFmtId="49" fontId="1" fillId="0" borderId="95" xfId="430" applyNumberFormat="1" applyBorder="1" applyAlignment="1">
      <alignment horizontal="left"/>
    </xf>
    <xf numFmtId="165" fontId="1" fillId="0" borderId="95" xfId="21" applyFont="1" applyBorder="1" applyAlignment="1">
      <alignment horizontal="left"/>
    </xf>
    <xf numFmtId="165" fontId="1" fillId="0" borderId="0" xfId="21" applyFont="1" applyAlignment="1">
      <alignment horizontal="right"/>
    </xf>
    <xf numFmtId="165" fontId="1" fillId="38" borderId="0" xfId="21" applyFont="1" applyFill="1" applyAlignment="1">
      <alignment horizontal="right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/>
    <xf numFmtId="171" fontId="96" fillId="31" borderId="34" xfId="0" applyNumberFormat="1" applyFont="1" applyFill="1" applyBorder="1"/>
    <xf numFmtId="191" fontId="97" fillId="0" borderId="0" xfId="433" applyNumberFormat="1" applyFont="1"/>
    <xf numFmtId="4" fontId="1" fillId="0" borderId="0" xfId="435" applyNumberFormat="1" applyAlignment="1">
      <alignment horizontal="right"/>
    </xf>
    <xf numFmtId="49" fontId="1" fillId="0" borderId="0" xfId="470" applyNumberFormat="1" applyAlignment="1">
      <alignment horizontal="left"/>
    </xf>
    <xf numFmtId="169" fontId="96" fillId="0" borderId="0" xfId="0" applyNumberFormat="1" applyFont="1" applyAlignment="1">
      <alignment horizontal="center" vertical="center"/>
    </xf>
    <xf numFmtId="169" fontId="103" fillId="0" borderId="0" xfId="0" applyNumberFormat="1" applyFont="1" applyAlignment="1">
      <alignment horizontal="center"/>
    </xf>
    <xf numFmtId="49" fontId="1" fillId="0" borderId="0" xfId="472" applyNumberFormat="1" applyAlignment="1">
      <alignment horizontal="left"/>
    </xf>
    <xf numFmtId="4" fontId="1" fillId="0" borderId="0" xfId="472" applyNumberFormat="1" applyAlignment="1">
      <alignment horizontal="right"/>
    </xf>
    <xf numFmtId="165" fontId="96" fillId="0" borderId="0" xfId="21" applyFont="1"/>
    <xf numFmtId="49" fontId="0" fillId="38" borderId="0" xfId="0" applyNumberFormat="1" applyFill="1"/>
    <xf numFmtId="0" fontId="113" fillId="0" borderId="0" xfId="0" applyFont="1"/>
    <xf numFmtId="0" fontId="96" fillId="38" borderId="34" xfId="0" applyFont="1" applyFill="1" applyBorder="1" applyAlignment="1">
      <alignment vertical="center"/>
    </xf>
    <xf numFmtId="0" fontId="96" fillId="38" borderId="34" xfId="0" applyFont="1" applyFill="1" applyBorder="1" applyAlignment="1">
      <alignment horizontal="left" vertical="center"/>
    </xf>
    <xf numFmtId="3" fontId="97" fillId="38" borderId="34" xfId="20" applyNumberFormat="1" applyFont="1" applyFill="1" applyBorder="1" applyAlignment="1">
      <alignment vertical="center"/>
    </xf>
    <xf numFmtId="184" fontId="100" fillId="38" borderId="34" xfId="20" applyNumberFormat="1" applyFont="1" applyFill="1" applyBorder="1" applyAlignment="1">
      <alignment horizontal="left" vertical="center"/>
    </xf>
    <xf numFmtId="14" fontId="96" fillId="38" borderId="50" xfId="20" applyNumberFormat="1" applyFont="1" applyFill="1" applyBorder="1" applyAlignment="1">
      <alignment horizontal="left" vertical="center"/>
    </xf>
    <xf numFmtId="15" fontId="96" fillId="0" borderId="92" xfId="293" applyNumberFormat="1" applyFont="1" applyBorder="1" applyAlignment="1">
      <alignment horizontal="left" vertical="center"/>
    </xf>
    <xf numFmtId="15" fontId="96" fillId="0" borderId="92" xfId="293" quotePrefix="1" applyNumberFormat="1" applyFont="1" applyBorder="1" applyAlignment="1">
      <alignment horizontal="left"/>
    </xf>
    <xf numFmtId="172" fontId="96" fillId="0" borderId="92" xfId="293" applyNumberFormat="1" applyFont="1" applyBorder="1" applyAlignment="1">
      <alignment horizontal="left"/>
    </xf>
    <xf numFmtId="174" fontId="96" fillId="0" borderId="92" xfId="147" applyNumberFormat="1" applyFont="1" applyFill="1" applyBorder="1" applyAlignment="1">
      <alignment horizontal="center"/>
    </xf>
    <xf numFmtId="171" fontId="96" fillId="0" borderId="92" xfId="20" applyNumberFormat="1" applyFont="1" applyFill="1" applyBorder="1"/>
    <xf numFmtId="38" fontId="96" fillId="0" borderId="92" xfId="20" applyNumberFormat="1" applyFont="1" applyFill="1" applyBorder="1" applyAlignment="1">
      <alignment horizontal="left"/>
    </xf>
    <xf numFmtId="38" fontId="100" fillId="0" borderId="92" xfId="49" applyNumberFormat="1" applyFont="1" applyFill="1" applyBorder="1" applyAlignment="1">
      <alignment horizontal="left"/>
    </xf>
    <xf numFmtId="14" fontId="96" fillId="0" borderId="93" xfId="20" applyNumberFormat="1" applyFont="1" applyFill="1" applyBorder="1" applyAlignment="1">
      <alignment horizontal="left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0" fontId="96" fillId="0" borderId="92" xfId="253" applyFont="1" applyBorder="1" applyAlignment="1">
      <alignment vertical="center"/>
    </xf>
    <xf numFmtId="165" fontId="96" fillId="0" borderId="0" xfId="21" applyFont="1" applyAlignment="1">
      <alignment vertical="center"/>
    </xf>
    <xf numFmtId="165" fontId="96" fillId="0" borderId="0" xfId="21" applyFont="1" applyAlignment="1">
      <alignment horizontal="left"/>
    </xf>
    <xf numFmtId="165" fontId="97" fillId="0" borderId="0" xfId="21" applyFont="1"/>
    <xf numFmtId="165" fontId="98" fillId="0" borderId="0" xfId="21" applyFont="1" applyAlignment="1">
      <alignment horizontal="left"/>
    </xf>
    <xf numFmtId="165" fontId="96" fillId="0" borderId="0" xfId="0" applyNumberFormat="1" applyFont="1"/>
    <xf numFmtId="188" fontId="96" fillId="0" borderId="92" xfId="21" applyNumberFormat="1" applyFont="1" applyFill="1" applyBorder="1" applyAlignment="1">
      <alignment horizontal="right"/>
    </xf>
    <xf numFmtId="165" fontId="0" fillId="0" borderId="0" xfId="21" applyFont="1" applyFill="1"/>
    <xf numFmtId="176" fontId="94" fillId="0" borderId="0" xfId="0" quotePrefix="1" applyNumberFormat="1" applyFont="1" applyAlignment="1">
      <alignment horizontal="left" vertical="center"/>
    </xf>
    <xf numFmtId="0" fontId="96" fillId="0" borderId="88" xfId="0" applyFont="1" applyBorder="1" applyAlignment="1">
      <alignment horizontal="center" vertical="center"/>
    </xf>
    <xf numFmtId="0" fontId="96" fillId="0" borderId="0" xfId="293" applyFont="1" applyAlignment="1">
      <alignment horizontal="center"/>
    </xf>
    <xf numFmtId="0" fontId="96" fillId="31" borderId="63" xfId="293" applyFont="1" applyFill="1" applyBorder="1" applyAlignment="1">
      <alignment vertical="center"/>
    </xf>
    <xf numFmtId="0" fontId="96" fillId="31" borderId="34" xfId="0" applyFont="1" applyFill="1" applyBorder="1" applyAlignment="1">
      <alignment vertical="center"/>
    </xf>
    <xf numFmtId="0" fontId="96" fillId="31" borderId="34" xfId="0" applyFont="1" applyFill="1" applyBorder="1" applyAlignment="1">
      <alignment horizontal="left" vertical="center"/>
    </xf>
    <xf numFmtId="0" fontId="96" fillId="31" borderId="34" xfId="293" applyFont="1" applyFill="1" applyBorder="1" applyAlignment="1">
      <alignment horizontal="center" vertical="center"/>
    </xf>
    <xf numFmtId="15" fontId="96" fillId="31" borderId="34" xfId="293" applyNumberFormat="1" applyFont="1" applyFill="1" applyBorder="1" applyAlignment="1">
      <alignment horizontal="left" vertical="center"/>
    </xf>
    <xf numFmtId="173" fontId="96" fillId="31" borderId="34" xfId="293" applyNumberFormat="1" applyFont="1" applyFill="1" applyBorder="1" applyAlignment="1">
      <alignment horizontal="left" vertical="center"/>
    </xf>
    <xf numFmtId="0" fontId="96" fillId="31" borderId="34" xfId="0" applyFont="1" applyFill="1" applyBorder="1" applyAlignment="1">
      <alignment horizontal="center" vertical="center"/>
    </xf>
    <xf numFmtId="175" fontId="96" fillId="31" borderId="34" xfId="0" applyNumberFormat="1" applyFont="1" applyFill="1" applyBorder="1" applyAlignment="1">
      <alignment horizontal="right" vertical="center"/>
    </xf>
    <xf numFmtId="3" fontId="97" fillId="31" borderId="34" xfId="20" applyNumberFormat="1" applyFont="1" applyFill="1" applyBorder="1" applyAlignment="1">
      <alignment vertical="center"/>
    </xf>
    <xf numFmtId="169" fontId="97" fillId="31" borderId="34" xfId="49" applyNumberFormat="1" applyFont="1" applyFill="1" applyBorder="1" applyAlignment="1">
      <alignment vertical="center"/>
    </xf>
    <xf numFmtId="169" fontId="96" fillId="31" borderId="34" xfId="0" applyNumberFormat="1" applyFont="1" applyFill="1" applyBorder="1" applyAlignment="1">
      <alignment vertical="center"/>
    </xf>
    <xf numFmtId="171" fontId="96" fillId="31" borderId="34" xfId="20" applyNumberFormat="1" applyFont="1" applyFill="1" applyBorder="1" applyAlignment="1">
      <alignment vertical="center"/>
    </xf>
    <xf numFmtId="171" fontId="96" fillId="31" borderId="34" xfId="0" applyNumberFormat="1" applyFont="1" applyFill="1" applyBorder="1" applyAlignment="1">
      <alignment vertical="center"/>
    </xf>
    <xf numFmtId="169" fontId="96" fillId="31" borderId="34" xfId="49" applyNumberFormat="1" applyFont="1" applyFill="1" applyBorder="1" applyAlignment="1">
      <alignment horizontal="center" vertical="center"/>
    </xf>
    <xf numFmtId="188" fontId="96" fillId="31" borderId="34" xfId="21" applyNumberFormat="1" applyFont="1" applyFill="1" applyBorder="1" applyAlignment="1">
      <alignment horizontal="right" vertical="center"/>
    </xf>
    <xf numFmtId="38" fontId="96" fillId="31" borderId="34" xfId="20" applyNumberFormat="1" applyFont="1" applyFill="1" applyBorder="1" applyAlignment="1">
      <alignment horizontal="left" vertical="center"/>
    </xf>
    <xf numFmtId="184" fontId="100" fillId="31" borderId="34" xfId="20" applyNumberFormat="1" applyFont="1" applyFill="1" applyBorder="1" applyAlignment="1">
      <alignment horizontal="left" vertical="center"/>
    </xf>
    <xf numFmtId="14" fontId="96" fillId="31" borderId="50" xfId="20" applyNumberFormat="1" applyFont="1" applyFill="1" applyBorder="1" applyAlignment="1">
      <alignment horizontal="left" vertical="center"/>
    </xf>
    <xf numFmtId="165" fontId="0" fillId="31" borderId="0" xfId="21" applyFont="1" applyFill="1"/>
    <xf numFmtId="0" fontId="0" fillId="31" borderId="0" xfId="0" applyFill="1"/>
    <xf numFmtId="165" fontId="0" fillId="38" borderId="0" xfId="21" applyFont="1" applyFill="1"/>
    <xf numFmtId="0" fontId="96" fillId="31" borderId="34" xfId="293" applyFont="1" applyFill="1" applyBorder="1" applyAlignment="1">
      <alignment horizontal="left" vertical="center"/>
    </xf>
    <xf numFmtId="0" fontId="103" fillId="31" borderId="34" xfId="0" applyFont="1" applyFill="1" applyBorder="1" applyAlignment="1">
      <alignment horizontal="center"/>
    </xf>
    <xf numFmtId="173" fontId="96" fillId="31" borderId="34" xfId="294" quotePrefix="1" applyNumberFormat="1" applyFont="1" applyFill="1" applyBorder="1" applyAlignment="1">
      <alignment horizontal="left"/>
    </xf>
    <xf numFmtId="0" fontId="96" fillId="31" borderId="34" xfId="0" quotePrefix="1" applyFont="1" applyFill="1" applyBorder="1" applyAlignment="1">
      <alignment horizontal="left"/>
    </xf>
    <xf numFmtId="0" fontId="96" fillId="31" borderId="34" xfId="0" applyFont="1" applyFill="1" applyBorder="1" applyAlignment="1">
      <alignment horizontal="center"/>
    </xf>
    <xf numFmtId="166" fontId="96" fillId="31" borderId="34" xfId="147" applyFont="1" applyFill="1" applyBorder="1" applyAlignment="1">
      <alignment horizontal="left"/>
    </xf>
    <xf numFmtId="169" fontId="97" fillId="31" borderId="34" xfId="49" applyNumberFormat="1" applyFont="1" applyFill="1" applyBorder="1"/>
    <xf numFmtId="0" fontId="96" fillId="31" borderId="34" xfId="0" applyFont="1" applyFill="1" applyBorder="1"/>
    <xf numFmtId="169" fontId="96" fillId="31" borderId="34" xfId="0" applyNumberFormat="1" applyFont="1" applyFill="1" applyBorder="1"/>
    <xf numFmtId="171" fontId="96" fillId="31" borderId="34" xfId="20" applyNumberFormat="1" applyFont="1" applyFill="1" applyBorder="1"/>
    <xf numFmtId="169" fontId="96" fillId="31" borderId="34" xfId="49" applyNumberFormat="1" applyFont="1" applyFill="1" applyBorder="1" applyAlignment="1">
      <alignment horizontal="center"/>
    </xf>
    <xf numFmtId="188" fontId="96" fillId="31" borderId="34" xfId="21" applyNumberFormat="1" applyFont="1" applyFill="1" applyBorder="1" applyAlignment="1">
      <alignment horizontal="right"/>
    </xf>
    <xf numFmtId="38" fontId="96" fillId="31" borderId="34" xfId="20" applyNumberFormat="1" applyFont="1" applyFill="1" applyBorder="1" applyAlignment="1">
      <alignment horizontal="left"/>
    </xf>
    <xf numFmtId="0" fontId="96" fillId="31" borderId="50" xfId="20" applyNumberFormat="1" applyFont="1" applyFill="1" applyBorder="1" applyAlignment="1">
      <alignment horizontal="left"/>
    </xf>
    <xf numFmtId="165" fontId="0" fillId="31" borderId="0" xfId="0" applyNumberFormat="1" applyFill="1"/>
    <xf numFmtId="0" fontId="97" fillId="0" borderId="26" xfId="0" applyFont="1" applyBorder="1" applyAlignment="1">
      <alignment horizontal="center" vertical="center"/>
    </xf>
    <xf numFmtId="187" fontId="111" fillId="0" borderId="0" xfId="25" applyNumberFormat="1" applyFont="1" applyAlignment="1">
      <alignment vertical="center"/>
    </xf>
    <xf numFmtId="188" fontId="103" fillId="27" borderId="0" xfId="25" applyNumberFormat="1" applyFont="1" applyFill="1" applyAlignment="1"/>
    <xf numFmtId="165" fontId="110" fillId="0" borderId="0" xfId="25" applyFont="1"/>
    <xf numFmtId="176" fontId="114" fillId="0" borderId="0" xfId="0" quotePrefix="1" applyNumberFormat="1" applyFont="1" applyAlignment="1">
      <alignment horizontal="right" vertical="center"/>
    </xf>
    <xf numFmtId="0" fontId="96" fillId="0" borderId="26" xfId="0" applyFont="1" applyBorder="1" applyAlignment="1">
      <alignment horizontal="left" vertical="center" indent="1"/>
    </xf>
    <xf numFmtId="165" fontId="96" fillId="0" borderId="26" xfId="25" applyFont="1" applyBorder="1" applyAlignment="1">
      <alignment horizontal="left"/>
    </xf>
    <xf numFmtId="165" fontId="97" fillId="0" borderId="26" xfId="0" applyNumberFormat="1" applyFont="1" applyBorder="1" applyAlignment="1">
      <alignment horizontal="center" vertical="center"/>
    </xf>
    <xf numFmtId="165" fontId="96" fillId="0" borderId="26" xfId="25" applyFont="1" applyBorder="1" applyAlignment="1">
      <alignment horizontal="left" vertical="center" indent="1"/>
    </xf>
    <xf numFmtId="165" fontId="96" fillId="0" borderId="0" xfId="25" applyFont="1" applyBorder="1" applyAlignment="1">
      <alignment horizontal="left" vertical="center" indent="1"/>
    </xf>
    <xf numFmtId="165" fontId="115" fillId="0" borderId="0" xfId="25" applyFont="1" applyBorder="1" applyAlignment="1">
      <alignment horizontal="left"/>
    </xf>
    <xf numFmtId="165" fontId="116" fillId="0" borderId="0" xfId="25" applyFont="1" applyBorder="1" applyAlignment="1">
      <alignment horizontal="left"/>
    </xf>
    <xf numFmtId="165" fontId="115" fillId="0" borderId="0" xfId="25" applyFont="1" applyBorder="1" applyAlignment="1">
      <alignment horizontal="left" vertical="center"/>
    </xf>
    <xf numFmtId="165" fontId="116" fillId="0" borderId="0" xfId="0" applyNumberFormat="1" applyFont="1" applyAlignment="1">
      <alignment horizontal="center" vertical="center"/>
    </xf>
    <xf numFmtId="169" fontId="97" fillId="0" borderId="34" xfId="49" applyNumberFormat="1" applyFont="1" applyFill="1" applyBorder="1" applyAlignment="1">
      <alignment vertical="center"/>
    </xf>
    <xf numFmtId="171" fontId="96" fillId="0" borderId="34" xfId="20" applyNumberFormat="1" applyFont="1" applyFill="1" applyBorder="1" applyAlignment="1">
      <alignment vertical="center"/>
    </xf>
    <xf numFmtId="169" fontId="96" fillId="0" borderId="34" xfId="49" applyNumberFormat="1" applyFont="1" applyFill="1" applyBorder="1" applyAlignment="1">
      <alignment horizontal="center" vertical="center"/>
    </xf>
    <xf numFmtId="188" fontId="96" fillId="0" borderId="34" xfId="21" applyNumberFormat="1" applyFont="1" applyFill="1" applyBorder="1" applyAlignment="1">
      <alignment horizontal="right" vertical="center"/>
    </xf>
    <xf numFmtId="38" fontId="96" fillId="0" borderId="34" xfId="20" applyNumberFormat="1" applyFont="1" applyFill="1" applyBorder="1" applyAlignment="1">
      <alignment horizontal="left" vertical="center"/>
    </xf>
    <xf numFmtId="14" fontId="96" fillId="0" borderId="50" xfId="20" applyNumberFormat="1" applyFont="1" applyFill="1" applyBorder="1" applyAlignment="1">
      <alignment horizontal="left" vertical="center"/>
    </xf>
    <xf numFmtId="0" fontId="96" fillId="31" borderId="92" xfId="293" applyFont="1" applyFill="1" applyBorder="1" applyAlignment="1">
      <alignment vertical="center"/>
    </xf>
    <xf numFmtId="169" fontId="96" fillId="0" borderId="34" xfId="49" applyNumberFormat="1" applyFont="1" applyFill="1" applyBorder="1" applyAlignment="1">
      <alignment horizontal="left" vertical="center"/>
    </xf>
    <xf numFmtId="169" fontId="97" fillId="0" borderId="92" xfId="49" applyNumberFormat="1" applyFont="1" applyFill="1" applyBorder="1" applyAlignment="1">
      <alignment vertical="center"/>
    </xf>
    <xf numFmtId="171" fontId="96" fillId="0" borderId="92" xfId="20" applyNumberFormat="1" applyFont="1" applyFill="1" applyBorder="1" applyAlignment="1">
      <alignment vertical="center"/>
    </xf>
    <xf numFmtId="169" fontId="96" fillId="0" borderId="92" xfId="49" applyNumberFormat="1" applyFont="1" applyFill="1" applyBorder="1" applyAlignment="1">
      <alignment horizontal="center" vertical="center"/>
    </xf>
    <xf numFmtId="38" fontId="96" fillId="0" borderId="92" xfId="20" applyNumberFormat="1" applyFont="1" applyFill="1" applyBorder="1" applyAlignment="1">
      <alignment horizontal="left" vertical="center"/>
    </xf>
    <xf numFmtId="184" fontId="100" fillId="0" borderId="92" xfId="49" applyNumberFormat="1" applyFont="1" applyFill="1" applyBorder="1" applyAlignment="1">
      <alignment horizontal="left" vertical="center"/>
    </xf>
    <xf numFmtId="0" fontId="96" fillId="0" borderId="93" xfId="20" applyNumberFormat="1" applyFont="1" applyFill="1" applyBorder="1" applyAlignment="1">
      <alignment horizontal="left" vertical="center"/>
    </xf>
    <xf numFmtId="0" fontId="96" fillId="31" borderId="34" xfId="293" applyFont="1" applyFill="1" applyBorder="1" applyAlignment="1">
      <alignment horizontal="left"/>
    </xf>
    <xf numFmtId="169" fontId="96" fillId="31" borderId="92" xfId="293" applyNumberFormat="1" applyFont="1" applyFill="1" applyBorder="1" applyAlignment="1">
      <alignment horizontal="left" vertical="center"/>
    </xf>
    <xf numFmtId="0" fontId="96" fillId="31" borderId="92" xfId="0" applyFont="1" applyFill="1" applyBorder="1" applyAlignment="1">
      <alignment horizontal="center"/>
    </xf>
    <xf numFmtId="15" fontId="96" fillId="31" borderId="92" xfId="293" quotePrefix="1" applyNumberFormat="1" applyFont="1" applyFill="1" applyBorder="1" applyAlignment="1">
      <alignment horizontal="left"/>
    </xf>
    <xf numFmtId="0" fontId="96" fillId="31" borderId="92" xfId="0" applyFont="1" applyFill="1" applyBorder="1" applyAlignment="1">
      <alignment horizontal="left" wrapText="1"/>
    </xf>
    <xf numFmtId="0" fontId="96" fillId="31" borderId="92" xfId="293" applyFont="1" applyFill="1" applyBorder="1" applyAlignment="1">
      <alignment horizontal="left"/>
    </xf>
    <xf numFmtId="172" fontId="96" fillId="31" borderId="92" xfId="293" applyNumberFormat="1" applyFont="1" applyFill="1" applyBorder="1" applyAlignment="1">
      <alignment horizontal="left"/>
    </xf>
    <xf numFmtId="0" fontId="96" fillId="31" borderId="92" xfId="293" applyFont="1" applyFill="1" applyBorder="1" applyAlignment="1">
      <alignment horizontal="center"/>
    </xf>
    <xf numFmtId="174" fontId="96" fillId="31" borderId="92" xfId="147" applyNumberFormat="1" applyFont="1" applyFill="1" applyBorder="1" applyAlignment="1">
      <alignment horizontal="center"/>
    </xf>
    <xf numFmtId="169" fontId="97" fillId="31" borderId="92" xfId="49" applyNumberFormat="1" applyFont="1" applyFill="1" applyBorder="1"/>
    <xf numFmtId="0" fontId="96" fillId="31" borderId="92" xfId="0" applyFont="1" applyFill="1" applyBorder="1"/>
    <xf numFmtId="169" fontId="96" fillId="31" borderId="92" xfId="0" applyNumberFormat="1" applyFont="1" applyFill="1" applyBorder="1"/>
    <xf numFmtId="171" fontId="96" fillId="31" borderId="92" xfId="20" applyNumberFormat="1" applyFont="1" applyFill="1" applyBorder="1"/>
    <xf numFmtId="171" fontId="96" fillId="31" borderId="92" xfId="0" applyNumberFormat="1" applyFont="1" applyFill="1" applyBorder="1"/>
    <xf numFmtId="169" fontId="96" fillId="31" borderId="92" xfId="49" applyNumberFormat="1" applyFont="1" applyFill="1" applyBorder="1" applyAlignment="1">
      <alignment horizontal="center"/>
    </xf>
    <xf numFmtId="38" fontId="96" fillId="31" borderId="92" xfId="20" applyNumberFormat="1" applyFont="1" applyFill="1" applyBorder="1" applyAlignment="1">
      <alignment horizontal="left"/>
    </xf>
    <xf numFmtId="38" fontId="100" fillId="31" borderId="92" xfId="49" applyNumberFormat="1" applyFont="1" applyFill="1" applyBorder="1" applyAlignment="1">
      <alignment horizontal="left"/>
    </xf>
    <xf numFmtId="14" fontId="96" fillId="31" borderId="93" xfId="20" applyNumberFormat="1" applyFont="1" applyFill="1" applyBorder="1" applyAlignment="1">
      <alignment horizontal="left"/>
    </xf>
    <xf numFmtId="189" fontId="96" fillId="0" borderId="34" xfId="0" applyNumberFormat="1" applyFont="1" applyBorder="1" applyAlignment="1">
      <alignment horizontal="right" vertical="center"/>
    </xf>
    <xf numFmtId="0" fontId="96" fillId="0" borderId="50" xfId="20" applyNumberFormat="1" applyFont="1" applyFill="1" applyBorder="1" applyAlignment="1">
      <alignment horizontal="left" vertical="center"/>
    </xf>
    <xf numFmtId="0" fontId="96" fillId="38" borderId="63" xfId="293" applyFont="1" applyFill="1" applyBorder="1" applyAlignment="1">
      <alignment vertical="center"/>
    </xf>
    <xf numFmtId="0" fontId="96" fillId="38" borderId="34" xfId="293" applyFont="1" applyFill="1" applyBorder="1" applyAlignment="1">
      <alignment horizontal="center"/>
    </xf>
    <xf numFmtId="15" fontId="96" fillId="38" borderId="34" xfId="293" quotePrefix="1" applyNumberFormat="1" applyFont="1" applyFill="1" applyBorder="1" applyAlignment="1">
      <alignment horizontal="left"/>
    </xf>
    <xf numFmtId="173" fontId="96" fillId="38" borderId="34" xfId="293" applyNumberFormat="1" applyFont="1" applyFill="1" applyBorder="1" applyAlignment="1">
      <alignment horizontal="left"/>
    </xf>
    <xf numFmtId="0" fontId="96" fillId="38" borderId="34" xfId="293" applyFont="1" applyFill="1" applyBorder="1" applyAlignment="1">
      <alignment horizontal="left"/>
    </xf>
    <xf numFmtId="172" fontId="96" fillId="38" borderId="34" xfId="293" applyNumberFormat="1" applyFont="1" applyFill="1" applyBorder="1" applyAlignment="1">
      <alignment horizontal="left"/>
    </xf>
    <xf numFmtId="186" fontId="96" fillId="38" borderId="34" xfId="147" applyNumberFormat="1" applyFont="1" applyFill="1" applyBorder="1" applyAlignment="1">
      <alignment horizontal="center"/>
    </xf>
    <xf numFmtId="38" fontId="97" fillId="38" borderId="34" xfId="49" applyNumberFormat="1" applyFont="1" applyFill="1" applyBorder="1"/>
    <xf numFmtId="38" fontId="100" fillId="38" borderId="34" xfId="49" applyNumberFormat="1" applyFont="1" applyFill="1" applyBorder="1" applyAlignment="1">
      <alignment horizontal="left"/>
    </xf>
    <xf numFmtId="0" fontId="96" fillId="38" borderId="50" xfId="20" applyNumberFormat="1" applyFont="1" applyFill="1" applyBorder="1" applyAlignment="1">
      <alignment horizontal="left"/>
    </xf>
    <xf numFmtId="169" fontId="0" fillId="38" borderId="0" xfId="0" applyNumberFormat="1" applyFill="1"/>
    <xf numFmtId="0" fontId="96" fillId="29" borderId="63" xfId="293" applyFont="1" applyFill="1" applyBorder="1" applyAlignment="1">
      <alignment vertical="center"/>
    </xf>
    <xf numFmtId="0" fontId="103" fillId="29" borderId="34" xfId="294" applyFont="1" applyFill="1" applyBorder="1" applyAlignment="1">
      <alignment vertical="center"/>
    </xf>
    <xf numFmtId="0" fontId="103" fillId="29" borderId="34" xfId="294" applyFont="1" applyFill="1" applyBorder="1" applyAlignment="1">
      <alignment horizontal="left" vertical="center"/>
    </xf>
    <xf numFmtId="0" fontId="103" fillId="29" borderId="34" xfId="0" applyFont="1" applyFill="1" applyBorder="1" applyAlignment="1">
      <alignment horizontal="center"/>
    </xf>
    <xf numFmtId="15" fontId="96" fillId="29" borderId="34" xfId="294" quotePrefix="1" applyNumberFormat="1" applyFont="1" applyFill="1" applyBorder="1" applyAlignment="1">
      <alignment horizontal="left"/>
    </xf>
    <xf numFmtId="173" fontId="96" fillId="29" borderId="34" xfId="294" quotePrefix="1" applyNumberFormat="1" applyFont="1" applyFill="1" applyBorder="1" applyAlignment="1">
      <alignment horizontal="left"/>
    </xf>
    <xf numFmtId="0" fontId="96" fillId="29" borderId="34" xfId="294" applyFont="1" applyFill="1" applyBorder="1" applyAlignment="1">
      <alignment horizontal="left"/>
    </xf>
    <xf numFmtId="0" fontId="96" fillId="29" borderId="34" xfId="0" applyFont="1" applyFill="1" applyBorder="1" applyAlignment="1">
      <alignment horizontal="left"/>
    </xf>
    <xf numFmtId="0" fontId="96" fillId="29" borderId="34" xfId="297" applyFont="1" applyFill="1" applyBorder="1" applyAlignment="1">
      <alignment horizontal="left" vertical="center"/>
    </xf>
    <xf numFmtId="0" fontId="96" fillId="29" borderId="34" xfId="49" quotePrefix="1" applyNumberFormat="1" applyFont="1" applyFill="1" applyBorder="1" applyAlignment="1">
      <alignment horizontal="center"/>
    </xf>
    <xf numFmtId="169" fontId="96" fillId="29" borderId="34" xfId="49" quotePrefix="1" applyNumberFormat="1" applyFont="1" applyFill="1" applyBorder="1" applyAlignment="1">
      <alignment horizontal="center"/>
    </xf>
    <xf numFmtId="169" fontId="97" fillId="29" borderId="34" xfId="49" applyNumberFormat="1" applyFont="1" applyFill="1" applyBorder="1"/>
    <xf numFmtId="171" fontId="96" fillId="29" borderId="34" xfId="20" applyNumberFormat="1" applyFont="1" applyFill="1" applyBorder="1"/>
    <xf numFmtId="169" fontId="96" fillId="29" borderId="34" xfId="0" applyNumberFormat="1" applyFont="1" applyFill="1" applyBorder="1"/>
    <xf numFmtId="0" fontId="96" fillId="29" borderId="34" xfId="0" applyFont="1" applyFill="1" applyBorder="1"/>
    <xf numFmtId="171" fontId="96" fillId="29" borderId="34" xfId="0" applyNumberFormat="1" applyFont="1" applyFill="1" applyBorder="1"/>
    <xf numFmtId="169" fontId="96" fillId="29" borderId="34" xfId="49" applyNumberFormat="1" applyFont="1" applyFill="1" applyBorder="1" applyAlignment="1">
      <alignment horizontal="center"/>
    </xf>
    <xf numFmtId="188" fontId="96" fillId="29" borderId="34" xfId="21" applyNumberFormat="1" applyFont="1" applyFill="1" applyBorder="1" applyAlignment="1">
      <alignment horizontal="right"/>
    </xf>
    <xf numFmtId="38" fontId="96" fillId="29" borderId="34" xfId="20" applyNumberFormat="1" applyFont="1" applyFill="1" applyBorder="1" applyAlignment="1">
      <alignment horizontal="left"/>
    </xf>
    <xf numFmtId="184" fontId="100" fillId="29" borderId="34" xfId="49" applyNumberFormat="1" applyFont="1" applyFill="1" applyBorder="1" applyAlignment="1">
      <alignment horizontal="left"/>
    </xf>
    <xf numFmtId="14" fontId="96" fillId="29" borderId="50" xfId="20" applyNumberFormat="1" applyFont="1" applyFill="1" applyBorder="1" applyAlignment="1">
      <alignment horizontal="left"/>
    </xf>
    <xf numFmtId="165" fontId="0" fillId="29" borderId="0" xfId="21" applyFont="1" applyFill="1"/>
    <xf numFmtId="165" fontId="0" fillId="29" borderId="0" xfId="0" applyNumberFormat="1" applyFill="1"/>
    <xf numFmtId="0" fontId="0" fillId="29" borderId="0" xfId="0" applyFill="1"/>
    <xf numFmtId="0" fontId="96" fillId="29" borderId="34" xfId="294" applyFont="1" applyFill="1" applyBorder="1" applyAlignment="1">
      <alignment vertical="center"/>
    </xf>
    <xf numFmtId="0" fontId="96" fillId="29" borderId="34" xfId="294" applyFont="1" applyFill="1" applyBorder="1" applyAlignment="1">
      <alignment horizontal="left" vertical="center"/>
    </xf>
    <xf numFmtId="0" fontId="103" fillId="29" borderId="34" xfId="0" applyFont="1" applyFill="1" applyBorder="1" applyAlignment="1">
      <alignment horizontal="left" vertical="center"/>
    </xf>
    <xf numFmtId="0" fontId="103" fillId="29" borderId="34" xfId="238" applyFont="1" applyFill="1" applyBorder="1" applyAlignment="1">
      <alignment vertical="center"/>
    </xf>
    <xf numFmtId="15" fontId="96" fillId="29" borderId="34" xfId="0" applyNumberFormat="1" applyFont="1" applyFill="1" applyBorder="1" applyAlignment="1">
      <alignment horizontal="left"/>
    </xf>
    <xf numFmtId="0" fontId="96" fillId="29" borderId="34" xfId="0" applyFont="1" applyFill="1" applyBorder="1" applyAlignment="1">
      <alignment horizontal="left" vertical="center"/>
    </xf>
    <xf numFmtId="0" fontId="96" fillId="29" borderId="34" xfId="235" applyFont="1" applyFill="1" applyBorder="1" applyAlignment="1">
      <alignment horizontal="left" vertical="center"/>
    </xf>
    <xf numFmtId="0" fontId="96" fillId="29" borderId="34" xfId="0" applyFont="1" applyFill="1" applyBorder="1" applyAlignment="1">
      <alignment horizontal="center"/>
    </xf>
    <xf numFmtId="175" fontId="96" fillId="29" borderId="34" xfId="0" applyNumberFormat="1" applyFont="1" applyFill="1" applyBorder="1" applyAlignment="1">
      <alignment horizontal="right"/>
    </xf>
    <xf numFmtId="3" fontId="97" fillId="29" borderId="34" xfId="20" applyNumberFormat="1" applyFont="1" applyFill="1" applyBorder="1" applyAlignment="1">
      <alignment vertical="center"/>
    </xf>
    <xf numFmtId="0" fontId="96" fillId="29" borderId="34" xfId="0" applyFont="1" applyFill="1" applyBorder="1" applyAlignment="1">
      <alignment vertical="center"/>
    </xf>
    <xf numFmtId="0" fontId="96" fillId="29" borderId="34" xfId="293" applyFont="1" applyFill="1" applyBorder="1" applyAlignment="1">
      <alignment horizontal="left" vertical="center"/>
    </xf>
    <xf numFmtId="166" fontId="96" fillId="29" borderId="34" xfId="143" applyFont="1" applyFill="1" applyBorder="1" applyAlignment="1">
      <alignment horizontal="left"/>
    </xf>
    <xf numFmtId="14" fontId="96" fillId="29" borderId="50" xfId="20" applyNumberFormat="1" applyFont="1" applyFill="1" applyBorder="1" applyAlignment="1">
      <alignment horizontal="left" vertical="center"/>
    </xf>
    <xf numFmtId="0" fontId="96" fillId="29" borderId="34" xfId="293" applyFont="1" applyFill="1" applyBorder="1" applyAlignment="1">
      <alignment vertical="center"/>
    </xf>
    <xf numFmtId="187" fontId="97" fillId="29" borderId="34" xfId="20" applyNumberFormat="1" applyFont="1" applyFill="1" applyBorder="1" applyAlignment="1">
      <alignment vertical="center"/>
    </xf>
    <xf numFmtId="0" fontId="96" fillId="29" borderId="34" xfId="0" quotePrefix="1" applyFont="1" applyFill="1" applyBorder="1" applyAlignment="1">
      <alignment horizontal="left"/>
    </xf>
    <xf numFmtId="166" fontId="96" fillId="29" borderId="34" xfId="147" applyFont="1" applyFill="1" applyBorder="1" applyAlignment="1">
      <alignment horizontal="left"/>
    </xf>
    <xf numFmtId="0" fontId="96" fillId="38" borderId="34" xfId="0" applyFont="1" applyFill="1" applyBorder="1" applyAlignment="1">
      <alignment horizontal="center" vertical="center"/>
    </xf>
    <xf numFmtId="15" fontId="96" fillId="38" borderId="34" xfId="0" applyNumberFormat="1" applyFont="1" applyFill="1" applyBorder="1" applyAlignment="1">
      <alignment horizontal="left" vertical="center"/>
    </xf>
    <xf numFmtId="173" fontId="96" fillId="38" borderId="34" xfId="293" applyNumberFormat="1" applyFont="1" applyFill="1" applyBorder="1" applyAlignment="1">
      <alignment horizontal="left" vertical="center"/>
    </xf>
    <xf numFmtId="0" fontId="96" fillId="38" borderId="34" xfId="253" applyFont="1" applyFill="1" applyBorder="1" applyAlignment="1">
      <alignment vertical="center"/>
    </xf>
    <xf numFmtId="0" fontId="96" fillId="38" borderId="34" xfId="168" quotePrefix="1" applyFont="1" applyFill="1" applyBorder="1" applyAlignment="1">
      <alignment horizontal="left" vertical="center"/>
    </xf>
    <xf numFmtId="189" fontId="96" fillId="38" borderId="34" xfId="0" applyNumberFormat="1" applyFont="1" applyFill="1" applyBorder="1" applyAlignment="1">
      <alignment horizontal="right" vertical="center"/>
    </xf>
    <xf numFmtId="169" fontId="97" fillId="38" borderId="34" xfId="49" applyNumberFormat="1" applyFont="1" applyFill="1" applyBorder="1" applyAlignment="1">
      <alignment vertical="center"/>
    </xf>
    <xf numFmtId="169" fontId="96" fillId="38" borderId="34" xfId="0" applyNumberFormat="1" applyFont="1" applyFill="1" applyBorder="1" applyAlignment="1">
      <alignment vertical="center"/>
    </xf>
    <xf numFmtId="171" fontId="96" fillId="38" borderId="34" xfId="20" applyNumberFormat="1" applyFont="1" applyFill="1" applyBorder="1" applyAlignment="1">
      <alignment vertical="center"/>
    </xf>
    <xf numFmtId="171" fontId="96" fillId="38" borderId="34" xfId="0" applyNumberFormat="1" applyFont="1" applyFill="1" applyBorder="1" applyAlignment="1">
      <alignment vertical="center"/>
    </xf>
    <xf numFmtId="169" fontId="96" fillId="38" borderId="34" xfId="49" applyNumberFormat="1" applyFont="1" applyFill="1" applyBorder="1" applyAlignment="1">
      <alignment horizontal="center" vertical="center"/>
    </xf>
    <xf numFmtId="188" fontId="96" fillId="38" borderId="34" xfId="21" applyNumberFormat="1" applyFont="1" applyFill="1" applyBorder="1" applyAlignment="1">
      <alignment horizontal="right" vertical="center"/>
    </xf>
    <xf numFmtId="38" fontId="96" fillId="38" borderId="34" xfId="20" applyNumberFormat="1" applyFont="1" applyFill="1" applyBorder="1" applyAlignment="1">
      <alignment horizontal="left" vertical="center"/>
    </xf>
    <xf numFmtId="0" fontId="96" fillId="38" borderId="50" xfId="20" applyNumberFormat="1" applyFont="1" applyFill="1" applyBorder="1" applyAlignment="1">
      <alignment horizontal="left" vertical="center"/>
    </xf>
    <xf numFmtId="175" fontId="96" fillId="38" borderId="34" xfId="0" applyNumberFormat="1" applyFont="1" applyFill="1" applyBorder="1" applyAlignment="1">
      <alignment horizontal="right" vertical="center"/>
    </xf>
    <xf numFmtId="0" fontId="96" fillId="39" borderId="63" xfId="293" applyFont="1" applyFill="1" applyBorder="1" applyAlignment="1">
      <alignment vertical="center"/>
    </xf>
    <xf numFmtId="0" fontId="96" fillId="39" borderId="34" xfId="0" applyFont="1" applyFill="1" applyBorder="1" applyAlignment="1">
      <alignment vertical="center"/>
    </xf>
    <xf numFmtId="0" fontId="96" fillId="39" borderId="34" xfId="293" applyFont="1" applyFill="1" applyBorder="1" applyAlignment="1">
      <alignment horizontal="left" vertical="center"/>
    </xf>
    <xf numFmtId="0" fontId="103" fillId="39" borderId="34" xfId="0" applyFont="1" applyFill="1" applyBorder="1" applyAlignment="1">
      <alignment horizontal="center"/>
    </xf>
    <xf numFmtId="15" fontId="96" fillId="39" borderId="34" xfId="293" applyNumberFormat="1" applyFont="1" applyFill="1" applyBorder="1" applyAlignment="1">
      <alignment horizontal="left" vertical="center"/>
    </xf>
    <xf numFmtId="173" fontId="96" fillId="39" borderId="34" xfId="294" quotePrefix="1" applyNumberFormat="1" applyFont="1" applyFill="1" applyBorder="1" applyAlignment="1">
      <alignment horizontal="left"/>
    </xf>
    <xf numFmtId="0" fontId="96" fillId="39" borderId="34" xfId="0" quotePrefix="1" applyFont="1" applyFill="1" applyBorder="1" applyAlignment="1">
      <alignment horizontal="left"/>
    </xf>
    <xf numFmtId="0" fontId="96" fillId="39" borderId="34" xfId="0" applyFont="1" applyFill="1" applyBorder="1" applyAlignment="1">
      <alignment horizontal="left" vertical="center"/>
    </xf>
    <xf numFmtId="0" fontId="96" fillId="39" borderId="34" xfId="0" applyFont="1" applyFill="1" applyBorder="1" applyAlignment="1">
      <alignment horizontal="left"/>
    </xf>
    <xf numFmtId="0" fontId="96" fillId="39" borderId="34" xfId="0" applyFont="1" applyFill="1" applyBorder="1" applyAlignment="1">
      <alignment horizontal="center"/>
    </xf>
    <xf numFmtId="166" fontId="96" fillId="39" borderId="34" xfId="147" applyFont="1" applyFill="1" applyBorder="1" applyAlignment="1">
      <alignment horizontal="left"/>
    </xf>
    <xf numFmtId="3" fontId="97" fillId="39" borderId="34" xfId="20" applyNumberFormat="1" applyFont="1" applyFill="1" applyBorder="1" applyAlignment="1">
      <alignment vertical="center"/>
    </xf>
    <xf numFmtId="0" fontId="96" fillId="39" borderId="34" xfId="0" applyFont="1" applyFill="1" applyBorder="1"/>
    <xf numFmtId="169" fontId="96" fillId="39" borderId="34" xfId="0" applyNumberFormat="1" applyFont="1" applyFill="1" applyBorder="1"/>
    <xf numFmtId="171" fontId="96" fillId="39" borderId="34" xfId="20" applyNumberFormat="1" applyFont="1" applyFill="1" applyBorder="1"/>
    <xf numFmtId="171" fontId="96" fillId="39" borderId="34" xfId="0" applyNumberFormat="1" applyFont="1" applyFill="1" applyBorder="1" applyAlignment="1">
      <alignment vertical="center"/>
    </xf>
    <xf numFmtId="169" fontId="96" fillId="39" borderId="34" xfId="49" applyNumberFormat="1" applyFont="1" applyFill="1" applyBorder="1" applyAlignment="1">
      <alignment horizontal="center" vertical="center"/>
    </xf>
    <xf numFmtId="169" fontId="96" fillId="39" borderId="34" xfId="49" applyNumberFormat="1" applyFont="1" applyFill="1" applyBorder="1" applyAlignment="1">
      <alignment horizontal="center"/>
    </xf>
    <xf numFmtId="188" fontId="96" fillId="39" borderId="34" xfId="21" applyNumberFormat="1" applyFont="1" applyFill="1" applyBorder="1" applyAlignment="1">
      <alignment horizontal="right"/>
    </xf>
    <xf numFmtId="38" fontId="96" fillId="39" borderId="34" xfId="20" applyNumberFormat="1" applyFont="1" applyFill="1" applyBorder="1" applyAlignment="1">
      <alignment horizontal="left"/>
    </xf>
    <xf numFmtId="184" fontId="100" fillId="39" borderId="34" xfId="20" applyNumberFormat="1" applyFont="1" applyFill="1" applyBorder="1" applyAlignment="1">
      <alignment horizontal="left" vertical="center"/>
    </xf>
    <xf numFmtId="0" fontId="96" fillId="39" borderId="50" xfId="20" applyNumberFormat="1" applyFont="1" applyFill="1" applyBorder="1" applyAlignment="1">
      <alignment horizontal="left"/>
    </xf>
    <xf numFmtId="165" fontId="0" fillId="39" borderId="0" xfId="21" applyFont="1" applyFill="1"/>
    <xf numFmtId="165" fontId="0" fillId="39" borderId="0" xfId="0" applyNumberFormat="1" applyFill="1"/>
    <xf numFmtId="0" fontId="0" fillId="39" borderId="0" xfId="0" applyFill="1"/>
    <xf numFmtId="169" fontId="97" fillId="39" borderId="34" xfId="49" applyNumberFormat="1" applyFont="1" applyFill="1" applyBorder="1" applyAlignment="1">
      <alignment horizontal="right"/>
    </xf>
    <xf numFmtId="169" fontId="96" fillId="31" borderId="34" xfId="49" applyNumberFormat="1" applyFont="1" applyFill="1" applyBorder="1" applyAlignment="1">
      <alignment horizontal="left" vertical="center"/>
    </xf>
    <xf numFmtId="0" fontId="96" fillId="31" borderId="92" xfId="293" applyFont="1" applyFill="1" applyBorder="1" applyAlignment="1">
      <alignment horizontal="center" vertical="center"/>
    </xf>
    <xf numFmtId="15" fontId="96" fillId="31" borderId="92" xfId="293" applyNumberFormat="1" applyFont="1" applyFill="1" applyBorder="1" applyAlignment="1">
      <alignment horizontal="left" vertical="center"/>
    </xf>
    <xf numFmtId="173" fontId="96" fillId="31" borderId="92" xfId="293" applyNumberFormat="1" applyFont="1" applyFill="1" applyBorder="1" applyAlignment="1">
      <alignment horizontal="left" vertical="center"/>
    </xf>
    <xf numFmtId="0" fontId="96" fillId="31" borderId="92" xfId="293" applyFont="1" applyFill="1" applyBorder="1" applyAlignment="1">
      <alignment horizontal="left" vertical="center"/>
    </xf>
    <xf numFmtId="0" fontId="96" fillId="31" borderId="92" xfId="253" applyFont="1" applyFill="1" applyBorder="1" applyAlignment="1">
      <alignment vertical="center"/>
    </xf>
    <xf numFmtId="0" fontId="96" fillId="31" borderId="92" xfId="0" applyFont="1" applyFill="1" applyBorder="1" applyAlignment="1">
      <alignment horizontal="left" vertical="center"/>
    </xf>
    <xf numFmtId="169" fontId="97" fillId="31" borderId="92" xfId="49" applyNumberFormat="1" applyFont="1" applyFill="1" applyBorder="1" applyAlignment="1">
      <alignment vertical="center"/>
    </xf>
    <xf numFmtId="169" fontId="96" fillId="31" borderId="92" xfId="0" applyNumberFormat="1" applyFont="1" applyFill="1" applyBorder="1" applyAlignment="1">
      <alignment vertical="center"/>
    </xf>
    <xf numFmtId="171" fontId="96" fillId="31" borderId="92" xfId="20" applyNumberFormat="1" applyFont="1" applyFill="1" applyBorder="1" applyAlignment="1">
      <alignment vertical="center"/>
    </xf>
    <xf numFmtId="0" fontId="96" fillId="31" borderId="92" xfId="0" applyFont="1" applyFill="1" applyBorder="1" applyAlignment="1">
      <alignment vertical="center"/>
    </xf>
    <xf numFmtId="171" fontId="96" fillId="31" borderId="92" xfId="0" applyNumberFormat="1" applyFont="1" applyFill="1" applyBorder="1" applyAlignment="1">
      <alignment vertical="center"/>
    </xf>
    <xf numFmtId="169" fontId="96" fillId="31" borderId="92" xfId="49" applyNumberFormat="1" applyFont="1" applyFill="1" applyBorder="1" applyAlignment="1">
      <alignment horizontal="center" vertical="center"/>
    </xf>
    <xf numFmtId="38" fontId="96" fillId="31" borderId="92" xfId="20" applyNumberFormat="1" applyFont="1" applyFill="1" applyBorder="1" applyAlignment="1">
      <alignment horizontal="left" vertical="center"/>
    </xf>
    <xf numFmtId="184" fontId="100" fillId="31" borderId="92" xfId="49" applyNumberFormat="1" applyFont="1" applyFill="1" applyBorder="1" applyAlignment="1">
      <alignment horizontal="left" vertical="center"/>
    </xf>
    <xf numFmtId="0" fontId="96" fillId="31" borderId="93" xfId="20" applyNumberFormat="1" applyFont="1" applyFill="1" applyBorder="1" applyAlignment="1">
      <alignment horizontal="left" vertical="center"/>
    </xf>
    <xf numFmtId="0" fontId="92" fillId="0" borderId="0" xfId="0" applyFont="1" applyAlignment="1">
      <alignment horizontal="center"/>
    </xf>
    <xf numFmtId="168" fontId="45" fillId="0" borderId="0" xfId="295" quotePrefix="1" applyNumberFormat="1" applyFont="1" applyAlignment="1">
      <alignment horizontal="left" vertical="center"/>
    </xf>
    <xf numFmtId="0" fontId="52" fillId="36" borderId="37" xfId="295" applyFont="1" applyFill="1" applyBorder="1" applyAlignment="1">
      <alignment horizontal="center" vertical="center"/>
    </xf>
    <xf numFmtId="0" fontId="52" fillId="36" borderId="38" xfId="295" applyFont="1" applyFill="1" applyBorder="1" applyAlignment="1">
      <alignment horizontal="center" vertical="center"/>
    </xf>
    <xf numFmtId="0" fontId="52" fillId="36" borderId="32" xfId="295" applyFont="1" applyFill="1" applyBorder="1" applyAlignment="1">
      <alignment horizontal="center" vertical="center"/>
    </xf>
    <xf numFmtId="0" fontId="99" fillId="30" borderId="16" xfId="293" applyFont="1" applyFill="1" applyBorder="1" applyAlignment="1">
      <alignment horizontal="center" vertical="center"/>
    </xf>
    <xf numFmtId="0" fontId="99" fillId="30" borderId="21" xfId="293" applyFont="1" applyFill="1" applyBorder="1" applyAlignment="1">
      <alignment horizontal="center" vertical="center"/>
    </xf>
    <xf numFmtId="0" fontId="91" fillId="28" borderId="28" xfId="201" applyFont="1" applyFill="1" applyBorder="1" applyAlignment="1">
      <alignment horizontal="center" wrapText="1"/>
    </xf>
    <xf numFmtId="0" fontId="91" fillId="28" borderId="56" xfId="201" applyFont="1" applyFill="1" applyBorder="1" applyAlignment="1">
      <alignment horizontal="center" wrapText="1"/>
    </xf>
    <xf numFmtId="0" fontId="91" fillId="28" borderId="55" xfId="201" applyFont="1" applyFill="1" applyBorder="1" applyAlignment="1">
      <alignment horizontal="center" wrapText="1"/>
    </xf>
    <xf numFmtId="0" fontId="102" fillId="30" borderId="22" xfId="0" applyFont="1" applyFill="1" applyBorder="1" applyAlignment="1">
      <alignment horizontal="center" vertical="center"/>
    </xf>
    <xf numFmtId="0" fontId="102" fillId="30" borderId="24" xfId="0" applyFont="1" applyFill="1" applyBorder="1" applyAlignment="1">
      <alignment horizontal="center" vertical="center"/>
    </xf>
    <xf numFmtId="0" fontId="91" fillId="28" borderId="54" xfId="201" applyFont="1" applyFill="1" applyBorder="1" applyAlignment="1">
      <alignment horizontal="center" wrapText="1"/>
    </xf>
    <xf numFmtId="0" fontId="102" fillId="30" borderId="22" xfId="0" applyFont="1" applyFill="1" applyBorder="1" applyAlignment="1">
      <alignment horizontal="center" vertical="center" wrapText="1"/>
    </xf>
    <xf numFmtId="0" fontId="99" fillId="30" borderId="58" xfId="293" applyFont="1" applyFill="1" applyBorder="1" applyAlignment="1">
      <alignment horizontal="left" vertical="center"/>
    </xf>
    <xf numFmtId="0" fontId="99" fillId="30" borderId="23" xfId="293" applyFont="1" applyFill="1" applyBorder="1" applyAlignment="1">
      <alignment horizontal="left" vertical="center"/>
    </xf>
    <xf numFmtId="176" fontId="94" fillId="0" borderId="0" xfId="0" quotePrefix="1" applyNumberFormat="1" applyFont="1" applyAlignment="1">
      <alignment horizontal="left" vertical="center"/>
    </xf>
    <xf numFmtId="0" fontId="99" fillId="30" borderId="54" xfId="0" applyFont="1" applyFill="1" applyBorder="1" applyAlignment="1">
      <alignment horizontal="center" vertical="center"/>
    </xf>
    <xf numFmtId="0" fontId="99" fillId="30" borderId="56" xfId="0" applyFont="1" applyFill="1" applyBorder="1" applyAlignment="1">
      <alignment horizontal="center" vertical="center"/>
    </xf>
    <xf numFmtId="0" fontId="99" fillId="30" borderId="15" xfId="293" applyFont="1" applyFill="1" applyBorder="1" applyAlignment="1">
      <alignment horizontal="center" vertical="center"/>
    </xf>
    <xf numFmtId="0" fontId="99" fillId="30" borderId="57" xfId="0" applyFont="1" applyFill="1" applyBorder="1" applyAlignment="1">
      <alignment horizontal="center" vertical="center"/>
    </xf>
    <xf numFmtId="0" fontId="99" fillId="30" borderId="16" xfId="293" applyFont="1" applyFill="1" applyBorder="1" applyAlignment="1">
      <alignment vertical="center" wrapText="1"/>
    </xf>
    <xf numFmtId="0" fontId="99" fillId="30" borderId="21" xfId="0" applyFont="1" applyFill="1" applyBorder="1" applyAlignment="1">
      <alignment vertical="center"/>
    </xf>
    <xf numFmtId="0" fontId="99" fillId="30" borderId="27" xfId="293" applyFont="1" applyFill="1" applyBorder="1" applyAlignment="1">
      <alignment horizontal="center" vertical="center" wrapText="1"/>
    </xf>
    <xf numFmtId="0" fontId="99" fillId="30" borderId="59" xfId="0" applyFont="1" applyFill="1" applyBorder="1" applyAlignment="1">
      <alignment horizontal="center" vertical="center"/>
    </xf>
    <xf numFmtId="0" fontId="99" fillId="30" borderId="60" xfId="0" applyFont="1" applyFill="1" applyBorder="1" applyAlignment="1">
      <alignment horizontal="center" vertical="center"/>
    </xf>
    <xf numFmtId="0" fontId="99" fillId="30" borderId="61" xfId="0" applyFont="1" applyFill="1" applyBorder="1" applyAlignment="1">
      <alignment horizontal="center" vertical="center"/>
    </xf>
    <xf numFmtId="0" fontId="99" fillId="30" borderId="16" xfId="293" applyFont="1" applyFill="1" applyBorder="1" applyAlignment="1">
      <alignment horizontal="center" vertical="center" wrapText="1"/>
    </xf>
    <xf numFmtId="0" fontId="99" fillId="30" borderId="21" xfId="293" applyFont="1" applyFill="1" applyBorder="1" applyAlignment="1">
      <alignment horizontal="center" vertical="center" wrapText="1"/>
    </xf>
    <xf numFmtId="15" fontId="99" fillId="30" borderId="16" xfId="293" applyNumberFormat="1" applyFont="1" applyFill="1" applyBorder="1" applyAlignment="1">
      <alignment horizontal="center" vertical="center" wrapText="1"/>
    </xf>
    <xf numFmtId="15" fontId="99" fillId="30" borderId="21" xfId="293" applyNumberFormat="1" applyFont="1" applyFill="1" applyBorder="1" applyAlignment="1">
      <alignment horizontal="center" vertical="center" wrapText="1"/>
    </xf>
    <xf numFmtId="187" fontId="99" fillId="30" borderId="16" xfId="21" applyNumberFormat="1" applyFont="1" applyFill="1" applyBorder="1" applyAlignment="1">
      <alignment horizontal="center" vertical="center" wrapText="1"/>
    </xf>
    <xf numFmtId="187" fontId="99" fillId="30" borderId="21" xfId="21" applyNumberFormat="1" applyFont="1" applyFill="1" applyBorder="1" applyAlignment="1">
      <alignment horizontal="center" vertical="center" wrapText="1"/>
    </xf>
    <xf numFmtId="1" fontId="105" fillId="0" borderId="35" xfId="0" applyNumberFormat="1" applyFont="1" applyBorder="1" applyAlignment="1">
      <alignment horizontal="center" vertical="center" wrapText="1"/>
    </xf>
    <xf numFmtId="1" fontId="105" fillId="0" borderId="36" xfId="0" applyNumberFormat="1" applyFont="1" applyBorder="1" applyAlignment="1">
      <alignment horizontal="center" vertical="center" wrapText="1"/>
    </xf>
    <xf numFmtId="1" fontId="105" fillId="0" borderId="34" xfId="0" applyNumberFormat="1" applyFont="1" applyBorder="1" applyAlignment="1">
      <alignment horizontal="center" vertical="center" wrapText="1"/>
    </xf>
    <xf numFmtId="1" fontId="105" fillId="0" borderId="66" xfId="0" applyNumberFormat="1" applyFont="1" applyBorder="1" applyAlignment="1">
      <alignment horizontal="center" vertical="center" wrapText="1"/>
    </xf>
    <xf numFmtId="1" fontId="105" fillId="0" borderId="31" xfId="0" applyNumberFormat="1" applyFont="1" applyBorder="1" applyAlignment="1">
      <alignment horizontal="center" vertical="center" wrapText="1"/>
    </xf>
    <xf numFmtId="0" fontId="105" fillId="0" borderId="35" xfId="0" applyFont="1" applyBorder="1" applyAlignment="1">
      <alignment horizontal="center" vertical="center" wrapText="1"/>
    </xf>
    <xf numFmtId="0" fontId="105" fillId="0" borderId="36" xfId="0" applyFont="1" applyBorder="1" applyAlignment="1">
      <alignment horizontal="center" vertical="center" wrapText="1"/>
    </xf>
    <xf numFmtId="1" fontId="86" fillId="0" borderId="35" xfId="0" applyNumberFormat="1" applyFont="1" applyBorder="1" applyAlignment="1">
      <alignment horizontal="center" vertical="center"/>
    </xf>
    <xf numFmtId="1" fontId="86" fillId="0" borderId="36" xfId="0" applyNumberFormat="1" applyFont="1" applyBorder="1" applyAlignment="1">
      <alignment horizontal="center" vertical="center"/>
    </xf>
    <xf numFmtId="15" fontId="107" fillId="32" borderId="46" xfId="293" applyNumberFormat="1" applyFont="1" applyFill="1" applyBorder="1" applyAlignment="1">
      <alignment horizontal="center" vertical="center" wrapText="1"/>
    </xf>
    <xf numFmtId="15" fontId="107" fillId="32" borderId="72" xfId="293" applyNumberFormat="1" applyFont="1" applyFill="1" applyBorder="1" applyAlignment="1">
      <alignment horizontal="center" vertical="center" wrapText="1"/>
    </xf>
    <xf numFmtId="1" fontId="107" fillId="32" borderId="44" xfId="293" applyNumberFormat="1" applyFont="1" applyFill="1" applyBorder="1" applyAlignment="1">
      <alignment horizontal="center" vertical="center" wrapText="1"/>
    </xf>
    <xf numFmtId="1" fontId="107" fillId="32" borderId="73" xfId="293" applyNumberFormat="1" applyFont="1" applyFill="1" applyBorder="1" applyAlignment="1">
      <alignment horizontal="center" vertical="center" wrapText="1"/>
    </xf>
    <xf numFmtId="0" fontId="107" fillId="32" borderId="45" xfId="293" applyFont="1" applyFill="1" applyBorder="1" applyAlignment="1">
      <alignment horizontal="center" vertical="center" wrapText="1"/>
    </xf>
    <xf numFmtId="0" fontId="107" fillId="32" borderId="70" xfId="293" applyFont="1" applyFill="1" applyBorder="1" applyAlignment="1">
      <alignment horizontal="center" vertical="center" wrapText="1"/>
    </xf>
    <xf numFmtId="0" fontId="107" fillId="32" borderId="67" xfId="293" applyFont="1" applyFill="1" applyBorder="1" applyAlignment="1">
      <alignment horizontal="center" vertical="center" wrapText="1"/>
    </xf>
    <xf numFmtId="0" fontId="107" fillId="32" borderId="68" xfId="293" applyFont="1" applyFill="1" applyBorder="1" applyAlignment="1">
      <alignment horizontal="center" vertical="center" wrapText="1"/>
    </xf>
    <xf numFmtId="15" fontId="107" fillId="32" borderId="45" xfId="293" applyNumberFormat="1" applyFont="1" applyFill="1" applyBorder="1" applyAlignment="1">
      <alignment horizontal="center" vertical="center" wrapText="1"/>
    </xf>
    <xf numFmtId="15" fontId="107" fillId="32" borderId="70" xfId="293" applyNumberFormat="1" applyFont="1" applyFill="1" applyBorder="1" applyAlignment="1">
      <alignment horizontal="center" vertical="center" wrapText="1"/>
    </xf>
    <xf numFmtId="187" fontId="107" fillId="32" borderId="45" xfId="21" applyNumberFormat="1" applyFont="1" applyFill="1" applyBorder="1" applyAlignment="1">
      <alignment horizontal="center" wrapText="1"/>
    </xf>
    <xf numFmtId="187" fontId="107" fillId="32" borderId="70" xfId="21" applyNumberFormat="1" applyFont="1" applyFill="1" applyBorder="1" applyAlignment="1">
      <alignment horizontal="center" wrapText="1"/>
    </xf>
    <xf numFmtId="0" fontId="107" fillId="32" borderId="67" xfId="0" applyFont="1" applyFill="1" applyBorder="1" applyAlignment="1">
      <alignment horizontal="center" vertical="center" wrapText="1"/>
    </xf>
    <xf numFmtId="0" fontId="107" fillId="32" borderId="68" xfId="0" applyFont="1" applyFill="1" applyBorder="1" applyAlignment="1">
      <alignment horizontal="center" vertical="center" wrapText="1"/>
    </xf>
    <xf numFmtId="187" fontId="107" fillId="32" borderId="45" xfId="21" applyNumberFormat="1" applyFont="1" applyFill="1" applyBorder="1" applyAlignment="1">
      <alignment horizontal="center" vertical="center" wrapText="1"/>
    </xf>
    <xf numFmtId="187" fontId="107" fillId="32" borderId="70" xfId="21" applyNumberFormat="1" applyFont="1" applyFill="1" applyBorder="1" applyAlignment="1">
      <alignment horizontal="center" vertical="center" wrapText="1"/>
    </xf>
    <xf numFmtId="15" fontId="107" fillId="32" borderId="69" xfId="293" applyNumberFormat="1" applyFont="1" applyFill="1" applyBorder="1" applyAlignment="1">
      <alignment horizontal="center" vertical="center" wrapText="1"/>
    </xf>
    <xf numFmtId="0" fontId="107" fillId="32" borderId="32" xfId="293" applyFont="1" applyFill="1" applyBorder="1" applyAlignment="1">
      <alignment horizontal="center" vertical="center" wrapText="1"/>
    </xf>
    <xf numFmtId="0" fontId="107" fillId="32" borderId="3" xfId="0" applyFont="1" applyFill="1" applyBorder="1" applyAlignment="1">
      <alignment horizontal="center" vertical="center" wrapText="1"/>
    </xf>
    <xf numFmtId="0" fontId="107" fillId="32" borderId="3" xfId="293" applyFont="1" applyFill="1" applyBorder="1" applyAlignment="1">
      <alignment horizontal="center" vertical="center" wrapText="1"/>
    </xf>
    <xf numFmtId="15" fontId="107" fillId="32" borderId="66" xfId="293" applyNumberFormat="1" applyFont="1" applyFill="1" applyBorder="1" applyAlignment="1">
      <alignment horizontal="center" vertical="center" wrapText="1"/>
    </xf>
    <xf numFmtId="0" fontId="107" fillId="32" borderId="66" xfId="293" applyFont="1" applyFill="1" applyBorder="1" applyAlignment="1">
      <alignment horizontal="center" vertical="center" wrapText="1"/>
    </xf>
    <xf numFmtId="187" fontId="107" fillId="32" borderId="66" xfId="21" applyNumberFormat="1" applyFont="1" applyFill="1" applyBorder="1" applyAlignment="1">
      <alignment horizontal="center" vertical="center" wrapText="1"/>
    </xf>
    <xf numFmtId="0" fontId="107" fillId="32" borderId="32" xfId="0" applyFont="1" applyFill="1" applyBorder="1" applyAlignment="1">
      <alignment horizontal="center" vertical="center" wrapText="1"/>
    </xf>
    <xf numFmtId="1" fontId="105" fillId="0" borderId="62" xfId="0" applyNumberFormat="1" applyFont="1" applyBorder="1" applyAlignment="1">
      <alignment horizontal="center" vertical="center" wrapText="1"/>
    </xf>
    <xf numFmtId="1" fontId="105" fillId="0" borderId="63" xfId="0" applyNumberFormat="1" applyFont="1" applyBorder="1" applyAlignment="1">
      <alignment horizontal="center" vertical="center" wrapText="1"/>
    </xf>
    <xf numFmtId="1" fontId="105" fillId="0" borderId="64" xfId="0" applyNumberFormat="1" applyFont="1" applyBorder="1" applyAlignment="1">
      <alignment horizontal="center" vertical="center" wrapText="1"/>
    </xf>
    <xf numFmtId="1" fontId="105" fillId="0" borderId="81" xfId="0" applyNumberFormat="1" applyFont="1" applyBorder="1" applyAlignment="1">
      <alignment horizontal="center" vertical="center" wrapText="1"/>
    </xf>
    <xf numFmtId="1" fontId="105" fillId="0" borderId="83" xfId="0" applyNumberFormat="1" applyFont="1" applyBorder="1" applyAlignment="1">
      <alignment horizontal="center" vertical="center" wrapText="1"/>
    </xf>
    <xf numFmtId="1" fontId="105" fillId="0" borderId="85" xfId="0" applyNumberFormat="1" applyFont="1" applyBorder="1" applyAlignment="1">
      <alignment horizontal="center" vertical="center" wrapText="1"/>
    </xf>
    <xf numFmtId="1" fontId="107" fillId="32" borderId="37" xfId="293" applyNumberFormat="1" applyFont="1" applyFill="1" applyBorder="1" applyAlignment="1">
      <alignment horizontal="center" vertical="center" wrapText="1"/>
    </xf>
    <xf numFmtId="1" fontId="107" fillId="32" borderId="47" xfId="0" applyNumberFormat="1" applyFont="1" applyFill="1" applyBorder="1" applyAlignment="1">
      <alignment horizontal="center" vertical="center" wrapText="1"/>
    </xf>
    <xf numFmtId="1" fontId="105" fillId="0" borderId="89" xfId="0" applyNumberFormat="1" applyFont="1" applyBorder="1" applyAlignment="1">
      <alignment horizontal="center" vertical="center" wrapText="1"/>
    </xf>
    <xf numFmtId="1" fontId="105" fillId="0" borderId="80" xfId="0" applyNumberFormat="1" applyFont="1" applyBorder="1" applyAlignment="1">
      <alignment horizontal="center" vertical="center" wrapText="1"/>
    </xf>
    <xf numFmtId="1" fontId="105" fillId="0" borderId="90" xfId="0" applyNumberFormat="1" applyFont="1" applyBorder="1" applyAlignment="1">
      <alignment horizontal="center" vertical="center" wrapText="1"/>
    </xf>
  </cellXfs>
  <cellStyles count="476">
    <cellStyle name="20% - アクセント 1" xfId="1" xr:uid="{00000000-0005-0000-0000-000000000000}"/>
    <cellStyle name="20% - アクセント 2" xfId="2" xr:uid="{00000000-0005-0000-0000-000001000000}"/>
    <cellStyle name="20% - アクセント 3" xfId="3" xr:uid="{00000000-0005-0000-0000-000002000000}"/>
    <cellStyle name="20% - アクセント 4" xfId="4" xr:uid="{00000000-0005-0000-0000-000003000000}"/>
    <cellStyle name="20% - アクセント 5" xfId="5" xr:uid="{00000000-0005-0000-0000-000004000000}"/>
    <cellStyle name="20% - アクセント 6" xfId="6" xr:uid="{00000000-0005-0000-0000-000005000000}"/>
    <cellStyle name="40% - アクセント 1" xfId="7" xr:uid="{00000000-0005-0000-0000-000006000000}"/>
    <cellStyle name="40% - アクセント 2" xfId="8" xr:uid="{00000000-0005-0000-0000-000007000000}"/>
    <cellStyle name="40% - アクセント 3" xfId="9" xr:uid="{00000000-0005-0000-0000-000008000000}"/>
    <cellStyle name="40% - アクセント 4" xfId="10" xr:uid="{00000000-0005-0000-0000-000009000000}"/>
    <cellStyle name="40% - アクセント 5" xfId="11" xr:uid="{00000000-0005-0000-0000-00000A000000}"/>
    <cellStyle name="40% - アクセント 6" xfId="12" xr:uid="{00000000-0005-0000-0000-00000B000000}"/>
    <cellStyle name="60% - アクセント 1" xfId="13" xr:uid="{00000000-0005-0000-0000-00000C000000}"/>
    <cellStyle name="60% - アクセント 2" xfId="14" xr:uid="{00000000-0005-0000-0000-00000D000000}"/>
    <cellStyle name="60% - アクセント 3" xfId="15" xr:uid="{00000000-0005-0000-0000-00000E000000}"/>
    <cellStyle name="60% - アクセント 4" xfId="16" xr:uid="{00000000-0005-0000-0000-00000F000000}"/>
    <cellStyle name="60% - アクセント 5" xfId="17" xr:uid="{00000000-0005-0000-0000-000010000000}"/>
    <cellStyle name="60% - アクセント 6" xfId="18" xr:uid="{00000000-0005-0000-0000-000011000000}"/>
    <cellStyle name="Column_Title" xfId="19" xr:uid="{00000000-0005-0000-0000-000012000000}"/>
    <cellStyle name="Comma" xfId="20" builtinId="3"/>
    <cellStyle name="Comma [0]" xfId="21" builtinId="6"/>
    <cellStyle name="Comma [0] 2" xfId="22" xr:uid="{00000000-0005-0000-0000-000015000000}"/>
    <cellStyle name="Comma [0] 2 2" xfId="23" xr:uid="{00000000-0005-0000-0000-000016000000}"/>
    <cellStyle name="Comma [0] 3" xfId="24" xr:uid="{00000000-0005-0000-0000-000017000000}"/>
    <cellStyle name="Comma [0] 4" xfId="25" xr:uid="{00000000-0005-0000-0000-000018000000}"/>
    <cellStyle name="Comma 10" xfId="26" xr:uid="{00000000-0005-0000-0000-000019000000}"/>
    <cellStyle name="Comma 100" xfId="27" xr:uid="{00000000-0005-0000-0000-00001A000000}"/>
    <cellStyle name="Comma 101" xfId="28" xr:uid="{00000000-0005-0000-0000-00001B000000}"/>
    <cellStyle name="Comma 102" xfId="29" xr:uid="{00000000-0005-0000-0000-00001C000000}"/>
    <cellStyle name="Comma 103" xfId="30" xr:uid="{00000000-0005-0000-0000-00001D000000}"/>
    <cellStyle name="Comma 104" xfId="31" xr:uid="{00000000-0005-0000-0000-00001E000000}"/>
    <cellStyle name="Comma 105" xfId="32" xr:uid="{00000000-0005-0000-0000-00001F000000}"/>
    <cellStyle name="Comma 106" xfId="33" xr:uid="{00000000-0005-0000-0000-000020000000}"/>
    <cellStyle name="Comma 107" xfId="34" xr:uid="{00000000-0005-0000-0000-000021000000}"/>
    <cellStyle name="Comma 108" xfId="35" xr:uid="{00000000-0005-0000-0000-000022000000}"/>
    <cellStyle name="Comma 109" xfId="36" xr:uid="{00000000-0005-0000-0000-000023000000}"/>
    <cellStyle name="Comma 11" xfId="37" xr:uid="{00000000-0005-0000-0000-000024000000}"/>
    <cellStyle name="Comma 110" xfId="38" xr:uid="{00000000-0005-0000-0000-000025000000}"/>
    <cellStyle name="Comma 111" xfId="39" xr:uid="{00000000-0005-0000-0000-000026000000}"/>
    <cellStyle name="Comma 112" xfId="40" xr:uid="{00000000-0005-0000-0000-000027000000}"/>
    <cellStyle name="Comma 12" xfId="41" xr:uid="{00000000-0005-0000-0000-000028000000}"/>
    <cellStyle name="Comma 13" xfId="42" xr:uid="{00000000-0005-0000-0000-000029000000}"/>
    <cellStyle name="Comma 14" xfId="43" xr:uid="{00000000-0005-0000-0000-00002A000000}"/>
    <cellStyle name="Comma 15" xfId="44" xr:uid="{00000000-0005-0000-0000-00002B000000}"/>
    <cellStyle name="Comma 16" xfId="45" xr:uid="{00000000-0005-0000-0000-00002C000000}"/>
    <cellStyle name="Comma 17" xfId="46" xr:uid="{00000000-0005-0000-0000-00002D000000}"/>
    <cellStyle name="Comma 18" xfId="47" xr:uid="{00000000-0005-0000-0000-00002E000000}"/>
    <cellStyle name="Comma 19" xfId="48" xr:uid="{00000000-0005-0000-0000-00002F000000}"/>
    <cellStyle name="Comma 2" xfId="49" xr:uid="{00000000-0005-0000-0000-000030000000}"/>
    <cellStyle name="Comma 2 2" xfId="50" xr:uid="{00000000-0005-0000-0000-000031000000}"/>
    <cellStyle name="Comma 2 2 2" xfId="51" xr:uid="{00000000-0005-0000-0000-000032000000}"/>
    <cellStyle name="Comma 2 3" xfId="52" xr:uid="{00000000-0005-0000-0000-000033000000}"/>
    <cellStyle name="Comma 20" xfId="53" xr:uid="{00000000-0005-0000-0000-000034000000}"/>
    <cellStyle name="Comma 21" xfId="54" xr:uid="{00000000-0005-0000-0000-000035000000}"/>
    <cellStyle name="Comma 22" xfId="55" xr:uid="{00000000-0005-0000-0000-000036000000}"/>
    <cellStyle name="Comma 23" xfId="56" xr:uid="{00000000-0005-0000-0000-000037000000}"/>
    <cellStyle name="Comma 24" xfId="57" xr:uid="{00000000-0005-0000-0000-000038000000}"/>
    <cellStyle name="Comma 25" xfId="58" xr:uid="{00000000-0005-0000-0000-000039000000}"/>
    <cellStyle name="Comma 26" xfId="59" xr:uid="{00000000-0005-0000-0000-00003A000000}"/>
    <cellStyle name="Comma 27" xfId="60" xr:uid="{00000000-0005-0000-0000-00003B000000}"/>
    <cellStyle name="Comma 28" xfId="61" xr:uid="{00000000-0005-0000-0000-00003C000000}"/>
    <cellStyle name="Comma 29" xfId="62" xr:uid="{00000000-0005-0000-0000-00003D000000}"/>
    <cellStyle name="Comma 3" xfId="63" xr:uid="{00000000-0005-0000-0000-00003E000000}"/>
    <cellStyle name="Comma 3 2" xfId="64" xr:uid="{00000000-0005-0000-0000-00003F000000}"/>
    <cellStyle name="Comma 3 3" xfId="65" xr:uid="{00000000-0005-0000-0000-000040000000}"/>
    <cellStyle name="Comma 30" xfId="66" xr:uid="{00000000-0005-0000-0000-000041000000}"/>
    <cellStyle name="Comma 31" xfId="67" xr:uid="{00000000-0005-0000-0000-000042000000}"/>
    <cellStyle name="Comma 32" xfId="68" xr:uid="{00000000-0005-0000-0000-000043000000}"/>
    <cellStyle name="Comma 33" xfId="69" xr:uid="{00000000-0005-0000-0000-000044000000}"/>
    <cellStyle name="Comma 34" xfId="70" xr:uid="{00000000-0005-0000-0000-000045000000}"/>
    <cellStyle name="Comma 35" xfId="71" xr:uid="{00000000-0005-0000-0000-000046000000}"/>
    <cellStyle name="Comma 36" xfId="72" xr:uid="{00000000-0005-0000-0000-000047000000}"/>
    <cellStyle name="Comma 37" xfId="73" xr:uid="{00000000-0005-0000-0000-000048000000}"/>
    <cellStyle name="Comma 38" xfId="74" xr:uid="{00000000-0005-0000-0000-000049000000}"/>
    <cellStyle name="Comma 39" xfId="75" xr:uid="{00000000-0005-0000-0000-00004A000000}"/>
    <cellStyle name="Comma 4" xfId="76" xr:uid="{00000000-0005-0000-0000-00004B000000}"/>
    <cellStyle name="Comma 40" xfId="77" xr:uid="{00000000-0005-0000-0000-00004C000000}"/>
    <cellStyle name="Comma 41" xfId="78" xr:uid="{00000000-0005-0000-0000-00004D000000}"/>
    <cellStyle name="Comma 42" xfId="79" xr:uid="{00000000-0005-0000-0000-00004E000000}"/>
    <cellStyle name="Comma 43" xfId="80" xr:uid="{00000000-0005-0000-0000-00004F000000}"/>
    <cellStyle name="Comma 44" xfId="81" xr:uid="{00000000-0005-0000-0000-000050000000}"/>
    <cellStyle name="Comma 45" xfId="82" xr:uid="{00000000-0005-0000-0000-000051000000}"/>
    <cellStyle name="Comma 46" xfId="83" xr:uid="{00000000-0005-0000-0000-000052000000}"/>
    <cellStyle name="Comma 47" xfId="84" xr:uid="{00000000-0005-0000-0000-000053000000}"/>
    <cellStyle name="Comma 48" xfId="85" xr:uid="{00000000-0005-0000-0000-000054000000}"/>
    <cellStyle name="Comma 49" xfId="86" xr:uid="{00000000-0005-0000-0000-000055000000}"/>
    <cellStyle name="Comma 5" xfId="87" xr:uid="{00000000-0005-0000-0000-000056000000}"/>
    <cellStyle name="Comma 50" xfId="88" xr:uid="{00000000-0005-0000-0000-000057000000}"/>
    <cellStyle name="Comma 51" xfId="89" xr:uid="{00000000-0005-0000-0000-000058000000}"/>
    <cellStyle name="Comma 52" xfId="90" xr:uid="{00000000-0005-0000-0000-000059000000}"/>
    <cellStyle name="Comma 53" xfId="91" xr:uid="{00000000-0005-0000-0000-00005A000000}"/>
    <cellStyle name="Comma 54" xfId="92" xr:uid="{00000000-0005-0000-0000-00005B000000}"/>
    <cellStyle name="Comma 55" xfId="93" xr:uid="{00000000-0005-0000-0000-00005C000000}"/>
    <cellStyle name="Comma 56" xfId="94" xr:uid="{00000000-0005-0000-0000-00005D000000}"/>
    <cellStyle name="Comma 57" xfId="95" xr:uid="{00000000-0005-0000-0000-00005E000000}"/>
    <cellStyle name="Comma 58" xfId="96" xr:uid="{00000000-0005-0000-0000-00005F000000}"/>
    <cellStyle name="Comma 59" xfId="97" xr:uid="{00000000-0005-0000-0000-000060000000}"/>
    <cellStyle name="Comma 6" xfId="98" xr:uid="{00000000-0005-0000-0000-000061000000}"/>
    <cellStyle name="Comma 60" xfId="99" xr:uid="{00000000-0005-0000-0000-000062000000}"/>
    <cellStyle name="Comma 61" xfId="100" xr:uid="{00000000-0005-0000-0000-000063000000}"/>
    <cellStyle name="Comma 62" xfId="101" xr:uid="{00000000-0005-0000-0000-000064000000}"/>
    <cellStyle name="Comma 63" xfId="102" xr:uid="{00000000-0005-0000-0000-000065000000}"/>
    <cellStyle name="Comma 64" xfId="103" xr:uid="{00000000-0005-0000-0000-000066000000}"/>
    <cellStyle name="Comma 65" xfId="104" xr:uid="{00000000-0005-0000-0000-000067000000}"/>
    <cellStyle name="Comma 66" xfId="105" xr:uid="{00000000-0005-0000-0000-000068000000}"/>
    <cellStyle name="Comma 67" xfId="106" xr:uid="{00000000-0005-0000-0000-000069000000}"/>
    <cellStyle name="Comma 68" xfId="107" xr:uid="{00000000-0005-0000-0000-00006A000000}"/>
    <cellStyle name="Comma 69" xfId="108" xr:uid="{00000000-0005-0000-0000-00006B000000}"/>
    <cellStyle name="Comma 7" xfId="109" xr:uid="{00000000-0005-0000-0000-00006C000000}"/>
    <cellStyle name="Comma 70" xfId="110" xr:uid="{00000000-0005-0000-0000-00006D000000}"/>
    <cellStyle name="Comma 71" xfId="111" xr:uid="{00000000-0005-0000-0000-00006E000000}"/>
    <cellStyle name="Comma 72" xfId="112" xr:uid="{00000000-0005-0000-0000-00006F000000}"/>
    <cellStyle name="Comma 73" xfId="113" xr:uid="{00000000-0005-0000-0000-000070000000}"/>
    <cellStyle name="Comma 74" xfId="114" xr:uid="{00000000-0005-0000-0000-000071000000}"/>
    <cellStyle name="Comma 75" xfId="115" xr:uid="{00000000-0005-0000-0000-000072000000}"/>
    <cellStyle name="Comma 76" xfId="116" xr:uid="{00000000-0005-0000-0000-000073000000}"/>
    <cellStyle name="Comma 77" xfId="117" xr:uid="{00000000-0005-0000-0000-000074000000}"/>
    <cellStyle name="Comma 78" xfId="118" xr:uid="{00000000-0005-0000-0000-000075000000}"/>
    <cellStyle name="Comma 79" xfId="119" xr:uid="{00000000-0005-0000-0000-000076000000}"/>
    <cellStyle name="Comma 8" xfId="120" xr:uid="{00000000-0005-0000-0000-000077000000}"/>
    <cellStyle name="Comma 80" xfId="121" xr:uid="{00000000-0005-0000-0000-000078000000}"/>
    <cellStyle name="Comma 81" xfId="122" xr:uid="{00000000-0005-0000-0000-000079000000}"/>
    <cellStyle name="Comma 82" xfId="123" xr:uid="{00000000-0005-0000-0000-00007A000000}"/>
    <cellStyle name="Comma 83" xfId="124" xr:uid="{00000000-0005-0000-0000-00007B000000}"/>
    <cellStyle name="Comma 84" xfId="125" xr:uid="{00000000-0005-0000-0000-00007C000000}"/>
    <cellStyle name="Comma 85" xfId="126" xr:uid="{00000000-0005-0000-0000-00007D000000}"/>
    <cellStyle name="Comma 86" xfId="127" xr:uid="{00000000-0005-0000-0000-00007E000000}"/>
    <cellStyle name="Comma 87" xfId="128" xr:uid="{00000000-0005-0000-0000-00007F000000}"/>
    <cellStyle name="Comma 88" xfId="129" xr:uid="{00000000-0005-0000-0000-000080000000}"/>
    <cellStyle name="Comma 89" xfId="130" xr:uid="{00000000-0005-0000-0000-000081000000}"/>
    <cellStyle name="Comma 9" xfId="131" xr:uid="{00000000-0005-0000-0000-000082000000}"/>
    <cellStyle name="Comma 90" xfId="132" xr:uid="{00000000-0005-0000-0000-000083000000}"/>
    <cellStyle name="Comma 91" xfId="133" xr:uid="{00000000-0005-0000-0000-000084000000}"/>
    <cellStyle name="Comma 92" xfId="134" xr:uid="{00000000-0005-0000-0000-000085000000}"/>
    <cellStyle name="Comma 93" xfId="135" xr:uid="{00000000-0005-0000-0000-000086000000}"/>
    <cellStyle name="Comma 94" xfId="136" xr:uid="{00000000-0005-0000-0000-000087000000}"/>
    <cellStyle name="Comma 95" xfId="137" xr:uid="{00000000-0005-0000-0000-000088000000}"/>
    <cellStyle name="Comma 96" xfId="138" xr:uid="{00000000-0005-0000-0000-000089000000}"/>
    <cellStyle name="Comma 97" xfId="139" xr:uid="{00000000-0005-0000-0000-00008A000000}"/>
    <cellStyle name="Comma 98" xfId="140" xr:uid="{00000000-0005-0000-0000-00008B000000}"/>
    <cellStyle name="Comma 99" xfId="141" xr:uid="{00000000-0005-0000-0000-00008C000000}"/>
    <cellStyle name="Comma_FIXED ASSET 2004 (TOTAL)" xfId="142" xr:uid="{00000000-0005-0000-0000-00008D000000}"/>
    <cellStyle name="Currency" xfId="143" builtinId="4"/>
    <cellStyle name="Currency 2" xfId="144" xr:uid="{00000000-0005-0000-0000-00008F000000}"/>
    <cellStyle name="Currency 2 2" xfId="145" xr:uid="{00000000-0005-0000-0000-000090000000}"/>
    <cellStyle name="Currency 3" xfId="146" xr:uid="{00000000-0005-0000-0000-000091000000}"/>
    <cellStyle name="Currency 4" xfId="147" xr:uid="{00000000-0005-0000-0000-000092000000}"/>
    <cellStyle name="Dezimal [0]_laroux" xfId="148" xr:uid="{00000000-0005-0000-0000-000093000000}"/>
    <cellStyle name="Dezimal_laroux" xfId="149" xr:uid="{00000000-0005-0000-0000-000094000000}"/>
    <cellStyle name="Heading" xfId="150" xr:uid="{00000000-0005-0000-0000-000095000000}"/>
    <cellStyle name="Normal" xfId="0" builtinId="0"/>
    <cellStyle name="Normal - Style1" xfId="151" xr:uid="{00000000-0005-0000-0000-000097000000}"/>
    <cellStyle name="Normal 10" xfId="152" xr:uid="{00000000-0005-0000-0000-000098000000}"/>
    <cellStyle name="Normal 100" xfId="153" xr:uid="{00000000-0005-0000-0000-000099000000}"/>
    <cellStyle name="Normal 101" xfId="154" xr:uid="{00000000-0005-0000-0000-00009A000000}"/>
    <cellStyle name="Normal 102" xfId="155" xr:uid="{00000000-0005-0000-0000-00009B000000}"/>
    <cellStyle name="Normal 103" xfId="156" xr:uid="{00000000-0005-0000-0000-00009C000000}"/>
    <cellStyle name="Normal 103 2" xfId="157" xr:uid="{00000000-0005-0000-0000-00009D000000}"/>
    <cellStyle name="Normal 104" xfId="158" xr:uid="{00000000-0005-0000-0000-00009E000000}"/>
    <cellStyle name="Normal 104 2" xfId="159" xr:uid="{00000000-0005-0000-0000-00009F000000}"/>
    <cellStyle name="Normal 105" xfId="160" xr:uid="{00000000-0005-0000-0000-0000A0000000}"/>
    <cellStyle name="Normal 105 2" xfId="161" xr:uid="{00000000-0005-0000-0000-0000A1000000}"/>
    <cellStyle name="Normal 106" xfId="162" xr:uid="{00000000-0005-0000-0000-0000A2000000}"/>
    <cellStyle name="Normal 107" xfId="163" xr:uid="{00000000-0005-0000-0000-0000A3000000}"/>
    <cellStyle name="Normal 108" xfId="164" xr:uid="{00000000-0005-0000-0000-0000A4000000}"/>
    <cellStyle name="Normal 109" xfId="165" xr:uid="{00000000-0005-0000-0000-0000A5000000}"/>
    <cellStyle name="Normal 11" xfId="166" xr:uid="{00000000-0005-0000-0000-0000A6000000}"/>
    <cellStyle name="Normal 110" xfId="167" xr:uid="{00000000-0005-0000-0000-0000A7000000}"/>
    <cellStyle name="Normal 111" xfId="168" xr:uid="{00000000-0005-0000-0000-0000A8000000}"/>
    <cellStyle name="Normal 112" xfId="169" xr:uid="{00000000-0005-0000-0000-0000A9000000}"/>
    <cellStyle name="Normal 113" xfId="170" xr:uid="{00000000-0005-0000-0000-0000AA000000}"/>
    <cellStyle name="Normal 114" xfId="171" xr:uid="{00000000-0005-0000-0000-0000AB000000}"/>
    <cellStyle name="Normal 115" xfId="172" xr:uid="{00000000-0005-0000-0000-0000AC000000}"/>
    <cellStyle name="Normal 116" xfId="173" xr:uid="{00000000-0005-0000-0000-0000AD000000}"/>
    <cellStyle name="Normal 117" xfId="174" xr:uid="{00000000-0005-0000-0000-0000AE000000}"/>
    <cellStyle name="Normal 118" xfId="175" xr:uid="{00000000-0005-0000-0000-0000AF000000}"/>
    <cellStyle name="Normal 119" xfId="176" xr:uid="{00000000-0005-0000-0000-0000B0000000}"/>
    <cellStyle name="Normal 12" xfId="177" xr:uid="{00000000-0005-0000-0000-0000B1000000}"/>
    <cellStyle name="Normal 120" xfId="178" xr:uid="{00000000-0005-0000-0000-0000B2000000}"/>
    <cellStyle name="Normal 121" xfId="179" xr:uid="{00000000-0005-0000-0000-0000B3000000}"/>
    <cellStyle name="Normal 122" xfId="180" xr:uid="{00000000-0005-0000-0000-0000B4000000}"/>
    <cellStyle name="Normal 123" xfId="181" xr:uid="{00000000-0005-0000-0000-0000B5000000}"/>
    <cellStyle name="Normal 124" xfId="182" xr:uid="{00000000-0005-0000-0000-0000B6000000}"/>
    <cellStyle name="Normal 125" xfId="183" xr:uid="{00000000-0005-0000-0000-0000B7000000}"/>
    <cellStyle name="Normal 126" xfId="184" xr:uid="{00000000-0005-0000-0000-0000B8000000}"/>
    <cellStyle name="Normal 127" xfId="185" xr:uid="{00000000-0005-0000-0000-0000B9000000}"/>
    <cellStyle name="Normal 128" xfId="186" xr:uid="{00000000-0005-0000-0000-0000BA000000}"/>
    <cellStyle name="Normal 129" xfId="187" xr:uid="{00000000-0005-0000-0000-0000BB000000}"/>
    <cellStyle name="Normal 13" xfId="188" xr:uid="{00000000-0005-0000-0000-0000BC000000}"/>
    <cellStyle name="Normal 130" xfId="189" xr:uid="{00000000-0005-0000-0000-0000BD000000}"/>
    <cellStyle name="Normal 131" xfId="190" xr:uid="{00000000-0005-0000-0000-0000BE000000}"/>
    <cellStyle name="Normal 132" xfId="191" xr:uid="{00000000-0005-0000-0000-0000BF000000}"/>
    <cellStyle name="Normal 133" xfId="192" xr:uid="{00000000-0005-0000-0000-0000C0000000}"/>
    <cellStyle name="Normal 134" xfId="193" xr:uid="{00000000-0005-0000-0000-0000C1000000}"/>
    <cellStyle name="Normal 135" xfId="336" xr:uid="{56DBE9C9-DEAA-4AAB-992A-BC7E3519D747}"/>
    <cellStyle name="Normal 136" xfId="337" xr:uid="{BA1B1796-E1D4-4CF6-AD05-541B6DF7FB27}"/>
    <cellStyle name="Normal 137" xfId="338" xr:uid="{B26F40A9-D90C-412D-952F-5329F5504C15}"/>
    <cellStyle name="Normal 138" xfId="339" xr:uid="{10A6D922-4FE4-4DD2-BBB3-52D8DCF41305}"/>
    <cellStyle name="Normal 139" xfId="340" xr:uid="{A55E22E7-363D-4118-8396-82128638399D}"/>
    <cellStyle name="Normal 14" xfId="194" xr:uid="{00000000-0005-0000-0000-0000C2000000}"/>
    <cellStyle name="Normal 140" xfId="341" xr:uid="{7CF0D316-D438-49EE-83F0-6A4713C6C1E4}"/>
    <cellStyle name="Normal 141" xfId="342" xr:uid="{088E97C9-BC00-4CDF-B11E-0B468F490680}"/>
    <cellStyle name="Normal 142" xfId="343" xr:uid="{4F6DD874-0C27-4DB7-AF0B-E8999B64081A}"/>
    <cellStyle name="Normal 143" xfId="344" xr:uid="{16D5EE93-E766-4043-B2BB-746B53D46087}"/>
    <cellStyle name="Normal 144" xfId="345" xr:uid="{DAC52582-D1CA-4119-918F-7C35BDF53462}"/>
    <cellStyle name="Normal 145" xfId="346" xr:uid="{9EC1AB1E-2D0D-4BD7-9AB1-27FE56234DBA}"/>
    <cellStyle name="Normal 146" xfId="347" xr:uid="{A3BF91A1-0F9D-475F-A602-8313B7EDC893}"/>
    <cellStyle name="Normal 147" xfId="348" xr:uid="{3C85B171-69DF-46FD-9C8D-E3B19014E1E6}"/>
    <cellStyle name="Normal 148" xfId="349" xr:uid="{7345B6AC-B7D2-496F-9A45-51B3C8DB31C0}"/>
    <cellStyle name="Normal 149" xfId="350" xr:uid="{6024CD68-C2C6-496F-A69E-4954C884C61C}"/>
    <cellStyle name="Normal 15" xfId="195" xr:uid="{00000000-0005-0000-0000-0000C3000000}"/>
    <cellStyle name="Normal 150" xfId="351" xr:uid="{77B926F6-2FB2-4DC8-A83D-28D1BE10BEF6}"/>
    <cellStyle name="Normal 151" xfId="352" xr:uid="{908E2EBA-59A3-4368-81E4-6ED165227306}"/>
    <cellStyle name="Normal 152" xfId="353" xr:uid="{3370EC1D-3813-4163-ADBA-C98ABDFB08F1}"/>
    <cellStyle name="Normal 153" xfId="354" xr:uid="{3083C99A-D8C4-4F99-AB7A-EDE350772650}"/>
    <cellStyle name="Normal 154" xfId="355" xr:uid="{F924CFBC-D50E-43AE-8C70-CB03F832F7AB}"/>
    <cellStyle name="Normal 155" xfId="356" xr:uid="{C7B1438C-533C-4FB3-9141-ABB5F8BED150}"/>
    <cellStyle name="Normal 156" xfId="357" xr:uid="{63279457-6B47-4F4E-8764-43EAA4DEA23D}"/>
    <cellStyle name="Normal 157" xfId="358" xr:uid="{E81B04D6-9E37-4C84-8C3F-66986636A1F3}"/>
    <cellStyle name="Normal 158" xfId="359" xr:uid="{EA93FA90-CECA-40CB-90D2-914D2817AC09}"/>
    <cellStyle name="Normal 159" xfId="360" xr:uid="{0835EECB-F41D-422E-BAEE-4F8010E8EE09}"/>
    <cellStyle name="Normal 16" xfId="196" xr:uid="{00000000-0005-0000-0000-0000C4000000}"/>
    <cellStyle name="Normal 160" xfId="361" xr:uid="{4574FFE0-345A-4A4E-B3B4-4ACD661F154B}"/>
    <cellStyle name="Normal 161" xfId="362" xr:uid="{A62FBEB1-F48D-41CF-9CDD-07BC0545E37D}"/>
    <cellStyle name="Normal 162" xfId="363" xr:uid="{EE5D12FF-EEE2-4E2E-8387-5CF70A1F2CAB}"/>
    <cellStyle name="Normal 163" xfId="364" xr:uid="{D1D3F717-4706-4D75-A23E-F55A4D3D83AE}"/>
    <cellStyle name="Normal 164" xfId="365" xr:uid="{A4B87568-887D-44C9-948D-7C9DC3BCF6B0}"/>
    <cellStyle name="Normal 165" xfId="366" xr:uid="{01B66578-A3AF-4DC2-BED7-B46F28B1295E}"/>
    <cellStyle name="Normal 166" xfId="367" xr:uid="{F9C5780D-5E59-463E-BBDA-4F6A657007DF}"/>
    <cellStyle name="Normal 167" xfId="368" xr:uid="{841FD9F5-C3F5-4A61-9CAE-6BC390A2A9A2}"/>
    <cellStyle name="Normal 168" xfId="369" xr:uid="{A1A11DAC-D2D6-462B-B327-A5A024E45E0A}"/>
    <cellStyle name="Normal 169" xfId="370" xr:uid="{066BD86D-30A7-4FF3-B45C-5C4220C3BA8C}"/>
    <cellStyle name="Normal 17" xfId="197" xr:uid="{00000000-0005-0000-0000-0000C5000000}"/>
    <cellStyle name="Normal 170" xfId="371" xr:uid="{168A96A5-1504-44FF-BEAB-BFBD5F766D74}"/>
    <cellStyle name="Normal 171" xfId="372" xr:uid="{87396765-370E-4B08-8FAA-40D27C48EE18}"/>
    <cellStyle name="Normal 172" xfId="373" xr:uid="{E3E76760-2F6C-485C-BC6C-D0681C8FD8E3}"/>
    <cellStyle name="Normal 173" xfId="374" xr:uid="{B3B5C1C9-1C29-4E85-AB53-0AB79819E9E5}"/>
    <cellStyle name="Normal 174" xfId="375" xr:uid="{06466644-9AE6-44B1-B9B8-1BC81CEE4EFC}"/>
    <cellStyle name="Normal 175" xfId="376" xr:uid="{3A45D599-4FB5-4E24-9E18-6A9CA367C6ED}"/>
    <cellStyle name="Normal 176" xfId="377" xr:uid="{7EACC9BA-4D8C-48AF-ADB7-092116373EAF}"/>
    <cellStyle name="Normal 177" xfId="378" xr:uid="{01F82A12-A716-466F-A0C7-30063260E535}"/>
    <cellStyle name="Normal 178" xfId="379" xr:uid="{E10B91BE-B903-4724-9F69-695A141CC0EC}"/>
    <cellStyle name="Normal 179" xfId="380" xr:uid="{1AAA189A-658F-4180-8740-9A9BF36F3A00}"/>
    <cellStyle name="Normal 18" xfId="198" xr:uid="{00000000-0005-0000-0000-0000C6000000}"/>
    <cellStyle name="Normal 180" xfId="381" xr:uid="{26E96B83-BCC7-4948-9CC7-BBF76F0F9D9F}"/>
    <cellStyle name="Normal 181" xfId="382" xr:uid="{81C4C5B5-286E-4E03-BA8D-D19914CE6F89}"/>
    <cellStyle name="Normal 182" xfId="383" xr:uid="{85166081-C60F-484A-9501-DC85C34140C6}"/>
    <cellStyle name="Normal 183" xfId="384" xr:uid="{3B03A950-FB3B-48F3-8DDE-12FD964A16D2}"/>
    <cellStyle name="Normal 184" xfId="385" xr:uid="{18798B5B-FE33-4D15-A3C8-E9B332686A13}"/>
    <cellStyle name="Normal 185" xfId="386" xr:uid="{D8AD86CE-CE4D-4CC5-BE10-D0696A2BA3B4}"/>
    <cellStyle name="Normal 186" xfId="387" xr:uid="{824BF522-FDCA-482D-9F6F-DDE5AF7DDED1}"/>
    <cellStyle name="Normal 187" xfId="388" xr:uid="{F21265AA-4147-4FF2-8DF3-D9106E9040BD}"/>
    <cellStyle name="Normal 188" xfId="389" xr:uid="{8DE17E8A-BDB8-4D27-A101-19CE36C4CFB0}"/>
    <cellStyle name="Normal 189" xfId="390" xr:uid="{8F047ED3-85DD-4EE7-AD2D-4C1A0E99055A}"/>
    <cellStyle name="Normal 19" xfId="199" xr:uid="{00000000-0005-0000-0000-0000C7000000}"/>
    <cellStyle name="Normal 190" xfId="391" xr:uid="{BC2E0BAC-1F3E-4130-BAA8-E4AB43E2D146}"/>
    <cellStyle name="Normal 191" xfId="392" xr:uid="{251CB9E9-69A3-456A-B9F4-67189E966A9B}"/>
    <cellStyle name="Normal 192" xfId="393" xr:uid="{8EC77C1F-202A-4663-8A01-5C955DD79ECC}"/>
    <cellStyle name="Normal 193" xfId="394" xr:uid="{0746ED83-551F-493F-8CE9-302F49380A1F}"/>
    <cellStyle name="Normal 194" xfId="395" xr:uid="{01661399-1426-4727-87E0-9B8B3E6E686F}"/>
    <cellStyle name="Normal 195" xfId="396" xr:uid="{459D15DF-8C9A-4172-B333-F254963750C3}"/>
    <cellStyle name="Normal 196" xfId="397" xr:uid="{4B414B8A-DFD2-4991-B0FC-48416EB59A88}"/>
    <cellStyle name="Normal 197" xfId="398" xr:uid="{7536F23A-138A-4867-B8CB-124366A728DF}"/>
    <cellStyle name="Normal 198" xfId="399" xr:uid="{7AB429C1-1409-4727-99E7-99339BD5B662}"/>
    <cellStyle name="Normal 199" xfId="400" xr:uid="{782E0AAE-AA5A-4E91-A18C-008402EE161D}"/>
    <cellStyle name="Normal 2" xfId="200" xr:uid="{00000000-0005-0000-0000-0000C8000000}"/>
    <cellStyle name="Normal 2 2" xfId="201" xr:uid="{00000000-0005-0000-0000-0000C9000000}"/>
    <cellStyle name="Normal 20" xfId="202" xr:uid="{00000000-0005-0000-0000-0000CA000000}"/>
    <cellStyle name="Normal 200" xfId="401" xr:uid="{D354E0B8-614E-4854-8A87-C5A9F9765F4A}"/>
    <cellStyle name="Normal 201" xfId="402" xr:uid="{5AE6FBC5-02FB-4B85-9BB9-544A4EF13794}"/>
    <cellStyle name="Normal 202" xfId="403" xr:uid="{E343CACC-7B39-4F57-B964-B19AC6CD74CF}"/>
    <cellStyle name="Normal 203" xfId="404" xr:uid="{972D561D-6696-400E-A85B-D186E39B29EE}"/>
    <cellStyle name="Normal 204" xfId="405" xr:uid="{531084A0-39C1-427A-A944-626094CB5CE3}"/>
    <cellStyle name="Normal 205" xfId="406" xr:uid="{98C67AA3-2D1A-45C9-9FA7-92DB34EC0156}"/>
    <cellStyle name="Normal 206" xfId="407" xr:uid="{C597C190-530C-4DCC-8230-6C3F3A389B3E}"/>
    <cellStyle name="Normal 207" xfId="408" xr:uid="{A6A2BD90-6AD8-4FB3-B8A0-5BB4FDE97A71}"/>
    <cellStyle name="Normal 208" xfId="409" xr:uid="{D3035F45-DF0F-4A84-87BD-641E1822825D}"/>
    <cellStyle name="Normal 209" xfId="410" xr:uid="{9DC5E242-5F8C-472D-9293-260A3365B40B}"/>
    <cellStyle name="Normal 21" xfId="203" xr:uid="{00000000-0005-0000-0000-0000CB000000}"/>
    <cellStyle name="Normal 210" xfId="411" xr:uid="{983FDFFE-3B0B-4026-8840-71523607427F}"/>
    <cellStyle name="Normal 211" xfId="412" xr:uid="{1FF46F34-787E-48B2-B513-757C5226CCC2}"/>
    <cellStyle name="Normal 212" xfId="413" xr:uid="{202FF831-5140-42E0-95C0-BF331CD05D38}"/>
    <cellStyle name="Normal 213" xfId="414" xr:uid="{7D37D9CA-D6A8-44BF-AF41-0E5F29AEC33A}"/>
    <cellStyle name="Normal 214" xfId="415" xr:uid="{F56CAC7B-04FA-4084-A8BE-84D96340606A}"/>
    <cellStyle name="Normal 215" xfId="416" xr:uid="{11F23642-B326-4096-B313-1040B6186BD6}"/>
    <cellStyle name="Normal 216" xfId="417" xr:uid="{BB389A77-DD33-4623-84FF-F7DDF0E8ACCE}"/>
    <cellStyle name="Normal 217" xfId="418" xr:uid="{8BC11A71-2CBD-48C2-85E2-0D3AC8DDADA2}"/>
    <cellStyle name="Normal 218" xfId="419" xr:uid="{4090E046-38C2-49D7-AD04-A5B45034C049}"/>
    <cellStyle name="Normal 219" xfId="420" xr:uid="{A2AC1B15-34AF-48E4-8B58-3D57CF26D8E2}"/>
    <cellStyle name="Normal 22" xfId="204" xr:uid="{00000000-0005-0000-0000-0000CC000000}"/>
    <cellStyle name="Normal 220" xfId="421" xr:uid="{B9C80F7A-2673-4613-BD7A-F7A773A8E67B}"/>
    <cellStyle name="Normal 221" xfId="422" xr:uid="{4560513B-93B1-4E9F-B51E-D259ABE0F1FD}"/>
    <cellStyle name="Normal 222" xfId="423" xr:uid="{95353032-5F0D-4A2A-98BB-0F1FD37DBB31}"/>
    <cellStyle name="Normal 223" xfId="424" xr:uid="{0A96BEF1-CD72-4E13-9F99-049080FCA560}"/>
    <cellStyle name="Normal 224" xfId="425" xr:uid="{43F7AF19-2E6A-44CB-89BF-BF12F15F3A03}"/>
    <cellStyle name="Normal 225" xfId="426" xr:uid="{FDA50FEF-7685-4F90-970C-6E3839B0DFD3}"/>
    <cellStyle name="Normal 226" xfId="427" xr:uid="{60475579-5230-4B81-9B33-E729FC652C82}"/>
    <cellStyle name="Normal 227" xfId="428" xr:uid="{B3C37B08-A3DF-4619-B8FF-B99300D8DACB}"/>
    <cellStyle name="Normal 228" xfId="429" xr:uid="{DEDF6B86-7D1F-4818-8A35-DC545D88EEAA}"/>
    <cellStyle name="Normal 229" xfId="430" xr:uid="{61364261-E2DE-459A-8C29-FE306848638A}"/>
    <cellStyle name="Normal 23" xfId="205" xr:uid="{00000000-0005-0000-0000-0000CD000000}"/>
    <cellStyle name="Normal 230" xfId="431" xr:uid="{56D78F70-CCA4-4B54-A79D-9BC7DAF1639F}"/>
    <cellStyle name="Normal 231" xfId="432" xr:uid="{9663544C-F49B-4F03-9103-67CA3CFA5A7F}"/>
    <cellStyle name="Normal 232" xfId="434" xr:uid="{56CAA264-1A8B-4AB6-AF06-E8FEB48AABD2}"/>
    <cellStyle name="Normal 233" xfId="435" xr:uid="{9C1CF8B5-16ED-4D36-9A6E-3551E975E833}"/>
    <cellStyle name="Normal 234" xfId="436" xr:uid="{68D2F0E4-3FDC-4D72-87F1-EC50729A91BB}"/>
    <cellStyle name="Normal 235" xfId="437" xr:uid="{7064F306-E98F-4C00-A6F9-73BC612390C8}"/>
    <cellStyle name="Normal 236" xfId="438" xr:uid="{6B0D4C6F-F0C6-493E-A9BE-4F6B634BB65A}"/>
    <cellStyle name="Normal 237" xfId="439" xr:uid="{0D9BBDDA-9596-4A8E-9FDB-854B87E9487A}"/>
    <cellStyle name="Normal 238" xfId="440" xr:uid="{2CC569D1-2C92-4273-8FED-0244A10D0F9A}"/>
    <cellStyle name="Normal 239" xfId="441" xr:uid="{8B916371-979A-46A5-91C9-BCD9520A5849}"/>
    <cellStyle name="Normal 24" xfId="206" xr:uid="{00000000-0005-0000-0000-0000CE000000}"/>
    <cellStyle name="Normal 240" xfId="442" xr:uid="{A47865A3-C42A-4200-A6BB-E977913E56F1}"/>
    <cellStyle name="Normal 241" xfId="443" xr:uid="{FD7E04B2-2366-42E5-BD59-6F2924B03DD2}"/>
    <cellStyle name="Normal 242" xfId="444" xr:uid="{2E8856D3-BCB0-497B-AB8D-799195AFFE18}"/>
    <cellStyle name="Normal 243" xfId="445" xr:uid="{6895F54A-D039-4004-8DAE-51A7EEFA04A5}"/>
    <cellStyle name="Normal 244" xfId="446" xr:uid="{55B1C201-DE99-4B64-BCCC-81C38A41F814}"/>
    <cellStyle name="Normal 245" xfId="447" xr:uid="{2756CC67-7B61-408B-B97A-B145FA20B329}"/>
    <cellStyle name="Normal 246" xfId="448" xr:uid="{EDB6ED03-DF22-40C8-B81D-FAF14A439615}"/>
    <cellStyle name="Normal 247" xfId="449" xr:uid="{81F4B0F9-82AD-4BBC-93A9-0E0F008B7128}"/>
    <cellStyle name="Normal 248" xfId="450" xr:uid="{0F369189-9F52-469A-B389-9B08BDE24AFA}"/>
    <cellStyle name="Normal 249" xfId="451" xr:uid="{23EC4080-FE06-4662-B653-30B091B30EBF}"/>
    <cellStyle name="Normal 25" xfId="207" xr:uid="{00000000-0005-0000-0000-0000CF000000}"/>
    <cellStyle name="Normal 250" xfId="452" xr:uid="{D4486F67-6D3B-4616-9EC7-8D9486E01B7F}"/>
    <cellStyle name="Normal 251" xfId="453" xr:uid="{EE26F386-C93F-4D33-90E9-1BA73CBB4FC3}"/>
    <cellStyle name="Normal 252" xfId="454" xr:uid="{06229714-FA8C-44A6-8EDD-B7567593882E}"/>
    <cellStyle name="Normal 253" xfId="455" xr:uid="{3A1ACC19-AA43-445F-B2A3-EAAA186C7008}"/>
    <cellStyle name="Normal 254" xfId="456" xr:uid="{3C98553A-0F14-4737-AAEC-2E37CEF56877}"/>
    <cellStyle name="Normal 255" xfId="457" xr:uid="{E32CA58A-2AB2-4EEB-9176-D73138B52CE5}"/>
    <cellStyle name="Normal 256" xfId="458" xr:uid="{3C5ACE36-85AA-4A96-B137-8433BCA1EA58}"/>
    <cellStyle name="Normal 257" xfId="459" xr:uid="{A7005F3E-0B46-4BA9-A2D6-AE329DE1B6B3}"/>
    <cellStyle name="Normal 258" xfId="460" xr:uid="{6B869F05-B342-4C04-ACBE-F36FBDC48184}"/>
    <cellStyle name="Normal 259" xfId="461" xr:uid="{5BD88F17-4A99-46DC-82A1-A615BF796895}"/>
    <cellStyle name="Normal 26" xfId="208" xr:uid="{00000000-0005-0000-0000-0000D0000000}"/>
    <cellStyle name="Normal 260" xfId="462" xr:uid="{F6CD120A-FDF7-463A-83B2-9E97C98166A1}"/>
    <cellStyle name="Normal 261" xfId="463" xr:uid="{D642C155-E1E0-4B7F-9CA4-7C79C27D876B}"/>
    <cellStyle name="Normal 262" xfId="464" xr:uid="{CF38E1EB-FF19-47B0-90FE-2320973CBE13}"/>
    <cellStyle name="Normal 263" xfId="465" xr:uid="{3C5E55AD-2C6C-4201-9DCB-7BBC0D78D4ED}"/>
    <cellStyle name="Normal 264" xfId="466" xr:uid="{643C3B5D-D00A-4A3F-A5B8-D47EA048ABCB}"/>
    <cellStyle name="Normal 265" xfId="467" xr:uid="{E5248A3E-8D20-42E9-95AA-E71E6AAFDC17}"/>
    <cellStyle name="Normal 266" xfId="468" xr:uid="{2BAA302E-F729-4450-8EC2-66AC01ADCEA0}"/>
    <cellStyle name="Normal 267" xfId="469" xr:uid="{E636EED6-5467-4DC0-AE29-4F0E2398E43E}"/>
    <cellStyle name="Normal 268" xfId="470" xr:uid="{40C2E069-1135-45BC-8246-D8117FC89EB2}"/>
    <cellStyle name="Normal 269" xfId="471" xr:uid="{95B72FF4-4AA8-4025-B581-EF9EFDECC4E4}"/>
    <cellStyle name="Normal 27" xfId="209" xr:uid="{00000000-0005-0000-0000-0000D1000000}"/>
    <cellStyle name="Normal 270" xfId="472" xr:uid="{DFA94EF7-BADC-4BBC-A579-70D0A00E029D}"/>
    <cellStyle name="Normal 271" xfId="473" xr:uid="{53AB4F20-804F-4668-825D-B43B5CD7A828}"/>
    <cellStyle name="Normal 272" xfId="474" xr:uid="{967CE9FD-A52C-482D-BD72-1843EC0F5EFD}"/>
    <cellStyle name="Normal 273" xfId="475" xr:uid="{BCC3A09B-E147-4B56-9DF6-D754B53CEC55}"/>
    <cellStyle name="Normal 28" xfId="210" xr:uid="{00000000-0005-0000-0000-0000D2000000}"/>
    <cellStyle name="Normal 29" xfId="211" xr:uid="{00000000-0005-0000-0000-0000D3000000}"/>
    <cellStyle name="Normal 3" xfId="212" xr:uid="{00000000-0005-0000-0000-0000D4000000}"/>
    <cellStyle name="Normal 30" xfId="213" xr:uid="{00000000-0005-0000-0000-0000D5000000}"/>
    <cellStyle name="Normal 31" xfId="214" xr:uid="{00000000-0005-0000-0000-0000D6000000}"/>
    <cellStyle name="Normal 32" xfId="215" xr:uid="{00000000-0005-0000-0000-0000D7000000}"/>
    <cellStyle name="Normal 33" xfId="216" xr:uid="{00000000-0005-0000-0000-0000D8000000}"/>
    <cellStyle name="Normal 34" xfId="217" xr:uid="{00000000-0005-0000-0000-0000D9000000}"/>
    <cellStyle name="Normal 35" xfId="218" xr:uid="{00000000-0005-0000-0000-0000DA000000}"/>
    <cellStyle name="Normal 36" xfId="219" xr:uid="{00000000-0005-0000-0000-0000DB000000}"/>
    <cellStyle name="Normal 37" xfId="220" xr:uid="{00000000-0005-0000-0000-0000DC000000}"/>
    <cellStyle name="Normal 38" xfId="221" xr:uid="{00000000-0005-0000-0000-0000DD000000}"/>
    <cellStyle name="Normal 39" xfId="222" xr:uid="{00000000-0005-0000-0000-0000DE000000}"/>
    <cellStyle name="Normal 4" xfId="223" xr:uid="{00000000-0005-0000-0000-0000DF000000}"/>
    <cellStyle name="Normal 4 2" xfId="224" xr:uid="{00000000-0005-0000-0000-0000E0000000}"/>
    <cellStyle name="Normal 4 2 2" xfId="225" xr:uid="{00000000-0005-0000-0000-0000E1000000}"/>
    <cellStyle name="Normal 40" xfId="226" xr:uid="{00000000-0005-0000-0000-0000E2000000}"/>
    <cellStyle name="Normal 41" xfId="227" xr:uid="{00000000-0005-0000-0000-0000E3000000}"/>
    <cellStyle name="Normal 42" xfId="228" xr:uid="{00000000-0005-0000-0000-0000E4000000}"/>
    <cellStyle name="Normal 43" xfId="229" xr:uid="{00000000-0005-0000-0000-0000E5000000}"/>
    <cellStyle name="Normal 44" xfId="230" xr:uid="{00000000-0005-0000-0000-0000E6000000}"/>
    <cellStyle name="Normal 45" xfId="231" xr:uid="{00000000-0005-0000-0000-0000E7000000}"/>
    <cellStyle name="Normal 46" xfId="232" xr:uid="{00000000-0005-0000-0000-0000E8000000}"/>
    <cellStyle name="Normal 47" xfId="233" xr:uid="{00000000-0005-0000-0000-0000E9000000}"/>
    <cellStyle name="Normal 48" xfId="234" xr:uid="{00000000-0005-0000-0000-0000EA000000}"/>
    <cellStyle name="Normal 49" xfId="235" xr:uid="{00000000-0005-0000-0000-0000EB000000}"/>
    <cellStyle name="Normal 5" xfId="236" xr:uid="{00000000-0005-0000-0000-0000EC000000}"/>
    <cellStyle name="Normal 5 2" xfId="237" xr:uid="{00000000-0005-0000-0000-0000ED000000}"/>
    <cellStyle name="Normal 50" xfId="238" xr:uid="{00000000-0005-0000-0000-0000EE000000}"/>
    <cellStyle name="Normal 51" xfId="239" xr:uid="{00000000-0005-0000-0000-0000EF000000}"/>
    <cellStyle name="Normal 52" xfId="240" xr:uid="{00000000-0005-0000-0000-0000F0000000}"/>
    <cellStyle name="Normal 53" xfId="241" xr:uid="{00000000-0005-0000-0000-0000F1000000}"/>
    <cellStyle name="Normal 54" xfId="242" xr:uid="{00000000-0005-0000-0000-0000F2000000}"/>
    <cellStyle name="Normal 55" xfId="243" xr:uid="{00000000-0005-0000-0000-0000F3000000}"/>
    <cellStyle name="Normal 56" xfId="244" xr:uid="{00000000-0005-0000-0000-0000F4000000}"/>
    <cellStyle name="Normal 57" xfId="245" xr:uid="{00000000-0005-0000-0000-0000F5000000}"/>
    <cellStyle name="Normal 58" xfId="246" xr:uid="{00000000-0005-0000-0000-0000F6000000}"/>
    <cellStyle name="Normal 59" xfId="247" xr:uid="{00000000-0005-0000-0000-0000F7000000}"/>
    <cellStyle name="Normal 6" xfId="248" xr:uid="{00000000-0005-0000-0000-0000F8000000}"/>
    <cellStyle name="Normal 60" xfId="249" xr:uid="{00000000-0005-0000-0000-0000F9000000}"/>
    <cellStyle name="Normal 61" xfId="250" xr:uid="{00000000-0005-0000-0000-0000FA000000}"/>
    <cellStyle name="Normal 62" xfId="251" xr:uid="{00000000-0005-0000-0000-0000FB000000}"/>
    <cellStyle name="Normal 63" xfId="252" xr:uid="{00000000-0005-0000-0000-0000FC000000}"/>
    <cellStyle name="Normal 64" xfId="253" xr:uid="{00000000-0005-0000-0000-0000FD000000}"/>
    <cellStyle name="Normal 65" xfId="254" xr:uid="{00000000-0005-0000-0000-0000FE000000}"/>
    <cellStyle name="Normal 66" xfId="255" xr:uid="{00000000-0005-0000-0000-0000FF000000}"/>
    <cellStyle name="Normal 67" xfId="256" xr:uid="{00000000-0005-0000-0000-000000010000}"/>
    <cellStyle name="Normal 68" xfId="257" xr:uid="{00000000-0005-0000-0000-000001010000}"/>
    <cellStyle name="Normal 69" xfId="258" xr:uid="{00000000-0005-0000-0000-000002010000}"/>
    <cellStyle name="Normal 7" xfId="259" xr:uid="{00000000-0005-0000-0000-000003010000}"/>
    <cellStyle name="Normal 70" xfId="260" xr:uid="{00000000-0005-0000-0000-000004010000}"/>
    <cellStyle name="Normal 71" xfId="261" xr:uid="{00000000-0005-0000-0000-000005010000}"/>
    <cellStyle name="Normal 72" xfId="262" xr:uid="{00000000-0005-0000-0000-000006010000}"/>
    <cellStyle name="Normal 73" xfId="263" xr:uid="{00000000-0005-0000-0000-000007010000}"/>
    <cellStyle name="Normal 74" xfId="264" xr:uid="{00000000-0005-0000-0000-000008010000}"/>
    <cellStyle name="Normal 75" xfId="265" xr:uid="{00000000-0005-0000-0000-000009010000}"/>
    <cellStyle name="Normal 76" xfId="266" xr:uid="{00000000-0005-0000-0000-00000A010000}"/>
    <cellStyle name="Normal 77" xfId="267" xr:uid="{00000000-0005-0000-0000-00000B010000}"/>
    <cellStyle name="Normal 78" xfId="268" xr:uid="{00000000-0005-0000-0000-00000C010000}"/>
    <cellStyle name="Normal 79" xfId="269" xr:uid="{00000000-0005-0000-0000-00000D010000}"/>
    <cellStyle name="Normal 8" xfId="270" xr:uid="{00000000-0005-0000-0000-00000E010000}"/>
    <cellStyle name="Normal 80" xfId="271" xr:uid="{00000000-0005-0000-0000-00000F010000}"/>
    <cellStyle name="Normal 81" xfId="272" xr:uid="{00000000-0005-0000-0000-000010010000}"/>
    <cellStyle name="Normal 82" xfId="273" xr:uid="{00000000-0005-0000-0000-000011010000}"/>
    <cellStyle name="Normal 83" xfId="274" xr:uid="{00000000-0005-0000-0000-000012010000}"/>
    <cellStyle name="Normal 84" xfId="275" xr:uid="{00000000-0005-0000-0000-000013010000}"/>
    <cellStyle name="Normal 85" xfId="276" xr:uid="{00000000-0005-0000-0000-000014010000}"/>
    <cellStyle name="Normal 86" xfId="277" xr:uid="{00000000-0005-0000-0000-000015010000}"/>
    <cellStyle name="Normal 87" xfId="278" xr:uid="{00000000-0005-0000-0000-000016010000}"/>
    <cellStyle name="Normal 88" xfId="279" xr:uid="{00000000-0005-0000-0000-000017010000}"/>
    <cellStyle name="Normal 89" xfId="280" xr:uid="{00000000-0005-0000-0000-000018010000}"/>
    <cellStyle name="Normal 9" xfId="281" xr:uid="{00000000-0005-0000-0000-000019010000}"/>
    <cellStyle name="Normal 90" xfId="282" xr:uid="{00000000-0005-0000-0000-00001A010000}"/>
    <cellStyle name="Normal 91" xfId="283" xr:uid="{00000000-0005-0000-0000-00001B010000}"/>
    <cellStyle name="Normal 92" xfId="284" xr:uid="{00000000-0005-0000-0000-00001C010000}"/>
    <cellStyle name="Normal 93" xfId="285" xr:uid="{00000000-0005-0000-0000-00001D010000}"/>
    <cellStyle name="Normal 94" xfId="286" xr:uid="{00000000-0005-0000-0000-00001E010000}"/>
    <cellStyle name="Normal 95" xfId="287" xr:uid="{00000000-0005-0000-0000-00001F010000}"/>
    <cellStyle name="Normal 96" xfId="288" xr:uid="{00000000-0005-0000-0000-000020010000}"/>
    <cellStyle name="Normal 97" xfId="289" xr:uid="{00000000-0005-0000-0000-000021010000}"/>
    <cellStyle name="Normal 98" xfId="290" xr:uid="{00000000-0005-0000-0000-000022010000}"/>
    <cellStyle name="Normal 99" xfId="291" xr:uid="{00000000-0005-0000-0000-000023010000}"/>
    <cellStyle name="Normal_20091231_Fixed_Asset_List" xfId="292" xr:uid="{00000000-0005-0000-0000-000024010000}"/>
    <cellStyle name="Normal_Asset-99-all" xfId="293" xr:uid="{00000000-0005-0000-0000-000025010000}"/>
    <cellStyle name="Normal_FIXED ASSET 2004 (CILEGON JOB 7)" xfId="294" xr:uid="{00000000-0005-0000-0000-000028010000}"/>
    <cellStyle name="Normal_FIXED ASSET 2004 (TOTAL)" xfId="295" xr:uid="{00000000-0005-0000-0000-00002B010000}"/>
    <cellStyle name="Normal_LIST OF FIXED ASSETS 2004 (COMMERCIAL)-REVISED" xfId="296" xr:uid="{00000000-0005-0000-0000-00002C010000}"/>
    <cellStyle name="Normal_Sheet1_1" xfId="297" xr:uid="{00000000-0005-0000-0000-00002F010000}"/>
    <cellStyle name="Percent" xfId="433" builtinId="5"/>
    <cellStyle name="Percent (0)" xfId="298" xr:uid="{00000000-0005-0000-0000-000030010000}"/>
    <cellStyle name="Percent 2" xfId="299" xr:uid="{00000000-0005-0000-0000-000031010000}"/>
    <cellStyle name="Standard_laroux" xfId="300" xr:uid="{00000000-0005-0000-0000-000032010000}"/>
    <cellStyle name="Style 1" xfId="301" xr:uid="{00000000-0005-0000-0000-000033010000}"/>
    <cellStyle name="Tickmark" xfId="302" xr:uid="{00000000-0005-0000-0000-000034010000}"/>
    <cellStyle name="Währung [0]_laroux" xfId="303" xr:uid="{00000000-0005-0000-0000-000035010000}"/>
    <cellStyle name="Währung_laroux" xfId="304" xr:uid="{00000000-0005-0000-0000-000036010000}"/>
    <cellStyle name="アクセント 1" xfId="305" xr:uid="{00000000-0005-0000-0000-000037010000}"/>
    <cellStyle name="アクセント 2" xfId="306" xr:uid="{00000000-0005-0000-0000-000038010000}"/>
    <cellStyle name="アクセント 3" xfId="307" xr:uid="{00000000-0005-0000-0000-000039010000}"/>
    <cellStyle name="アクセント 4" xfId="308" xr:uid="{00000000-0005-0000-0000-00003A010000}"/>
    <cellStyle name="アクセント 5" xfId="309" xr:uid="{00000000-0005-0000-0000-00003B010000}"/>
    <cellStyle name="アクセント 6" xfId="310" xr:uid="{00000000-0005-0000-0000-00003C010000}"/>
    <cellStyle name="タイトル" xfId="311" xr:uid="{00000000-0005-0000-0000-00003D010000}"/>
    <cellStyle name="チェック セル" xfId="312" xr:uid="{00000000-0005-0000-0000-00003E010000}"/>
    <cellStyle name="どちらでもない" xfId="313" xr:uid="{00000000-0005-0000-0000-00003F010000}"/>
    <cellStyle name="メモ" xfId="314" xr:uid="{00000000-0005-0000-0000-000040010000}"/>
    <cellStyle name="リンク セル" xfId="315" xr:uid="{00000000-0005-0000-0000-000041010000}"/>
    <cellStyle name="入力" xfId="316" xr:uid="{00000000-0005-0000-0000-000042010000}"/>
    <cellStyle name="出力" xfId="317" xr:uid="{00000000-0005-0000-0000-000043010000}"/>
    <cellStyle name="悪い" xfId="318" xr:uid="{00000000-0005-0000-0000-000044010000}"/>
    <cellStyle name="桁区切り [0.00] 2" xfId="319" xr:uid="{00000000-0005-0000-0000-000045010000}"/>
    <cellStyle name="桁区切り [0.00]_RESULTS" xfId="320" xr:uid="{00000000-0005-0000-0000-000046010000}"/>
    <cellStyle name="桁区切り 2" xfId="321" xr:uid="{00000000-0005-0000-0000-000047010000}"/>
    <cellStyle name="桁区切り_2007年間報告2008計画資料 (2)" xfId="322" xr:uid="{00000000-0005-0000-0000-000048010000}"/>
    <cellStyle name="標準 2" xfId="323" xr:uid="{00000000-0005-0000-0000-000049010000}"/>
    <cellStyle name="標準_2007年間報告2008計画資料 (2)" xfId="324" xr:uid="{00000000-0005-0000-0000-00004A010000}"/>
    <cellStyle name="良い" xfId="325" xr:uid="{00000000-0005-0000-0000-00004B010000}"/>
    <cellStyle name="見出し 1" xfId="326" xr:uid="{00000000-0005-0000-0000-00004C010000}"/>
    <cellStyle name="見出し 2" xfId="327" xr:uid="{00000000-0005-0000-0000-00004D010000}"/>
    <cellStyle name="見出し 3" xfId="328" xr:uid="{00000000-0005-0000-0000-00004E010000}"/>
    <cellStyle name="見出し 4" xfId="329" xr:uid="{00000000-0005-0000-0000-00004F010000}"/>
    <cellStyle name="計算" xfId="330" xr:uid="{00000000-0005-0000-0000-000050010000}"/>
    <cellStyle name="説明文" xfId="331" xr:uid="{00000000-0005-0000-0000-000051010000}"/>
    <cellStyle name="警告文" xfId="332" xr:uid="{00000000-0005-0000-0000-000052010000}"/>
    <cellStyle name="通貨 [0.00]_RESULTS" xfId="333" xr:uid="{00000000-0005-0000-0000-000053010000}"/>
    <cellStyle name="通貨_RESULTS" xfId="334" xr:uid="{00000000-0005-0000-0000-000054010000}"/>
    <cellStyle name="集計" xfId="335" xr:uid="{00000000-0005-0000-0000-000055010000}"/>
  </cellStyles>
  <dxfs count="2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00FF"/>
      <color rgb="FF00FF00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56.xml"/><Relationship Id="rId68" Type="http://schemas.openxmlformats.org/officeDocument/2006/relationships/externalLink" Target="externalLinks/externalLink61.xml"/><Relationship Id="rId84" Type="http://schemas.openxmlformats.org/officeDocument/2006/relationships/customXml" Target="../customXml/item2.xml"/><Relationship Id="rId16" Type="http://schemas.openxmlformats.org/officeDocument/2006/relationships/externalLink" Target="externalLinks/externalLink9.xml"/><Relationship Id="rId11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67.xml"/><Relationship Id="rId79" Type="http://schemas.openxmlformats.org/officeDocument/2006/relationships/theme" Target="theme/theme1.xml"/><Relationship Id="rId5" Type="http://schemas.openxmlformats.org/officeDocument/2006/relationships/worksheet" Target="worksheets/sheet5.xml"/><Relationship Id="rId19" Type="http://schemas.openxmlformats.org/officeDocument/2006/relationships/externalLink" Target="externalLinks/externalLink12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56" Type="http://schemas.openxmlformats.org/officeDocument/2006/relationships/externalLink" Target="externalLinks/externalLink49.xml"/><Relationship Id="rId64" Type="http://schemas.openxmlformats.org/officeDocument/2006/relationships/externalLink" Target="externalLinks/externalLink57.xml"/><Relationship Id="rId69" Type="http://schemas.openxmlformats.org/officeDocument/2006/relationships/externalLink" Target="externalLinks/externalLink62.xml"/><Relationship Id="rId77" Type="http://schemas.openxmlformats.org/officeDocument/2006/relationships/externalLink" Target="externalLinks/externalLink70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72" Type="http://schemas.openxmlformats.org/officeDocument/2006/relationships/externalLink" Target="externalLinks/externalLink65.xml"/><Relationship Id="rId80" Type="http://schemas.openxmlformats.org/officeDocument/2006/relationships/styles" Target="styles.xml"/><Relationship Id="rId85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externalLink" Target="externalLinks/externalLink52.xml"/><Relationship Id="rId67" Type="http://schemas.openxmlformats.org/officeDocument/2006/relationships/externalLink" Target="externalLinks/externalLink60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55.xml"/><Relationship Id="rId70" Type="http://schemas.openxmlformats.org/officeDocument/2006/relationships/externalLink" Target="externalLinks/externalLink63.xml"/><Relationship Id="rId75" Type="http://schemas.openxmlformats.org/officeDocument/2006/relationships/externalLink" Target="externalLinks/externalLink68.xml"/><Relationship Id="rId83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externalLink" Target="externalLinks/externalLink58.xml"/><Relationship Id="rId73" Type="http://schemas.openxmlformats.org/officeDocument/2006/relationships/externalLink" Target="externalLinks/externalLink66.xml"/><Relationship Id="rId78" Type="http://schemas.openxmlformats.org/officeDocument/2006/relationships/externalLink" Target="externalLinks/externalLink71.xml"/><Relationship Id="rId8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76" Type="http://schemas.openxmlformats.org/officeDocument/2006/relationships/externalLink" Target="externalLinks/externalLink6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4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66" Type="http://schemas.openxmlformats.org/officeDocument/2006/relationships/externalLink" Target="externalLinks/externalLink59.xml"/><Relationship Id="rId61" Type="http://schemas.openxmlformats.org/officeDocument/2006/relationships/externalLink" Target="externalLinks/externalLink54.xml"/><Relationship Id="rId82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204</xdr:row>
      <xdr:rowOff>0</xdr:rowOff>
    </xdr:from>
    <xdr:to>
      <xdr:col>2</xdr:col>
      <xdr:colOff>123825</xdr:colOff>
      <xdr:row>204</xdr:row>
      <xdr:rowOff>0</xdr:rowOff>
    </xdr:to>
    <xdr:sp macro="" textlink="">
      <xdr:nvSpPr>
        <xdr:cNvPr id="659556" name="Line 1">
          <a:extLst>
            <a:ext uri="{FF2B5EF4-FFF2-40B4-BE49-F238E27FC236}">
              <a16:creationId xmlns:a16="http://schemas.microsoft.com/office/drawing/2014/main" id="{020A726B-226A-4B4B-BCC0-833EC538560B}"/>
            </a:ext>
          </a:extLst>
        </xdr:cNvPr>
        <xdr:cNvSpPr>
          <a:spLocks noChangeShapeType="1"/>
        </xdr:cNvSpPr>
      </xdr:nvSpPr>
      <xdr:spPr bwMode="auto">
        <a:xfrm>
          <a:off x="3705225" y="42643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123825</xdr:colOff>
      <xdr:row>342</xdr:row>
      <xdr:rowOff>0</xdr:rowOff>
    </xdr:from>
    <xdr:to>
      <xdr:col>2</xdr:col>
      <xdr:colOff>123825</xdr:colOff>
      <xdr:row>342</xdr:row>
      <xdr:rowOff>0</xdr:rowOff>
    </xdr:to>
    <xdr:sp macro="" textlink="">
      <xdr:nvSpPr>
        <xdr:cNvPr id="659557" name="Line 2">
          <a:extLst>
            <a:ext uri="{FF2B5EF4-FFF2-40B4-BE49-F238E27FC236}">
              <a16:creationId xmlns:a16="http://schemas.microsoft.com/office/drawing/2014/main" id="{80D8E5B6-CD97-4C77-9532-19CE18110089}"/>
            </a:ext>
          </a:extLst>
        </xdr:cNvPr>
        <xdr:cNvSpPr>
          <a:spLocks noChangeShapeType="1"/>
        </xdr:cNvSpPr>
      </xdr:nvSpPr>
      <xdr:spPr bwMode="auto">
        <a:xfrm>
          <a:off x="3705225" y="68932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15</xdr:row>
      <xdr:rowOff>0</xdr:rowOff>
    </xdr:from>
    <xdr:to>
      <xdr:col>8</xdr:col>
      <xdr:colOff>295275</xdr:colOff>
      <xdr:row>22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7609DD-47AB-C74D-7996-BBCF96791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3350" y="2428875"/>
          <a:ext cx="421005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-nanik\Users\Costing%20PPD\afrizal\data-2001\report\MIS-October'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14%20CMA%20Fixed%20Asset%20Begining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clients\CITR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15%20TOD%20Disposal%20FA%2031.10.09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612%20Fixed%20Asset%20Working%20Paper%2031.12.09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-nanik\Users\Vinna\Vinna\Totoku\2007\TB\TB%20Totoku-06'07-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132809\&#36899;&#32080;\&#36899;&#32080;&#27770;&#31639;&#36039;&#26009;\200103\&#12497;&#12483;&#12465;&#12540;&#12472;&#8544;\s614194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-nanik\Users\NSS2005\TAX\Lianty\BHP\1999%20CITR\1999%20CIT%20calc%20Final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611%20FIxed%20Asset%20Working%20Paper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611%20Fixed%20Asset%20WP%2031.03.2010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11\endy%20backup\Data\Data%20Endy\SANKYU\1771'07\DTS\T%20Kwong%20Data\FS%20Combined%20Leadsheet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11\TAX\fama\sefege\1771.return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11\SHARED\TAX\Trisna\RBW\PHARMAS\1998\CITR\marshall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HARED\TAX\Mulyo\Maitland%20Smith\2000\MAithland%20-%20citr%20-%20new%20-%20Dec%202000-a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toro\databudget\DATAEDI\PRY-99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pepeh\BAB14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HARED\TAX\Indra%20Setiawan\others\SPT177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HARED\TAX\Marwan\DBS%20BUANA\DBS-SPT1771-1998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AKTUARI\ACT_SRVC\EB\PSAK24\TEMPLATE\DTCOL\DB_LS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132809\&#36899;&#32080;\&#36899;&#32080;&#27770;&#31639;&#36039;&#26009;\200103\&#12497;&#12483;&#12465;&#12540;&#12472;&#8544;\s402194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-nanik\Users\Vinna\Vinna\Totoku\2007\TB\TB%20Totoku-02'07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b\sys\DATA\BUDGET\BUDGET99\HD11000\PROFIT\PPD\BT99PPD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1611%20Perform%20Preliminary%20Analytical%20Review%20Workbook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AX\Andi\AIWA%20DHAR\ExtendCITR\CITR98Final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11\SHARED\TAX\ROSA\1998\KYC\CITR\Calculation\Mashalling98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miati\sales\2001-2002\PT%20Sales%20Day%20Book\PT%20Sales%20Day%20Book-PR'01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miati\pt%20fdin\Carriage%20In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SHARED\Clients\I-L\kyocera\2000%20CITR\Marshall-Kyocera%20fina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-nanik\Users\REPORT%20COLLECTION\COST%20RESPON\2004\Cost%20Respons%20-%202004%20(FINANCE%20REVISI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HARED\TAX\Mulyo\Maitland%20Smith\2000\Maitland-2000-1771-nov%2030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HARED\TAX\Indra%20Setiawan\others\Power1770-2000%20NEW%20NPWP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no_3\c\ART\WORKSHEET\WS%2002-03%20COMBINE-tri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TAX\Andi\AIWA%20DHAR\CITR98Y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-nanik\Users\Costing%20PPD\Meet.PraFOM\GAE\2004\ALUNG\COSTING\COST'200\September'2000\SIKLUS-15-Sept'00(MNPD)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toro\databudget\DATAEDI\Asmp-com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11\SHARED\TAX\ROSA\1999\PT%20Betzdearborn%20Persada\Citr-1998\CITR98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SHARED\TAX\SUKENDAR\CITR\SPT-1770-BLANK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02jksm\ing-tax\2006\DAS\FISCAL%20ACCOUNTS\Prepayment\JV%20IDR%2012-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11\SHARED\TAX\Jafir\Sdp\Annual99\CITR\Power99-1a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-nanik\Users\NSS2005\INDTAX\BANK0001\ATR\ACR97\BPEDEC97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-nanik\Users\Sales\Sales%20Record%20Monthly\GB%20Sales%20Day%20Book\GB%20Sales%20Day%20Book-PR'04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HARED\TAX\Mulyo\Maitland%20Smith\Cornov1-1999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RYASANTARA\ACCT_FIN\ACT&amp;FIN\Hanny's\Miscellaneous\Analysis\GM%20ANALYSIS%202001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HARED\TAX\ida\CCI\1998%20CITR\1771'98-Adj%20Rev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-nanik\Users\My%20Documents\Mirna's%20file\Data%20Auditor\Data%20Final%20Tax%20for%202008%20(Auditor)\Reconciliation%20Tax%20Audit%202008\Reconciliation%20Tax%20Audit%202008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HARED\TAX\Andi\ChaseBank\Annual98\23CITR98eForms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dget\databudget\DATA\BUDGET\BGT2000\HD7000\CONSOLID\PL00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-nanik\Users\WP%20MUS%20Interim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-nanik\Users\NSS2005\INDTAX\Swed0001\Atr\1771\COR98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11\SHARED\Clients\M-P\Matsuzawa\CITR99\spt$99ind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-nanik\Users\DOCUME~1\ERWINW~1\LOCALS~1\Temp\Temporary%20Directory%201%20for%20WP-MUS.zip\WP%20MUS%20Interim%2031.10.05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HARED\Clients\U-Z\WILEY\Spt98\Marshall98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HARED\TAX\Chendra\1999\CITR\Newcrest%20Sumbawa%20Jaya\1998%20CIT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510%20Other%20Income%20expenses%20Combined%20Leadsheet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11%20%20Fixed%20Asset%20WP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-nanik\Users\Sales\Sales%20Record%20Monthly\Sales%20Record%20Monthly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-nanik\Users\Documents%20and%20Settings\User\My%20Documents\Invoice\INVOICE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11%20FIxed%20Asset%20Working%20Paper%20Ebara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12%20Fixed%20Asset%20Working%20Paper%2031.12.09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11%20Fixed%20Asset%20Working%20Paper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5612%20WP%20Fixed%20Asset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-nanik\Users\AKTUARI\ACT_SRVC\EB\IAS19\CLIENTS\SANKYU\2005\Calc\C_Old_TemplateLama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02jksm\ing-tax\2007\DAS\FISCAL%20ACCOUNTS\BS%20ACCOUNT\Prepayment\WP%20Audit\XR222-140_Prepayment%202007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11\endy%20backup\Data\Data%20Endy\Essence\2005\CITR\PT.Essence%20Ind%20IFF%20-%20SPT%201771%20-%20Rp%20-%20(Calculation%20Versi%20DTS)%20-%20FINAL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HARED\TAX\Chendra\1999\CITR\Newcrest%20Sumatera%20Minerals\1998%20CITR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11%20Fixed%20Asset%20Workpaper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20%20Fixed%20Asset%20Workpapers%20-%20Final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d-nanik\Users\Sales\Sales%20Record%20Monthly\PT%20Sales%20Day%20Book\PT%20Sales%20Day%20Book-PR'04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06d38\&#32076;&#29702;&#37096;\&#36899;&#32080;\&#36899;&#32080;&#27770;&#31639;\H19&#24180;&#24230;\Za_200706\G_&#36890;&#30693;&#25991;\&#28023;&#22806;\200703%20Year%20End%20&#36890;&#30693;&#25991;&#65286;PK(JAPANESE).xls" TargetMode="External"/></Relationships>
</file>

<file path=xl/externalLinks/_rels/externalLink7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nkyuindonesiapt.sharepoint.com/sites/AccountingReaport-SII/Shared%20Documents/Other/Jobdesk%20Ajat%20S/1%20Assets/(150)%20asset/2025/Depreciation%202025/202508_Deprec.xlsx" TargetMode="External"/><Relationship Id="rId1" Type="http://schemas.openxmlformats.org/officeDocument/2006/relationships/externalLinkPath" Target="https://sankyuindonesiapt.sharepoint.com/sites/AccountingReaport-SII/Shared%20Documents/Other/Jobdesk%20Ajat%20S/1%20Assets/(150)%20asset/2025/Depreciation%202025/202508_Deprec.xlsx" TargetMode="External"/></Relationships>
</file>

<file path=xl/externalLinks/_rels/externalLink7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nkyuindonesiapt.sharepoint.com/sites/AccountingReaport-SII/Shared%20Documents/Other/Jobdesk%20Ajat%20S/1%20Assets/(150)%20asset/2025/Depreciation%202025/202501_Deprec.xlsx" TargetMode="External"/><Relationship Id="rId1" Type="http://schemas.openxmlformats.org/officeDocument/2006/relationships/externalLinkPath" Target="https://sankyuindonesiapt.sharepoint.com/sites/AccountingReaport-SII/Shared%20Documents/Other/Jobdesk%20Ajat%20S/1%20Assets/(150)%20asset/2025/Depreciation%202025/202501_Depre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IndJan-Mar"/>
      <sheetName val="IndApr-Juni (2)"/>
      <sheetName val="IndJuly-Des"/>
      <sheetName val="Pemb Induk"/>
      <sheetName val="Cop"/>
      <sheetName val="CONT"/>
      <sheetName val="Sheet1"/>
      <sheetName val="Com BO-NP"/>
      <sheetName val="1-a PAR-CM(BO)"/>
      <sheetName val="bPLBO"/>
      <sheetName val="CIS00"/>
      <sheetName val="BGTPL98 (BO)"/>
      <sheetName val="Salesarea"/>
      <sheetName val="1-a PAR-CM(NP)"/>
      <sheetName val="BGTPL98 (NP)"/>
      <sheetName val="1-b Par-CM (NP)"/>
      <sheetName val="DetailCOGSNP"/>
      <sheetName val="DetailCOGS"/>
      <sheetName val="DetailCogsMNPD"/>
      <sheetName val="DetailCOGSFPD"/>
      <sheetName val="ExpProd"/>
      <sheetName val="OHEEXP"/>
      <sheetName val="OVERHEAD"/>
      <sheetName val="SELLEXP"/>
      <sheetName val="8 ADM"/>
      <sheetName val="NS&amp;GP"/>
      <sheetName val="2 NS&amp;GP(NP)"/>
      <sheetName val="ProdMNPD"/>
      <sheetName val="NPLCOS"/>
      <sheetName val="FRYPROD"/>
      <sheetName val="Flushing Jan-Feb01"/>
      <sheetName val="Flushing Sep-Des "/>
      <sheetName val="Flushing March-Apr01"/>
      <sheetName val="Flushing May-Jun'01"/>
      <sheetName val="Flushing July-Aug'01"/>
      <sheetName val="Flushing Sept'01"/>
      <sheetName val="Flushing Oct'01"/>
      <sheetName val="INV"/>
      <sheetName val="10 FA"/>
      <sheetName val="11 CIP"/>
      <sheetName val="12 JAPG"/>
      <sheetName val="13 BRDSTK"/>
      <sheetName val="Boxes"/>
      <sheetName val="Inde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ance "/>
      <sheetName val="CMA Calculations"/>
      <sheetName val="CMA Selections"/>
      <sheetName val="Tickmarks"/>
      <sheetName val="CMA_SampleDesign"/>
      <sheetName val="DialogInsert"/>
      <sheetName val="Permanent info"/>
      <sheetName val="Marshal"/>
      <sheetName val="worksheet"/>
    </sheetNames>
    <sheetDataSet>
      <sheetData sheetId="0" refreshError="1"/>
      <sheetData sheetId="1" refreshError="1">
        <row r="1066">
          <cell r="D1066">
            <v>42525581129.762527</v>
          </cell>
          <cell r="F1066">
            <v>111</v>
          </cell>
          <cell r="H1066">
            <v>-270138870.23747236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manent info"/>
      <sheetName val="Marshal"/>
      <sheetName val="Attachment"/>
      <sheetName val="Lampiran"/>
      <sheetName val="Fiskal"/>
      <sheetName val="Depreciation &amp; Peny."/>
      <sheetName val="Gain"/>
      <sheetName val="PPh 21 Recon"/>
      <sheetName val="F1771"/>
      <sheetName val="F1771-1"/>
      <sheetName val="F1771-2"/>
      <sheetName val="F1771-3"/>
      <sheetName val="F1771-4"/>
      <sheetName val="F1771-5"/>
      <sheetName val="F1771-6"/>
      <sheetName val="Ex_Rate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A u g"/>
      <sheetName val="M a r"/>
      <sheetName val="MAR_REC"/>
      <sheetName val="GL"/>
      <sheetName val="fiscal depr(E)"/>
      <sheetName val="General"/>
      <sheetName val="Main table"/>
      <sheetName val="LOOKUP"/>
      <sheetName val="BIAYA"/>
      <sheetName val="DEPR"/>
      <sheetName val="EXT B3"/>
      <sheetName val="IKHTISAR"/>
      <sheetName val="INDUK"/>
      <sheetName val="B2.1"/>
      <sheetName val="d_com"/>
      <sheetName val="Data Per wilayah Vin Code 2006"/>
      <sheetName val="Data Per wilayah"/>
      <sheetName val="Buku Besar 1"/>
      <sheetName val="Pg7.4"/>
      <sheetName val="Pg2"/>
      <sheetName val="MW"/>
      <sheetName val="GeneralInfo"/>
      <sheetName val="Cover"/>
      <sheetName val="Budget04"/>
      <sheetName val="SAD"/>
      <sheetName val="TB"/>
      <sheetName val="TB98,oct99&amp;sap99-WPL"/>
      <sheetName val="fm13(Giro)"/>
      <sheetName val="OH"/>
      <sheetName val="E4.1d"/>
      <sheetName val="Prog Imbalan"/>
      <sheetName val="PSC_Calc"/>
      <sheetName val="Ex-Rate"/>
      <sheetName val="DES 02"/>
      <sheetName val="C1 NOV"/>
      <sheetName val="WP"/>
      <sheetName val="Sheet3"/>
      <sheetName val="jurnal-audit"/>
      <sheetName val="jurnal-audit 2"/>
      <sheetName val="F1771-IV"/>
      <sheetName val="F1771-V"/>
      <sheetName val="12"/>
      <sheetName val="EX RATE"/>
      <sheetName val="note"/>
      <sheetName val="VAT out"/>
      <sheetName val="A"/>
      <sheetName val="Receivable"/>
      <sheetName val="Print AR"/>
      <sheetName val="I"/>
      <sheetName val="II"/>
      <sheetName val="AE"/>
      <sheetName val="242004"/>
      <sheetName val="BANK"/>
      <sheetName val="FKT_PJK"/>
      <sheetName val="F002"/>
      <sheetName val="ANLKL"/>
      <sheetName val="CITR"/>
      <sheetName val="B25-95"/>
      <sheetName val="MacPro"/>
      <sheetName val="Journal"/>
      <sheetName val="analisa L-K"/>
      <sheetName val="data slip"/>
      <sheetName val="Template "/>
      <sheetName val="Identitas"/>
      <sheetName val="kary21"/>
      <sheetName val="laporan"/>
      <sheetName val="9"/>
      <sheetName val="Danamon LK"/>
      <sheetName val="pk"/>
      <sheetName val="&quot;Outstanding SO&quot;"/>
      <sheetName val="Worksheet-03"/>
      <sheetName val="BSHO Report"/>
      <sheetName val="Front"/>
      <sheetName val="Check Sheet"/>
      <sheetName val="PLHO Report"/>
      <sheetName val="PLHOENG"/>
      <sheetName val="Farmer-Pond-Monodon"/>
      <sheetName val="TBM"/>
      <sheetName val="DFR CT"/>
      <sheetName val="Permanent_info"/>
      <sheetName val="Depreciation_&amp;_Peny_"/>
      <sheetName val="PPh_21_Recon"/>
      <sheetName val="fiscal_depr(E)"/>
      <sheetName val="A_u_g"/>
      <sheetName val="J_u_l"/>
      <sheetName val="O_c_t"/>
      <sheetName val="A_p_r"/>
      <sheetName val="M_a_y"/>
      <sheetName val="S_e_p"/>
      <sheetName val="00_received_in_01"/>
      <sheetName val="F_e_b"/>
      <sheetName val="Per_GL_J_a_n"/>
      <sheetName val="J_u_n"/>
      <sheetName val="M_a_r"/>
      <sheetName val="EXT_B3"/>
      <sheetName val="B2_1"/>
      <sheetName val="Main_table"/>
      <sheetName val="Buku_Besar_1"/>
      <sheetName val="Pg7_4"/>
      <sheetName val="Data_Per_wilayah_Vin_Code_2006"/>
      <sheetName val="Data_Per_wilayah"/>
      <sheetName val="E4_1d"/>
      <sheetName val="Buku_Bank"/>
      <sheetName val="mapping2"/>
      <sheetName val="0IV1000251"/>
      <sheetName val="INDIRECT DETAIL"/>
      <sheetName val="DIRECT COST"/>
      <sheetName val="0220"/>
      <sheetName val="VAT_out"/>
      <sheetName val="QTR"/>
      <sheetName val="ACRCONT"/>
      <sheetName val="TAX SUMMARY"/>
      <sheetName val="Home"/>
      <sheetName val="master"/>
      <sheetName val="E-1-1"/>
      <sheetName val="Marshal (2)"/>
      <sheetName val="data"/>
      <sheetName val="Parameters"/>
      <sheetName val="Budget"/>
      <sheetName val="Mkt Total by Cat B$"/>
      <sheetName val="Mkt Total by Cat US$"/>
      <sheetName val="X"/>
      <sheetName val="jul05 ok"/>
      <sheetName val="sept 05 dd"/>
      <sheetName val="ner"/>
      <sheetName val="Posting"/>
      <sheetName val="Mort"/>
      <sheetName val="Print_AR"/>
      <sheetName val="BARS"/>
      <sheetName val="C1_NOV"/>
      <sheetName val="jurnal-audit_2"/>
      <sheetName val="Prog_Imbalan"/>
      <sheetName val="DES_02"/>
      <sheetName val="Danamon_LK"/>
      <sheetName val="analisa_L-K"/>
      <sheetName val="data_slip"/>
      <sheetName val="Template_"/>
      <sheetName val="&quot;Outstanding_SO&quot;"/>
      <sheetName val="TAX_SUMMARY"/>
      <sheetName val="SAP PbT"/>
      <sheetName val="tb1"/>
      <sheetName val="Tax Rate"/>
      <sheetName val="CRA-Detail"/>
      <sheetName val="LPPPSL"/>
      <sheetName val="21"/>
      <sheetName val="perhitgSTP"/>
      <sheetName val="KKP 21"/>
      <sheetName val="benefit"/>
      <sheetName val="Assumption &amp; Result"/>
      <sheetName val="tabel masa kerja"/>
      <sheetName val="beras"/>
      <sheetName val="Tran0104"/>
      <sheetName val="HQ"/>
      <sheetName val="SD"/>
      <sheetName val="Art 23"/>
      <sheetName val="L2"/>
      <sheetName val="317899NOV99"/>
      <sheetName val="data_carloan"/>
      <sheetName val="data_emgloan"/>
      <sheetName val="TB(USD)"/>
      <sheetName val="Irregular Income"/>
      <sheetName val="FE-1770.P1"/>
      <sheetName val="O3"/>
      <sheetName val="chiet tinh"/>
      <sheetName val="Sheet1"/>
      <sheetName val="Breadown"/>
      <sheetName val="N.Lead"/>
      <sheetName val="NN"/>
      <sheetName val="N.3.1"/>
      <sheetName val="N.8"/>
      <sheetName val="N.9"/>
      <sheetName val="FE_1770_P1"/>
      <sheetName val="A3-Dec 2012-ALN"/>
      <sheetName val="Links"/>
      <sheetName val="C13"/>
      <sheetName val="CDYW"/>
      <sheetName val="all"/>
      <sheetName val="Dec 08 - Jan 09 (2)"/>
      <sheetName val="AA.1 BNI"/>
      <sheetName val="juni-juli10"/>
      <sheetName val="I.4.1 (2)"/>
      <sheetName val="SW1"/>
      <sheetName val="2006"/>
      <sheetName val="2005"/>
      <sheetName val="TABEL"/>
      <sheetName val="Hay Guide Charts Notes"/>
      <sheetName val="trf ns_04"/>
      <sheetName val="Information"/>
      <sheetName val="tarippasif_wanto"/>
      <sheetName val="2-asi-00"/>
      <sheetName val="Tunda56=1_dodo"/>
      <sheetName val="SL1006 (IDR)"/>
      <sheetName val="Asumsi"/>
      <sheetName val="TblPajak"/>
      <sheetName val="trf multiple"/>
      <sheetName val="4.1 Placement w.o.b"/>
      <sheetName val="Rates"/>
      <sheetName val="tabel perkiraan"/>
      <sheetName val="trfakt sgl"/>
      <sheetName val="tarif"/>
      <sheetName val="newrot3"/>
      <sheetName val="trf multiple dnrks"/>
      <sheetName val="trf"/>
      <sheetName val="TARIP"/>
      <sheetName val="SL1006 (VLS)"/>
      <sheetName val="new IFS format"/>
      <sheetName val="OLDMAP"/>
      <sheetName val="Menu"/>
      <sheetName val="Benefit Factors"/>
      <sheetName val="5946"/>
      <sheetName val="5442"/>
      <sheetName val="N1"/>
      <sheetName val="wpl"/>
      <sheetName val="Shared"/>
      <sheetName val="Chart"/>
      <sheetName val="MTD Results"/>
      <sheetName val="YTD Results"/>
      <sheetName val="Total"/>
      <sheetName val="Instructions"/>
      <sheetName val="tabel nilai"/>
      <sheetName val="LPP"/>
      <sheetName val="317899OCT99"/>
      <sheetName val="Level 1 &amp; 2"/>
      <sheetName val="JAN 2001"/>
      <sheetName val="Trading Statement"/>
      <sheetName val="Agustus"/>
      <sheetName val="Customize Your Purchase Order"/>
      <sheetName val="MA6JA"/>
      <sheetName val="Permanent_info1"/>
      <sheetName val="Depreciation_&amp;_Peny_1"/>
      <sheetName val="PPh_21_Recon1"/>
      <sheetName val="fiscal_depr(E)1"/>
      <sheetName val="A_u_g1"/>
      <sheetName val="J_u_l1"/>
      <sheetName val="O_c_t1"/>
      <sheetName val="A_p_r1"/>
      <sheetName val="M_a_y1"/>
      <sheetName val="S_e_p1"/>
      <sheetName val="00_received_in_011"/>
      <sheetName val="F_e_b1"/>
      <sheetName val="Per_GL_J_a_n1"/>
      <sheetName val="J_u_n1"/>
      <sheetName val="M_a_r1"/>
      <sheetName val="EXT_B31"/>
      <sheetName val="B2_11"/>
      <sheetName val="Main_table1"/>
      <sheetName val="Permanent_info2"/>
      <sheetName val="Depreciation_&amp;_Peny_2"/>
      <sheetName val="PPh_21_Recon2"/>
      <sheetName val="fiscal_depr(E)2"/>
      <sheetName val="A_u_g2"/>
      <sheetName val="J_u_l2"/>
      <sheetName val="O_c_t2"/>
      <sheetName val="A_p_r2"/>
      <sheetName val="M_a_y2"/>
      <sheetName val="S_e_p2"/>
      <sheetName val="00_received_in_012"/>
      <sheetName val="F_e_b2"/>
      <sheetName val="Per_GL_J_a_n2"/>
      <sheetName val="J_u_n2"/>
      <sheetName val="M_a_r2"/>
      <sheetName val="EXT_B32"/>
      <sheetName val="B2_12"/>
      <sheetName val="Main_table2"/>
      <sheetName val="Buku_Besar_11"/>
      <sheetName val="Pg7_41"/>
      <sheetName val="Data_Per_wilayah_Vin_Code_20061"/>
      <sheetName val="Data_Per_wilayah1"/>
      <sheetName val="C1_NOV1"/>
      <sheetName val="jurnal-audit_21"/>
      <sheetName val="VAT_out1"/>
      <sheetName val="E4_1d1"/>
      <sheetName val="Prog_Imbalan1"/>
      <sheetName val="DES_021"/>
      <sheetName val="IS"/>
      <sheetName val="BS"/>
      <sheetName val="bantu"/>
      <sheetName val="2-IntBalheet"/>
      <sheetName val="FRYPROD"/>
      <sheetName val="의왕"/>
      <sheetName val="1997"/>
      <sheetName val="Electric"/>
      <sheetName val="chemcal"/>
      <sheetName val="mgr &amp; staff"/>
      <sheetName val="ShareCapital "/>
      <sheetName val="Inventories"/>
      <sheetName val="Print_AR1"/>
      <sheetName val="BSHO_Report"/>
      <sheetName val="Check_Sheet"/>
      <sheetName val="PLHO_Report"/>
      <sheetName val="DFR_CT"/>
      <sheetName val="KKP_21"/>
      <sheetName val="INDIRECT_DETAIL"/>
      <sheetName val="DIRECT_COST"/>
      <sheetName val="jul05_ok"/>
      <sheetName val="sept_05_dd"/>
      <sheetName val="SAP_PbT"/>
      <sheetName val="Tax_Rate"/>
      <sheetName val="Dec_08_-_Jan_09_(2)"/>
      <sheetName val="AA_1_BNI"/>
      <sheetName val="I_4_1_(2)"/>
      <sheetName val="9E1.3"/>
      <sheetName val="data_val"/>
      <sheetName val="data_ee_&lt;nra(1)"/>
      <sheetName val="Properties"/>
      <sheetName val="Dumtk"/>
      <sheetName val="1a"/>
      <sheetName val="1c"/>
      <sheetName val="Upah"/>
      <sheetName val="Rincian Iuran"/>
      <sheetName val="PASTEK"/>
      <sheetName val="Data Rekon"/>
      <sheetName val="Premi Iuran"/>
      <sheetName val="skor-kinerja"/>
      <sheetName val="NB UNIT3"/>
      <sheetName val="SPI"/>
      <sheetName val="NY ADMIN"/>
      <sheetName val="PDCC"/>
      <sheetName val="SPI GMBH"/>
      <sheetName val="UK"/>
      <sheetName val="SSI"/>
      <sheetName val="Syntegra"/>
      <sheetName val="FA sd APRIL 07"/>
      <sheetName val="List"/>
      <sheetName val="bybungafix"/>
      <sheetName val="Sales Report MKTG"/>
      <sheetName val="BUT-1"/>
      <sheetName val="HEX-A"/>
      <sheetName val="HEX-E"/>
      <sheetName val="I-BUT"/>
      <sheetName val="RD I-BUT"/>
      <sheetName val="Trial Bal"/>
      <sheetName val="pihak iii"/>
      <sheetName val="cov"/>
      <sheetName val="NAP"/>
      <sheetName val="U-3.1.1 telephone"/>
      <sheetName val="lm7-11"/>
      <sheetName val="corp tax"/>
      <sheetName val="summary-1"/>
      <sheetName val="ANALISA"/>
      <sheetName val="#REF"/>
      <sheetName val="AA.1.1 BNI"/>
      <sheetName val="PPH1298S"/>
      <sheetName val="Assumptions"/>
      <sheetName val="PIUTANG"/>
      <sheetName val="Sheet2"/>
      <sheetName val="UV.10"/>
      <sheetName val="1195 B1"/>
      <sheetName val="data_benefit(2)"/>
      <sheetName val=""/>
      <sheetName val="DATA01-08-2004"/>
      <sheetName val="aktdit(WP)"/>
      <sheetName val="NH-Badan"/>
      <sheetName val="Mkt_Total_by_Cat_B$"/>
      <sheetName val="Mkt_Total_by_Cat_US$"/>
      <sheetName val="Assumption_&amp;_Result"/>
      <sheetName val="Irregular_Income"/>
      <sheetName val="FE-1770_P1"/>
      <sheetName val="new_IFS_format"/>
      <sheetName val="N_Lead"/>
      <sheetName val="N_3_1"/>
      <sheetName val="N_8"/>
      <sheetName val="N_9"/>
      <sheetName val="Marshal_(2)"/>
      <sheetName val="Slide 22"/>
      <sheetName val="Detail_FA"/>
      <sheetName val="WS"/>
      <sheetName val="PALMINDO"/>
      <sheetName val="Data WP"/>
      <sheetName val="CGSgm2"/>
      <sheetName val="CGSsp"/>
      <sheetName val="Factors"/>
      <sheetName val="Sales"/>
      <sheetName val="dbDJP"/>
      <sheetName val="A2-1"/>
      <sheetName val="name"/>
      <sheetName val="Man_Power_Const"/>
      <sheetName val="penlainkp98"/>
      <sheetName val="Cost Summary"/>
      <sheetName val="Productivity"/>
      <sheetName val="Blasting_per_block"/>
      <sheetName val="Overall_plan"/>
      <sheetName val="crushnsp"/>
      <sheetName val="pittonsp"/>
      <sheetName val="UA_PA"/>
      <sheetName val="YTD Resurts"/>
      <sheetName val="analisa_L-K1"/>
      <sheetName val="data_slip1"/>
      <sheetName val="Template_1"/>
      <sheetName val="TAX_SUMMARY1"/>
      <sheetName val="Danamon_LK1"/>
      <sheetName val="&quot;Outstanding_SO&quot;1"/>
      <sheetName val="tabel_masa_kerja"/>
      <sheetName val="NB_UNIT3"/>
      <sheetName val="MTD_Results"/>
      <sheetName val="YTD_Results"/>
      <sheetName val="A3-Dec_2012-ALN"/>
      <sheetName val="Benefit_Factors"/>
      <sheetName val="Hay_Guide_Charts_Notes"/>
      <sheetName val="trf_ns_04"/>
      <sheetName val="SL1006_(IDR)"/>
      <sheetName val="trf_multiple"/>
      <sheetName val="4_1_Placement_w_o_b"/>
      <sheetName val="tabel_perkiraan"/>
      <sheetName val="trfakt_sgl"/>
      <sheetName val="trf_multiple_dnrks"/>
      <sheetName val="SL1006_(VLS)"/>
      <sheetName val="Art_23"/>
      <sheetName val="mgr_&amp;_staff"/>
      <sheetName val="ShareCapital_"/>
      <sheetName val="Data_Per_wilayah_Vin_Code_20062"/>
      <sheetName val="Data_Per_wilayah2"/>
      <sheetName val="Buku_Besar_12"/>
      <sheetName val="Pg7_42"/>
      <sheetName val="C1_NOV2"/>
      <sheetName val="jurnal-audit_22"/>
      <sheetName val="VAT_out2"/>
      <sheetName val="E4_1d2"/>
      <sheetName val="analisa_L-K2"/>
      <sheetName val="data_slip2"/>
      <sheetName val="Template_2"/>
      <sheetName val="Prog_Imbalan2"/>
      <sheetName val="DES_022"/>
      <sheetName val="Print_AR2"/>
      <sheetName val="BSHO_Report1"/>
      <sheetName val="Check_Sheet1"/>
      <sheetName val="PLHO_Report1"/>
      <sheetName val="TAX_SUMMARY2"/>
      <sheetName val="Danamon_LK2"/>
      <sheetName val="INDIRECT_DETAIL1"/>
      <sheetName val="DIRECT_COST1"/>
      <sheetName val="DFR_CT1"/>
      <sheetName val="&quot;Outstanding_SO&quot;2"/>
      <sheetName val="Mkt_Total_by_Cat_B$1"/>
      <sheetName val="Mkt_Total_by_Cat_US$1"/>
      <sheetName val="jul05_ok1"/>
      <sheetName val="sept_05_dd1"/>
      <sheetName val="Marshal_(2)1"/>
      <sheetName val="Assumption_&amp;_Result1"/>
      <sheetName val="tabel_masa_kerja1"/>
      <sheetName val="KKP_211"/>
      <sheetName val="new_IFS_format1"/>
      <sheetName val="N_Lead1"/>
      <sheetName val="N_3_11"/>
      <sheetName val="N_81"/>
      <sheetName val="N_91"/>
      <sheetName val="Tax_Rate1"/>
      <sheetName val="SAP_PbT1"/>
      <sheetName val="Dec_08_-_Jan_09_(2)1"/>
      <sheetName val="AA_1_BNI1"/>
      <sheetName val="I_4_1_(2)1"/>
      <sheetName val="Irregular_Income1"/>
      <sheetName val="FE-1770_P11"/>
      <sheetName val="NB_UNIT31"/>
      <sheetName val="MTD_Results1"/>
      <sheetName val="YTD_Results1"/>
      <sheetName val="A3-Dec_2012-ALN1"/>
      <sheetName val="Benefit_Factors1"/>
      <sheetName val="Hay_Guide_Charts_Notes1"/>
      <sheetName val="trf_ns_041"/>
      <sheetName val="SL1006_(IDR)1"/>
      <sheetName val="trf_multiple1"/>
      <sheetName val="4_1_Placement_w_o_b1"/>
      <sheetName val="tabel_perkiraan1"/>
      <sheetName val="trfakt_sgl1"/>
      <sheetName val="trf_multiple_dnrks1"/>
      <sheetName val="SL1006_(VLS)1"/>
      <sheetName val="Art_231"/>
      <sheetName val="mgr_&amp;_staff1"/>
      <sheetName val="ShareCapital_1"/>
      <sheetName val="Permanent_info3"/>
      <sheetName val="Depreciation_&amp;_Peny_3"/>
      <sheetName val="PPh_21_Recon3"/>
      <sheetName val="fiscal_depr(E)3"/>
      <sheetName val="A_u_g3"/>
      <sheetName val="J_u_l3"/>
      <sheetName val="O_c_t3"/>
      <sheetName val="A_p_r3"/>
      <sheetName val="M_a_y3"/>
      <sheetName val="S_e_p3"/>
      <sheetName val="00_received_in_013"/>
      <sheetName val="F_e_b3"/>
      <sheetName val="Per_GL_J_a_n3"/>
      <sheetName val="J_u_n3"/>
      <sheetName val="M_a_r3"/>
      <sheetName val="EXT_B33"/>
      <sheetName val="B2_13"/>
      <sheetName val="Main_table3"/>
      <sheetName val="Data_Per_wilayah_Vin_Code_20063"/>
      <sheetName val="Data_Per_wilayah3"/>
      <sheetName val="Buku_Besar_13"/>
      <sheetName val="Pg7_43"/>
      <sheetName val="C1_NOV3"/>
      <sheetName val="jurnal-audit_23"/>
      <sheetName val="VAT_out3"/>
      <sheetName val="E4_1d3"/>
      <sheetName val="analisa_L-K3"/>
      <sheetName val="data_slip3"/>
      <sheetName val="Template_3"/>
      <sheetName val="Prog_Imbalan3"/>
      <sheetName val="DES_023"/>
      <sheetName val="Print_AR3"/>
      <sheetName val="BSHO_Report2"/>
      <sheetName val="Check_Sheet2"/>
      <sheetName val="PLHO_Report2"/>
      <sheetName val="TAX_SUMMARY3"/>
      <sheetName val="Danamon_LK3"/>
      <sheetName val="INDIRECT_DETAIL2"/>
      <sheetName val="DIRECT_COST2"/>
      <sheetName val="DFR_CT2"/>
      <sheetName val="&quot;Outstanding_SO&quot;3"/>
      <sheetName val="Mkt_Total_by_Cat_B$2"/>
      <sheetName val="Mkt_Total_by_Cat_US$2"/>
      <sheetName val="jul05_ok2"/>
      <sheetName val="sept_05_dd2"/>
      <sheetName val="Marshal_(2)2"/>
      <sheetName val="Assumption_&amp;_Result2"/>
      <sheetName val="tabel_masa_kerja2"/>
      <sheetName val="KKP_212"/>
      <sheetName val="new_IFS_format2"/>
      <sheetName val="N_Lead2"/>
      <sheetName val="N_3_12"/>
      <sheetName val="N_82"/>
      <sheetName val="N_92"/>
      <sheetName val="Tax_Rate2"/>
      <sheetName val="SAP_PbT2"/>
      <sheetName val="Dec_08_-_Jan_09_(2)2"/>
      <sheetName val="AA_1_BNI2"/>
      <sheetName val="I_4_1_(2)2"/>
      <sheetName val="Irregular_Income2"/>
      <sheetName val="FE-1770_P12"/>
      <sheetName val="NB_UNIT32"/>
      <sheetName val="MTD_Results2"/>
      <sheetName val="YTD_Results2"/>
      <sheetName val="A3-Dec_2012-ALN2"/>
      <sheetName val="Benefit_Factors2"/>
      <sheetName val="Hay_Guide_Charts_Notes2"/>
      <sheetName val="trf_ns_042"/>
      <sheetName val="SL1006_(IDR)2"/>
      <sheetName val="trf_multiple2"/>
      <sheetName val="4_1_Placement_w_o_b2"/>
      <sheetName val="tabel_perkiraan2"/>
      <sheetName val="trfakt_sgl2"/>
      <sheetName val="trf_multiple_dnrks2"/>
      <sheetName val="SL1006_(VLS)2"/>
      <sheetName val="Art_232"/>
      <sheetName val="mgr_&amp;_staff2"/>
      <sheetName val="ShareCapital_2"/>
      <sheetName val="SAD_print1"/>
      <sheetName val="WBS2"/>
      <sheetName val="General Info"/>
      <sheetName val="OU"/>
      <sheetName val="Customize_Your_Purchase_Order"/>
      <sheetName val="OFFICE"/>
      <sheetName val="TB-WP"/>
      <sheetName val="Sheet7"/>
      <sheetName val="Original"/>
      <sheetName val="movement&amp;add test"/>
      <sheetName val="PROG_605XX"/>
      <sheetName val="OLDDATA"/>
      <sheetName val="Option1"/>
      <sheetName val="Scenarios_and_Sensitivities"/>
      <sheetName val="SUMMARY_NDE"/>
      <sheetName val="Global_Assumptions"/>
      <sheetName val="FE-1770-II"/>
      <sheetName val="CONSOPL"/>
      <sheetName val="1541020-House Loan"/>
      <sheetName val="RATE"/>
      <sheetName val="SK HTM"/>
      <sheetName val="Entry  HTM"/>
      <sheetName val="DES"/>
      <sheetName val="monthly"/>
      <sheetName val="A.4.2"/>
      <sheetName val="A.4.3"/>
      <sheetName val="Material Bpn jul'07"/>
      <sheetName val="2002"/>
      <sheetName val="GlobalSAndIByPole"/>
      <sheetName val="IOPlan"/>
      <sheetName val="tabel_nilai"/>
      <sheetName val="AA_1_1_BNI"/>
      <sheetName val="chiet_tinh"/>
      <sheetName val="Level_1_&amp;_2"/>
      <sheetName val="JAN_2001"/>
      <sheetName val="Trading_Statement"/>
      <sheetName val="Rincian_Iuran"/>
      <sheetName val="Data_Rekon"/>
      <sheetName val="Premi_Iuran"/>
      <sheetName val="SUMMARYPPH21_23"/>
      <sheetName val="_SAF 02"/>
      <sheetName val="Overall"/>
      <sheetName val="kepmenaker150"/>
      <sheetName val="TRF 150"/>
      <sheetName val="IMPUT PENERIMAAN BULK WB"/>
      <sheetName val="Para_Assumption"/>
      <sheetName val="van khuon"/>
      <sheetName val="Names"/>
      <sheetName val="gVL"/>
      <sheetName val="U2.2"/>
      <sheetName val="LINK MOR"/>
      <sheetName val="LINK GAP"/>
      <sheetName val="SII"/>
      <sheetName val="HPP PER BULAN"/>
      <sheetName val="KASUS8"/>
      <sheetName val="KASUS10"/>
      <sheetName val="Cost Analysis"/>
      <sheetName val="Scenarios and Sensitivities"/>
      <sheetName val="Operations"/>
      <sheetName val="Financials"/>
      <sheetName val="Global Assumptions"/>
      <sheetName val="F.2 WIP CKP"/>
      <sheetName val="F.2.1 CKP"/>
      <sheetName val="PPh_2p³_x0008__x0018__x0000__x0000_"/>
      <sheetName val="701500 TRAVEL ADVANCE"/>
      <sheetName val="Permanent_info4"/>
      <sheetName val="Depreciation_&amp;_Peny_4"/>
      <sheetName val="PPh_21_Recon4"/>
      <sheetName val="J_u_l4"/>
      <sheetName val="O_c_t4"/>
      <sheetName val="A_p_r4"/>
      <sheetName val="M_a_y4"/>
      <sheetName val="S_e_p4"/>
      <sheetName val="00_received_in_014"/>
      <sheetName val="F_e_b4"/>
      <sheetName val="Per_GL_J_a_n4"/>
      <sheetName val="J_u_n4"/>
      <sheetName val="A_u_g4"/>
      <sheetName val="M_a_r4"/>
      <sheetName val="fiscal_depr(E)4"/>
      <sheetName val="Main_table4"/>
      <sheetName val="EXT_B34"/>
      <sheetName val="B2_14"/>
      <sheetName val="E4_1d4"/>
      <sheetName val="Prog_Imbalan4"/>
      <sheetName val="DES_024"/>
      <sheetName val="Buku_Besar_14"/>
      <sheetName val="Pg7_44"/>
      <sheetName val="Data_Per_wilayah_Vin_Code_20064"/>
      <sheetName val="Data_Per_wilayah4"/>
      <sheetName val="C1_NOV4"/>
      <sheetName val="jurnal-audit_24"/>
      <sheetName val="Print_AR4"/>
      <sheetName val="BSHO_Report3"/>
      <sheetName val="Check_Sheet3"/>
      <sheetName val="PLHO_Report3"/>
      <sheetName val="VAT_out4"/>
      <sheetName val="DFR_CT3"/>
      <sheetName val="analisa_L-K4"/>
      <sheetName val="data_slip4"/>
      <sheetName val="Template_4"/>
      <sheetName val="Danamon_LK4"/>
      <sheetName val="&quot;Outstanding_SO&quot;4"/>
      <sheetName val="INDIRECT_DETAIL3"/>
      <sheetName val="DIRECT_COST3"/>
      <sheetName val="TAX_SUMMARY4"/>
      <sheetName val="jul05_ok3"/>
      <sheetName val="sept_05_dd3"/>
      <sheetName val="Mkt_Total_by_Cat_B$3"/>
      <sheetName val="Mkt_Total_by_Cat_US$3"/>
      <sheetName val="KKP_213"/>
      <sheetName val="N_Lead3"/>
      <sheetName val="N_3_13"/>
      <sheetName val="N_83"/>
      <sheetName val="N_93"/>
      <sheetName val="Assumption_&amp;_Result3"/>
      <sheetName val="Benefit_Factors3"/>
      <sheetName val="Marshal_(2)3"/>
      <sheetName val="new_IFS_format3"/>
      <sheetName val="Tax_Rate3"/>
      <sheetName val="SAP_PbT3"/>
      <sheetName val="MTD_Results3"/>
      <sheetName val="YTD_Results3"/>
      <sheetName val="Irregular_Income3"/>
      <sheetName val="FE-1770_P13"/>
      <sheetName val="Customize_Your_Purchase_Order1"/>
      <sheetName val="Dec_08_-_Jan_09_(2)3"/>
      <sheetName val="AA_1_BNI3"/>
      <sheetName val="I_4_1_(2)3"/>
      <sheetName val="A3-Dec_2012-ALN3"/>
      <sheetName val="tabel_masa_kerja3"/>
      <sheetName val="Hay_Guide_Charts_Notes3"/>
      <sheetName val="trf_ns_043"/>
      <sheetName val="SL1006_(IDR)3"/>
      <sheetName val="trf_multiple3"/>
      <sheetName val="4_1_Placement_w_o_b3"/>
      <sheetName val="tabel_perkiraan3"/>
      <sheetName val="trfakt_sgl3"/>
      <sheetName val="trf_multiple_dnrks3"/>
      <sheetName val="SL1006_(VLS)3"/>
      <sheetName val="Art_233"/>
      <sheetName val="9E1_3"/>
      <sheetName val="NB_UNIT33"/>
      <sheetName val="1195_B1"/>
      <sheetName val="mgr_&amp;_staff3"/>
      <sheetName val="ShareCapital_3"/>
      <sheetName val="Slide_22"/>
      <sheetName val="NY_ADMIN"/>
      <sheetName val="SPI_GMBH"/>
      <sheetName val="FA_sd_APRIL_07"/>
      <sheetName val="Data_WP"/>
      <sheetName val="General_Info"/>
      <sheetName val="1541020-House_Loan"/>
      <sheetName val="UV_10"/>
      <sheetName val="701500_TRAVEL_ADVANCE"/>
      <sheetName val="BBM-03"/>
      <sheetName val="KOR"/>
      <sheetName val="PTSC0605"/>
      <sheetName val="laru-kbn"/>
      <sheetName val="bdrl-usg"/>
      <sheetName val="L I _ ATY"/>
      <sheetName val="WWb"/>
      <sheetName val="N o v"/>
      <sheetName val="J a n"/>
      <sheetName val="FE-1770-I"/>
      <sheetName val="CIP_USD"/>
      <sheetName val="SUMMFA-USD"/>
      <sheetName val="Investment"/>
      <sheetName val="A3_USD_PL02"/>
      <sheetName val="ShareCapital"/>
      <sheetName val="PORTO"/>
      <sheetName val="FE_1770_I"/>
      <sheetName val="FE_1770_II"/>
      <sheetName val="INPUTS"/>
      <sheetName val="GD_actuals"/>
      <sheetName val="7x"/>
      <sheetName val="8x"/>
      <sheetName val="Dates"/>
      <sheetName val="2x"/>
      <sheetName val="3"/>
      <sheetName val="1"/>
      <sheetName val="4"/>
      <sheetName val="3x"/>
      <sheetName val="9x"/>
      <sheetName val="5"/>
      <sheetName val="4x"/>
      <sheetName val="6x"/>
      <sheetName val="Ekuitas"/>
      <sheetName val="Rekons PPh 21"/>
      <sheetName val="IM"/>
      <sheetName val="RP"/>
      <sheetName val="SUM-IN"/>
      <sheetName val="A6.Employee Loan"/>
      <sheetName val="BP1_23"/>
      <sheetName val="Other"/>
      <sheetName val="내역서"/>
      <sheetName val="_x0000_"/>
      <sheetName val="Analisa Alat Berat"/>
      <sheetName val="Lead"/>
      <sheetName val="table"/>
      <sheetName val="EX_RATE1"/>
      <sheetName val="movement"/>
      <sheetName val="rab_50"/>
      <sheetName val="PART"/>
      <sheetName val="MAINT"/>
      <sheetName val="GAJI"/>
      <sheetName val="LIST. MESIN"/>
      <sheetName val="MAST.PROD"/>
      <sheetName val="MANFCOST"/>
      <sheetName val="FINANCE"/>
      <sheetName val="LIS. PAKAI"/>
      <sheetName val="PART &amp; MAINT."/>
      <sheetName val="tbl1"/>
      <sheetName val="DEP&amp;ASR"/>
      <sheetName val="STD. COST"/>
      <sheetName val="persatuan (2)"/>
      <sheetName val="Mandays"/>
      <sheetName val="TBM 0"/>
      <sheetName val="REF"/>
      <sheetName val="Marshal -1"/>
      <sheetName val="HARVEST02"/>
      <sheetName val="Finance Projection-07"/>
      <sheetName val="Sheet4"/>
      <sheetName val="JL_BEL"/>
      <sheetName val="kegiatan usaha"/>
      <sheetName val="sumari"/>
      <sheetName val="Permanent+ Prob"/>
      <sheetName val="TK1"/>
      <sheetName val="RMS FUNGSIONAL"/>
      <sheetName val="RMS - STR (2)"/>
      <sheetName val="SEN_FUNG"/>
      <sheetName val="UUK13"/>
      <sheetName val="Mortalitas"/>
      <sheetName val="BUDGET_1999"/>
      <sheetName val="Cip"/>
      <sheetName val="CB08001PS"/>
      <sheetName val="09007"/>
      <sheetName val="09008"/>
      <sheetName val="09010"/>
      <sheetName val="08016"/>
      <sheetName val="08074"/>
      <sheetName val="08076"/>
      <sheetName val="Letter Form"/>
      <sheetName val="MUTASI"/>
      <sheetName val="J4"/>
      <sheetName val="J4b"/>
      <sheetName val="J7"/>
      <sheetName val="J3b"/>
      <sheetName val="J3a"/>
      <sheetName val="J3f"/>
      <sheetName val="J4a"/>
      <sheetName val="J1a"/>
      <sheetName val="ah sanitary"/>
      <sheetName val="Top"/>
      <sheetName val="03 Detailed"/>
      <sheetName val="01 Bid Price summary"/>
      <sheetName val="ASLI"/>
      <sheetName val="Local"/>
      <sheetName val="X_ANGKA"/>
      <sheetName val="AP"/>
      <sheetName val="tr-28202"/>
      <sheetName val="chiet_tinh1"/>
      <sheetName val="Rincian_Iuran1"/>
      <sheetName val="Data_Rekon1"/>
      <sheetName val="Premi_Iuran1"/>
      <sheetName val="Level_1_&amp;_21"/>
      <sheetName val="JAN_20011"/>
      <sheetName val="Trading_Statement1"/>
      <sheetName val="tabel_nilai1"/>
      <sheetName val="AA_1_1_BNI1"/>
      <sheetName val="_SAF_02"/>
      <sheetName val="YTD_Resurts"/>
      <sheetName val="TRF_150"/>
      <sheetName val="Material_Bpn_jul'07"/>
      <sheetName val="IMPUT_PENERIMAAN_BULK_WB"/>
      <sheetName val="van_khuon"/>
      <sheetName val="U2_2"/>
      <sheetName val="LINK_MOR"/>
      <sheetName val="LINK_GAP"/>
      <sheetName val="Vehicles"/>
      <sheetName val="TB 1216"/>
      <sheetName val="C"/>
      <sheetName val="Rekap Budget"/>
      <sheetName val="本体"/>
      <sheetName val="FRN"/>
      <sheetName val="BankRecon-IDR"/>
      <sheetName val="KU-Ajt'03"/>
      <sheetName val="HUTANG PER VENDOR 09"/>
      <sheetName val="IMPUT PENERIMAAN BAG PRODUKSI"/>
      <sheetName val="PEMAKAIAN BY PRODUKSI"/>
      <sheetName val="Permanent_info5"/>
      <sheetName val="Depreciation_&amp;_Peny_5"/>
      <sheetName val="PPh_21_Recon5"/>
      <sheetName val="fiscal_depr(E)5"/>
      <sheetName val="A_u_g5"/>
      <sheetName val="J_u_l5"/>
      <sheetName val="O_c_t5"/>
      <sheetName val="A_p_r5"/>
      <sheetName val="M_a_y5"/>
      <sheetName val="S_e_p5"/>
      <sheetName val="00_received_in_015"/>
      <sheetName val="F_e_b5"/>
      <sheetName val="Per_GL_J_a_n5"/>
      <sheetName val="J_u_n5"/>
      <sheetName val="M_a_r5"/>
      <sheetName val="C1_NOV5"/>
      <sheetName val="jurnal-audit_25"/>
      <sheetName val="EXT_B35"/>
      <sheetName val="B2_15"/>
      <sheetName val="Main_table5"/>
      <sheetName val="Data_Per_wilayah_Vin_Code_20065"/>
      <sheetName val="Data_Per_wilayah5"/>
      <sheetName val="Print_AR5"/>
      <sheetName val="INDIRECT_DETAIL4"/>
      <sheetName val="DIRECT_COST4"/>
      <sheetName val="E4_1d5"/>
      <sheetName val="Prog_Imbalan5"/>
      <sheetName val="DES_025"/>
      <sheetName val="Buku_Besar_15"/>
      <sheetName val="Pg7_45"/>
      <sheetName val="analisa_L-K5"/>
      <sheetName val="data_slip5"/>
      <sheetName val="Template_5"/>
      <sheetName val="jul05_ok4"/>
      <sheetName val="sept_05_dd4"/>
      <sheetName val="VAT_out5"/>
      <sheetName val="Danamon_LK5"/>
      <sheetName val="&quot;Outstanding_SO&quot;5"/>
      <sheetName val="Tax_Rate4"/>
      <sheetName val="SAP_PbT4"/>
      <sheetName val="TAX_SUMMARY5"/>
      <sheetName val="BSHO_Report4"/>
      <sheetName val="Check_Sheet4"/>
      <sheetName val="PLHO_Report4"/>
      <sheetName val="DFR_CT4"/>
      <sheetName val="Mkt_Total_by_Cat_B$4"/>
      <sheetName val="Mkt_Total_by_Cat_US$4"/>
      <sheetName val="N_Lead4"/>
      <sheetName val="N_3_14"/>
      <sheetName val="N_84"/>
      <sheetName val="N_94"/>
      <sheetName val="Assumption_&amp;_Result4"/>
      <sheetName val="Dec_08_-_Jan_09_(2)4"/>
      <sheetName val="AA_1_BNI4"/>
      <sheetName val="I_4_1_(2)4"/>
      <sheetName val="Hay_Guide_Charts_Notes4"/>
      <sheetName val="trf_ns_044"/>
      <sheetName val="SL1006_(IDR)4"/>
      <sheetName val="trf_multiple4"/>
      <sheetName val="4_1_Placement_w_o_b4"/>
      <sheetName val="tabel_perkiraan4"/>
      <sheetName val="trfakt_sgl4"/>
      <sheetName val="trf_multiple_dnrks4"/>
      <sheetName val="SL1006_(VLS)4"/>
      <sheetName val="Irregular_Income4"/>
      <sheetName val="FE-1770_P14"/>
      <sheetName val="Benefit_Factors4"/>
      <sheetName val="Marshal_(2)4"/>
      <sheetName val="KKP_214"/>
      <sheetName val="tabel_masa_kerja4"/>
      <sheetName val="new_IFS_format4"/>
      <sheetName val="Art_234"/>
      <sheetName val="MTD_Results4"/>
      <sheetName val="YTD_Results4"/>
      <sheetName val="A3-Dec_2012-ALN4"/>
      <sheetName val="chiet_tinh2"/>
      <sheetName val="NB_UNIT34"/>
      <sheetName val="Customize_Your_Purchase_Order2"/>
      <sheetName val="9E1_31"/>
      <sheetName val="1195_B11"/>
      <sheetName val="mgr_&amp;_staff4"/>
      <sheetName val="ShareCapital_4"/>
      <sheetName val="Level_1_&amp;_22"/>
      <sheetName val="JAN_20012"/>
      <sheetName val="Trading_Statement2"/>
      <sheetName val="Rincian_Iuran2"/>
      <sheetName val="Data_Rekon2"/>
      <sheetName val="Premi_Iuran2"/>
      <sheetName val="Slide_221"/>
      <sheetName val="Data_WP1"/>
      <sheetName val="NY_ADMIN1"/>
      <sheetName val="SPI_GMBH1"/>
      <sheetName val="FA_sd_APRIL_071"/>
      <sheetName val="tabel_nilai2"/>
      <sheetName val="AA_1_1_BNI2"/>
      <sheetName val="_SAF_021"/>
      <sheetName val="UV_101"/>
      <sheetName val="YTD_Resurts1"/>
      <sheetName val="TRF_1501"/>
      <sheetName val="Material_Bpn_jul'071"/>
      <sheetName val="IMPUT_PENERIMAAN_BULK_WB1"/>
      <sheetName val="van_khuon1"/>
      <sheetName val="U2_21"/>
      <sheetName val="LINK_MOR1"/>
      <sheetName val="LINK_GAP1"/>
      <sheetName val="General_Info1"/>
      <sheetName val="Cost_Summary1"/>
      <sheetName val="SK_HTM1"/>
      <sheetName val="Entry__HTM1"/>
      <sheetName val="Cost_Analysis1"/>
      <sheetName val="Scenarios_and_Sensitivities2"/>
      <sheetName val="Global_Assumptions2"/>
      <sheetName val="F_2_WIP_CKP1"/>
      <sheetName val="F_2_1_CKP1"/>
      <sheetName val="1541020-House_Loan1"/>
      <sheetName val="RMS_FUNGSIONAL1"/>
      <sheetName val="RMS_-_STR_(2)1"/>
      <sheetName val="Cost_Summary"/>
      <sheetName val="SK_HTM"/>
      <sheetName val="Entry__HTM"/>
      <sheetName val="Cost_Analysis"/>
      <sheetName val="Scenarios_and_Sensitivities1"/>
      <sheetName val="Global_Assumptions1"/>
      <sheetName val="F_2_WIP_CKP"/>
      <sheetName val="F_2_1_CKP"/>
      <sheetName val="RMS_FUNGSIONAL"/>
      <sheetName val="RMS_-_STR_(2)"/>
      <sheetName val="Permanent_info6"/>
      <sheetName val="Depreciation_&amp;_Peny_6"/>
      <sheetName val="PPh_21_Recon6"/>
      <sheetName val="fiscal_depr(E)6"/>
      <sheetName val="A_u_g6"/>
      <sheetName val="J_u_l6"/>
      <sheetName val="O_c_t6"/>
      <sheetName val="A_p_r6"/>
      <sheetName val="M_a_y6"/>
      <sheetName val="S_e_p6"/>
      <sheetName val="00_received_in_016"/>
      <sheetName val="F_e_b6"/>
      <sheetName val="Per_GL_J_a_n6"/>
      <sheetName val="J_u_n6"/>
      <sheetName val="M_a_r6"/>
      <sheetName val="C1_NOV6"/>
      <sheetName val="jurnal-audit_26"/>
      <sheetName val="EXT_B36"/>
      <sheetName val="B2_16"/>
      <sheetName val="Main_table6"/>
      <sheetName val="Data_Per_wilayah_Vin_Code_20066"/>
      <sheetName val="Data_Per_wilayah6"/>
      <sheetName val="Print_AR6"/>
      <sheetName val="INDIRECT_DETAIL5"/>
      <sheetName val="DIRECT_COST5"/>
      <sheetName val="E4_1d6"/>
      <sheetName val="Prog_Imbalan6"/>
      <sheetName val="DES_026"/>
      <sheetName val="Buku_Besar_16"/>
      <sheetName val="Pg7_46"/>
      <sheetName val="analisa_L-K6"/>
      <sheetName val="data_slip6"/>
      <sheetName val="Template_6"/>
      <sheetName val="jul05_ok5"/>
      <sheetName val="sept_05_dd5"/>
      <sheetName val="VAT_out6"/>
      <sheetName val="Danamon_LK6"/>
      <sheetName val="&quot;Outstanding_SO&quot;6"/>
      <sheetName val="Tax_Rate5"/>
      <sheetName val="SAP_PbT5"/>
      <sheetName val="TAX_SUMMARY6"/>
      <sheetName val="BSHO_Report5"/>
      <sheetName val="Check_Sheet5"/>
      <sheetName val="PLHO_Report5"/>
      <sheetName val="DFR_CT5"/>
      <sheetName val="Mkt_Total_by_Cat_B$5"/>
      <sheetName val="Mkt_Total_by_Cat_US$5"/>
      <sheetName val="N_Lead5"/>
      <sheetName val="N_3_15"/>
      <sheetName val="N_85"/>
      <sheetName val="N_95"/>
      <sheetName val="Assumption_&amp;_Result5"/>
      <sheetName val="Dec_08_-_Jan_09_(2)5"/>
      <sheetName val="AA_1_BNI5"/>
      <sheetName val="I_4_1_(2)5"/>
      <sheetName val="Hay_Guide_Charts_Notes5"/>
      <sheetName val="trf_ns_045"/>
      <sheetName val="SL1006_(IDR)5"/>
      <sheetName val="trf_multiple5"/>
      <sheetName val="4_1_Placement_w_o_b5"/>
      <sheetName val="tabel_perkiraan5"/>
      <sheetName val="trfakt_sgl5"/>
      <sheetName val="trf_multiple_dnrks5"/>
      <sheetName val="SL1006_(VLS)5"/>
      <sheetName val="Irregular_Income5"/>
      <sheetName val="FE-1770_P15"/>
      <sheetName val="Benefit_Factors5"/>
      <sheetName val="Marshal_(2)5"/>
      <sheetName val="KKP_215"/>
      <sheetName val="tabel_masa_kerja5"/>
      <sheetName val="new_IFS_format5"/>
      <sheetName val="Art_235"/>
      <sheetName val="MTD_Results5"/>
      <sheetName val="YTD_Results5"/>
      <sheetName val="A3-Dec_2012-ALN5"/>
      <sheetName val="chiet_tinh3"/>
      <sheetName val="NB_UNIT35"/>
      <sheetName val="Customize_Your_Purchase_Order3"/>
      <sheetName val="9E1_32"/>
      <sheetName val="1195_B12"/>
      <sheetName val="mgr_&amp;_staff5"/>
      <sheetName val="ShareCapital_5"/>
      <sheetName val="Level_1_&amp;_23"/>
      <sheetName val="JAN_20013"/>
      <sheetName val="Trading_Statement3"/>
      <sheetName val="Rincian_Iuran3"/>
      <sheetName val="Data_Rekon3"/>
      <sheetName val="Premi_Iuran3"/>
      <sheetName val="Slide_222"/>
      <sheetName val="Data_WP2"/>
      <sheetName val="NY_ADMIN2"/>
      <sheetName val="SPI_GMBH2"/>
      <sheetName val="FA_sd_APRIL_072"/>
      <sheetName val="tabel_nilai3"/>
      <sheetName val="AA_1_1_BNI3"/>
      <sheetName val="_SAF_022"/>
      <sheetName val="UV_102"/>
      <sheetName val="YTD_Resurts2"/>
      <sheetName val="TRF_1502"/>
      <sheetName val="Material_Bpn_jul'072"/>
      <sheetName val="IMPUT_PENERIMAAN_BULK_WB2"/>
      <sheetName val="van_khuon2"/>
      <sheetName val="U2_22"/>
      <sheetName val="LINK_MOR2"/>
      <sheetName val="LINK_GAP2"/>
      <sheetName val="General_Info2"/>
      <sheetName val="Cost_Summary2"/>
      <sheetName val="SK_HTM2"/>
      <sheetName val="Entry__HTM2"/>
      <sheetName val="Cost_Analysis2"/>
      <sheetName val="Scenarios_and_Sensitivities3"/>
      <sheetName val="Global_Assumptions3"/>
      <sheetName val="F_2_WIP_CKP2"/>
      <sheetName val="F_2_1_CKP2"/>
      <sheetName val="1541020-House_Loan2"/>
      <sheetName val="RMS_FUNGSIONAL2"/>
      <sheetName val="RMS_-_STR_(2)2"/>
      <sheetName val="Permanent_info7"/>
      <sheetName val="Depreciation_&amp;_Peny_7"/>
      <sheetName val="PPh_21_Recon7"/>
      <sheetName val="fiscal_depr(E)7"/>
      <sheetName val="A_u_g7"/>
      <sheetName val="J_u_l7"/>
      <sheetName val="O_c_t7"/>
      <sheetName val="A_p_r7"/>
      <sheetName val="M_a_y7"/>
      <sheetName val="S_e_p7"/>
      <sheetName val="00_received_in_017"/>
      <sheetName val="F_e_b7"/>
      <sheetName val="Per_GL_J_a_n7"/>
      <sheetName val="J_u_n7"/>
      <sheetName val="M_a_r7"/>
      <sheetName val="C1_NOV7"/>
      <sheetName val="jurnal-audit_27"/>
      <sheetName val="EXT_B37"/>
      <sheetName val="B2_17"/>
      <sheetName val="Main_table7"/>
      <sheetName val="Data_Per_wilayah_Vin_Code_20067"/>
      <sheetName val="Data_Per_wilayah7"/>
      <sheetName val="Print_AR7"/>
      <sheetName val="INDIRECT_DETAIL6"/>
      <sheetName val="DIRECT_COST6"/>
      <sheetName val="E4_1d7"/>
      <sheetName val="Prog_Imbalan7"/>
      <sheetName val="DES_027"/>
      <sheetName val="Buku_Besar_17"/>
      <sheetName val="Pg7_47"/>
      <sheetName val="analisa_L-K7"/>
      <sheetName val="data_slip7"/>
      <sheetName val="Template_7"/>
      <sheetName val="jul05_ok6"/>
      <sheetName val="sept_05_dd6"/>
      <sheetName val="VAT_out7"/>
      <sheetName val="Danamon_LK7"/>
      <sheetName val="&quot;Outstanding_SO&quot;7"/>
      <sheetName val="Tax_Rate6"/>
      <sheetName val="SAP_PbT6"/>
      <sheetName val="TAX_SUMMARY7"/>
      <sheetName val="BSHO_Report6"/>
      <sheetName val="Check_Sheet6"/>
      <sheetName val="PLHO_Report6"/>
      <sheetName val="DFR_CT6"/>
      <sheetName val="Mkt_Total_by_Cat_B$6"/>
      <sheetName val="Mkt_Total_by_Cat_US$6"/>
      <sheetName val="N_Lead6"/>
      <sheetName val="N_3_16"/>
      <sheetName val="N_86"/>
      <sheetName val="N_96"/>
      <sheetName val="Assumption_&amp;_Result6"/>
      <sheetName val="Dec_08_-_Jan_09_(2)6"/>
      <sheetName val="AA_1_BNI6"/>
      <sheetName val="I_4_1_(2)6"/>
      <sheetName val="Hay_Guide_Charts_Notes6"/>
      <sheetName val="trf_ns_046"/>
      <sheetName val="SL1006_(IDR)6"/>
      <sheetName val="trf_multiple6"/>
      <sheetName val="4_1_Placement_w_o_b6"/>
      <sheetName val="tabel_perkiraan6"/>
      <sheetName val="trfakt_sgl6"/>
      <sheetName val="trf_multiple_dnrks6"/>
      <sheetName val="SL1006_(VLS)6"/>
      <sheetName val="Irregular_Income6"/>
      <sheetName val="FE-1770_P16"/>
      <sheetName val="Benefit_Factors6"/>
      <sheetName val="Marshal_(2)6"/>
      <sheetName val="KKP_216"/>
      <sheetName val="tabel_masa_kerja6"/>
      <sheetName val="new_IFS_format6"/>
      <sheetName val="Art_236"/>
      <sheetName val="MTD_Results6"/>
      <sheetName val="YTD_Results6"/>
      <sheetName val="A3-Dec_2012-ALN6"/>
      <sheetName val="chiet_tinh4"/>
      <sheetName val="NB_UNIT36"/>
      <sheetName val="Customize_Your_Purchase_Order4"/>
      <sheetName val="9E1_33"/>
      <sheetName val="1195_B13"/>
      <sheetName val="mgr_&amp;_staff6"/>
      <sheetName val="ShareCapital_6"/>
      <sheetName val="Level_1_&amp;_24"/>
      <sheetName val="JAN_20014"/>
      <sheetName val="Trading_Statement4"/>
      <sheetName val="Rincian_Iuran4"/>
      <sheetName val="Data_Rekon4"/>
      <sheetName val="Premi_Iuran4"/>
      <sheetName val="Slide_223"/>
      <sheetName val="Data_WP3"/>
      <sheetName val="NY_ADMIN3"/>
      <sheetName val="SPI_GMBH3"/>
      <sheetName val="FA_sd_APRIL_073"/>
      <sheetName val="tabel_nilai4"/>
      <sheetName val="AA_1_1_BNI4"/>
      <sheetName val="_SAF_023"/>
      <sheetName val="UV_103"/>
      <sheetName val="YTD_Resurts3"/>
      <sheetName val="TRF_1503"/>
      <sheetName val="Material_Bpn_jul'073"/>
      <sheetName val="IMPUT_PENERIMAAN_BULK_WB3"/>
      <sheetName val="van_khuon3"/>
      <sheetName val="U2_23"/>
      <sheetName val="LINK_MOR3"/>
      <sheetName val="LINK_GAP3"/>
      <sheetName val="General_Info3"/>
      <sheetName val="Cost_Summary3"/>
      <sheetName val="SK_HTM3"/>
      <sheetName val="Entry__HTM3"/>
      <sheetName val="Cost_Analysis3"/>
      <sheetName val="Scenarios_and_Sensitivities4"/>
      <sheetName val="Global_Assumptions4"/>
      <sheetName val="F_2_WIP_CKP3"/>
      <sheetName val="F_2_1_CKP3"/>
      <sheetName val="1541020-House_Loan3"/>
      <sheetName val="RMS_FUNGSIONAL3"/>
      <sheetName val="RMS_-_STR_(2)3"/>
      <sheetName val="Permanent_info10"/>
      <sheetName val="Depreciation_&amp;_Peny_10"/>
      <sheetName val="PPh_21_Recon10"/>
      <sheetName val="fiscal_depr(E)10"/>
      <sheetName val="A_u_g10"/>
      <sheetName val="J_u_l10"/>
      <sheetName val="O_c_t10"/>
      <sheetName val="A_p_r10"/>
      <sheetName val="M_a_y10"/>
      <sheetName val="S_e_p10"/>
      <sheetName val="00_received_in_0110"/>
      <sheetName val="F_e_b10"/>
      <sheetName val="Per_GL_J_a_n10"/>
      <sheetName val="J_u_n10"/>
      <sheetName val="M_a_r10"/>
      <sheetName val="C1_NOV10"/>
      <sheetName val="jurnal-audit_210"/>
      <sheetName val="EXT_B310"/>
      <sheetName val="B2_110"/>
      <sheetName val="Main_table10"/>
      <sheetName val="Data_Per_wilayah_Vin_Code_20010"/>
      <sheetName val="Data_Per_wilayah10"/>
      <sheetName val="Print_AR10"/>
      <sheetName val="INDIRECT_DETAIL9"/>
      <sheetName val="DIRECT_COST9"/>
      <sheetName val="E4_1d10"/>
      <sheetName val="Prog_Imbalan10"/>
      <sheetName val="DES_0210"/>
      <sheetName val="Buku_Besar_110"/>
      <sheetName val="Pg7_410"/>
      <sheetName val="analisa_L-K10"/>
      <sheetName val="data_slip10"/>
      <sheetName val="Template_10"/>
      <sheetName val="jul05_ok9"/>
      <sheetName val="sept_05_dd9"/>
      <sheetName val="VAT_out10"/>
      <sheetName val="Danamon_LK10"/>
      <sheetName val="&quot;Outstanding_SO&quot;10"/>
      <sheetName val="Tax_Rate9"/>
      <sheetName val="SAP_PbT9"/>
      <sheetName val="TAX_SUMMARY10"/>
      <sheetName val="BSHO_Report9"/>
      <sheetName val="Check_Sheet9"/>
      <sheetName val="PLHO_Report9"/>
      <sheetName val="DFR_CT9"/>
      <sheetName val="Mkt_Total_by_Cat_B$9"/>
      <sheetName val="Mkt_Total_by_Cat_US$9"/>
      <sheetName val="N_Lead9"/>
      <sheetName val="N_3_19"/>
      <sheetName val="N_89"/>
      <sheetName val="N_99"/>
      <sheetName val="Assumption_&amp;_Result9"/>
      <sheetName val="Dec_08_-_Jan_09_(2)9"/>
      <sheetName val="AA_1_BNI9"/>
      <sheetName val="I_4_1_(2)9"/>
      <sheetName val="Hay_Guide_Charts_Notes9"/>
      <sheetName val="trf_ns_049"/>
      <sheetName val="SL1006_(IDR)9"/>
      <sheetName val="trf_multiple9"/>
      <sheetName val="4_1_Placement_w_o_b9"/>
      <sheetName val="tabel_perkiraan9"/>
      <sheetName val="trfakt_sgl9"/>
      <sheetName val="trf_multiple_dnrks9"/>
      <sheetName val="SL1006_(VLS)9"/>
      <sheetName val="Irregular_Income9"/>
      <sheetName val="FE-1770_P19"/>
      <sheetName val="Benefit_Factors9"/>
      <sheetName val="Marshal_(2)9"/>
      <sheetName val="KKP_219"/>
      <sheetName val="tabel_masa_kerja9"/>
      <sheetName val="new_IFS_format9"/>
      <sheetName val="Art_239"/>
      <sheetName val="MTD_Results9"/>
      <sheetName val="YTD_Results9"/>
      <sheetName val="A3-Dec_2012-ALN9"/>
      <sheetName val="chiet_tinh7"/>
      <sheetName val="NB_UNIT39"/>
      <sheetName val="Customize_Your_Purchase_Order7"/>
      <sheetName val="9E1_36"/>
      <sheetName val="1195_B16"/>
      <sheetName val="mgr_&amp;_staff9"/>
      <sheetName val="ShareCapital_9"/>
      <sheetName val="Level_1_&amp;_27"/>
      <sheetName val="JAN_20017"/>
      <sheetName val="Trading_Statement7"/>
      <sheetName val="Rincian_Iuran7"/>
      <sheetName val="Data_Rekon7"/>
      <sheetName val="Premi_Iuran7"/>
      <sheetName val="Slide_226"/>
      <sheetName val="Data_WP6"/>
      <sheetName val="NY_ADMIN6"/>
      <sheetName val="SPI_GMBH6"/>
      <sheetName val="FA_sd_APRIL_076"/>
      <sheetName val="tabel_nilai7"/>
      <sheetName val="AA_1_1_BNI7"/>
      <sheetName val="_SAF_026"/>
      <sheetName val="UV_106"/>
      <sheetName val="YTD_Resurts6"/>
      <sheetName val="TRF_1506"/>
      <sheetName val="Material_Bpn_jul'076"/>
      <sheetName val="IMPUT_PENERIMAAN_BULK_WB6"/>
      <sheetName val="van_khuon6"/>
      <sheetName val="U2_26"/>
      <sheetName val="LINK_MOR6"/>
      <sheetName val="LINK_GAP6"/>
      <sheetName val="General_Info6"/>
      <sheetName val="Cost_Summary6"/>
      <sheetName val="SK_HTM6"/>
      <sheetName val="Entry__HTM6"/>
      <sheetName val="Cost_Analysis6"/>
      <sheetName val="Scenarios_and_Sensitivities7"/>
      <sheetName val="Global_Assumptions7"/>
      <sheetName val="F_2_WIP_CKP6"/>
      <sheetName val="F_2_1_CKP6"/>
      <sheetName val="1541020-House_Loan6"/>
      <sheetName val="RMS_FUNGSIONAL6"/>
      <sheetName val="RMS_-_STR_(2)6"/>
      <sheetName val="Permanent_info8"/>
      <sheetName val="Depreciation_&amp;_Peny_8"/>
      <sheetName val="PPh_21_Recon8"/>
      <sheetName val="fiscal_depr(E)8"/>
      <sheetName val="A_u_g8"/>
      <sheetName val="J_u_l8"/>
      <sheetName val="O_c_t8"/>
      <sheetName val="A_p_r8"/>
      <sheetName val="M_a_y8"/>
      <sheetName val="S_e_p8"/>
      <sheetName val="00_received_in_018"/>
      <sheetName val="F_e_b8"/>
      <sheetName val="Per_GL_J_a_n8"/>
      <sheetName val="J_u_n8"/>
      <sheetName val="M_a_r8"/>
      <sheetName val="C1_NOV8"/>
      <sheetName val="jurnal-audit_28"/>
      <sheetName val="EXT_B38"/>
      <sheetName val="B2_18"/>
      <sheetName val="Main_table8"/>
      <sheetName val="Data_Per_wilayah_Vin_Code_20068"/>
      <sheetName val="Data_Per_wilayah8"/>
      <sheetName val="Print_AR8"/>
      <sheetName val="INDIRECT_DETAIL7"/>
      <sheetName val="DIRECT_COST7"/>
      <sheetName val="E4_1d8"/>
      <sheetName val="Prog_Imbalan8"/>
      <sheetName val="DES_028"/>
      <sheetName val="Buku_Besar_18"/>
      <sheetName val="Pg7_48"/>
      <sheetName val="analisa_L-K8"/>
      <sheetName val="data_slip8"/>
      <sheetName val="Template_8"/>
      <sheetName val="jul05_ok7"/>
      <sheetName val="sept_05_dd7"/>
      <sheetName val="VAT_out8"/>
      <sheetName val="Danamon_LK8"/>
      <sheetName val="&quot;Outstanding_SO&quot;8"/>
      <sheetName val="Tax_Rate7"/>
      <sheetName val="SAP_PbT7"/>
      <sheetName val="TAX_SUMMARY8"/>
      <sheetName val="BSHO_Report7"/>
      <sheetName val="Check_Sheet7"/>
      <sheetName val="PLHO_Report7"/>
      <sheetName val="DFR_CT7"/>
      <sheetName val="Mkt_Total_by_Cat_B$7"/>
      <sheetName val="Mkt_Total_by_Cat_US$7"/>
      <sheetName val="N_Lead7"/>
      <sheetName val="N_3_17"/>
      <sheetName val="N_87"/>
      <sheetName val="N_97"/>
      <sheetName val="Assumption_&amp;_Result7"/>
      <sheetName val="Dec_08_-_Jan_09_(2)7"/>
      <sheetName val="AA_1_BNI7"/>
      <sheetName val="I_4_1_(2)7"/>
      <sheetName val="Hay_Guide_Charts_Notes7"/>
      <sheetName val="trf_ns_047"/>
      <sheetName val="SL1006_(IDR)7"/>
      <sheetName val="trf_multiple7"/>
      <sheetName val="4_1_Placement_w_o_b7"/>
      <sheetName val="tabel_perkiraan7"/>
      <sheetName val="trfakt_sgl7"/>
      <sheetName val="trf_multiple_dnrks7"/>
      <sheetName val="SL1006_(VLS)7"/>
      <sheetName val="Irregular_Income7"/>
      <sheetName val="FE-1770_P17"/>
      <sheetName val="Benefit_Factors7"/>
      <sheetName val="Marshal_(2)7"/>
      <sheetName val="KKP_217"/>
      <sheetName val="tabel_masa_kerja7"/>
      <sheetName val="new_IFS_format7"/>
      <sheetName val="Art_237"/>
      <sheetName val="MTD_Results7"/>
      <sheetName val="YTD_Results7"/>
      <sheetName val="A3-Dec_2012-ALN7"/>
      <sheetName val="chiet_tinh5"/>
      <sheetName val="NB_UNIT37"/>
      <sheetName val="Customize_Your_Purchase_Order5"/>
      <sheetName val="9E1_34"/>
      <sheetName val="1195_B14"/>
      <sheetName val="mgr_&amp;_staff7"/>
      <sheetName val="ShareCapital_7"/>
      <sheetName val="Level_1_&amp;_25"/>
      <sheetName val="JAN_20015"/>
      <sheetName val="Trading_Statement5"/>
      <sheetName val="Rincian_Iuran5"/>
      <sheetName val="Data_Rekon5"/>
      <sheetName val="Premi_Iuran5"/>
      <sheetName val="Slide_224"/>
      <sheetName val="Data_WP4"/>
      <sheetName val="NY_ADMIN4"/>
      <sheetName val="SPI_GMBH4"/>
      <sheetName val="FA_sd_APRIL_074"/>
      <sheetName val="tabel_nilai5"/>
      <sheetName val="AA_1_1_BNI5"/>
      <sheetName val="_SAF_024"/>
      <sheetName val="UV_104"/>
      <sheetName val="YTD_Resurts4"/>
      <sheetName val="TRF_1504"/>
      <sheetName val="Material_Bpn_jul'074"/>
      <sheetName val="IMPUT_PENERIMAAN_BULK_WB4"/>
      <sheetName val="van_khuon4"/>
      <sheetName val="U2_24"/>
      <sheetName val="LINK_MOR4"/>
      <sheetName val="LINK_GAP4"/>
      <sheetName val="General_Info4"/>
      <sheetName val="Cost_Summary4"/>
      <sheetName val="SK_HTM4"/>
      <sheetName val="Entry__HTM4"/>
      <sheetName val="Cost_Analysis4"/>
      <sheetName val="Scenarios_and_Sensitivities5"/>
      <sheetName val="Global_Assumptions5"/>
      <sheetName val="F_2_WIP_CKP4"/>
      <sheetName val="F_2_1_CKP4"/>
      <sheetName val="1541020-House_Loan4"/>
      <sheetName val="RMS_FUNGSIONAL4"/>
      <sheetName val="RMS_-_STR_(2)4"/>
      <sheetName val="Permanent_info9"/>
      <sheetName val="Depreciation_&amp;_Peny_9"/>
      <sheetName val="PPh_21_Recon9"/>
      <sheetName val="fiscal_depr(E)9"/>
      <sheetName val="A_u_g9"/>
      <sheetName val="J_u_l9"/>
      <sheetName val="O_c_t9"/>
      <sheetName val="A_p_r9"/>
      <sheetName val="M_a_y9"/>
      <sheetName val="S_e_p9"/>
      <sheetName val="00_received_in_019"/>
      <sheetName val="F_e_b9"/>
      <sheetName val="Per_GL_J_a_n9"/>
      <sheetName val="J_u_n9"/>
      <sheetName val="M_a_r9"/>
      <sheetName val="C1_NOV9"/>
      <sheetName val="jurnal-audit_29"/>
      <sheetName val="EXT_B39"/>
      <sheetName val="B2_19"/>
      <sheetName val="Main_table9"/>
      <sheetName val="Data_Per_wilayah_Vin_Code_20069"/>
      <sheetName val="Data_Per_wilayah9"/>
      <sheetName val="Print_AR9"/>
      <sheetName val="INDIRECT_DETAIL8"/>
      <sheetName val="DIRECT_COST8"/>
      <sheetName val="E4_1d9"/>
      <sheetName val="Prog_Imbalan9"/>
      <sheetName val="DES_029"/>
      <sheetName val="Buku_Besar_19"/>
      <sheetName val="Pg7_49"/>
      <sheetName val="analisa_L-K9"/>
      <sheetName val="data_slip9"/>
      <sheetName val="Template_9"/>
      <sheetName val="jul05_ok8"/>
      <sheetName val="sept_05_dd8"/>
      <sheetName val="VAT_out9"/>
      <sheetName val="Danamon_LK9"/>
      <sheetName val="&quot;Outstanding_SO&quot;9"/>
      <sheetName val="Tax_Rate8"/>
      <sheetName val="SAP_PbT8"/>
      <sheetName val="TAX_SUMMARY9"/>
      <sheetName val="BSHO_Report8"/>
      <sheetName val="Check_Sheet8"/>
      <sheetName val="PLHO_Report8"/>
      <sheetName val="DFR_CT8"/>
      <sheetName val="Mkt_Total_by_Cat_B$8"/>
      <sheetName val="Mkt_Total_by_Cat_US$8"/>
      <sheetName val="N_Lead8"/>
      <sheetName val="N_3_18"/>
      <sheetName val="N_88"/>
      <sheetName val="N_98"/>
      <sheetName val="Assumption_&amp;_Result8"/>
      <sheetName val="Dec_08_-_Jan_09_(2)8"/>
      <sheetName val="AA_1_BNI8"/>
      <sheetName val="I_4_1_(2)8"/>
      <sheetName val="Hay_Guide_Charts_Notes8"/>
      <sheetName val="trf_ns_048"/>
      <sheetName val="SL1006_(IDR)8"/>
      <sheetName val="trf_multiple8"/>
      <sheetName val="4_1_Placement_w_o_b8"/>
      <sheetName val="tabel_perkiraan8"/>
      <sheetName val="trfakt_sgl8"/>
      <sheetName val="trf_multiple_dnrks8"/>
      <sheetName val="SL1006_(VLS)8"/>
      <sheetName val="Irregular_Income8"/>
      <sheetName val="FE-1770_P18"/>
      <sheetName val="Benefit_Factors8"/>
      <sheetName val="Marshal_(2)8"/>
      <sheetName val="KKP_218"/>
      <sheetName val="tabel_masa_kerja8"/>
      <sheetName val="new_IFS_format8"/>
      <sheetName val="Art_238"/>
      <sheetName val="MTD_Results8"/>
      <sheetName val="YTD_Results8"/>
      <sheetName val="A3-Dec_2012-ALN8"/>
      <sheetName val="chiet_tinh6"/>
      <sheetName val="NB_UNIT38"/>
      <sheetName val="Customize_Your_Purchase_Order6"/>
      <sheetName val="9E1_35"/>
      <sheetName val="1195_B15"/>
      <sheetName val="mgr_&amp;_staff8"/>
      <sheetName val="ShareCapital_8"/>
      <sheetName val="Level_1_&amp;_26"/>
      <sheetName val="JAN_20016"/>
      <sheetName val="Trading_Statement6"/>
      <sheetName val="Rincian_Iuran6"/>
      <sheetName val="Data_Rekon6"/>
      <sheetName val="Premi_Iuran6"/>
      <sheetName val="Slide_225"/>
      <sheetName val="Data_WP5"/>
      <sheetName val="NY_ADMIN5"/>
      <sheetName val="SPI_GMBH5"/>
      <sheetName val="FA_sd_APRIL_075"/>
      <sheetName val="tabel_nilai6"/>
      <sheetName val="AA_1_1_BNI6"/>
      <sheetName val="_SAF_025"/>
      <sheetName val="UV_105"/>
      <sheetName val="YTD_Resurts5"/>
      <sheetName val="TRF_1505"/>
      <sheetName val="Material_Bpn_jul'075"/>
      <sheetName val="IMPUT_PENERIMAAN_BULK_WB5"/>
      <sheetName val="van_khuon5"/>
      <sheetName val="U2_25"/>
      <sheetName val="LINK_MOR5"/>
      <sheetName val="LINK_GAP5"/>
      <sheetName val="General_Info5"/>
      <sheetName val="Cost_Summary5"/>
      <sheetName val="SK_HTM5"/>
      <sheetName val="Entry__HTM5"/>
      <sheetName val="Cost_Analysis5"/>
      <sheetName val="Scenarios_and_Sensitivities6"/>
      <sheetName val="Global_Assumptions6"/>
      <sheetName val="F_2_WIP_CKP5"/>
      <sheetName val="F_2_1_CKP5"/>
      <sheetName val="1541020-House_Loan5"/>
      <sheetName val="RMS_FUNGSIONAL5"/>
      <sheetName val="RMS_-_STR_(2)5"/>
      <sheetName val="Permanent_info11"/>
      <sheetName val="Depreciation_&amp;_Peny_11"/>
      <sheetName val="PPh_21_Recon11"/>
      <sheetName val="fiscal_depr(E)11"/>
      <sheetName val="A_u_g11"/>
      <sheetName val="J_u_l11"/>
      <sheetName val="O_c_t11"/>
      <sheetName val="A_p_r11"/>
      <sheetName val="M_a_y11"/>
      <sheetName val="S_e_p11"/>
      <sheetName val="00_received_in_0111"/>
      <sheetName val="F_e_b11"/>
      <sheetName val="Per_GL_J_a_n11"/>
      <sheetName val="J_u_n11"/>
      <sheetName val="M_a_r11"/>
      <sheetName val="C1_NOV11"/>
      <sheetName val="jurnal-audit_211"/>
      <sheetName val="EXT_B311"/>
      <sheetName val="B2_111"/>
      <sheetName val="Main_table11"/>
      <sheetName val="Data_Per_wilayah_Vin_Code_20011"/>
      <sheetName val="Data_Per_wilayah11"/>
      <sheetName val="Print_AR11"/>
      <sheetName val="INDIRECT_DETAIL10"/>
      <sheetName val="DIRECT_COST10"/>
      <sheetName val="E4_1d11"/>
      <sheetName val="Prog_Imbalan11"/>
      <sheetName val="DES_0211"/>
      <sheetName val="Buku_Besar_111"/>
      <sheetName val="Pg7_411"/>
      <sheetName val="analisa_L-K11"/>
      <sheetName val="data_slip11"/>
      <sheetName val="Template_11"/>
      <sheetName val="jul05_ok10"/>
      <sheetName val="sept_05_dd10"/>
      <sheetName val="VAT_out11"/>
      <sheetName val="Danamon_LK11"/>
      <sheetName val="&quot;Outstanding_SO&quot;11"/>
      <sheetName val="Tax_Rate10"/>
      <sheetName val="SAP_PbT10"/>
      <sheetName val="TAX_SUMMARY11"/>
      <sheetName val="BSHO_Report10"/>
      <sheetName val="Check_Sheet10"/>
      <sheetName val="PLHO_Report10"/>
      <sheetName val="DFR_CT10"/>
      <sheetName val="Mkt_Total_by_Cat_B$10"/>
      <sheetName val="Mkt_Total_by_Cat_US$10"/>
      <sheetName val="N_Lead10"/>
      <sheetName val="N_3_110"/>
      <sheetName val="N_810"/>
      <sheetName val="N_910"/>
      <sheetName val="Assumption_&amp;_Result10"/>
      <sheetName val="Dec_08_-_Jan_09_(2)10"/>
      <sheetName val="AA_1_BNI10"/>
      <sheetName val="I_4_1_(2)10"/>
      <sheetName val="Hay_Guide_Charts_Notes10"/>
      <sheetName val="trf_ns_0410"/>
      <sheetName val="SL1006_(IDR)10"/>
      <sheetName val="trf_multiple10"/>
      <sheetName val="4_1_Placement_w_o_b10"/>
      <sheetName val="tabel_perkiraan10"/>
      <sheetName val="trfakt_sgl10"/>
      <sheetName val="trf_multiple_dnrks10"/>
      <sheetName val="SL1006_(VLS)10"/>
      <sheetName val="Irregular_Income10"/>
      <sheetName val="FE-1770_P110"/>
      <sheetName val="Benefit_Factors10"/>
      <sheetName val="Marshal_(2)10"/>
      <sheetName val="KKP_2110"/>
      <sheetName val="tabel_masa_kerja10"/>
      <sheetName val="new_IFS_format10"/>
      <sheetName val="Art_2310"/>
      <sheetName val="MTD_Results10"/>
      <sheetName val="YTD_Results10"/>
      <sheetName val="A3-Dec_2012-ALN10"/>
      <sheetName val="chiet_tinh8"/>
      <sheetName val="NB_UNIT310"/>
      <sheetName val="Customize_Your_Purchase_Order8"/>
      <sheetName val="9E1_37"/>
      <sheetName val="1195_B17"/>
      <sheetName val="mgr_&amp;_staff10"/>
      <sheetName val="ShareCapital_10"/>
      <sheetName val="Level_1_&amp;_28"/>
      <sheetName val="JAN_20018"/>
      <sheetName val="Trading_Statement8"/>
      <sheetName val="Rincian_Iuran8"/>
      <sheetName val="Data_Rekon8"/>
      <sheetName val="Premi_Iuran8"/>
      <sheetName val="Slide_227"/>
      <sheetName val="Data_WP7"/>
      <sheetName val="NY_ADMIN7"/>
      <sheetName val="SPI_GMBH7"/>
      <sheetName val="FA_sd_APRIL_077"/>
      <sheetName val="tabel_nilai8"/>
      <sheetName val="AA_1_1_BNI8"/>
      <sheetName val="_SAF_027"/>
      <sheetName val="UV_107"/>
      <sheetName val="YTD_Resurts7"/>
      <sheetName val="TRF_1507"/>
      <sheetName val="Material_Bpn_jul'077"/>
      <sheetName val="IMPUT_PENERIMAAN_BULK_WB7"/>
      <sheetName val="van_khuon7"/>
      <sheetName val="U2_27"/>
      <sheetName val="LINK_MOR7"/>
      <sheetName val="LINK_GAP7"/>
      <sheetName val="General_Info7"/>
      <sheetName val="Cost_Summary7"/>
      <sheetName val="SK_HTM7"/>
      <sheetName val="Entry__HTM7"/>
      <sheetName val="Cost_Analysis7"/>
      <sheetName val="Scenarios_and_Sensitivities8"/>
      <sheetName val="Global_Assumptions8"/>
      <sheetName val="F_2_WIP_CKP7"/>
      <sheetName val="F_2_1_CKP7"/>
      <sheetName val="1541020-House_Loan7"/>
      <sheetName val="RMS_FUNGSIONAL7"/>
      <sheetName val="RMS_-_STR_(2)7"/>
      <sheetName val="Permanent_info12"/>
      <sheetName val="Depreciation_&amp;_Peny_12"/>
      <sheetName val="PPh_21_Recon12"/>
      <sheetName val="fiscal_depr(E)12"/>
      <sheetName val="A_u_g12"/>
      <sheetName val="J_u_l12"/>
      <sheetName val="O_c_t12"/>
      <sheetName val="A_p_r12"/>
      <sheetName val="M_a_y12"/>
      <sheetName val="S_e_p12"/>
      <sheetName val="00_received_in_0112"/>
      <sheetName val="F_e_b12"/>
      <sheetName val="Per_GL_J_a_n12"/>
      <sheetName val="J_u_n12"/>
      <sheetName val="M_a_r12"/>
      <sheetName val="C1_NOV12"/>
      <sheetName val="jurnal-audit_212"/>
      <sheetName val="EXT_B312"/>
      <sheetName val="B2_112"/>
      <sheetName val="Main_table12"/>
      <sheetName val="Data_Per_wilayah_Vin_Code_20012"/>
      <sheetName val="Data_Per_wilayah12"/>
      <sheetName val="Print_AR12"/>
      <sheetName val="INDIRECT_DETAIL11"/>
      <sheetName val="DIRECT_COST11"/>
      <sheetName val="E4_1d12"/>
      <sheetName val="Prog_Imbalan12"/>
      <sheetName val="DES_0212"/>
      <sheetName val="Buku_Besar_112"/>
      <sheetName val="Pg7_412"/>
      <sheetName val="analisa_L-K12"/>
      <sheetName val="data_slip12"/>
      <sheetName val="Template_12"/>
      <sheetName val="jul05_ok11"/>
      <sheetName val="sept_05_dd11"/>
      <sheetName val="VAT_out12"/>
      <sheetName val="Danamon_LK12"/>
      <sheetName val="&quot;Outstanding_SO&quot;12"/>
      <sheetName val="Tax_Rate11"/>
      <sheetName val="SAP_PbT11"/>
      <sheetName val="TAX_SUMMARY12"/>
      <sheetName val="BSHO_Report11"/>
      <sheetName val="Check_Sheet11"/>
      <sheetName val="PLHO_Report11"/>
      <sheetName val="DFR_CT11"/>
      <sheetName val="Mkt_Total_by_Cat_B$11"/>
      <sheetName val="Mkt_Total_by_Cat_US$11"/>
      <sheetName val="N_Lead11"/>
      <sheetName val="N_3_111"/>
      <sheetName val="N_811"/>
      <sheetName val="N_911"/>
      <sheetName val="Assumption_&amp;_Result11"/>
      <sheetName val="Dec_08_-_Jan_09_(2)11"/>
      <sheetName val="AA_1_BNI11"/>
      <sheetName val="I_4_1_(2)11"/>
      <sheetName val="Hay_Guide_Charts_Notes11"/>
      <sheetName val="trf_ns_0411"/>
      <sheetName val="SL1006_(IDR)11"/>
      <sheetName val="trf_multiple11"/>
      <sheetName val="4_1_Placement_w_o_b11"/>
      <sheetName val="tabel_perkiraan11"/>
      <sheetName val="trfakt_sgl11"/>
      <sheetName val="trf_multiple_dnrks11"/>
      <sheetName val="SL1006_(VLS)11"/>
      <sheetName val="Irregular_Income11"/>
      <sheetName val="FE-1770_P111"/>
      <sheetName val="Benefit_Factors11"/>
      <sheetName val="Marshal_(2)11"/>
      <sheetName val="KKP_2111"/>
      <sheetName val="tabel_masa_kerja11"/>
      <sheetName val="new_IFS_format11"/>
      <sheetName val="Art_2311"/>
      <sheetName val="MTD_Results11"/>
      <sheetName val="YTD_Results11"/>
      <sheetName val="A3-Dec_2012-ALN11"/>
      <sheetName val="chiet_tinh9"/>
      <sheetName val="NB_UNIT311"/>
      <sheetName val="Customize_Your_Purchase_Order9"/>
      <sheetName val="9E1_38"/>
      <sheetName val="1195_B18"/>
      <sheetName val="mgr_&amp;_staff11"/>
      <sheetName val="ShareCapital_11"/>
      <sheetName val="Level_1_&amp;_29"/>
      <sheetName val="JAN_20019"/>
      <sheetName val="Trading_Statement9"/>
      <sheetName val="Rincian_Iuran9"/>
      <sheetName val="Data_Rekon9"/>
      <sheetName val="Premi_Iuran9"/>
      <sheetName val="Slide_228"/>
      <sheetName val="Data_WP8"/>
      <sheetName val="NY_ADMIN8"/>
      <sheetName val="SPI_GMBH8"/>
      <sheetName val="FA_sd_APRIL_078"/>
      <sheetName val="tabel_nilai9"/>
      <sheetName val="AA_1_1_BNI9"/>
      <sheetName val="_SAF_028"/>
      <sheetName val="UV_108"/>
      <sheetName val="YTD_Resurts8"/>
      <sheetName val="TRF_1508"/>
      <sheetName val="Material_Bpn_jul'078"/>
      <sheetName val="IMPUT_PENERIMAAN_BULK_WB8"/>
      <sheetName val="van_khuon8"/>
      <sheetName val="U2_28"/>
      <sheetName val="LINK_MOR8"/>
      <sheetName val="LINK_GAP8"/>
      <sheetName val="General_Info8"/>
      <sheetName val="Cost_Summary8"/>
      <sheetName val="SK_HTM8"/>
      <sheetName val="Entry__HTM8"/>
      <sheetName val="Cost_Analysis8"/>
      <sheetName val="Scenarios_and_Sensitivities9"/>
      <sheetName val="Global_Assumptions9"/>
      <sheetName val="F_2_WIP_CKP8"/>
      <sheetName val="F_2_1_CKP8"/>
      <sheetName val="1541020-House_Loan8"/>
      <sheetName val="RMS_FUNGSIONAL8"/>
      <sheetName val="RMS_-_STR_(2)8"/>
      <sheetName val="BPR"/>
      <sheetName val="PL (MONTHLY)"/>
      <sheetName val="HPP_PER_BULAN"/>
      <sheetName val="HPP_PER_BULAN1"/>
      <sheetName val="movement&amp;add_test"/>
      <sheetName val="HPP_PER_BULAN2"/>
      <sheetName val="movement&amp;add_test1"/>
      <sheetName val="master (2)"/>
      <sheetName val="shw03"/>
      <sheetName val="Lookup2"/>
      <sheetName val="KKP"/>
      <sheetName val="GL 546111"/>
      <sheetName val="DbKtr"/>
      <sheetName val="R-1"/>
      <sheetName val="2003 Forecast"/>
      <sheetName val="2004 Risk Adjusted AOP"/>
      <sheetName val="Module2"/>
      <sheetName val="AN_Input"/>
      <sheetName val="TELDEP-RP"/>
      <sheetName val="CONTROL"/>
      <sheetName val="BA all pnjam"/>
      <sheetName val="KPRIKPA1.19 PEMB PHP"/>
      <sheetName val="KetPhk3"/>
      <sheetName val="LONGER"/>
      <sheetName val="RK1"/>
      <sheetName val="MPP0102"/>
      <sheetName val="all ar"/>
      <sheetName val="A-lr pabrik"/>
      <sheetName val="CBD"/>
      <sheetName val="DPL3Qytd"/>
      <sheetName val="DPL3Q"/>
      <sheetName val="L_23"/>
      <sheetName val="VR-Rev"/>
      <sheetName val="VR_Rev"/>
      <sheetName val="F-19.2"/>
      <sheetName val="AR"/>
      <sheetName val="Telin SG-HK Sales transaction"/>
      <sheetName val="Telin SG-HKPurchase transaction"/>
      <sheetName val="SE"/>
      <sheetName val="Overview"/>
      <sheetName val="PPh_2p³_x0008__x0018_"/>
      <sheetName val="Client AJE"/>
      <sheetName val="kriteria"/>
      <sheetName val="LPP-2"/>
      <sheetName val="kode transaksi"/>
      <sheetName val="Price"/>
      <sheetName val="fiscal depr_E_"/>
      <sheetName val="A_4_2"/>
      <sheetName val="A_4_3"/>
      <sheetName val="Analisa_Alat_Berat"/>
      <sheetName val="Sales_Report_MKTG"/>
      <sheetName val="U-3_1_1_telephone"/>
      <sheetName val="corp_tax"/>
      <sheetName val="PPh_2p³"/>
      <sheetName val="701500_TRAVEL_ADVANCE1"/>
      <sheetName val="Permanent_info15"/>
      <sheetName val="Depreciation_&amp;_Peny_15"/>
      <sheetName val="PPh_21_Recon15"/>
      <sheetName val="fiscal_depr(E)15"/>
      <sheetName val="A_u_g15"/>
      <sheetName val="J_u_l15"/>
      <sheetName val="O_c_t15"/>
      <sheetName val="A_p_r15"/>
      <sheetName val="M_a_y15"/>
      <sheetName val="S_e_p15"/>
      <sheetName val="00_received_in_0115"/>
      <sheetName val="F_e_b15"/>
      <sheetName val="Per_GL_J_a_n15"/>
      <sheetName val="J_u_n15"/>
      <sheetName val="M_a_r15"/>
      <sheetName val="C1_NOV15"/>
      <sheetName val="jurnal-audit_215"/>
      <sheetName val="EXT_B315"/>
      <sheetName val="B2_115"/>
      <sheetName val="Main_table15"/>
      <sheetName val="Data_Per_wilayah_Vin_Code_20015"/>
      <sheetName val="Data_Per_wilayah15"/>
      <sheetName val="Print_AR15"/>
      <sheetName val="INDIRECT_DETAIL14"/>
      <sheetName val="DIRECT_COST14"/>
      <sheetName val="E4_1d15"/>
      <sheetName val="Prog_Imbalan15"/>
      <sheetName val="DES_0215"/>
      <sheetName val="Buku_Besar_115"/>
      <sheetName val="Pg7_415"/>
      <sheetName val="analisa_L-K15"/>
      <sheetName val="data_slip15"/>
      <sheetName val="Template_15"/>
      <sheetName val="jul05_ok14"/>
      <sheetName val="sept_05_dd14"/>
      <sheetName val="VAT_out15"/>
      <sheetName val="Danamon_LK15"/>
      <sheetName val="&quot;Outstanding_SO&quot;15"/>
      <sheetName val="Tax_Rate14"/>
      <sheetName val="SAP_PbT14"/>
      <sheetName val="TAX_SUMMARY15"/>
      <sheetName val="BSHO_Report14"/>
      <sheetName val="Check_Sheet14"/>
      <sheetName val="PLHO_Report14"/>
      <sheetName val="DFR_CT14"/>
      <sheetName val="Mkt_Total_by_Cat_B$14"/>
      <sheetName val="Mkt_Total_by_Cat_US$14"/>
      <sheetName val="N_Lead14"/>
      <sheetName val="N_3_114"/>
      <sheetName val="N_814"/>
      <sheetName val="N_914"/>
      <sheetName val="Assumption_&amp;_Result14"/>
      <sheetName val="Dec_08_-_Jan_09_(2)14"/>
      <sheetName val="AA_1_BNI14"/>
      <sheetName val="I_4_1_(2)14"/>
      <sheetName val="Hay_Guide_Charts_Notes14"/>
      <sheetName val="trf_ns_0414"/>
      <sheetName val="SL1006_(IDR)14"/>
      <sheetName val="trf_multiple14"/>
      <sheetName val="4_1_Placement_w_o_b14"/>
      <sheetName val="tabel_perkiraan14"/>
      <sheetName val="trfakt_sgl14"/>
      <sheetName val="trf_multiple_dnrks14"/>
      <sheetName val="SL1006_(VLS)14"/>
      <sheetName val="Irregular_Income14"/>
      <sheetName val="FE-1770_P114"/>
      <sheetName val="Benefit_Factors14"/>
      <sheetName val="Marshal_(2)14"/>
      <sheetName val="KKP_2114"/>
      <sheetName val="tabel_masa_kerja14"/>
      <sheetName val="new_IFS_format14"/>
      <sheetName val="Art_2314"/>
      <sheetName val="MTD_Results14"/>
      <sheetName val="YTD_Results14"/>
      <sheetName val="A3-Dec_2012-ALN14"/>
      <sheetName val="chiet_tinh12"/>
      <sheetName val="NB_UNIT314"/>
      <sheetName val="Customize_Your_Purchase_Order12"/>
      <sheetName val="9E1_311"/>
      <sheetName val="1195_B111"/>
      <sheetName val="mgr_&amp;_staff14"/>
      <sheetName val="ShareCapital_14"/>
      <sheetName val="Level_1_&amp;_212"/>
      <sheetName val="JAN_200112"/>
      <sheetName val="Trading_Statement12"/>
      <sheetName val="Rincian_Iuran12"/>
      <sheetName val="Data_Rekon12"/>
      <sheetName val="Premi_Iuran12"/>
      <sheetName val="Slide_2211"/>
      <sheetName val="Data_WP11"/>
      <sheetName val="NY_ADMIN11"/>
      <sheetName val="SPI_GMBH11"/>
      <sheetName val="FA_sd_APRIL_0711"/>
      <sheetName val="tabel_nilai12"/>
      <sheetName val="AA_1_1_BNI12"/>
      <sheetName val="_SAF_0211"/>
      <sheetName val="UV_1011"/>
      <sheetName val="YTD_Resurts11"/>
      <sheetName val="TRF_15011"/>
      <sheetName val="Material_Bpn_jul'0711"/>
      <sheetName val="IMPUT_PENERIMAAN_BULK_WB11"/>
      <sheetName val="van_khuon11"/>
      <sheetName val="U2_211"/>
      <sheetName val="LINK_MOR11"/>
      <sheetName val="LINK_GAP11"/>
      <sheetName val="General_Info11"/>
      <sheetName val="Cost_Summary11"/>
      <sheetName val="SK_HTM11"/>
      <sheetName val="Entry__HTM11"/>
      <sheetName val="Cost_Analysis11"/>
      <sheetName val="Scenarios_and_Sensitivities12"/>
      <sheetName val="Global_Assumptions12"/>
      <sheetName val="F_2_WIP_CKP11"/>
      <sheetName val="F_2_1_CKP11"/>
      <sheetName val="1541020-House_Loan11"/>
      <sheetName val="RMS_FUNGSIONAL11"/>
      <sheetName val="RMS_-_STR_(2)11"/>
      <sheetName val="Permanent_info14"/>
      <sheetName val="Depreciation_&amp;_Peny_14"/>
      <sheetName val="PPh_21_Recon14"/>
      <sheetName val="fiscal_depr(E)14"/>
      <sheetName val="A_u_g14"/>
      <sheetName val="J_u_l14"/>
      <sheetName val="O_c_t14"/>
      <sheetName val="A_p_r14"/>
      <sheetName val="M_a_y14"/>
      <sheetName val="S_e_p14"/>
      <sheetName val="00_received_in_0114"/>
      <sheetName val="F_e_b14"/>
      <sheetName val="Per_GL_J_a_n14"/>
      <sheetName val="J_u_n14"/>
      <sheetName val="M_a_r14"/>
      <sheetName val="C1_NOV14"/>
      <sheetName val="jurnal-audit_214"/>
      <sheetName val="EXT_B314"/>
      <sheetName val="B2_114"/>
      <sheetName val="Main_table14"/>
      <sheetName val="Data_Per_wilayah_Vin_Code_20014"/>
      <sheetName val="Data_Per_wilayah14"/>
      <sheetName val="Print_AR14"/>
      <sheetName val="INDIRECT_DETAIL13"/>
      <sheetName val="DIRECT_COST13"/>
      <sheetName val="E4_1d14"/>
      <sheetName val="Prog_Imbalan14"/>
      <sheetName val="DES_0214"/>
      <sheetName val="Buku_Besar_114"/>
      <sheetName val="Pg7_414"/>
      <sheetName val="analisa_L-K14"/>
      <sheetName val="data_slip14"/>
      <sheetName val="Template_14"/>
      <sheetName val="jul05_ok13"/>
      <sheetName val="sept_05_dd13"/>
      <sheetName val="VAT_out14"/>
      <sheetName val="Danamon_LK14"/>
      <sheetName val="&quot;Outstanding_SO&quot;14"/>
      <sheetName val="Tax_Rate13"/>
      <sheetName val="SAP_PbT13"/>
      <sheetName val="TAX_SUMMARY14"/>
      <sheetName val="BSHO_Report13"/>
      <sheetName val="Check_Sheet13"/>
      <sheetName val="PLHO_Report13"/>
      <sheetName val="DFR_CT13"/>
      <sheetName val="Mkt_Total_by_Cat_B$13"/>
      <sheetName val="Mkt_Total_by_Cat_US$13"/>
      <sheetName val="N_Lead13"/>
      <sheetName val="N_3_113"/>
      <sheetName val="N_813"/>
      <sheetName val="N_913"/>
      <sheetName val="Assumption_&amp;_Result13"/>
      <sheetName val="Dec_08_-_Jan_09_(2)13"/>
      <sheetName val="AA_1_BNI13"/>
      <sheetName val="I_4_1_(2)13"/>
      <sheetName val="Hay_Guide_Charts_Notes13"/>
      <sheetName val="trf_ns_0413"/>
      <sheetName val="SL1006_(IDR)13"/>
      <sheetName val="trf_multiple13"/>
      <sheetName val="4_1_Placement_w_o_b13"/>
      <sheetName val="tabel_perkiraan13"/>
      <sheetName val="trfakt_sgl13"/>
      <sheetName val="trf_multiple_dnrks13"/>
      <sheetName val="SL1006_(VLS)13"/>
      <sheetName val="Irregular_Income13"/>
      <sheetName val="FE-1770_P113"/>
      <sheetName val="Benefit_Factors13"/>
      <sheetName val="Marshal_(2)13"/>
      <sheetName val="KKP_2113"/>
      <sheetName val="tabel_masa_kerja13"/>
      <sheetName val="new_IFS_format13"/>
      <sheetName val="Art_2313"/>
      <sheetName val="MTD_Results13"/>
      <sheetName val="YTD_Results13"/>
      <sheetName val="A3-Dec_2012-ALN13"/>
      <sheetName val="chiet_tinh11"/>
      <sheetName val="NB_UNIT313"/>
      <sheetName val="Customize_Your_Purchase_Order11"/>
      <sheetName val="9E1_310"/>
      <sheetName val="1195_B110"/>
      <sheetName val="mgr_&amp;_staff13"/>
      <sheetName val="ShareCapital_13"/>
      <sheetName val="Level_1_&amp;_211"/>
      <sheetName val="JAN_200111"/>
      <sheetName val="Trading_Statement11"/>
      <sheetName val="Rincian_Iuran11"/>
      <sheetName val="Data_Rekon11"/>
      <sheetName val="Premi_Iuran11"/>
      <sheetName val="Slide_2210"/>
      <sheetName val="Data_WP10"/>
      <sheetName val="NY_ADMIN10"/>
      <sheetName val="SPI_GMBH10"/>
      <sheetName val="FA_sd_APRIL_0710"/>
      <sheetName val="tabel_nilai11"/>
      <sheetName val="AA_1_1_BNI11"/>
      <sheetName val="_SAF_0210"/>
      <sheetName val="UV_1010"/>
      <sheetName val="YTD_Resurts10"/>
      <sheetName val="TRF_15010"/>
      <sheetName val="Material_Bpn_jul'0710"/>
      <sheetName val="IMPUT_PENERIMAAN_BULK_WB10"/>
      <sheetName val="van_khuon10"/>
      <sheetName val="U2_210"/>
      <sheetName val="LINK_MOR10"/>
      <sheetName val="LINK_GAP10"/>
      <sheetName val="General_Info10"/>
      <sheetName val="Cost_Summary10"/>
      <sheetName val="SK_HTM10"/>
      <sheetName val="Entry__HTM10"/>
      <sheetName val="Cost_Analysis10"/>
      <sheetName val="Scenarios_and_Sensitivities11"/>
      <sheetName val="Global_Assumptions11"/>
      <sheetName val="F_2_WIP_CKP10"/>
      <sheetName val="F_2_1_CKP10"/>
      <sheetName val="1541020-House_Loan10"/>
      <sheetName val="RMS_FUNGSIONAL10"/>
      <sheetName val="RMS_-_STR_(2)10"/>
      <sheetName val="Permanent_info13"/>
      <sheetName val="Depreciation_&amp;_Peny_13"/>
      <sheetName val="PPh_21_Recon13"/>
      <sheetName val="fiscal_depr(E)13"/>
      <sheetName val="A_u_g13"/>
      <sheetName val="J_u_l13"/>
      <sheetName val="O_c_t13"/>
      <sheetName val="A_p_r13"/>
      <sheetName val="M_a_y13"/>
      <sheetName val="S_e_p13"/>
      <sheetName val="00_received_in_0113"/>
      <sheetName val="F_e_b13"/>
      <sheetName val="Per_GL_J_a_n13"/>
      <sheetName val="J_u_n13"/>
      <sheetName val="M_a_r13"/>
      <sheetName val="C1_NOV13"/>
      <sheetName val="jurnal-audit_213"/>
      <sheetName val="EXT_B313"/>
      <sheetName val="B2_113"/>
      <sheetName val="Main_table13"/>
      <sheetName val="Data_Per_wilayah_Vin_Code_20013"/>
      <sheetName val="Data_Per_wilayah13"/>
      <sheetName val="Print_AR13"/>
      <sheetName val="INDIRECT_DETAIL12"/>
      <sheetName val="DIRECT_COST12"/>
      <sheetName val="E4_1d13"/>
      <sheetName val="Prog_Imbalan13"/>
      <sheetName val="DES_0213"/>
      <sheetName val="Buku_Besar_113"/>
      <sheetName val="Pg7_413"/>
      <sheetName val="analisa_L-K13"/>
      <sheetName val="data_slip13"/>
      <sheetName val="Template_13"/>
      <sheetName val="jul05_ok12"/>
      <sheetName val="sept_05_dd12"/>
      <sheetName val="VAT_out13"/>
      <sheetName val="Danamon_LK13"/>
      <sheetName val="&quot;Outstanding_SO&quot;13"/>
      <sheetName val="Tax_Rate12"/>
      <sheetName val="SAP_PbT12"/>
      <sheetName val="TAX_SUMMARY13"/>
      <sheetName val="BSHO_Report12"/>
      <sheetName val="Check_Sheet12"/>
      <sheetName val="PLHO_Report12"/>
      <sheetName val="DFR_CT12"/>
      <sheetName val="Mkt_Total_by_Cat_B$12"/>
      <sheetName val="Mkt_Total_by_Cat_US$12"/>
      <sheetName val="N_Lead12"/>
      <sheetName val="N_3_112"/>
      <sheetName val="N_812"/>
      <sheetName val="N_912"/>
      <sheetName val="Assumption_&amp;_Result12"/>
      <sheetName val="Dec_08_-_Jan_09_(2)12"/>
      <sheetName val="AA_1_BNI12"/>
      <sheetName val="I_4_1_(2)12"/>
      <sheetName val="Hay_Guide_Charts_Notes12"/>
      <sheetName val="trf_ns_0412"/>
      <sheetName val="SL1006_(IDR)12"/>
      <sheetName val="trf_multiple12"/>
      <sheetName val="4_1_Placement_w_o_b12"/>
      <sheetName val="tabel_perkiraan12"/>
      <sheetName val="trfakt_sgl12"/>
      <sheetName val="trf_multiple_dnrks12"/>
      <sheetName val="SL1006_(VLS)12"/>
      <sheetName val="Irregular_Income12"/>
      <sheetName val="FE-1770_P112"/>
      <sheetName val="Benefit_Factors12"/>
      <sheetName val="Marshal_(2)12"/>
      <sheetName val="KKP_2112"/>
      <sheetName val="tabel_masa_kerja12"/>
      <sheetName val="new_IFS_format12"/>
      <sheetName val="Art_2312"/>
      <sheetName val="MTD_Results12"/>
      <sheetName val="YTD_Results12"/>
      <sheetName val="A3-Dec_2012-ALN12"/>
      <sheetName val="chiet_tinh10"/>
      <sheetName val="NB_UNIT312"/>
      <sheetName val="Customize_Your_Purchase_Order10"/>
      <sheetName val="9E1_39"/>
      <sheetName val="1195_B19"/>
      <sheetName val="mgr_&amp;_staff12"/>
      <sheetName val="ShareCapital_12"/>
      <sheetName val="Level_1_&amp;_210"/>
      <sheetName val="JAN_200110"/>
      <sheetName val="Trading_Statement10"/>
      <sheetName val="Rincian_Iuran10"/>
      <sheetName val="Data_Rekon10"/>
      <sheetName val="Premi_Iuran10"/>
      <sheetName val="Slide_229"/>
      <sheetName val="Data_WP9"/>
      <sheetName val="NY_ADMIN9"/>
      <sheetName val="SPI_GMBH9"/>
      <sheetName val="FA_sd_APRIL_079"/>
      <sheetName val="tabel_nilai10"/>
      <sheetName val="AA_1_1_BNI10"/>
      <sheetName val="_SAF_029"/>
      <sheetName val="UV_109"/>
      <sheetName val="YTD_Resurts9"/>
      <sheetName val="TRF_1509"/>
      <sheetName val="Material_Bpn_jul'079"/>
      <sheetName val="IMPUT_PENERIMAAN_BULK_WB9"/>
      <sheetName val="van_khuon9"/>
      <sheetName val="U2_29"/>
      <sheetName val="LINK_MOR9"/>
      <sheetName val="LINK_GAP9"/>
      <sheetName val="General_Info9"/>
      <sheetName val="Cost_Summary9"/>
      <sheetName val="SK_HTM9"/>
      <sheetName val="Entry__HTM9"/>
      <sheetName val="Cost_Analysis9"/>
      <sheetName val="Scenarios_and_Sensitivities10"/>
      <sheetName val="Global_Assumptions10"/>
      <sheetName val="F_2_WIP_CKP9"/>
      <sheetName val="F_2_1_CKP9"/>
      <sheetName val="1541020-House_Loan9"/>
      <sheetName val="RMS_FUNGSIONAL9"/>
      <sheetName val="RMS_-_STR_(2)9"/>
      <sheetName val="Permanent_info17"/>
      <sheetName val="Depreciation_&amp;_Peny_17"/>
      <sheetName val="PPh_21_Recon17"/>
      <sheetName val="fiscal_depr(E)17"/>
      <sheetName val="A_u_g17"/>
      <sheetName val="J_u_l17"/>
      <sheetName val="O_c_t17"/>
      <sheetName val="A_p_r17"/>
      <sheetName val="M_a_y17"/>
      <sheetName val="S_e_p17"/>
      <sheetName val="00_received_in_0117"/>
      <sheetName val="F_e_b17"/>
      <sheetName val="Per_GL_J_a_n17"/>
      <sheetName val="J_u_n17"/>
      <sheetName val="M_a_r17"/>
      <sheetName val="C1_NOV17"/>
      <sheetName val="jurnal-audit_217"/>
      <sheetName val="EXT_B317"/>
      <sheetName val="B2_117"/>
      <sheetName val="Main_table17"/>
      <sheetName val="Data_Per_wilayah_Vin_Code_20017"/>
      <sheetName val="Data_Per_wilayah17"/>
      <sheetName val="Print_AR17"/>
      <sheetName val="INDIRECT_DETAIL16"/>
      <sheetName val="DIRECT_COST16"/>
      <sheetName val="E4_1d17"/>
      <sheetName val="Prog_Imbalan17"/>
      <sheetName val="DES_0217"/>
      <sheetName val="Buku_Besar_117"/>
      <sheetName val="Pg7_417"/>
      <sheetName val="analisa_L-K17"/>
      <sheetName val="data_slip17"/>
      <sheetName val="Template_17"/>
      <sheetName val="jul05_ok16"/>
      <sheetName val="sept_05_dd16"/>
      <sheetName val="VAT_out17"/>
      <sheetName val="Danamon_LK17"/>
      <sheetName val="&quot;Outstanding_SO&quot;17"/>
      <sheetName val="Tax_Rate16"/>
      <sheetName val="SAP_PbT16"/>
      <sheetName val="TAX_SUMMARY17"/>
      <sheetName val="BSHO_Report16"/>
      <sheetName val="Check_Sheet16"/>
      <sheetName val="PLHO_Report16"/>
      <sheetName val="DFR_CT16"/>
      <sheetName val="Mkt_Total_by_Cat_B$16"/>
      <sheetName val="Mkt_Total_by_Cat_US$16"/>
      <sheetName val="N_Lead16"/>
      <sheetName val="N_3_116"/>
      <sheetName val="N_816"/>
      <sheetName val="N_916"/>
      <sheetName val="Assumption_&amp;_Result16"/>
      <sheetName val="Dec_08_-_Jan_09_(2)16"/>
      <sheetName val="AA_1_BNI16"/>
      <sheetName val="I_4_1_(2)16"/>
      <sheetName val="Hay_Guide_Charts_Notes16"/>
      <sheetName val="trf_ns_0416"/>
      <sheetName val="SL1006_(IDR)16"/>
      <sheetName val="trf_multiple16"/>
      <sheetName val="4_1_Placement_w_o_b16"/>
      <sheetName val="tabel_perkiraan16"/>
      <sheetName val="trfakt_sgl16"/>
      <sheetName val="trf_multiple_dnrks16"/>
      <sheetName val="SL1006_(VLS)16"/>
      <sheetName val="Irregular_Income16"/>
      <sheetName val="FE-1770_P116"/>
      <sheetName val="Benefit_Factors16"/>
      <sheetName val="Marshal_(2)16"/>
      <sheetName val="KKP_2116"/>
      <sheetName val="tabel_masa_kerja16"/>
      <sheetName val="new_IFS_format16"/>
      <sheetName val="Art_2316"/>
      <sheetName val="MTD_Results16"/>
      <sheetName val="YTD_Results16"/>
      <sheetName val="A3-Dec_2012-ALN16"/>
      <sheetName val="chiet_tinh14"/>
      <sheetName val="NB_UNIT316"/>
      <sheetName val="Customize_Your_Purchase_Order14"/>
      <sheetName val="9E1_313"/>
      <sheetName val="1195_B113"/>
      <sheetName val="mgr_&amp;_staff16"/>
      <sheetName val="ShareCapital_16"/>
      <sheetName val="Level_1_&amp;_214"/>
      <sheetName val="JAN_200114"/>
      <sheetName val="Trading_Statement14"/>
      <sheetName val="Rincian_Iuran14"/>
      <sheetName val="Data_Rekon14"/>
      <sheetName val="Premi_Iuran14"/>
      <sheetName val="Slide_2213"/>
      <sheetName val="Data_WP13"/>
      <sheetName val="NY_ADMIN13"/>
      <sheetName val="SPI_GMBH13"/>
      <sheetName val="FA_sd_APRIL_0713"/>
      <sheetName val="tabel_nilai14"/>
      <sheetName val="AA_1_1_BNI14"/>
      <sheetName val="Permanent_info16"/>
      <sheetName val="Depreciation_&amp;_Peny_16"/>
      <sheetName val="PPh_21_Recon16"/>
      <sheetName val="fiscal_depr(E)16"/>
      <sheetName val="A_u_g16"/>
      <sheetName val="J_u_l16"/>
      <sheetName val="O_c_t16"/>
      <sheetName val="A_p_r16"/>
      <sheetName val="M_a_y16"/>
      <sheetName val="S_e_p16"/>
      <sheetName val="00_received_in_0116"/>
      <sheetName val="F_e_b16"/>
      <sheetName val="Per_GL_J_a_n16"/>
      <sheetName val="J_u_n16"/>
      <sheetName val="M_a_r16"/>
      <sheetName val="C1_NOV16"/>
      <sheetName val="jurnal-audit_216"/>
      <sheetName val="EXT_B316"/>
      <sheetName val="B2_116"/>
      <sheetName val="Main_table16"/>
      <sheetName val="Data_Per_wilayah_Vin_Code_20016"/>
      <sheetName val="Data_Per_wilayah16"/>
      <sheetName val="Print_AR16"/>
      <sheetName val="INDIRECT_DETAIL15"/>
      <sheetName val="DIRECT_COST15"/>
      <sheetName val="E4_1d16"/>
      <sheetName val="Prog_Imbalan16"/>
      <sheetName val="DES_0216"/>
      <sheetName val="Buku_Besar_116"/>
      <sheetName val="Pg7_416"/>
      <sheetName val="analisa_L-K16"/>
      <sheetName val="data_slip16"/>
      <sheetName val="Template_16"/>
      <sheetName val="jul05_ok15"/>
      <sheetName val="sept_05_dd15"/>
      <sheetName val="VAT_out16"/>
      <sheetName val="Danamon_LK16"/>
      <sheetName val="&quot;Outstanding_SO&quot;16"/>
      <sheetName val="Tax_Rate15"/>
      <sheetName val="SAP_PbT15"/>
      <sheetName val="TAX_SUMMARY16"/>
      <sheetName val="BSHO_Report15"/>
      <sheetName val="Check_Sheet15"/>
      <sheetName val="PLHO_Report15"/>
      <sheetName val="DFR_CT15"/>
      <sheetName val="Mkt_Total_by_Cat_B$15"/>
      <sheetName val="Mkt_Total_by_Cat_US$15"/>
      <sheetName val="N_Lead15"/>
      <sheetName val="N_3_115"/>
      <sheetName val="N_815"/>
      <sheetName val="N_915"/>
      <sheetName val="Assumption_&amp;_Result15"/>
      <sheetName val="Dec_08_-_Jan_09_(2)15"/>
      <sheetName val="AA_1_BNI15"/>
      <sheetName val="I_4_1_(2)15"/>
      <sheetName val="Hay_Guide_Charts_Notes15"/>
      <sheetName val="trf_ns_0415"/>
      <sheetName val="SL1006_(IDR)15"/>
      <sheetName val="trf_multiple15"/>
      <sheetName val="4_1_Placement_w_o_b15"/>
      <sheetName val="tabel_perkiraan15"/>
      <sheetName val="trfakt_sgl15"/>
      <sheetName val="trf_multiple_dnrks15"/>
      <sheetName val="SL1006_(VLS)15"/>
      <sheetName val="Irregular_Income15"/>
      <sheetName val="FE-1770_P115"/>
      <sheetName val="Benefit_Factors15"/>
      <sheetName val="Marshal_(2)15"/>
      <sheetName val="KKP_2115"/>
      <sheetName val="tabel_masa_kerja15"/>
      <sheetName val="new_IFS_format15"/>
      <sheetName val="Art_2315"/>
      <sheetName val="MTD_Results15"/>
      <sheetName val="YTD_Results15"/>
      <sheetName val="A3-Dec_2012-ALN15"/>
      <sheetName val="chiet_tinh13"/>
      <sheetName val="NB_UNIT315"/>
      <sheetName val="Customize_Your_Purchase_Order13"/>
      <sheetName val="9E1_312"/>
      <sheetName val="1195_B112"/>
      <sheetName val="mgr_&amp;_staff15"/>
      <sheetName val="ShareCapital_15"/>
      <sheetName val="Level_1_&amp;_213"/>
      <sheetName val="JAN_200113"/>
      <sheetName val="Trading_Statement13"/>
      <sheetName val="Rincian_Iuran13"/>
      <sheetName val="Data_Rekon13"/>
      <sheetName val="Premi_Iuran13"/>
      <sheetName val="Slide_2212"/>
      <sheetName val="Data_WP12"/>
      <sheetName val="NY_ADMIN12"/>
      <sheetName val="SPI_GMBH12"/>
      <sheetName val="FA_sd_APRIL_0712"/>
      <sheetName val="tabel_nilai13"/>
      <sheetName val="AA_1_1_BNI13"/>
      <sheetName val="_SAF_0212"/>
      <sheetName val="UV_1012"/>
      <sheetName val="YTD_Resurts12"/>
      <sheetName val="TRF_15012"/>
      <sheetName val="Material_Bpn_jul'0712"/>
      <sheetName val="IMPUT_PENERIMAAN_BULK_WB12"/>
      <sheetName val="van_khuon12"/>
      <sheetName val="U2_212"/>
      <sheetName val="LINK_MOR12"/>
      <sheetName val="LINK_GAP12"/>
      <sheetName val="General_Info12"/>
      <sheetName val="Cost_Summary12"/>
      <sheetName val="SK_HTM12"/>
      <sheetName val="Entry__HTM12"/>
      <sheetName val="Cost_Analysis12"/>
      <sheetName val="Scenarios_and_Sensitivities13"/>
      <sheetName val="Global_Assumptions13"/>
      <sheetName val="F_2_WIP_CKP12"/>
      <sheetName val="F_2_1_CKP12"/>
      <sheetName val="1541020-House_Loan12"/>
      <sheetName val="RMS_FUNGSIONAL12"/>
      <sheetName val="RMS_-_STR_(2)12"/>
      <sheetName val="Permanent_info24"/>
      <sheetName val="Depreciation_&amp;_Peny_24"/>
      <sheetName val="PPh_21_Recon24"/>
      <sheetName val="fiscal_depr(E)24"/>
      <sheetName val="A_u_g24"/>
      <sheetName val="J_u_l24"/>
      <sheetName val="O_c_t24"/>
      <sheetName val="A_p_r24"/>
      <sheetName val="M_a_y24"/>
      <sheetName val="S_e_p24"/>
      <sheetName val="00_received_in_0124"/>
      <sheetName val="F_e_b24"/>
      <sheetName val="Per_GL_J_a_n24"/>
      <sheetName val="J_u_n24"/>
      <sheetName val="M_a_r24"/>
      <sheetName val="C1_NOV24"/>
      <sheetName val="jurnal-audit_224"/>
      <sheetName val="EXT_B324"/>
      <sheetName val="B2_124"/>
      <sheetName val="Main_table24"/>
      <sheetName val="Data_Per_wilayah_Vin_Code_20024"/>
      <sheetName val="Data_Per_wilayah24"/>
      <sheetName val="Print_AR24"/>
      <sheetName val="INDIRECT_DETAIL23"/>
      <sheetName val="DIRECT_COST23"/>
      <sheetName val="E4_1d24"/>
      <sheetName val="Prog_Imbalan24"/>
      <sheetName val="DES_0224"/>
      <sheetName val="Buku_Besar_124"/>
      <sheetName val="Pg7_424"/>
      <sheetName val="analisa_L-K24"/>
      <sheetName val="data_slip24"/>
      <sheetName val="Template_24"/>
      <sheetName val="jul05_ok23"/>
      <sheetName val="sept_05_dd23"/>
      <sheetName val="VAT_out24"/>
      <sheetName val="Danamon_LK24"/>
      <sheetName val="&quot;Outstanding_SO&quot;24"/>
      <sheetName val="Tax_Rate23"/>
      <sheetName val="SAP_PbT23"/>
      <sheetName val="TAX_SUMMARY24"/>
      <sheetName val="BSHO_Report23"/>
      <sheetName val="Check_Sheet23"/>
      <sheetName val="PLHO_Report23"/>
      <sheetName val="DFR_CT23"/>
      <sheetName val="Mkt_Total_by_Cat_B$23"/>
      <sheetName val="Mkt_Total_by_Cat_US$23"/>
      <sheetName val="N_Lead23"/>
      <sheetName val="N_3_123"/>
      <sheetName val="N_823"/>
      <sheetName val="N_923"/>
      <sheetName val="Assumption_&amp;_Result23"/>
      <sheetName val="Dec_08_-_Jan_09_(2)23"/>
      <sheetName val="AA_1_BNI23"/>
      <sheetName val="I_4_1_(2)23"/>
      <sheetName val="Hay_Guide_Charts_Notes23"/>
      <sheetName val="trf_ns_0423"/>
      <sheetName val="SL1006_(IDR)23"/>
      <sheetName val="trf_multiple23"/>
      <sheetName val="4_1_Placement_w_o_b23"/>
      <sheetName val="tabel_perkiraan23"/>
      <sheetName val="trfakt_sgl23"/>
      <sheetName val="trf_multiple_dnrks23"/>
      <sheetName val="SL1006_(VLS)23"/>
      <sheetName val="Irregular_Income23"/>
      <sheetName val="FE-1770_P123"/>
      <sheetName val="Benefit_Factors23"/>
      <sheetName val="Marshal_(2)23"/>
      <sheetName val="KKP_2123"/>
      <sheetName val="tabel_masa_kerja23"/>
      <sheetName val="new_IFS_format23"/>
      <sheetName val="Art_2323"/>
      <sheetName val="MTD_Results23"/>
      <sheetName val="YTD_Results23"/>
      <sheetName val="A3-Dec_2012-ALN23"/>
      <sheetName val="chiet_tinh21"/>
      <sheetName val="NB_UNIT323"/>
      <sheetName val="Customize_Your_Purchase_Order21"/>
      <sheetName val="9E1_320"/>
      <sheetName val="1195_B120"/>
      <sheetName val="mgr_&amp;_staff23"/>
      <sheetName val="ShareCapital_23"/>
      <sheetName val="Level_1_&amp;_221"/>
      <sheetName val="JAN_200121"/>
      <sheetName val="Trading_Statement21"/>
      <sheetName val="Rincian_Iuran21"/>
      <sheetName val="Data_Rekon21"/>
      <sheetName val="Premi_Iuran21"/>
      <sheetName val="Slide_2220"/>
      <sheetName val="Data_WP20"/>
      <sheetName val="NY_ADMIN20"/>
      <sheetName val="SPI_GMBH20"/>
      <sheetName val="FA_sd_APRIL_0720"/>
      <sheetName val="tabel_nilai21"/>
      <sheetName val="AA_1_1_BNI21"/>
      <sheetName val="_SAF_0218"/>
      <sheetName val="UV_1018"/>
      <sheetName val="YTD_Resurts18"/>
      <sheetName val="TRF_15018"/>
      <sheetName val="Material_Bpn_jul'0718"/>
      <sheetName val="IMPUT_PENERIMAAN_BULK_WB18"/>
      <sheetName val="van_khuon18"/>
      <sheetName val="U2_218"/>
      <sheetName val="LINK_MOR18"/>
      <sheetName val="LINK_GAP18"/>
      <sheetName val="General_Info18"/>
      <sheetName val="Cost_Summary18"/>
      <sheetName val="SK_HTM18"/>
      <sheetName val="Entry__HTM18"/>
      <sheetName val="Cost_Analysis18"/>
      <sheetName val="Scenarios_and_Sensitivities19"/>
      <sheetName val="Global_Assumptions19"/>
      <sheetName val="F_2_WIP_CKP18"/>
      <sheetName val="F_2_1_CKP18"/>
      <sheetName val="1541020-House_Loan18"/>
      <sheetName val="RMS_FUNGSIONAL18"/>
      <sheetName val="RMS_-_STR_(2)18"/>
      <sheetName val="Permanent_info21"/>
      <sheetName val="Depreciation_&amp;_Peny_21"/>
      <sheetName val="PPh_21_Recon21"/>
      <sheetName val="fiscal_depr(E)21"/>
      <sheetName val="A_u_g21"/>
      <sheetName val="J_u_l21"/>
      <sheetName val="O_c_t21"/>
      <sheetName val="A_p_r21"/>
      <sheetName val="M_a_y21"/>
      <sheetName val="S_e_p21"/>
      <sheetName val="00_received_in_0121"/>
      <sheetName val="F_e_b21"/>
      <sheetName val="Per_GL_J_a_n21"/>
      <sheetName val="J_u_n21"/>
      <sheetName val="M_a_r21"/>
      <sheetName val="C1_NOV21"/>
      <sheetName val="jurnal-audit_221"/>
      <sheetName val="EXT_B321"/>
      <sheetName val="B2_121"/>
      <sheetName val="Main_table21"/>
      <sheetName val="Data_Per_wilayah_Vin_Code_20021"/>
      <sheetName val="Data_Per_wilayah21"/>
      <sheetName val="Print_AR21"/>
      <sheetName val="INDIRECT_DETAIL20"/>
      <sheetName val="DIRECT_COST20"/>
      <sheetName val="E4_1d21"/>
      <sheetName val="Prog_Imbalan21"/>
      <sheetName val="DES_0221"/>
      <sheetName val="Buku_Besar_121"/>
      <sheetName val="Pg7_421"/>
      <sheetName val="analisa_L-K21"/>
      <sheetName val="data_slip21"/>
      <sheetName val="Template_21"/>
      <sheetName val="jul05_ok20"/>
      <sheetName val="sept_05_dd20"/>
      <sheetName val="VAT_out21"/>
      <sheetName val="Danamon_LK21"/>
      <sheetName val="&quot;Outstanding_SO&quot;21"/>
      <sheetName val="Tax_Rate20"/>
      <sheetName val="SAP_PbT20"/>
      <sheetName val="TAX_SUMMARY21"/>
      <sheetName val="BSHO_Report20"/>
      <sheetName val="Check_Sheet20"/>
      <sheetName val="PLHO_Report20"/>
      <sheetName val="DFR_CT20"/>
      <sheetName val="Mkt_Total_by_Cat_B$20"/>
      <sheetName val="Mkt_Total_by_Cat_US$20"/>
      <sheetName val="N_Lead20"/>
      <sheetName val="N_3_120"/>
      <sheetName val="N_820"/>
      <sheetName val="N_920"/>
      <sheetName val="Assumption_&amp;_Result20"/>
      <sheetName val="Dec_08_-_Jan_09_(2)20"/>
      <sheetName val="AA_1_BNI20"/>
      <sheetName val="I_4_1_(2)20"/>
      <sheetName val="Hay_Guide_Charts_Notes20"/>
      <sheetName val="trf_ns_0420"/>
      <sheetName val="SL1006_(IDR)20"/>
      <sheetName val="trf_multiple20"/>
      <sheetName val="4_1_Placement_w_o_b20"/>
      <sheetName val="tabel_perkiraan20"/>
      <sheetName val="trfakt_sgl20"/>
      <sheetName val="trf_multiple_dnrks20"/>
      <sheetName val="SL1006_(VLS)20"/>
      <sheetName val="Irregular_Income20"/>
      <sheetName val="FE-1770_P120"/>
      <sheetName val="Benefit_Factors20"/>
      <sheetName val="Marshal_(2)20"/>
      <sheetName val="KKP_2120"/>
      <sheetName val="tabel_masa_kerja20"/>
      <sheetName val="new_IFS_format20"/>
      <sheetName val="Art_2320"/>
      <sheetName val="MTD_Results20"/>
      <sheetName val="YTD_Results20"/>
      <sheetName val="A3-Dec_2012-ALN20"/>
      <sheetName val="chiet_tinh18"/>
      <sheetName val="NB_UNIT320"/>
      <sheetName val="Customize_Your_Purchase_Order18"/>
      <sheetName val="9E1_317"/>
      <sheetName val="1195_B117"/>
      <sheetName val="mgr_&amp;_staff20"/>
      <sheetName val="ShareCapital_20"/>
      <sheetName val="Level_1_&amp;_218"/>
      <sheetName val="JAN_200118"/>
      <sheetName val="Trading_Statement18"/>
      <sheetName val="Rincian_Iuran18"/>
      <sheetName val="Data_Rekon18"/>
      <sheetName val="Premi_Iuran18"/>
      <sheetName val="Slide_2217"/>
      <sheetName val="Data_WP17"/>
      <sheetName val="NY_ADMIN17"/>
      <sheetName val="SPI_GMBH17"/>
      <sheetName val="FA_sd_APRIL_0717"/>
      <sheetName val="tabel_nilai18"/>
      <sheetName val="AA_1_1_BNI18"/>
      <sheetName val="_SAF_0215"/>
      <sheetName val="UV_1015"/>
      <sheetName val="YTD_Resurts15"/>
      <sheetName val="TRF_15015"/>
      <sheetName val="Material_Bpn_jul'0715"/>
      <sheetName val="IMPUT_PENERIMAAN_BULK_WB15"/>
      <sheetName val="van_khuon15"/>
      <sheetName val="U2_215"/>
      <sheetName val="LINK_MOR15"/>
      <sheetName val="LINK_GAP15"/>
      <sheetName val="General_Info15"/>
      <sheetName val="Cost_Summary15"/>
      <sheetName val="SK_HTM15"/>
      <sheetName val="Entry__HTM15"/>
      <sheetName val="Cost_Analysis15"/>
      <sheetName val="Scenarios_and_Sensitivities16"/>
      <sheetName val="Global_Assumptions16"/>
      <sheetName val="F_2_WIP_CKP15"/>
      <sheetName val="F_2_1_CKP15"/>
      <sheetName val="1541020-House_Loan15"/>
      <sheetName val="RMS_FUNGSIONAL15"/>
      <sheetName val="RMS_-_STR_(2)15"/>
      <sheetName val="Permanent_info19"/>
      <sheetName val="Depreciation_&amp;_Peny_19"/>
      <sheetName val="PPh_21_Recon19"/>
      <sheetName val="fiscal_depr(E)19"/>
      <sheetName val="A_u_g19"/>
      <sheetName val="J_u_l19"/>
      <sheetName val="O_c_t19"/>
      <sheetName val="A_p_r19"/>
      <sheetName val="M_a_y19"/>
      <sheetName val="S_e_p19"/>
      <sheetName val="00_received_in_0119"/>
      <sheetName val="F_e_b19"/>
      <sheetName val="Per_GL_J_a_n19"/>
      <sheetName val="J_u_n19"/>
      <sheetName val="M_a_r19"/>
      <sheetName val="C1_NOV19"/>
      <sheetName val="jurnal-audit_219"/>
      <sheetName val="EXT_B319"/>
      <sheetName val="B2_119"/>
      <sheetName val="Main_table19"/>
      <sheetName val="Data_Per_wilayah_Vin_Code_20019"/>
      <sheetName val="Data_Per_wilayah19"/>
      <sheetName val="Print_AR19"/>
      <sheetName val="INDIRECT_DETAIL18"/>
      <sheetName val="DIRECT_COST18"/>
      <sheetName val="E4_1d19"/>
      <sheetName val="Prog_Imbalan19"/>
      <sheetName val="DES_0219"/>
      <sheetName val="Buku_Besar_119"/>
      <sheetName val="Pg7_419"/>
      <sheetName val="analisa_L-K19"/>
      <sheetName val="data_slip19"/>
      <sheetName val="Template_19"/>
      <sheetName val="jul05_ok18"/>
      <sheetName val="sept_05_dd18"/>
      <sheetName val="VAT_out19"/>
      <sheetName val="Danamon_LK19"/>
      <sheetName val="&quot;Outstanding_SO&quot;19"/>
      <sheetName val="Tax_Rate18"/>
      <sheetName val="SAP_PbT18"/>
      <sheetName val="TAX_SUMMARY19"/>
      <sheetName val="BSHO_Report18"/>
      <sheetName val="Check_Sheet18"/>
      <sheetName val="PLHO_Report18"/>
      <sheetName val="DFR_CT18"/>
      <sheetName val="Mkt_Total_by_Cat_B$18"/>
      <sheetName val="Mkt_Total_by_Cat_US$18"/>
      <sheetName val="N_Lead18"/>
      <sheetName val="N_3_118"/>
      <sheetName val="N_818"/>
      <sheetName val="N_918"/>
      <sheetName val="Assumption_&amp;_Result18"/>
      <sheetName val="Dec_08_-_Jan_09_(2)18"/>
      <sheetName val="AA_1_BNI18"/>
      <sheetName val="I_4_1_(2)18"/>
      <sheetName val="Hay_Guide_Charts_Notes18"/>
      <sheetName val="trf_ns_0418"/>
      <sheetName val="SL1006_(IDR)18"/>
      <sheetName val="trf_multiple18"/>
      <sheetName val="4_1_Placement_w_o_b18"/>
      <sheetName val="tabel_perkiraan18"/>
      <sheetName val="trfakt_sgl18"/>
      <sheetName val="trf_multiple_dnrks18"/>
      <sheetName val="SL1006_(VLS)18"/>
      <sheetName val="Irregular_Income18"/>
      <sheetName val="FE-1770_P118"/>
      <sheetName val="Benefit_Factors18"/>
      <sheetName val="Marshal_(2)18"/>
      <sheetName val="KKP_2118"/>
      <sheetName val="tabel_masa_kerja18"/>
      <sheetName val="new_IFS_format18"/>
      <sheetName val="Art_2318"/>
      <sheetName val="MTD_Results18"/>
      <sheetName val="YTD_Results18"/>
      <sheetName val="A3-Dec_2012-ALN18"/>
      <sheetName val="chiet_tinh16"/>
      <sheetName val="NB_UNIT318"/>
      <sheetName val="Customize_Your_Purchase_Order16"/>
      <sheetName val="9E1_315"/>
      <sheetName val="1195_B115"/>
      <sheetName val="mgr_&amp;_staff18"/>
      <sheetName val="ShareCapital_18"/>
      <sheetName val="Level_1_&amp;_216"/>
      <sheetName val="JAN_200116"/>
      <sheetName val="Trading_Statement16"/>
      <sheetName val="Rincian_Iuran16"/>
      <sheetName val="Data_Rekon16"/>
      <sheetName val="Premi_Iuran16"/>
      <sheetName val="Slide_2215"/>
      <sheetName val="Data_WP15"/>
      <sheetName val="NY_ADMIN15"/>
      <sheetName val="SPI_GMBH15"/>
      <sheetName val="FA_sd_APRIL_0715"/>
      <sheetName val="tabel_nilai16"/>
      <sheetName val="AA_1_1_BNI16"/>
      <sheetName val="_SAF_0214"/>
      <sheetName val="UV_1014"/>
      <sheetName val="YTD_Resurts14"/>
      <sheetName val="TRF_15014"/>
      <sheetName val="Material_Bpn_jul'0714"/>
      <sheetName val="IMPUT_PENERIMAAN_BULK_WB14"/>
      <sheetName val="van_khuon14"/>
      <sheetName val="U2_214"/>
      <sheetName val="LINK_MOR14"/>
      <sheetName val="LINK_GAP14"/>
      <sheetName val="General_Info14"/>
      <sheetName val="Cost_Summary14"/>
      <sheetName val="SK_HTM14"/>
      <sheetName val="Entry__HTM14"/>
      <sheetName val="Cost_Analysis14"/>
      <sheetName val="Scenarios_and_Sensitivities15"/>
      <sheetName val="Global_Assumptions15"/>
      <sheetName val="F_2_WIP_CKP14"/>
      <sheetName val="F_2_1_CKP14"/>
      <sheetName val="1541020-House_Loan14"/>
      <sheetName val="RMS_FUNGSIONAL14"/>
      <sheetName val="RMS_-_STR_(2)14"/>
      <sheetName val="Permanent_info18"/>
      <sheetName val="Depreciation_&amp;_Peny_18"/>
      <sheetName val="PPh_21_Recon18"/>
      <sheetName val="fiscal_depr(E)18"/>
      <sheetName val="A_u_g18"/>
      <sheetName val="J_u_l18"/>
      <sheetName val="O_c_t18"/>
      <sheetName val="A_p_r18"/>
      <sheetName val="M_a_y18"/>
      <sheetName val="S_e_p18"/>
      <sheetName val="00_received_in_0118"/>
      <sheetName val="F_e_b18"/>
      <sheetName val="Per_GL_J_a_n18"/>
      <sheetName val="J_u_n18"/>
      <sheetName val="M_a_r18"/>
      <sheetName val="C1_NOV18"/>
      <sheetName val="jurnal-audit_218"/>
      <sheetName val="EXT_B318"/>
      <sheetName val="B2_118"/>
      <sheetName val="Main_table18"/>
      <sheetName val="Data_Per_wilayah_Vin_Code_20018"/>
      <sheetName val="Data_Per_wilayah18"/>
      <sheetName val="Print_AR18"/>
      <sheetName val="INDIRECT_DETAIL17"/>
      <sheetName val="DIRECT_COST17"/>
      <sheetName val="E4_1d18"/>
      <sheetName val="Prog_Imbalan18"/>
      <sheetName val="DES_0218"/>
      <sheetName val="Buku_Besar_118"/>
      <sheetName val="Pg7_418"/>
      <sheetName val="analisa_L-K18"/>
      <sheetName val="data_slip18"/>
      <sheetName val="Template_18"/>
      <sheetName val="jul05_ok17"/>
      <sheetName val="sept_05_dd17"/>
      <sheetName val="VAT_out18"/>
      <sheetName val="Danamon_LK18"/>
      <sheetName val="&quot;Outstanding_SO&quot;18"/>
      <sheetName val="Tax_Rate17"/>
      <sheetName val="SAP_PbT17"/>
      <sheetName val="TAX_SUMMARY18"/>
      <sheetName val="BSHO_Report17"/>
      <sheetName val="Check_Sheet17"/>
      <sheetName val="PLHO_Report17"/>
      <sheetName val="DFR_CT17"/>
      <sheetName val="Mkt_Total_by_Cat_B$17"/>
      <sheetName val="Mkt_Total_by_Cat_US$17"/>
      <sheetName val="N_Lead17"/>
      <sheetName val="N_3_117"/>
      <sheetName val="N_817"/>
      <sheetName val="N_917"/>
      <sheetName val="Assumption_&amp;_Result17"/>
      <sheetName val="Dec_08_-_Jan_09_(2)17"/>
      <sheetName val="AA_1_BNI17"/>
      <sheetName val="I_4_1_(2)17"/>
      <sheetName val="Hay_Guide_Charts_Notes17"/>
      <sheetName val="trf_ns_0417"/>
      <sheetName val="SL1006_(IDR)17"/>
      <sheetName val="trf_multiple17"/>
      <sheetName val="4_1_Placement_w_o_b17"/>
      <sheetName val="tabel_perkiraan17"/>
      <sheetName val="trfakt_sgl17"/>
      <sheetName val="trf_multiple_dnrks17"/>
      <sheetName val="SL1006_(VLS)17"/>
      <sheetName val="Irregular_Income17"/>
      <sheetName val="FE-1770_P117"/>
      <sheetName val="Benefit_Factors17"/>
      <sheetName val="Marshal_(2)17"/>
      <sheetName val="KKP_2117"/>
      <sheetName val="tabel_masa_kerja17"/>
      <sheetName val="new_IFS_format17"/>
      <sheetName val="Art_2317"/>
      <sheetName val="MTD_Results17"/>
      <sheetName val="YTD_Results17"/>
      <sheetName val="A3-Dec_2012-ALN17"/>
      <sheetName val="chiet_tinh15"/>
      <sheetName val="NB_UNIT317"/>
      <sheetName val="Customize_Your_Purchase_Order15"/>
      <sheetName val="9E1_314"/>
      <sheetName val="1195_B114"/>
      <sheetName val="mgr_&amp;_staff17"/>
      <sheetName val="ShareCapital_17"/>
      <sheetName val="Level_1_&amp;_215"/>
      <sheetName val="JAN_200115"/>
      <sheetName val="Trading_Statement15"/>
      <sheetName val="Rincian_Iuran15"/>
      <sheetName val="Data_Rekon15"/>
      <sheetName val="Premi_Iuran15"/>
      <sheetName val="Slide_2214"/>
      <sheetName val="Data_WP14"/>
      <sheetName val="NY_ADMIN14"/>
      <sheetName val="SPI_GMBH14"/>
      <sheetName val="FA_sd_APRIL_0714"/>
      <sheetName val="tabel_nilai15"/>
      <sheetName val="AA_1_1_BNI15"/>
      <sheetName val="_SAF_0213"/>
      <sheetName val="UV_1013"/>
      <sheetName val="YTD_Resurts13"/>
      <sheetName val="TRF_15013"/>
      <sheetName val="Material_Bpn_jul'0713"/>
      <sheetName val="IMPUT_PENERIMAAN_BULK_WB13"/>
      <sheetName val="van_khuon13"/>
      <sheetName val="U2_213"/>
      <sheetName val="LINK_MOR13"/>
      <sheetName val="LINK_GAP13"/>
      <sheetName val="General_Info13"/>
      <sheetName val="Cost_Summary13"/>
      <sheetName val="SK_HTM13"/>
      <sheetName val="Entry__HTM13"/>
      <sheetName val="Cost_Analysis13"/>
      <sheetName val="Scenarios_and_Sensitivities14"/>
      <sheetName val="Global_Assumptions14"/>
      <sheetName val="F_2_WIP_CKP13"/>
      <sheetName val="F_2_1_CKP13"/>
      <sheetName val="1541020-House_Loan13"/>
      <sheetName val="RMS_FUNGSIONAL13"/>
      <sheetName val="RMS_-_STR_(2)13"/>
      <sheetName val="Permanent_info20"/>
      <sheetName val="Depreciation_&amp;_Peny_20"/>
      <sheetName val="PPh_21_Recon20"/>
      <sheetName val="fiscal_depr(E)20"/>
      <sheetName val="A_u_g20"/>
      <sheetName val="J_u_l20"/>
      <sheetName val="O_c_t20"/>
      <sheetName val="A_p_r20"/>
      <sheetName val="M_a_y20"/>
      <sheetName val="S_e_p20"/>
      <sheetName val="00_received_in_0120"/>
      <sheetName val="F_e_b20"/>
      <sheetName val="Per_GL_J_a_n20"/>
      <sheetName val="J_u_n20"/>
      <sheetName val="M_a_r20"/>
      <sheetName val="C1_NOV20"/>
      <sheetName val="jurnal-audit_220"/>
      <sheetName val="EXT_B320"/>
      <sheetName val="B2_120"/>
      <sheetName val="Main_table20"/>
      <sheetName val="Data_Per_wilayah_Vin_Code_20020"/>
      <sheetName val="Data_Per_wilayah20"/>
      <sheetName val="Print_AR20"/>
      <sheetName val="INDIRECT_DETAIL19"/>
      <sheetName val="DIRECT_COST19"/>
      <sheetName val="E4_1d20"/>
      <sheetName val="Prog_Imbalan20"/>
      <sheetName val="DES_0220"/>
      <sheetName val="Buku_Besar_120"/>
      <sheetName val="Pg7_420"/>
      <sheetName val="analisa_L-K20"/>
      <sheetName val="data_slip20"/>
      <sheetName val="Template_20"/>
      <sheetName val="jul05_ok19"/>
      <sheetName val="sept_05_dd19"/>
      <sheetName val="VAT_out20"/>
      <sheetName val="Danamon_LK20"/>
      <sheetName val="&quot;Outstanding_SO&quot;20"/>
      <sheetName val="Tax_Rate19"/>
      <sheetName val="SAP_PbT19"/>
      <sheetName val="TAX_SUMMARY20"/>
      <sheetName val="BSHO_Report19"/>
      <sheetName val="Check_Sheet19"/>
      <sheetName val="PLHO_Report19"/>
      <sheetName val="DFR_CT19"/>
      <sheetName val="Mkt_Total_by_Cat_B$19"/>
      <sheetName val="Mkt_Total_by_Cat_US$19"/>
      <sheetName val="N_Lead19"/>
      <sheetName val="N_3_119"/>
      <sheetName val="N_819"/>
      <sheetName val="N_919"/>
      <sheetName val="Assumption_&amp;_Result19"/>
      <sheetName val="Dec_08_-_Jan_09_(2)19"/>
      <sheetName val="AA_1_BNI19"/>
      <sheetName val="I_4_1_(2)19"/>
      <sheetName val="Hay_Guide_Charts_Notes19"/>
      <sheetName val="trf_ns_0419"/>
      <sheetName val="SL1006_(IDR)19"/>
      <sheetName val="trf_multiple19"/>
      <sheetName val="4_1_Placement_w_o_b19"/>
      <sheetName val="tabel_perkiraan19"/>
      <sheetName val="trfakt_sgl19"/>
      <sheetName val="trf_multiple_dnrks19"/>
      <sheetName val="SL1006_(VLS)19"/>
      <sheetName val="Irregular_Income19"/>
      <sheetName val="FE-1770_P119"/>
      <sheetName val="Benefit_Factors19"/>
      <sheetName val="Marshal_(2)19"/>
      <sheetName val="KKP_2119"/>
      <sheetName val="tabel_masa_kerja19"/>
      <sheetName val="new_IFS_format19"/>
      <sheetName val="Art_2319"/>
      <sheetName val="MTD_Results19"/>
      <sheetName val="YTD_Results19"/>
      <sheetName val="A3-Dec_2012-ALN19"/>
      <sheetName val="chiet_tinh17"/>
      <sheetName val="NB_UNIT319"/>
      <sheetName val="Customize_Your_Purchase_Order17"/>
      <sheetName val="9E1_316"/>
      <sheetName val="1195_B116"/>
      <sheetName val="mgr_&amp;_staff19"/>
      <sheetName val="ShareCapital_19"/>
      <sheetName val="Level_1_&amp;_217"/>
      <sheetName val="JAN_200117"/>
      <sheetName val="Trading_Statement17"/>
      <sheetName val="Rincian_Iuran17"/>
      <sheetName val="Data_Rekon17"/>
      <sheetName val="Premi_Iuran17"/>
      <sheetName val="Slide_2216"/>
      <sheetName val="Data_WP16"/>
      <sheetName val="NY_ADMIN16"/>
      <sheetName val="SPI_GMBH16"/>
      <sheetName val="FA_sd_APRIL_0716"/>
      <sheetName val="tabel_nilai17"/>
      <sheetName val="AA_1_1_BNI17"/>
      <sheetName val="Permanent_info22"/>
      <sheetName val="Depreciation_&amp;_Peny_22"/>
      <sheetName val="PPh_21_Recon22"/>
      <sheetName val="fiscal_depr(E)22"/>
      <sheetName val="A_u_g22"/>
      <sheetName val="J_u_l22"/>
      <sheetName val="O_c_t22"/>
      <sheetName val="A_p_r22"/>
      <sheetName val="M_a_y22"/>
      <sheetName val="S_e_p22"/>
      <sheetName val="00_received_in_0122"/>
      <sheetName val="F_e_b22"/>
      <sheetName val="Per_GL_J_a_n22"/>
      <sheetName val="J_u_n22"/>
      <sheetName val="M_a_r22"/>
      <sheetName val="C1_NOV22"/>
      <sheetName val="jurnal-audit_222"/>
      <sheetName val="EXT_B322"/>
      <sheetName val="B2_122"/>
      <sheetName val="Main_table22"/>
      <sheetName val="Data_Per_wilayah_Vin_Code_20022"/>
      <sheetName val="Data_Per_wilayah22"/>
      <sheetName val="Print_AR22"/>
      <sheetName val="INDIRECT_DETAIL21"/>
      <sheetName val="DIRECT_COST21"/>
      <sheetName val="E4_1d22"/>
      <sheetName val="Prog_Imbalan22"/>
      <sheetName val="DES_0222"/>
      <sheetName val="Buku_Besar_122"/>
      <sheetName val="Pg7_422"/>
      <sheetName val="analisa_L-K22"/>
      <sheetName val="data_slip22"/>
      <sheetName val="Template_22"/>
      <sheetName val="jul05_ok21"/>
      <sheetName val="sept_05_dd21"/>
      <sheetName val="VAT_out22"/>
      <sheetName val="Danamon_LK22"/>
      <sheetName val="&quot;Outstanding_SO&quot;22"/>
      <sheetName val="Tax_Rate21"/>
      <sheetName val="SAP_PbT21"/>
      <sheetName val="TAX_SUMMARY22"/>
      <sheetName val="BSHO_Report21"/>
      <sheetName val="Check_Sheet21"/>
      <sheetName val="PLHO_Report21"/>
      <sheetName val="DFR_CT21"/>
      <sheetName val="Mkt_Total_by_Cat_B$21"/>
      <sheetName val="Mkt_Total_by_Cat_US$21"/>
      <sheetName val="N_Lead21"/>
      <sheetName val="N_3_121"/>
      <sheetName val="N_821"/>
      <sheetName val="N_921"/>
      <sheetName val="Assumption_&amp;_Result21"/>
      <sheetName val="Dec_08_-_Jan_09_(2)21"/>
      <sheetName val="AA_1_BNI21"/>
      <sheetName val="I_4_1_(2)21"/>
      <sheetName val="Hay_Guide_Charts_Notes21"/>
      <sheetName val="trf_ns_0421"/>
      <sheetName val="SL1006_(IDR)21"/>
      <sheetName val="trf_multiple21"/>
      <sheetName val="4_1_Placement_w_o_b21"/>
      <sheetName val="tabel_perkiraan21"/>
      <sheetName val="trfakt_sgl21"/>
      <sheetName val="trf_multiple_dnrks21"/>
      <sheetName val="SL1006_(VLS)21"/>
      <sheetName val="Irregular_Income21"/>
      <sheetName val="FE-1770_P121"/>
      <sheetName val="Benefit_Factors21"/>
      <sheetName val="Marshal_(2)21"/>
      <sheetName val="KKP_2121"/>
      <sheetName val="tabel_masa_kerja21"/>
      <sheetName val="new_IFS_format21"/>
      <sheetName val="Art_2321"/>
      <sheetName val="MTD_Results21"/>
      <sheetName val="YTD_Results21"/>
      <sheetName val="A3-Dec_2012-ALN21"/>
      <sheetName val="chiet_tinh19"/>
      <sheetName val="NB_UNIT321"/>
      <sheetName val="Customize_Your_Purchase_Order19"/>
      <sheetName val="9E1_318"/>
      <sheetName val="1195_B118"/>
      <sheetName val="mgr_&amp;_staff21"/>
      <sheetName val="ShareCapital_21"/>
      <sheetName val="Level_1_&amp;_219"/>
      <sheetName val="JAN_200119"/>
      <sheetName val="Trading_Statement19"/>
      <sheetName val="Rincian_Iuran19"/>
      <sheetName val="Data_Rekon19"/>
      <sheetName val="Premi_Iuran19"/>
      <sheetName val="Slide_2218"/>
      <sheetName val="Data_WP18"/>
      <sheetName val="NY_ADMIN18"/>
      <sheetName val="SPI_GMBH18"/>
      <sheetName val="FA_sd_APRIL_0718"/>
      <sheetName val="tabel_nilai19"/>
      <sheetName val="AA_1_1_BNI19"/>
      <sheetName val="_SAF_0216"/>
      <sheetName val="UV_1016"/>
      <sheetName val="YTD_Resurts16"/>
      <sheetName val="TRF_15016"/>
      <sheetName val="Material_Bpn_jul'0716"/>
      <sheetName val="IMPUT_PENERIMAAN_BULK_WB16"/>
      <sheetName val="van_khuon16"/>
      <sheetName val="U2_216"/>
      <sheetName val="LINK_MOR16"/>
      <sheetName val="LINK_GAP16"/>
      <sheetName val="General_Info16"/>
      <sheetName val="Cost_Summary16"/>
      <sheetName val="SK_HTM16"/>
      <sheetName val="Entry__HTM16"/>
      <sheetName val="Cost_Analysis16"/>
      <sheetName val="Scenarios_and_Sensitivities17"/>
      <sheetName val="Global_Assumptions17"/>
      <sheetName val="F_2_WIP_CKP16"/>
      <sheetName val="F_2_1_CKP16"/>
      <sheetName val="1541020-House_Loan16"/>
      <sheetName val="RMS_FUNGSIONAL16"/>
      <sheetName val="RMS_-_STR_(2)16"/>
      <sheetName val="Permanent_info23"/>
      <sheetName val="Depreciation_&amp;_Peny_23"/>
      <sheetName val="PPh_21_Recon23"/>
      <sheetName val="fiscal_depr(E)23"/>
      <sheetName val="A_u_g23"/>
      <sheetName val="J_u_l23"/>
      <sheetName val="O_c_t23"/>
      <sheetName val="A_p_r23"/>
      <sheetName val="M_a_y23"/>
      <sheetName val="S_e_p23"/>
      <sheetName val="00_received_in_0123"/>
      <sheetName val="F_e_b23"/>
      <sheetName val="Per_GL_J_a_n23"/>
      <sheetName val="J_u_n23"/>
      <sheetName val="M_a_r23"/>
      <sheetName val="C1_NOV23"/>
      <sheetName val="jurnal-audit_223"/>
      <sheetName val="EXT_B323"/>
      <sheetName val="B2_123"/>
      <sheetName val="Main_table23"/>
      <sheetName val="Data_Per_wilayah_Vin_Code_20023"/>
      <sheetName val="Data_Per_wilayah23"/>
      <sheetName val="Print_AR23"/>
      <sheetName val="INDIRECT_DETAIL22"/>
      <sheetName val="DIRECT_COST22"/>
      <sheetName val="E4_1d23"/>
      <sheetName val="Prog_Imbalan23"/>
      <sheetName val="DES_0223"/>
      <sheetName val="Buku_Besar_123"/>
      <sheetName val="Pg7_423"/>
      <sheetName val="analisa_L-K23"/>
      <sheetName val="data_slip23"/>
      <sheetName val="Template_23"/>
      <sheetName val="jul05_ok22"/>
      <sheetName val="sept_05_dd22"/>
      <sheetName val="VAT_out23"/>
      <sheetName val="Danamon_LK23"/>
      <sheetName val="&quot;Outstanding_SO&quot;23"/>
      <sheetName val="Tax_Rate22"/>
      <sheetName val="SAP_PbT22"/>
      <sheetName val="TAX_SUMMARY23"/>
      <sheetName val="BSHO_Report22"/>
      <sheetName val="Check_Sheet22"/>
      <sheetName val="PLHO_Report22"/>
      <sheetName val="DFR_CT22"/>
      <sheetName val="Mkt_Total_by_Cat_B$22"/>
      <sheetName val="Mkt_Total_by_Cat_US$22"/>
      <sheetName val="N_Lead22"/>
      <sheetName val="N_3_122"/>
      <sheetName val="N_822"/>
      <sheetName val="N_922"/>
      <sheetName val="Assumption_&amp;_Result22"/>
      <sheetName val="Dec_08_-_Jan_09_(2)22"/>
      <sheetName val="AA_1_BNI22"/>
      <sheetName val="I_4_1_(2)22"/>
      <sheetName val="Hay_Guide_Charts_Notes22"/>
      <sheetName val="trf_ns_0422"/>
      <sheetName val="SL1006_(IDR)22"/>
      <sheetName val="trf_multiple22"/>
      <sheetName val="4_1_Placement_w_o_b22"/>
      <sheetName val="tabel_perkiraan22"/>
      <sheetName val="trfakt_sgl22"/>
      <sheetName val="trf_multiple_dnrks22"/>
      <sheetName val="SL1006_(VLS)22"/>
      <sheetName val="Irregular_Income22"/>
      <sheetName val="FE-1770_P122"/>
      <sheetName val="Benefit_Factors22"/>
      <sheetName val="Marshal_(2)22"/>
      <sheetName val="KKP_2122"/>
      <sheetName val="tabel_masa_kerja22"/>
      <sheetName val="new_IFS_format22"/>
      <sheetName val="Art_2322"/>
      <sheetName val="MTD_Results22"/>
      <sheetName val="YTD_Results22"/>
      <sheetName val="A3-Dec_2012-ALN22"/>
      <sheetName val="chiet_tinh20"/>
      <sheetName val="NB_UNIT322"/>
      <sheetName val="Customize_Your_Purchase_Order20"/>
      <sheetName val="9E1_319"/>
      <sheetName val="1195_B119"/>
      <sheetName val="mgr_&amp;_staff22"/>
      <sheetName val="ShareCapital_22"/>
      <sheetName val="Level_1_&amp;_220"/>
      <sheetName val="JAN_200120"/>
      <sheetName val="Trading_Statement20"/>
      <sheetName val="Rincian_Iuran20"/>
      <sheetName val="Data_Rekon20"/>
      <sheetName val="Premi_Iuran20"/>
      <sheetName val="Slide_2219"/>
      <sheetName val="Data_WP19"/>
      <sheetName val="NY_ADMIN19"/>
      <sheetName val="SPI_GMBH19"/>
      <sheetName val="FA_sd_APRIL_0719"/>
      <sheetName val="tabel_nilai20"/>
      <sheetName val="AA_1_1_BNI20"/>
      <sheetName val="_SAF_0217"/>
      <sheetName val="UV_1017"/>
      <sheetName val="YTD_Resurts17"/>
      <sheetName val="TRF_15017"/>
      <sheetName val="Material_Bpn_jul'0717"/>
      <sheetName val="IMPUT_PENERIMAAN_BULK_WB17"/>
      <sheetName val="van_khuon17"/>
      <sheetName val="U2_217"/>
      <sheetName val="LINK_MOR17"/>
      <sheetName val="LINK_GAP17"/>
      <sheetName val="General_Info17"/>
      <sheetName val="Cost_Summary17"/>
      <sheetName val="SK_HTM17"/>
      <sheetName val="Entry__HTM17"/>
      <sheetName val="Cost_Analysis17"/>
      <sheetName val="Scenarios_and_Sensitivities18"/>
      <sheetName val="Global_Assumptions18"/>
      <sheetName val="F_2_WIP_CKP17"/>
      <sheetName val="F_2_1_CKP17"/>
      <sheetName val="1541020-House_Loan17"/>
      <sheetName val="RMS_FUNGSIONAL17"/>
      <sheetName val="RMS_-_STR_(2)17"/>
      <sheetName val="Permanent_info25"/>
      <sheetName val="Depreciation_&amp;_Peny_25"/>
      <sheetName val="PPh_21_Recon25"/>
      <sheetName val="fiscal_depr(E)25"/>
      <sheetName val="A_u_g25"/>
      <sheetName val="J_u_l25"/>
      <sheetName val="O_c_t25"/>
      <sheetName val="A_p_r25"/>
      <sheetName val="M_a_y25"/>
      <sheetName val="S_e_p25"/>
      <sheetName val="00_received_in_0125"/>
      <sheetName val="F_e_b25"/>
      <sheetName val="Per_GL_J_a_n25"/>
      <sheetName val="J_u_n25"/>
      <sheetName val="M_a_r25"/>
      <sheetName val="C1_NOV25"/>
      <sheetName val="jurnal-audit_225"/>
      <sheetName val="EXT_B325"/>
      <sheetName val="B2_125"/>
      <sheetName val="Main_table25"/>
      <sheetName val="Data_Per_wilayah_Vin_Code_20025"/>
      <sheetName val="Data_Per_wilayah25"/>
      <sheetName val="Print_AR25"/>
      <sheetName val="INDIRECT_DETAIL24"/>
      <sheetName val="DIRECT_COST24"/>
      <sheetName val="E4_1d25"/>
      <sheetName val="Prog_Imbalan25"/>
      <sheetName val="DES_0225"/>
      <sheetName val="Buku_Besar_125"/>
      <sheetName val="Pg7_425"/>
      <sheetName val="analisa_L-K25"/>
      <sheetName val="data_slip25"/>
      <sheetName val="Template_25"/>
      <sheetName val="jul05_ok24"/>
      <sheetName val="sept_05_dd24"/>
      <sheetName val="VAT_out25"/>
      <sheetName val="Danamon_LK25"/>
      <sheetName val="&quot;Outstanding_SO&quot;25"/>
      <sheetName val="Tax_Rate24"/>
      <sheetName val="SAP_PbT24"/>
      <sheetName val="TAX_SUMMARY25"/>
      <sheetName val="BSHO_Report24"/>
      <sheetName val="Check_Sheet24"/>
      <sheetName val="PLHO_Report24"/>
      <sheetName val="DFR_CT24"/>
      <sheetName val="Mkt_Total_by_Cat_B$24"/>
      <sheetName val="Mkt_Total_by_Cat_US$24"/>
      <sheetName val="N_Lead24"/>
      <sheetName val="N_3_124"/>
      <sheetName val="N_824"/>
      <sheetName val="N_924"/>
      <sheetName val="Assumption_&amp;_Result24"/>
      <sheetName val="Dec_08_-_Jan_09_(2)24"/>
      <sheetName val="AA_1_BNI24"/>
      <sheetName val="I_4_1_(2)24"/>
      <sheetName val="Hay_Guide_Charts_Notes24"/>
      <sheetName val="trf_ns_0424"/>
      <sheetName val="SL1006_(IDR)24"/>
      <sheetName val="trf_multiple24"/>
      <sheetName val="4_1_Placement_w_o_b24"/>
      <sheetName val="tabel_perkiraan24"/>
      <sheetName val="trfakt_sgl24"/>
      <sheetName val="trf_multiple_dnrks24"/>
      <sheetName val="SL1006_(VLS)24"/>
      <sheetName val="Irregular_Income24"/>
      <sheetName val="FE-1770_P124"/>
      <sheetName val="Benefit_Factors24"/>
      <sheetName val="Marshal_(2)24"/>
      <sheetName val="KKP_2124"/>
      <sheetName val="tabel_masa_kerja24"/>
      <sheetName val="new_IFS_format24"/>
      <sheetName val="Art_2324"/>
      <sheetName val="MTD_Results24"/>
      <sheetName val="YTD_Results24"/>
      <sheetName val="A3-Dec_2012-ALN24"/>
      <sheetName val="chiet_tinh22"/>
      <sheetName val="NB_UNIT324"/>
      <sheetName val="Customize_Your_Purchase_Order22"/>
      <sheetName val="9E1_321"/>
      <sheetName val="1195_B121"/>
      <sheetName val="mgr_&amp;_staff24"/>
      <sheetName val="ShareCapital_24"/>
      <sheetName val="Level_1_&amp;_222"/>
      <sheetName val="JAN_200122"/>
      <sheetName val="Trading_Statement22"/>
      <sheetName val="Rincian_Iuran22"/>
      <sheetName val="Data_Rekon22"/>
      <sheetName val="Premi_Iuran22"/>
      <sheetName val="Slide_2221"/>
      <sheetName val="Data_WP21"/>
      <sheetName val="NY_ADMIN21"/>
      <sheetName val="SPI_GMBH21"/>
      <sheetName val="FA_sd_APRIL_0721"/>
      <sheetName val="tabel_nilai22"/>
      <sheetName val="AA_1_1_BNI22"/>
      <sheetName val="_SAF_0219"/>
      <sheetName val="UV_1019"/>
      <sheetName val="YTD_Resurts19"/>
      <sheetName val="TRF_15019"/>
      <sheetName val="Material_Bpn_jul'0719"/>
      <sheetName val="IMPUT_PENERIMAAN_BULK_WB19"/>
      <sheetName val="van_khuon19"/>
      <sheetName val="U2_219"/>
      <sheetName val="LINK_MOR19"/>
      <sheetName val="LINK_GAP19"/>
      <sheetName val="General_Info19"/>
      <sheetName val="Cost_Summary19"/>
      <sheetName val="SK_HTM19"/>
      <sheetName val="Entry__HTM19"/>
      <sheetName val="Cost_Analysis19"/>
      <sheetName val="Scenarios_and_Sensitivities20"/>
      <sheetName val="Global_Assumptions20"/>
      <sheetName val="F_2_WIP_CKP19"/>
      <sheetName val="F_2_1_CKP19"/>
      <sheetName val="1541020-House_Loan19"/>
      <sheetName val="RMS_FUNGSIONAL19"/>
      <sheetName val="RMS_-_STR_(2)19"/>
      <sheetName val="Permanent_info26"/>
      <sheetName val="Depreciation_&amp;_Peny_26"/>
      <sheetName val="PPh_21_Recon26"/>
      <sheetName val="fiscal_depr(E)26"/>
      <sheetName val="A_u_g26"/>
      <sheetName val="J_u_l26"/>
      <sheetName val="O_c_t26"/>
      <sheetName val="A_p_r26"/>
      <sheetName val="M_a_y26"/>
      <sheetName val="S_e_p26"/>
      <sheetName val="00_received_in_0126"/>
      <sheetName val="F_e_b26"/>
      <sheetName val="Per_GL_J_a_n26"/>
      <sheetName val="J_u_n26"/>
      <sheetName val="M_a_r26"/>
      <sheetName val="C1_NOV26"/>
      <sheetName val="jurnal-audit_226"/>
      <sheetName val="EXT_B326"/>
      <sheetName val="B2_126"/>
      <sheetName val="Main_table26"/>
      <sheetName val="Data_Per_wilayah_Vin_Code_20026"/>
      <sheetName val="Data_Per_wilayah26"/>
      <sheetName val="Print_AR26"/>
      <sheetName val="INDIRECT_DETAIL25"/>
      <sheetName val="DIRECT_COST25"/>
      <sheetName val="E4_1d26"/>
      <sheetName val="Prog_Imbalan26"/>
      <sheetName val="DES_0226"/>
      <sheetName val="Buku_Besar_126"/>
      <sheetName val="Pg7_426"/>
      <sheetName val="analisa_L-K26"/>
      <sheetName val="data_slip26"/>
      <sheetName val="Template_26"/>
      <sheetName val="jul05_ok25"/>
      <sheetName val="sept_05_dd25"/>
      <sheetName val="VAT_out26"/>
      <sheetName val="Danamon_LK26"/>
      <sheetName val="&quot;Outstanding_SO&quot;26"/>
      <sheetName val="Tax_Rate25"/>
      <sheetName val="SAP_PbT25"/>
      <sheetName val="TAX_SUMMARY26"/>
      <sheetName val="BSHO_Report25"/>
      <sheetName val="Check_Sheet25"/>
      <sheetName val="PLHO_Report25"/>
      <sheetName val="DFR_CT25"/>
      <sheetName val="Mkt_Total_by_Cat_B$25"/>
      <sheetName val="Mkt_Total_by_Cat_US$25"/>
      <sheetName val="N_Lead25"/>
      <sheetName val="N_3_125"/>
      <sheetName val="N_825"/>
      <sheetName val="N_925"/>
      <sheetName val="Assumption_&amp;_Result25"/>
      <sheetName val="Dec_08_-_Jan_09_(2)25"/>
      <sheetName val="AA_1_BNI25"/>
      <sheetName val="I_4_1_(2)25"/>
      <sheetName val="Hay_Guide_Charts_Notes25"/>
      <sheetName val="trf_ns_0425"/>
      <sheetName val="SL1006_(IDR)25"/>
      <sheetName val="trf_multiple25"/>
      <sheetName val="4_1_Placement_w_o_b25"/>
      <sheetName val="tabel_perkiraan25"/>
      <sheetName val="trfakt_sgl25"/>
      <sheetName val="trf_multiple_dnrks25"/>
      <sheetName val="SL1006_(VLS)25"/>
      <sheetName val="Irregular_Income25"/>
      <sheetName val="FE-1770_P125"/>
      <sheetName val="Benefit_Factors25"/>
      <sheetName val="Marshal_(2)25"/>
      <sheetName val="KKP_2125"/>
      <sheetName val="tabel_masa_kerja25"/>
      <sheetName val="new_IFS_format25"/>
      <sheetName val="Art_2325"/>
      <sheetName val="MTD_Results25"/>
      <sheetName val="YTD_Results25"/>
      <sheetName val="A3-Dec_2012-ALN25"/>
      <sheetName val="chiet_tinh23"/>
      <sheetName val="NB_UNIT325"/>
      <sheetName val="Customize_Your_Purchase_Order23"/>
      <sheetName val="9E1_322"/>
      <sheetName val="1195_B122"/>
      <sheetName val="mgr_&amp;_staff25"/>
      <sheetName val="ShareCapital_25"/>
      <sheetName val="Level_1_&amp;_223"/>
      <sheetName val="JAN_200123"/>
      <sheetName val="Trading_Statement23"/>
      <sheetName val="Rincian_Iuran23"/>
      <sheetName val="Data_Rekon23"/>
      <sheetName val="Premi_Iuran23"/>
      <sheetName val="Slide_2222"/>
      <sheetName val="Data_WP22"/>
      <sheetName val="NY_ADMIN22"/>
      <sheetName val="SPI_GMBH22"/>
      <sheetName val="FA_sd_APRIL_0722"/>
      <sheetName val="tabel_nilai23"/>
      <sheetName val="AA_1_1_BNI23"/>
      <sheetName val="_SAF_0220"/>
      <sheetName val="UV_1020"/>
      <sheetName val="YTD_Resurts20"/>
      <sheetName val="TRF_15020"/>
      <sheetName val="Material_Bpn_jul'0720"/>
      <sheetName val="IMPUT_PENERIMAAN_BULK_WB20"/>
      <sheetName val="van_khuon20"/>
      <sheetName val="U2_220"/>
      <sheetName val="LINK_MOR20"/>
      <sheetName val="LINK_GAP20"/>
      <sheetName val="General_Info20"/>
      <sheetName val="Cost_Summary20"/>
      <sheetName val="SK_HTM20"/>
      <sheetName val="Entry__HTM20"/>
      <sheetName val="Cost_Analysis20"/>
      <sheetName val="Scenarios_and_Sensitivities21"/>
      <sheetName val="Global_Assumptions21"/>
      <sheetName val="F_2_WIP_CKP20"/>
      <sheetName val="F_2_1_CKP20"/>
      <sheetName val="1541020-House_Loan20"/>
      <sheetName val="RMS_FUNGSIONAL20"/>
      <sheetName val="RMS_-_STR_(2)20"/>
      <sheetName val="pcQueryData"/>
      <sheetName val="_pcSlicerSheet"/>
      <sheetName val="_pcSlicerSheet1"/>
      <sheetName val="_pcSlicerSheet2"/>
      <sheetName val="_pcSlicerSheet3"/>
      <sheetName val="_pcSlicerSheet4"/>
      <sheetName val="_pcSlicerSheet5"/>
      <sheetName val="Permanent_info35"/>
      <sheetName val="Depreciation_&amp;_Peny_35"/>
      <sheetName val="PPh_21_Recon35"/>
      <sheetName val="fiscal_depr(E)35"/>
      <sheetName val="A_u_g35"/>
      <sheetName val="J_u_l35"/>
      <sheetName val="O_c_t35"/>
      <sheetName val="A_p_r35"/>
      <sheetName val="M_a_y35"/>
      <sheetName val="S_e_p35"/>
      <sheetName val="00_received_in_0135"/>
      <sheetName val="F_e_b35"/>
      <sheetName val="Per_GL_J_a_n35"/>
      <sheetName val="J_u_n35"/>
      <sheetName val="M_a_r35"/>
      <sheetName val="C1_NOV35"/>
      <sheetName val="jurnal-audit_235"/>
      <sheetName val="EXT_B335"/>
      <sheetName val="B2_135"/>
      <sheetName val="Main_table35"/>
      <sheetName val="Data_Per_wilayah_Vin_Code_20035"/>
      <sheetName val="Data_Per_wilayah35"/>
      <sheetName val="Print_AR35"/>
      <sheetName val="INDIRECT_DETAIL34"/>
      <sheetName val="DIRECT_COST34"/>
      <sheetName val="E4_1d35"/>
      <sheetName val="Prog_Imbalan35"/>
      <sheetName val="DES_0235"/>
      <sheetName val="Buku_Besar_135"/>
      <sheetName val="Pg7_435"/>
      <sheetName val="analisa_L-K35"/>
      <sheetName val="data_slip35"/>
      <sheetName val="Template_35"/>
      <sheetName val="jul05_ok34"/>
      <sheetName val="sept_05_dd34"/>
      <sheetName val="VAT_out35"/>
      <sheetName val="Danamon_LK35"/>
      <sheetName val="&quot;Outstanding_SO&quot;35"/>
      <sheetName val="Tax_Rate34"/>
      <sheetName val="SAP_PbT34"/>
      <sheetName val="TAX_SUMMARY35"/>
      <sheetName val="BSHO_Report34"/>
      <sheetName val="Check_Sheet34"/>
      <sheetName val="PLHO_Report34"/>
      <sheetName val="DFR_CT34"/>
      <sheetName val="Mkt_Total_by_Cat_B$34"/>
      <sheetName val="Mkt_Total_by_Cat_US$34"/>
      <sheetName val="N_Lead34"/>
      <sheetName val="N_3_134"/>
      <sheetName val="N_834"/>
      <sheetName val="N_934"/>
      <sheetName val="Assumption_&amp;_Result34"/>
      <sheetName val="Dec_08_-_Jan_09_(2)34"/>
      <sheetName val="AA_1_BNI34"/>
      <sheetName val="I_4_1_(2)34"/>
      <sheetName val="Hay_Guide_Charts_Notes34"/>
      <sheetName val="trf_ns_0434"/>
      <sheetName val="SL1006_(IDR)34"/>
      <sheetName val="trf_multiple34"/>
      <sheetName val="4_1_Placement_w_o_b34"/>
      <sheetName val="tabel_perkiraan34"/>
      <sheetName val="trfakt_sgl34"/>
      <sheetName val="trf_multiple_dnrks34"/>
      <sheetName val="SL1006_(VLS)34"/>
      <sheetName val="Irregular_Income34"/>
      <sheetName val="FE-1770_P134"/>
      <sheetName val="Benefit_Factors34"/>
      <sheetName val="Marshal_(2)34"/>
      <sheetName val="KKP_2134"/>
      <sheetName val="tabel_masa_kerja34"/>
      <sheetName val="new_IFS_format34"/>
      <sheetName val="Art_2334"/>
      <sheetName val="MTD_Results34"/>
      <sheetName val="YTD_Results34"/>
      <sheetName val="A3-Dec_2012-ALN34"/>
      <sheetName val="chiet_tinh32"/>
      <sheetName val="NB_UNIT334"/>
      <sheetName val="Customize_Your_Purchase_Order32"/>
      <sheetName val="9E1_331"/>
      <sheetName val="1195_B131"/>
      <sheetName val="mgr_&amp;_staff34"/>
      <sheetName val="ShareCapital_34"/>
      <sheetName val="Level_1_&amp;_232"/>
      <sheetName val="JAN_200132"/>
      <sheetName val="Trading_Statement32"/>
      <sheetName val="Rincian_Iuran32"/>
      <sheetName val="Data_Rekon32"/>
      <sheetName val="Premi_Iuran32"/>
      <sheetName val="Slide_2231"/>
      <sheetName val="Data_WP31"/>
      <sheetName val="NY_ADMIN31"/>
      <sheetName val="SPI_GMBH31"/>
      <sheetName val="FA_sd_APRIL_0731"/>
      <sheetName val="tabel_nilai32"/>
      <sheetName val="AA_1_1_BNI32"/>
      <sheetName val="_SAF_0229"/>
      <sheetName val="UV_1029"/>
      <sheetName val="YTD_Resurts29"/>
      <sheetName val="TRF_15029"/>
      <sheetName val="Material_Bpn_jul'0729"/>
      <sheetName val="IMPUT_PENERIMAAN_BULK_WB29"/>
      <sheetName val="van_khuon29"/>
      <sheetName val="U2_229"/>
      <sheetName val="LINK_MOR29"/>
      <sheetName val="LINK_GAP29"/>
      <sheetName val="General_Info29"/>
      <sheetName val="Cost_Summary29"/>
      <sheetName val="SK_HTM29"/>
      <sheetName val="Entry__HTM29"/>
      <sheetName val="Cost_Analysis29"/>
      <sheetName val="Scenarios_and_Sensitivities30"/>
      <sheetName val="Global_Assumptions30"/>
      <sheetName val="F_2_WIP_CKP29"/>
      <sheetName val="F_2_1_CKP29"/>
      <sheetName val="1541020-House_Loan29"/>
      <sheetName val="RMS_FUNGSIONAL29"/>
      <sheetName val="RMS_-_STR_(2)29"/>
      <sheetName val="LIST__MESIN8"/>
      <sheetName val="MAST_PROD8"/>
      <sheetName val="LIS__PAKAI8"/>
      <sheetName val="PART_&amp;_MAINT_8"/>
      <sheetName val="STD__COST8"/>
      <sheetName val="movement&amp;add_test8"/>
      <sheetName val="A_4_28"/>
      <sheetName val="A_4_38"/>
      <sheetName val="Letter_Form8"/>
      <sheetName val="Sales_Report_MKTG8"/>
      <sheetName val="U-3_1_1_telephone8"/>
      <sheetName val="corp_tax8"/>
      <sheetName val="HPP_PER_BULAN8"/>
      <sheetName val="Finance_Projection-078"/>
      <sheetName val="ah_sanitary8"/>
      <sheetName val="03_Detailed8"/>
      <sheetName val="01_Bid_Price_summary8"/>
      <sheetName val="Permanent_info27"/>
      <sheetName val="Depreciation_&amp;_Peny_27"/>
      <sheetName val="PPh_21_Recon27"/>
      <sheetName val="fiscal_depr(E)27"/>
      <sheetName val="A_u_g27"/>
      <sheetName val="J_u_l27"/>
      <sheetName val="O_c_t27"/>
      <sheetName val="A_p_r27"/>
      <sheetName val="M_a_y27"/>
      <sheetName val="S_e_p27"/>
      <sheetName val="00_received_in_0127"/>
      <sheetName val="F_e_b27"/>
      <sheetName val="Per_GL_J_a_n27"/>
      <sheetName val="J_u_n27"/>
      <sheetName val="M_a_r27"/>
      <sheetName val="C1_NOV27"/>
      <sheetName val="jurnal-audit_227"/>
      <sheetName val="EXT_B327"/>
      <sheetName val="B2_127"/>
      <sheetName val="Main_table27"/>
      <sheetName val="Data_Per_wilayah_Vin_Code_20027"/>
      <sheetName val="Data_Per_wilayah27"/>
      <sheetName val="Print_AR27"/>
      <sheetName val="INDIRECT_DETAIL26"/>
      <sheetName val="DIRECT_COST26"/>
      <sheetName val="E4_1d27"/>
      <sheetName val="Prog_Imbalan27"/>
      <sheetName val="DES_0227"/>
      <sheetName val="Buku_Besar_127"/>
      <sheetName val="Pg7_427"/>
      <sheetName val="analisa_L-K27"/>
      <sheetName val="data_slip27"/>
      <sheetName val="Template_27"/>
      <sheetName val="jul05_ok26"/>
      <sheetName val="sept_05_dd26"/>
      <sheetName val="VAT_out27"/>
      <sheetName val="Danamon_LK27"/>
      <sheetName val="&quot;Outstanding_SO&quot;27"/>
      <sheetName val="Tax_Rate26"/>
      <sheetName val="SAP_PbT26"/>
      <sheetName val="TAX_SUMMARY27"/>
      <sheetName val="BSHO_Report26"/>
      <sheetName val="Check_Sheet26"/>
      <sheetName val="PLHO_Report26"/>
      <sheetName val="DFR_CT26"/>
      <sheetName val="Mkt_Total_by_Cat_B$26"/>
      <sheetName val="Mkt_Total_by_Cat_US$26"/>
      <sheetName val="N_Lead26"/>
      <sheetName val="N_3_126"/>
      <sheetName val="N_826"/>
      <sheetName val="N_926"/>
      <sheetName val="Assumption_&amp;_Result26"/>
      <sheetName val="Dec_08_-_Jan_09_(2)26"/>
      <sheetName val="AA_1_BNI26"/>
      <sheetName val="I_4_1_(2)26"/>
      <sheetName val="Hay_Guide_Charts_Notes26"/>
      <sheetName val="trf_ns_0426"/>
      <sheetName val="SL1006_(IDR)26"/>
      <sheetName val="trf_multiple26"/>
      <sheetName val="4_1_Placement_w_o_b26"/>
      <sheetName val="tabel_perkiraan26"/>
      <sheetName val="trfakt_sgl26"/>
      <sheetName val="trf_multiple_dnrks26"/>
      <sheetName val="SL1006_(VLS)26"/>
      <sheetName val="Irregular_Income26"/>
      <sheetName val="FE-1770_P126"/>
      <sheetName val="Benefit_Factors26"/>
      <sheetName val="Marshal_(2)26"/>
      <sheetName val="KKP_2126"/>
      <sheetName val="tabel_masa_kerja26"/>
      <sheetName val="new_IFS_format26"/>
      <sheetName val="Art_2326"/>
      <sheetName val="MTD_Results26"/>
      <sheetName val="YTD_Results26"/>
      <sheetName val="A3-Dec_2012-ALN26"/>
      <sheetName val="chiet_tinh24"/>
      <sheetName val="NB_UNIT326"/>
      <sheetName val="Customize_Your_Purchase_Order24"/>
      <sheetName val="9E1_323"/>
      <sheetName val="1195_B123"/>
      <sheetName val="mgr_&amp;_staff26"/>
      <sheetName val="ShareCapital_26"/>
      <sheetName val="Level_1_&amp;_224"/>
      <sheetName val="JAN_200124"/>
      <sheetName val="Trading_Statement24"/>
      <sheetName val="Rincian_Iuran24"/>
      <sheetName val="Data_Rekon24"/>
      <sheetName val="Premi_Iuran24"/>
      <sheetName val="Slide_2223"/>
      <sheetName val="Data_WP23"/>
      <sheetName val="NY_ADMIN23"/>
      <sheetName val="SPI_GMBH23"/>
      <sheetName val="FA_sd_APRIL_0723"/>
      <sheetName val="tabel_nilai24"/>
      <sheetName val="AA_1_1_BNI24"/>
      <sheetName val="_SAF_0221"/>
      <sheetName val="UV_1021"/>
      <sheetName val="YTD_Resurts21"/>
      <sheetName val="TRF_15021"/>
      <sheetName val="Material_Bpn_jul'0721"/>
      <sheetName val="IMPUT_PENERIMAAN_BULK_WB21"/>
      <sheetName val="van_khuon21"/>
      <sheetName val="U2_221"/>
      <sheetName val="LINK_MOR21"/>
      <sheetName val="LINK_GAP21"/>
      <sheetName val="General_Info21"/>
      <sheetName val="Cost_Summary21"/>
      <sheetName val="SK_HTM21"/>
      <sheetName val="Entry__HTM21"/>
      <sheetName val="Cost_Analysis21"/>
      <sheetName val="Scenarios_and_Sensitivities22"/>
      <sheetName val="Global_Assumptions22"/>
      <sheetName val="F_2_WIP_CKP21"/>
      <sheetName val="F_2_1_CKP21"/>
      <sheetName val="1541020-House_Loan21"/>
      <sheetName val="RMS_FUNGSIONAL21"/>
      <sheetName val="RMS_-_STR_(2)21"/>
      <sheetName val="LIST__MESIN"/>
      <sheetName val="MAST_PROD"/>
      <sheetName val="LIS__PAKAI"/>
      <sheetName val="PART_&amp;_MAINT_"/>
      <sheetName val="STD__COST"/>
      <sheetName val="Letter_Form"/>
      <sheetName val="Finance_Projection-07"/>
      <sheetName val="ah_sanitary"/>
      <sheetName val="03_Detailed"/>
      <sheetName val="01_Bid_Price_summary"/>
      <sheetName val="Permanent_info28"/>
      <sheetName val="Depreciation_&amp;_Peny_28"/>
      <sheetName val="PPh_21_Recon28"/>
      <sheetName val="fiscal_depr(E)28"/>
      <sheetName val="A_u_g28"/>
      <sheetName val="J_u_l28"/>
      <sheetName val="O_c_t28"/>
      <sheetName val="A_p_r28"/>
      <sheetName val="M_a_y28"/>
      <sheetName val="S_e_p28"/>
      <sheetName val="00_received_in_0128"/>
      <sheetName val="F_e_b28"/>
      <sheetName val="Per_GL_J_a_n28"/>
      <sheetName val="J_u_n28"/>
      <sheetName val="M_a_r28"/>
      <sheetName val="C1_NOV28"/>
      <sheetName val="jurnal-audit_228"/>
      <sheetName val="EXT_B328"/>
      <sheetName val="B2_128"/>
      <sheetName val="Main_table28"/>
      <sheetName val="Data_Per_wilayah_Vin_Code_20028"/>
      <sheetName val="Data_Per_wilayah28"/>
      <sheetName val="Print_AR28"/>
      <sheetName val="INDIRECT_DETAIL27"/>
      <sheetName val="DIRECT_COST27"/>
      <sheetName val="E4_1d28"/>
      <sheetName val="Prog_Imbalan28"/>
      <sheetName val="DES_0228"/>
      <sheetName val="Buku_Besar_128"/>
      <sheetName val="Pg7_428"/>
      <sheetName val="analisa_L-K28"/>
      <sheetName val="data_slip28"/>
      <sheetName val="Template_28"/>
      <sheetName val="jul05_ok27"/>
      <sheetName val="sept_05_dd27"/>
      <sheetName val="VAT_out28"/>
      <sheetName val="Danamon_LK28"/>
      <sheetName val="&quot;Outstanding_SO&quot;28"/>
      <sheetName val="Tax_Rate27"/>
      <sheetName val="SAP_PbT27"/>
      <sheetName val="TAX_SUMMARY28"/>
      <sheetName val="BSHO_Report27"/>
      <sheetName val="Check_Sheet27"/>
      <sheetName val="PLHO_Report27"/>
      <sheetName val="DFR_CT27"/>
      <sheetName val="Mkt_Total_by_Cat_B$27"/>
      <sheetName val="Mkt_Total_by_Cat_US$27"/>
      <sheetName val="N_Lead27"/>
      <sheetName val="N_3_127"/>
      <sheetName val="N_827"/>
      <sheetName val="N_927"/>
      <sheetName val="Assumption_&amp;_Result27"/>
      <sheetName val="Dec_08_-_Jan_09_(2)27"/>
      <sheetName val="AA_1_BNI27"/>
      <sheetName val="I_4_1_(2)27"/>
      <sheetName val="Hay_Guide_Charts_Notes27"/>
      <sheetName val="trf_ns_0427"/>
      <sheetName val="SL1006_(IDR)27"/>
      <sheetName val="trf_multiple27"/>
      <sheetName val="4_1_Placement_w_o_b27"/>
      <sheetName val="tabel_perkiraan27"/>
      <sheetName val="trfakt_sgl27"/>
      <sheetName val="trf_multiple_dnrks27"/>
      <sheetName val="SL1006_(VLS)27"/>
      <sheetName val="Irregular_Income27"/>
      <sheetName val="FE-1770_P127"/>
      <sheetName val="Benefit_Factors27"/>
      <sheetName val="Marshal_(2)27"/>
      <sheetName val="KKP_2127"/>
      <sheetName val="tabel_masa_kerja27"/>
      <sheetName val="new_IFS_format27"/>
      <sheetName val="Art_2327"/>
      <sheetName val="MTD_Results27"/>
      <sheetName val="YTD_Results27"/>
      <sheetName val="A3-Dec_2012-ALN27"/>
      <sheetName val="chiet_tinh25"/>
      <sheetName val="NB_UNIT327"/>
      <sheetName val="Customize_Your_Purchase_Order25"/>
      <sheetName val="9E1_324"/>
      <sheetName val="1195_B124"/>
      <sheetName val="mgr_&amp;_staff27"/>
      <sheetName val="ShareCapital_27"/>
      <sheetName val="Level_1_&amp;_225"/>
      <sheetName val="JAN_200125"/>
      <sheetName val="Trading_Statement25"/>
      <sheetName val="Rincian_Iuran25"/>
      <sheetName val="Data_Rekon25"/>
      <sheetName val="Premi_Iuran25"/>
      <sheetName val="Slide_2224"/>
      <sheetName val="Data_WP24"/>
      <sheetName val="NY_ADMIN24"/>
      <sheetName val="SPI_GMBH24"/>
      <sheetName val="FA_sd_APRIL_0724"/>
      <sheetName val="tabel_nilai25"/>
      <sheetName val="AA_1_1_BNI25"/>
      <sheetName val="_SAF_0222"/>
      <sheetName val="UV_1022"/>
      <sheetName val="YTD_Resurts22"/>
      <sheetName val="TRF_15022"/>
      <sheetName val="Material_Bpn_jul'0722"/>
      <sheetName val="IMPUT_PENERIMAAN_BULK_WB22"/>
      <sheetName val="van_khuon22"/>
      <sheetName val="U2_222"/>
      <sheetName val="LINK_MOR22"/>
      <sheetName val="LINK_GAP22"/>
      <sheetName val="General_Info22"/>
      <sheetName val="Cost_Summary22"/>
      <sheetName val="SK_HTM22"/>
      <sheetName val="Entry__HTM22"/>
      <sheetName val="Cost_Analysis22"/>
      <sheetName val="Scenarios_and_Sensitivities23"/>
      <sheetName val="Global_Assumptions23"/>
      <sheetName val="F_2_WIP_CKP22"/>
      <sheetName val="F_2_1_CKP22"/>
      <sheetName val="1541020-House_Loan22"/>
      <sheetName val="RMS_FUNGSIONAL22"/>
      <sheetName val="RMS_-_STR_(2)22"/>
      <sheetName val="LIST__MESIN1"/>
      <sheetName val="MAST_PROD1"/>
      <sheetName val="LIS__PAKAI1"/>
      <sheetName val="PART_&amp;_MAINT_1"/>
      <sheetName val="STD__COST1"/>
      <sheetName val="A_4_21"/>
      <sheetName val="A_4_31"/>
      <sheetName val="Letter_Form1"/>
      <sheetName val="Sales_Report_MKTG1"/>
      <sheetName val="U-3_1_1_telephone1"/>
      <sheetName val="corp_tax1"/>
      <sheetName val="Finance_Projection-071"/>
      <sheetName val="ah_sanitary1"/>
      <sheetName val="03_Detailed1"/>
      <sheetName val="01_Bid_Price_summary1"/>
      <sheetName val="Permanent_info30"/>
      <sheetName val="Depreciation_&amp;_Peny_30"/>
      <sheetName val="PPh_21_Recon30"/>
      <sheetName val="fiscal_depr(E)30"/>
      <sheetName val="A_u_g30"/>
      <sheetName val="J_u_l30"/>
      <sheetName val="O_c_t30"/>
      <sheetName val="A_p_r30"/>
      <sheetName val="M_a_y30"/>
      <sheetName val="S_e_p30"/>
      <sheetName val="00_received_in_0130"/>
      <sheetName val="F_e_b30"/>
      <sheetName val="Per_GL_J_a_n30"/>
      <sheetName val="J_u_n30"/>
      <sheetName val="M_a_r30"/>
      <sheetName val="C1_NOV30"/>
      <sheetName val="jurnal-audit_230"/>
      <sheetName val="EXT_B330"/>
      <sheetName val="B2_130"/>
      <sheetName val="Main_table30"/>
      <sheetName val="Data_Per_wilayah_Vin_Code_20030"/>
      <sheetName val="Data_Per_wilayah30"/>
      <sheetName val="Print_AR30"/>
      <sheetName val="INDIRECT_DETAIL29"/>
      <sheetName val="DIRECT_COST29"/>
      <sheetName val="E4_1d30"/>
      <sheetName val="Prog_Imbalan30"/>
      <sheetName val="DES_0230"/>
      <sheetName val="Buku_Besar_130"/>
      <sheetName val="Pg7_430"/>
      <sheetName val="analisa_L-K30"/>
      <sheetName val="data_slip30"/>
      <sheetName val="Template_30"/>
      <sheetName val="jul05_ok29"/>
      <sheetName val="sept_05_dd29"/>
      <sheetName val="VAT_out30"/>
      <sheetName val="Danamon_LK30"/>
      <sheetName val="&quot;Outstanding_SO&quot;30"/>
      <sheetName val="Tax_Rate29"/>
      <sheetName val="SAP_PbT29"/>
      <sheetName val="TAX_SUMMARY30"/>
      <sheetName val="BSHO_Report29"/>
      <sheetName val="Check_Sheet29"/>
      <sheetName val="PLHO_Report29"/>
      <sheetName val="DFR_CT29"/>
      <sheetName val="Mkt_Total_by_Cat_B$29"/>
      <sheetName val="Mkt_Total_by_Cat_US$29"/>
      <sheetName val="N_Lead29"/>
      <sheetName val="N_3_129"/>
      <sheetName val="N_829"/>
      <sheetName val="N_929"/>
      <sheetName val="Assumption_&amp;_Result29"/>
      <sheetName val="Dec_08_-_Jan_09_(2)29"/>
      <sheetName val="AA_1_BNI29"/>
      <sheetName val="I_4_1_(2)29"/>
      <sheetName val="Hay_Guide_Charts_Notes29"/>
      <sheetName val="trf_ns_0429"/>
      <sheetName val="SL1006_(IDR)29"/>
      <sheetName val="trf_multiple29"/>
      <sheetName val="4_1_Placement_w_o_b29"/>
      <sheetName val="tabel_perkiraan29"/>
      <sheetName val="trfakt_sgl29"/>
      <sheetName val="trf_multiple_dnrks29"/>
      <sheetName val="SL1006_(VLS)29"/>
      <sheetName val="Irregular_Income29"/>
      <sheetName val="FE-1770_P129"/>
      <sheetName val="Benefit_Factors29"/>
      <sheetName val="Marshal_(2)29"/>
      <sheetName val="KKP_2129"/>
      <sheetName val="tabel_masa_kerja29"/>
      <sheetName val="new_IFS_format29"/>
      <sheetName val="Art_2329"/>
      <sheetName val="MTD_Results29"/>
      <sheetName val="YTD_Results29"/>
      <sheetName val="A3-Dec_2012-ALN29"/>
      <sheetName val="chiet_tinh27"/>
      <sheetName val="NB_UNIT329"/>
      <sheetName val="Customize_Your_Purchase_Order27"/>
      <sheetName val="9E1_326"/>
      <sheetName val="1195_B126"/>
      <sheetName val="mgr_&amp;_staff29"/>
      <sheetName val="ShareCapital_29"/>
      <sheetName val="Level_1_&amp;_227"/>
      <sheetName val="JAN_200127"/>
      <sheetName val="Trading_Statement27"/>
      <sheetName val="Rincian_Iuran27"/>
      <sheetName val="Data_Rekon27"/>
      <sheetName val="Premi_Iuran27"/>
      <sheetName val="Slide_2226"/>
      <sheetName val="Data_WP26"/>
      <sheetName val="NY_ADMIN26"/>
      <sheetName val="SPI_GMBH26"/>
      <sheetName val="FA_sd_APRIL_0726"/>
      <sheetName val="tabel_nilai27"/>
      <sheetName val="AA_1_1_BNI27"/>
      <sheetName val="_SAF_0224"/>
      <sheetName val="UV_1024"/>
      <sheetName val="YTD_Resurts24"/>
      <sheetName val="TRF_15024"/>
      <sheetName val="Material_Bpn_jul'0724"/>
      <sheetName val="IMPUT_PENERIMAAN_BULK_WB24"/>
      <sheetName val="van_khuon24"/>
      <sheetName val="U2_224"/>
      <sheetName val="LINK_MOR24"/>
      <sheetName val="LINK_GAP24"/>
      <sheetName val="General_Info24"/>
      <sheetName val="Cost_Summary24"/>
      <sheetName val="SK_HTM24"/>
      <sheetName val="Entry__HTM24"/>
      <sheetName val="Cost_Analysis24"/>
      <sheetName val="Scenarios_and_Sensitivities25"/>
      <sheetName val="Global_Assumptions25"/>
      <sheetName val="F_2_WIP_CKP24"/>
      <sheetName val="F_2_1_CKP24"/>
      <sheetName val="1541020-House_Loan24"/>
      <sheetName val="RMS_FUNGSIONAL24"/>
      <sheetName val="RMS_-_STR_(2)24"/>
      <sheetName val="LIST__MESIN3"/>
      <sheetName val="MAST_PROD3"/>
      <sheetName val="LIS__PAKAI3"/>
      <sheetName val="PART_&amp;_MAINT_3"/>
      <sheetName val="STD__COST3"/>
      <sheetName val="movement&amp;add_test3"/>
      <sheetName val="A_4_23"/>
      <sheetName val="A_4_33"/>
      <sheetName val="Letter_Form3"/>
      <sheetName val="Sales_Report_MKTG3"/>
      <sheetName val="U-3_1_1_telephone3"/>
      <sheetName val="corp_tax3"/>
      <sheetName val="HPP_PER_BULAN3"/>
      <sheetName val="Finance_Projection-073"/>
      <sheetName val="ah_sanitary3"/>
      <sheetName val="03_Detailed3"/>
      <sheetName val="01_Bid_Price_summary3"/>
      <sheetName val="Permanent_info29"/>
      <sheetName val="Depreciation_&amp;_Peny_29"/>
      <sheetName val="PPh_21_Recon29"/>
      <sheetName val="fiscal_depr(E)29"/>
      <sheetName val="A_u_g29"/>
      <sheetName val="J_u_l29"/>
      <sheetName val="O_c_t29"/>
      <sheetName val="A_p_r29"/>
      <sheetName val="M_a_y29"/>
      <sheetName val="S_e_p29"/>
      <sheetName val="00_received_in_0129"/>
      <sheetName val="F_e_b29"/>
      <sheetName val="Per_GL_J_a_n29"/>
      <sheetName val="J_u_n29"/>
      <sheetName val="M_a_r29"/>
      <sheetName val="C1_NOV29"/>
      <sheetName val="jurnal-audit_229"/>
      <sheetName val="EXT_B329"/>
      <sheetName val="B2_129"/>
      <sheetName val="Main_table29"/>
      <sheetName val="Data_Per_wilayah_Vin_Code_20029"/>
      <sheetName val="Data_Per_wilayah29"/>
      <sheetName val="Print_AR29"/>
      <sheetName val="INDIRECT_DETAIL28"/>
      <sheetName val="DIRECT_COST28"/>
      <sheetName val="E4_1d29"/>
      <sheetName val="Prog_Imbalan29"/>
      <sheetName val="DES_0229"/>
      <sheetName val="Buku_Besar_129"/>
      <sheetName val="Pg7_429"/>
      <sheetName val="analisa_L-K29"/>
      <sheetName val="data_slip29"/>
      <sheetName val="Template_29"/>
      <sheetName val="jul05_ok28"/>
      <sheetName val="sept_05_dd28"/>
      <sheetName val="VAT_out29"/>
      <sheetName val="Danamon_LK29"/>
      <sheetName val="&quot;Outstanding_SO&quot;29"/>
      <sheetName val="Tax_Rate28"/>
      <sheetName val="SAP_PbT28"/>
      <sheetName val="TAX_SUMMARY29"/>
      <sheetName val="BSHO_Report28"/>
      <sheetName val="Check_Sheet28"/>
      <sheetName val="PLHO_Report28"/>
      <sheetName val="DFR_CT28"/>
      <sheetName val="Mkt_Total_by_Cat_B$28"/>
      <sheetName val="Mkt_Total_by_Cat_US$28"/>
      <sheetName val="N_Lead28"/>
      <sheetName val="N_3_128"/>
      <sheetName val="N_828"/>
      <sheetName val="N_928"/>
      <sheetName val="Assumption_&amp;_Result28"/>
      <sheetName val="Dec_08_-_Jan_09_(2)28"/>
      <sheetName val="AA_1_BNI28"/>
      <sheetName val="I_4_1_(2)28"/>
      <sheetName val="Hay_Guide_Charts_Notes28"/>
      <sheetName val="trf_ns_0428"/>
      <sheetName val="SL1006_(IDR)28"/>
      <sheetName val="trf_multiple28"/>
      <sheetName val="4_1_Placement_w_o_b28"/>
      <sheetName val="tabel_perkiraan28"/>
      <sheetName val="trfakt_sgl28"/>
      <sheetName val="trf_multiple_dnrks28"/>
      <sheetName val="SL1006_(VLS)28"/>
      <sheetName val="Irregular_Income28"/>
      <sheetName val="FE-1770_P128"/>
      <sheetName val="Benefit_Factors28"/>
      <sheetName val="Marshal_(2)28"/>
      <sheetName val="KKP_2128"/>
      <sheetName val="tabel_masa_kerja28"/>
      <sheetName val="new_IFS_format28"/>
      <sheetName val="Art_2328"/>
      <sheetName val="MTD_Results28"/>
      <sheetName val="YTD_Results28"/>
      <sheetName val="A3-Dec_2012-ALN28"/>
      <sheetName val="chiet_tinh26"/>
      <sheetName val="NB_UNIT328"/>
      <sheetName val="Customize_Your_Purchase_Order26"/>
      <sheetName val="9E1_325"/>
      <sheetName val="1195_B125"/>
      <sheetName val="mgr_&amp;_staff28"/>
      <sheetName val="ShareCapital_28"/>
      <sheetName val="Level_1_&amp;_226"/>
      <sheetName val="JAN_200126"/>
      <sheetName val="Trading_Statement26"/>
      <sheetName val="Rincian_Iuran26"/>
      <sheetName val="Data_Rekon26"/>
      <sheetName val="Premi_Iuran26"/>
      <sheetName val="Slide_2225"/>
      <sheetName val="Data_WP25"/>
      <sheetName val="NY_ADMIN25"/>
      <sheetName val="SPI_GMBH25"/>
      <sheetName val="FA_sd_APRIL_0725"/>
      <sheetName val="tabel_nilai26"/>
      <sheetName val="AA_1_1_BNI26"/>
      <sheetName val="_SAF_0223"/>
      <sheetName val="UV_1023"/>
      <sheetName val="YTD_Resurts23"/>
      <sheetName val="TRF_15023"/>
      <sheetName val="Material_Bpn_jul'0723"/>
      <sheetName val="IMPUT_PENERIMAAN_BULK_WB23"/>
      <sheetName val="van_khuon23"/>
      <sheetName val="U2_223"/>
      <sheetName val="LINK_MOR23"/>
      <sheetName val="LINK_GAP23"/>
      <sheetName val="General_Info23"/>
      <sheetName val="Cost_Summary23"/>
      <sheetName val="SK_HTM23"/>
      <sheetName val="Entry__HTM23"/>
      <sheetName val="Cost_Analysis23"/>
      <sheetName val="Scenarios_and_Sensitivities24"/>
      <sheetName val="Global_Assumptions24"/>
      <sheetName val="F_2_WIP_CKP23"/>
      <sheetName val="F_2_1_CKP23"/>
      <sheetName val="1541020-House_Loan23"/>
      <sheetName val="RMS_FUNGSIONAL23"/>
      <sheetName val="RMS_-_STR_(2)23"/>
      <sheetName val="LIST__MESIN2"/>
      <sheetName val="MAST_PROD2"/>
      <sheetName val="LIS__PAKAI2"/>
      <sheetName val="PART_&amp;_MAINT_2"/>
      <sheetName val="STD__COST2"/>
      <sheetName val="movement&amp;add_test2"/>
      <sheetName val="A_4_22"/>
      <sheetName val="A_4_32"/>
      <sheetName val="Letter_Form2"/>
      <sheetName val="Sales_Report_MKTG2"/>
      <sheetName val="U-3_1_1_telephone2"/>
      <sheetName val="corp_tax2"/>
      <sheetName val="Finance_Projection-072"/>
      <sheetName val="ah_sanitary2"/>
      <sheetName val="03_Detailed2"/>
      <sheetName val="01_Bid_Price_summary2"/>
      <sheetName val="Permanent_info31"/>
      <sheetName val="Depreciation_&amp;_Peny_31"/>
      <sheetName val="PPh_21_Recon31"/>
      <sheetName val="fiscal_depr(E)31"/>
      <sheetName val="A_u_g31"/>
      <sheetName val="J_u_l31"/>
      <sheetName val="O_c_t31"/>
      <sheetName val="A_p_r31"/>
      <sheetName val="M_a_y31"/>
      <sheetName val="S_e_p31"/>
      <sheetName val="00_received_in_0131"/>
      <sheetName val="F_e_b31"/>
      <sheetName val="Per_GL_J_a_n31"/>
      <sheetName val="J_u_n31"/>
      <sheetName val="M_a_r31"/>
      <sheetName val="C1_NOV31"/>
      <sheetName val="jurnal-audit_231"/>
      <sheetName val="EXT_B331"/>
      <sheetName val="B2_131"/>
      <sheetName val="Main_table31"/>
      <sheetName val="Data_Per_wilayah_Vin_Code_20031"/>
      <sheetName val="Data_Per_wilayah31"/>
      <sheetName val="Print_AR31"/>
      <sheetName val="INDIRECT_DETAIL30"/>
      <sheetName val="DIRECT_COST30"/>
      <sheetName val="E4_1d31"/>
      <sheetName val="Prog_Imbalan31"/>
      <sheetName val="DES_0231"/>
      <sheetName val="Buku_Besar_131"/>
      <sheetName val="Pg7_431"/>
      <sheetName val="analisa_L-K31"/>
      <sheetName val="data_slip31"/>
      <sheetName val="Template_31"/>
      <sheetName val="jul05_ok30"/>
      <sheetName val="sept_05_dd30"/>
      <sheetName val="VAT_out31"/>
      <sheetName val="Danamon_LK31"/>
      <sheetName val="&quot;Outstanding_SO&quot;31"/>
      <sheetName val="Tax_Rate30"/>
      <sheetName val="SAP_PbT30"/>
      <sheetName val="TAX_SUMMARY31"/>
      <sheetName val="BSHO_Report30"/>
      <sheetName val="Check_Sheet30"/>
      <sheetName val="PLHO_Report30"/>
      <sheetName val="DFR_CT30"/>
      <sheetName val="Mkt_Total_by_Cat_B$30"/>
      <sheetName val="Mkt_Total_by_Cat_US$30"/>
      <sheetName val="N_Lead30"/>
      <sheetName val="N_3_130"/>
      <sheetName val="N_830"/>
      <sheetName val="N_930"/>
      <sheetName val="Assumption_&amp;_Result30"/>
      <sheetName val="Dec_08_-_Jan_09_(2)30"/>
      <sheetName val="AA_1_BNI30"/>
      <sheetName val="I_4_1_(2)30"/>
      <sheetName val="Hay_Guide_Charts_Notes30"/>
      <sheetName val="trf_ns_0430"/>
      <sheetName val="SL1006_(IDR)30"/>
      <sheetName val="trf_multiple30"/>
      <sheetName val="4_1_Placement_w_o_b30"/>
      <sheetName val="tabel_perkiraan30"/>
      <sheetName val="trfakt_sgl30"/>
      <sheetName val="trf_multiple_dnrks30"/>
      <sheetName val="SL1006_(VLS)30"/>
      <sheetName val="Irregular_Income30"/>
      <sheetName val="FE-1770_P130"/>
      <sheetName val="Benefit_Factors30"/>
      <sheetName val="Marshal_(2)30"/>
      <sheetName val="KKP_2130"/>
      <sheetName val="tabel_masa_kerja30"/>
      <sheetName val="new_IFS_format30"/>
      <sheetName val="Art_2330"/>
      <sheetName val="MTD_Results30"/>
      <sheetName val="YTD_Results30"/>
      <sheetName val="A3-Dec_2012-ALN30"/>
      <sheetName val="chiet_tinh28"/>
      <sheetName val="NB_UNIT330"/>
      <sheetName val="Customize_Your_Purchase_Order28"/>
      <sheetName val="9E1_327"/>
      <sheetName val="1195_B127"/>
      <sheetName val="mgr_&amp;_staff30"/>
      <sheetName val="ShareCapital_30"/>
      <sheetName val="Level_1_&amp;_228"/>
      <sheetName val="JAN_200128"/>
      <sheetName val="Trading_Statement28"/>
      <sheetName val="Rincian_Iuran28"/>
      <sheetName val="Data_Rekon28"/>
      <sheetName val="Premi_Iuran28"/>
      <sheetName val="Slide_2227"/>
      <sheetName val="Data_WP27"/>
      <sheetName val="NY_ADMIN27"/>
      <sheetName val="SPI_GMBH27"/>
      <sheetName val="FA_sd_APRIL_0727"/>
      <sheetName val="tabel_nilai28"/>
      <sheetName val="AA_1_1_BNI28"/>
      <sheetName val="_SAF_0225"/>
      <sheetName val="UV_1025"/>
      <sheetName val="YTD_Resurts25"/>
      <sheetName val="TRF_15025"/>
      <sheetName val="Material_Bpn_jul'0725"/>
      <sheetName val="IMPUT_PENERIMAAN_BULK_WB25"/>
      <sheetName val="van_khuon25"/>
      <sheetName val="U2_225"/>
      <sheetName val="LINK_MOR25"/>
      <sheetName val="LINK_GAP25"/>
      <sheetName val="General_Info25"/>
      <sheetName val="Cost_Summary25"/>
      <sheetName val="SK_HTM25"/>
      <sheetName val="Entry__HTM25"/>
      <sheetName val="Cost_Analysis25"/>
      <sheetName val="Scenarios_and_Sensitivities26"/>
      <sheetName val="Global_Assumptions26"/>
      <sheetName val="F_2_WIP_CKP25"/>
      <sheetName val="F_2_1_CKP25"/>
      <sheetName val="1541020-House_Loan25"/>
      <sheetName val="RMS_FUNGSIONAL25"/>
      <sheetName val="RMS_-_STR_(2)25"/>
      <sheetName val="LIST__MESIN4"/>
      <sheetName val="MAST_PROD4"/>
      <sheetName val="LIS__PAKAI4"/>
      <sheetName val="PART_&amp;_MAINT_4"/>
      <sheetName val="STD__COST4"/>
      <sheetName val="movement&amp;add_test4"/>
      <sheetName val="A_4_24"/>
      <sheetName val="A_4_34"/>
      <sheetName val="Letter_Form4"/>
      <sheetName val="Sales_Report_MKTG4"/>
      <sheetName val="U-3_1_1_telephone4"/>
      <sheetName val="corp_tax4"/>
      <sheetName val="HPP_PER_BULAN4"/>
      <sheetName val="Finance_Projection-074"/>
      <sheetName val="ah_sanitary4"/>
      <sheetName val="03_Detailed4"/>
      <sheetName val="01_Bid_Price_summary4"/>
      <sheetName val="Permanent_info34"/>
      <sheetName val="Depreciation_&amp;_Peny_34"/>
      <sheetName val="PPh_21_Recon34"/>
      <sheetName val="fiscal_depr(E)34"/>
      <sheetName val="A_u_g34"/>
      <sheetName val="J_u_l34"/>
      <sheetName val="O_c_t34"/>
      <sheetName val="A_p_r34"/>
      <sheetName val="M_a_y34"/>
      <sheetName val="S_e_p34"/>
      <sheetName val="00_received_in_0134"/>
      <sheetName val="F_e_b34"/>
      <sheetName val="Per_GL_J_a_n34"/>
      <sheetName val="J_u_n34"/>
      <sheetName val="M_a_r34"/>
      <sheetName val="C1_NOV34"/>
      <sheetName val="jurnal-audit_234"/>
      <sheetName val="EXT_B334"/>
      <sheetName val="B2_134"/>
      <sheetName val="Main_table34"/>
      <sheetName val="Data_Per_wilayah_Vin_Code_20034"/>
      <sheetName val="Data_Per_wilayah34"/>
      <sheetName val="Print_AR34"/>
      <sheetName val="INDIRECT_DETAIL33"/>
      <sheetName val="DIRECT_COST33"/>
      <sheetName val="E4_1d34"/>
      <sheetName val="Prog_Imbalan34"/>
      <sheetName val="DES_0234"/>
      <sheetName val="Buku_Besar_134"/>
      <sheetName val="Pg7_434"/>
      <sheetName val="analisa_L-K34"/>
      <sheetName val="data_slip34"/>
      <sheetName val="Template_34"/>
      <sheetName val="jul05_ok33"/>
      <sheetName val="sept_05_dd33"/>
      <sheetName val="VAT_out34"/>
      <sheetName val="Danamon_LK34"/>
      <sheetName val="&quot;Outstanding_SO&quot;34"/>
      <sheetName val="Tax_Rate33"/>
      <sheetName val="SAP_PbT33"/>
      <sheetName val="TAX_SUMMARY34"/>
      <sheetName val="BSHO_Report33"/>
      <sheetName val="Check_Sheet33"/>
      <sheetName val="PLHO_Report33"/>
      <sheetName val="DFR_CT33"/>
      <sheetName val="Mkt_Total_by_Cat_B$33"/>
      <sheetName val="Mkt_Total_by_Cat_US$33"/>
      <sheetName val="N_Lead33"/>
      <sheetName val="N_3_133"/>
      <sheetName val="N_833"/>
      <sheetName val="N_933"/>
      <sheetName val="Assumption_&amp;_Result33"/>
      <sheetName val="Dec_08_-_Jan_09_(2)33"/>
      <sheetName val="AA_1_BNI33"/>
      <sheetName val="I_4_1_(2)33"/>
      <sheetName val="Hay_Guide_Charts_Notes33"/>
      <sheetName val="trf_ns_0433"/>
      <sheetName val="SL1006_(IDR)33"/>
      <sheetName val="trf_multiple33"/>
      <sheetName val="4_1_Placement_w_o_b33"/>
      <sheetName val="tabel_perkiraan33"/>
      <sheetName val="trfakt_sgl33"/>
      <sheetName val="trf_multiple_dnrks33"/>
      <sheetName val="SL1006_(VLS)33"/>
      <sheetName val="Irregular_Income33"/>
      <sheetName val="FE-1770_P133"/>
      <sheetName val="Benefit_Factors33"/>
      <sheetName val="Marshal_(2)33"/>
      <sheetName val="KKP_2133"/>
      <sheetName val="tabel_masa_kerja33"/>
      <sheetName val="new_IFS_format33"/>
      <sheetName val="Art_2333"/>
      <sheetName val="MTD_Results33"/>
      <sheetName val="YTD_Results33"/>
      <sheetName val="A3-Dec_2012-ALN33"/>
      <sheetName val="chiet_tinh31"/>
      <sheetName val="NB_UNIT333"/>
      <sheetName val="Customize_Your_Purchase_Order31"/>
      <sheetName val="9E1_330"/>
      <sheetName val="1195_B130"/>
      <sheetName val="mgr_&amp;_staff33"/>
      <sheetName val="ShareCapital_33"/>
      <sheetName val="Level_1_&amp;_231"/>
      <sheetName val="JAN_200131"/>
      <sheetName val="Trading_Statement31"/>
      <sheetName val="Rincian_Iuran31"/>
      <sheetName val="Data_Rekon31"/>
      <sheetName val="Premi_Iuran31"/>
      <sheetName val="Slide_2230"/>
      <sheetName val="Data_WP30"/>
      <sheetName val="NY_ADMIN30"/>
      <sheetName val="SPI_GMBH30"/>
      <sheetName val="FA_sd_APRIL_0730"/>
      <sheetName val="tabel_nilai31"/>
      <sheetName val="AA_1_1_BNI31"/>
      <sheetName val="_SAF_0228"/>
      <sheetName val="UV_1028"/>
      <sheetName val="YTD_Resurts28"/>
      <sheetName val="TRF_15028"/>
      <sheetName val="Material_Bpn_jul'0728"/>
      <sheetName val="IMPUT_PENERIMAAN_BULK_WB28"/>
      <sheetName val="van_khuon28"/>
      <sheetName val="U2_228"/>
      <sheetName val="LINK_MOR28"/>
      <sheetName val="LINK_GAP28"/>
      <sheetName val="General_Info28"/>
      <sheetName val="Cost_Summary28"/>
      <sheetName val="SK_HTM28"/>
      <sheetName val="Entry__HTM28"/>
      <sheetName val="Cost_Analysis28"/>
      <sheetName val="Scenarios_and_Sensitivities29"/>
      <sheetName val="Global_Assumptions29"/>
      <sheetName val="F_2_WIP_CKP28"/>
      <sheetName val="F_2_1_CKP28"/>
      <sheetName val="1541020-House_Loan28"/>
      <sheetName val="RMS_FUNGSIONAL28"/>
      <sheetName val="RMS_-_STR_(2)28"/>
      <sheetName val="LIST__MESIN7"/>
      <sheetName val="MAST_PROD7"/>
      <sheetName val="LIS__PAKAI7"/>
      <sheetName val="PART_&amp;_MAINT_7"/>
      <sheetName val="STD__COST7"/>
      <sheetName val="movement&amp;add_test7"/>
      <sheetName val="A_4_27"/>
      <sheetName val="A_4_37"/>
      <sheetName val="Letter_Form7"/>
      <sheetName val="Sales_Report_MKTG7"/>
      <sheetName val="U-3_1_1_telephone7"/>
      <sheetName val="corp_tax7"/>
      <sheetName val="HPP_PER_BULAN7"/>
      <sheetName val="Finance_Projection-077"/>
      <sheetName val="ah_sanitary7"/>
      <sheetName val="03_Detailed7"/>
      <sheetName val="01_Bid_Price_summary7"/>
      <sheetName val="Permanent_info32"/>
      <sheetName val="Depreciation_&amp;_Peny_32"/>
      <sheetName val="PPh_21_Recon32"/>
      <sheetName val="fiscal_depr(E)32"/>
      <sheetName val="A_u_g32"/>
      <sheetName val="J_u_l32"/>
      <sheetName val="O_c_t32"/>
      <sheetName val="A_p_r32"/>
      <sheetName val="M_a_y32"/>
      <sheetName val="S_e_p32"/>
      <sheetName val="00_received_in_0132"/>
      <sheetName val="F_e_b32"/>
      <sheetName val="Per_GL_J_a_n32"/>
      <sheetName val="J_u_n32"/>
      <sheetName val="M_a_r32"/>
      <sheetName val="C1_NOV32"/>
      <sheetName val="jurnal-audit_232"/>
      <sheetName val="EXT_B332"/>
      <sheetName val="B2_132"/>
      <sheetName val="Main_table32"/>
      <sheetName val="Data_Per_wilayah_Vin_Code_20032"/>
      <sheetName val="Data_Per_wilayah32"/>
      <sheetName val="Print_AR32"/>
      <sheetName val="INDIRECT_DETAIL31"/>
      <sheetName val="DIRECT_COST31"/>
      <sheetName val="E4_1d32"/>
      <sheetName val="Prog_Imbalan32"/>
      <sheetName val="DES_0232"/>
      <sheetName val="Buku_Besar_132"/>
      <sheetName val="Pg7_432"/>
      <sheetName val="analisa_L-K32"/>
      <sheetName val="data_slip32"/>
      <sheetName val="Template_32"/>
      <sheetName val="jul05_ok31"/>
      <sheetName val="sept_05_dd31"/>
      <sheetName val="VAT_out32"/>
      <sheetName val="Danamon_LK32"/>
      <sheetName val="&quot;Outstanding_SO&quot;32"/>
      <sheetName val="Tax_Rate31"/>
      <sheetName val="SAP_PbT31"/>
      <sheetName val="TAX_SUMMARY32"/>
      <sheetName val="BSHO_Report31"/>
      <sheetName val="Check_Sheet31"/>
      <sheetName val="PLHO_Report31"/>
      <sheetName val="DFR_CT31"/>
      <sheetName val="Mkt_Total_by_Cat_B$31"/>
      <sheetName val="Mkt_Total_by_Cat_US$31"/>
      <sheetName val="N_Lead31"/>
      <sheetName val="N_3_131"/>
      <sheetName val="N_831"/>
      <sheetName val="N_931"/>
      <sheetName val="Assumption_&amp;_Result31"/>
      <sheetName val="Dec_08_-_Jan_09_(2)31"/>
      <sheetName val="AA_1_BNI31"/>
      <sheetName val="I_4_1_(2)31"/>
      <sheetName val="Hay_Guide_Charts_Notes31"/>
      <sheetName val="trf_ns_0431"/>
      <sheetName val="SL1006_(IDR)31"/>
      <sheetName val="trf_multiple31"/>
      <sheetName val="4_1_Placement_w_o_b31"/>
      <sheetName val="tabel_perkiraan31"/>
      <sheetName val="trfakt_sgl31"/>
      <sheetName val="trf_multiple_dnrks31"/>
      <sheetName val="SL1006_(VLS)31"/>
      <sheetName val="Irregular_Income31"/>
      <sheetName val="FE-1770_P131"/>
      <sheetName val="Benefit_Factors31"/>
      <sheetName val="Marshal_(2)31"/>
      <sheetName val="KKP_2131"/>
      <sheetName val="tabel_masa_kerja31"/>
      <sheetName val="new_IFS_format31"/>
      <sheetName val="Art_2331"/>
      <sheetName val="MTD_Results31"/>
      <sheetName val="YTD_Results31"/>
      <sheetName val="A3-Dec_2012-ALN31"/>
      <sheetName val="chiet_tinh29"/>
      <sheetName val="NB_UNIT331"/>
      <sheetName val="Customize_Your_Purchase_Order29"/>
      <sheetName val="9E1_328"/>
      <sheetName val="1195_B128"/>
      <sheetName val="mgr_&amp;_staff31"/>
      <sheetName val="ShareCapital_31"/>
      <sheetName val="Level_1_&amp;_229"/>
      <sheetName val="JAN_200129"/>
      <sheetName val="Trading_Statement29"/>
      <sheetName val="Rincian_Iuran29"/>
      <sheetName val="Data_Rekon29"/>
      <sheetName val="Premi_Iuran29"/>
      <sheetName val="Slide_2228"/>
      <sheetName val="Data_WP28"/>
      <sheetName val="NY_ADMIN28"/>
      <sheetName val="SPI_GMBH28"/>
      <sheetName val="FA_sd_APRIL_0728"/>
      <sheetName val="tabel_nilai29"/>
      <sheetName val="AA_1_1_BNI29"/>
      <sheetName val="_SAF_0226"/>
      <sheetName val="UV_1026"/>
      <sheetName val="YTD_Resurts26"/>
      <sheetName val="TRF_15026"/>
      <sheetName val="Material_Bpn_jul'0726"/>
      <sheetName val="IMPUT_PENERIMAAN_BULK_WB26"/>
      <sheetName val="van_khuon26"/>
      <sheetName val="U2_226"/>
      <sheetName val="LINK_MOR26"/>
      <sheetName val="LINK_GAP26"/>
      <sheetName val="General_Info26"/>
      <sheetName val="Cost_Summary26"/>
      <sheetName val="SK_HTM26"/>
      <sheetName val="Entry__HTM26"/>
      <sheetName val="Cost_Analysis26"/>
      <sheetName val="Scenarios_and_Sensitivities27"/>
      <sheetName val="Global_Assumptions27"/>
      <sheetName val="F_2_WIP_CKP26"/>
      <sheetName val="F_2_1_CKP26"/>
      <sheetName val="1541020-House_Loan26"/>
      <sheetName val="RMS_FUNGSIONAL26"/>
      <sheetName val="RMS_-_STR_(2)26"/>
      <sheetName val="LIST__MESIN5"/>
      <sheetName val="MAST_PROD5"/>
      <sheetName val="LIS__PAKAI5"/>
      <sheetName val="PART_&amp;_MAINT_5"/>
      <sheetName val="STD__COST5"/>
      <sheetName val="movement&amp;add_test5"/>
      <sheetName val="A_4_25"/>
      <sheetName val="A_4_35"/>
      <sheetName val="Letter_Form5"/>
      <sheetName val="Sales_Report_MKTG5"/>
      <sheetName val="U-3_1_1_telephone5"/>
      <sheetName val="corp_tax5"/>
      <sheetName val="HPP_PER_BULAN5"/>
      <sheetName val="Finance_Projection-075"/>
      <sheetName val="ah_sanitary5"/>
      <sheetName val="03_Detailed5"/>
      <sheetName val="01_Bid_Price_summary5"/>
      <sheetName val="Permanent_info33"/>
      <sheetName val="Depreciation_&amp;_Peny_33"/>
      <sheetName val="PPh_21_Recon33"/>
      <sheetName val="fiscal_depr(E)33"/>
      <sheetName val="A_u_g33"/>
      <sheetName val="J_u_l33"/>
      <sheetName val="O_c_t33"/>
      <sheetName val="A_p_r33"/>
      <sheetName val="M_a_y33"/>
      <sheetName val="S_e_p33"/>
      <sheetName val="00_received_in_0133"/>
      <sheetName val="F_e_b33"/>
      <sheetName val="Per_GL_J_a_n33"/>
      <sheetName val="J_u_n33"/>
      <sheetName val="M_a_r33"/>
      <sheetName val="C1_NOV33"/>
      <sheetName val="jurnal-audit_233"/>
      <sheetName val="EXT_B333"/>
      <sheetName val="B2_133"/>
      <sheetName val="Main_table33"/>
      <sheetName val="Data_Per_wilayah_Vin_Code_20033"/>
      <sheetName val="Data_Per_wilayah33"/>
      <sheetName val="Print_AR33"/>
      <sheetName val="INDIRECT_DETAIL32"/>
      <sheetName val="DIRECT_COST32"/>
      <sheetName val="E4_1d33"/>
      <sheetName val="Prog_Imbalan33"/>
      <sheetName val="DES_0233"/>
      <sheetName val="Buku_Besar_133"/>
      <sheetName val="Pg7_433"/>
      <sheetName val="analisa_L-K33"/>
      <sheetName val="data_slip33"/>
      <sheetName val="Template_33"/>
      <sheetName val="jul05_ok32"/>
      <sheetName val="sept_05_dd32"/>
      <sheetName val="VAT_out33"/>
      <sheetName val="Danamon_LK33"/>
      <sheetName val="&quot;Outstanding_SO&quot;33"/>
      <sheetName val="Tax_Rate32"/>
      <sheetName val="SAP_PbT32"/>
      <sheetName val="TAX_SUMMARY33"/>
      <sheetName val="BSHO_Report32"/>
      <sheetName val="Check_Sheet32"/>
      <sheetName val="PLHO_Report32"/>
      <sheetName val="DFR_CT32"/>
      <sheetName val="Mkt_Total_by_Cat_B$32"/>
      <sheetName val="Mkt_Total_by_Cat_US$32"/>
      <sheetName val="N_Lead32"/>
      <sheetName val="N_3_132"/>
      <sheetName val="N_832"/>
      <sheetName val="N_932"/>
      <sheetName val="Assumption_&amp;_Result32"/>
      <sheetName val="Dec_08_-_Jan_09_(2)32"/>
      <sheetName val="AA_1_BNI32"/>
      <sheetName val="I_4_1_(2)32"/>
      <sheetName val="Hay_Guide_Charts_Notes32"/>
      <sheetName val="trf_ns_0432"/>
      <sheetName val="SL1006_(IDR)32"/>
      <sheetName val="trf_multiple32"/>
      <sheetName val="4_1_Placement_w_o_b32"/>
      <sheetName val="tabel_perkiraan32"/>
      <sheetName val="trfakt_sgl32"/>
      <sheetName val="trf_multiple_dnrks32"/>
      <sheetName val="SL1006_(VLS)32"/>
      <sheetName val="Irregular_Income32"/>
      <sheetName val="FE-1770_P132"/>
      <sheetName val="Benefit_Factors32"/>
      <sheetName val="Marshal_(2)32"/>
      <sheetName val="KKP_2132"/>
      <sheetName val="tabel_masa_kerja32"/>
      <sheetName val="new_IFS_format32"/>
      <sheetName val="Art_2332"/>
      <sheetName val="MTD_Results32"/>
      <sheetName val="YTD_Results32"/>
      <sheetName val="A3-Dec_2012-ALN32"/>
      <sheetName val="chiet_tinh30"/>
      <sheetName val="NB_UNIT332"/>
      <sheetName val="Customize_Your_Purchase_Order30"/>
      <sheetName val="9E1_329"/>
      <sheetName val="1195_B129"/>
      <sheetName val="mgr_&amp;_staff32"/>
      <sheetName val="ShareCapital_32"/>
      <sheetName val="Level_1_&amp;_230"/>
      <sheetName val="JAN_200130"/>
      <sheetName val="Trading_Statement30"/>
      <sheetName val="Rincian_Iuran30"/>
      <sheetName val="Data_Rekon30"/>
      <sheetName val="Premi_Iuran30"/>
      <sheetName val="Slide_2229"/>
      <sheetName val="Data_WP29"/>
      <sheetName val="NY_ADMIN29"/>
      <sheetName val="SPI_GMBH29"/>
      <sheetName val="FA_sd_APRIL_0729"/>
      <sheetName val="tabel_nilai30"/>
      <sheetName val="AA_1_1_BNI30"/>
      <sheetName val="_SAF_0227"/>
      <sheetName val="UV_1027"/>
      <sheetName val="YTD_Resurts27"/>
      <sheetName val="TRF_15027"/>
      <sheetName val="Material_Bpn_jul'0727"/>
      <sheetName val="IMPUT_PENERIMAAN_BULK_WB27"/>
      <sheetName val="van_khuon27"/>
      <sheetName val="U2_227"/>
      <sheetName val="LINK_MOR27"/>
      <sheetName val="LINK_GAP27"/>
      <sheetName val="General_Info27"/>
      <sheetName val="Cost_Summary27"/>
      <sheetName val="SK_HTM27"/>
      <sheetName val="Entry__HTM27"/>
      <sheetName val="Cost_Analysis27"/>
      <sheetName val="Scenarios_and_Sensitivities28"/>
      <sheetName val="Global_Assumptions28"/>
      <sheetName val="F_2_WIP_CKP27"/>
      <sheetName val="F_2_1_CKP27"/>
      <sheetName val="1541020-House_Loan27"/>
      <sheetName val="RMS_FUNGSIONAL27"/>
      <sheetName val="RMS_-_STR_(2)27"/>
      <sheetName val="LIST__MESIN6"/>
      <sheetName val="MAST_PROD6"/>
      <sheetName val="LIS__PAKAI6"/>
      <sheetName val="PART_&amp;_MAINT_6"/>
      <sheetName val="STD__COST6"/>
      <sheetName val="movement&amp;add_test6"/>
      <sheetName val="A_4_26"/>
      <sheetName val="A_4_36"/>
      <sheetName val="Letter_Form6"/>
      <sheetName val="Sales_Report_MKTG6"/>
      <sheetName val="U-3_1_1_telephone6"/>
      <sheetName val="corp_tax6"/>
      <sheetName val="HPP_PER_BULAN6"/>
      <sheetName val="Finance_Projection-076"/>
      <sheetName val="ah_sanitary6"/>
      <sheetName val="03_Detailed6"/>
      <sheetName val="01_Bid_Price_summary6"/>
      <sheetName val="Permanent_info38"/>
      <sheetName val="Depreciation_&amp;_Peny_38"/>
      <sheetName val="PPh_21_Recon38"/>
      <sheetName val="fiscal_depr(E)38"/>
      <sheetName val="A_u_g38"/>
      <sheetName val="J_u_l38"/>
      <sheetName val="O_c_t38"/>
      <sheetName val="A_p_r38"/>
      <sheetName val="M_a_y38"/>
      <sheetName val="S_e_p38"/>
      <sheetName val="00_received_in_0138"/>
      <sheetName val="F_e_b38"/>
      <sheetName val="Per_GL_J_a_n38"/>
      <sheetName val="J_u_n38"/>
      <sheetName val="M_a_r38"/>
      <sheetName val="C1_NOV38"/>
      <sheetName val="jurnal-audit_238"/>
      <sheetName val="EXT_B338"/>
      <sheetName val="B2_138"/>
      <sheetName val="Main_table38"/>
      <sheetName val="Data_Per_wilayah_Vin_Code_20038"/>
      <sheetName val="Data_Per_wilayah38"/>
      <sheetName val="Print_AR38"/>
      <sheetName val="INDIRECT_DETAIL37"/>
      <sheetName val="DIRECT_COST37"/>
      <sheetName val="E4_1d38"/>
      <sheetName val="Prog_Imbalan38"/>
      <sheetName val="DES_0238"/>
      <sheetName val="Buku_Besar_138"/>
      <sheetName val="Pg7_438"/>
      <sheetName val="analisa_L-K38"/>
      <sheetName val="data_slip38"/>
      <sheetName val="Template_38"/>
      <sheetName val="jul05_ok37"/>
      <sheetName val="sept_05_dd37"/>
      <sheetName val="VAT_out38"/>
      <sheetName val="Danamon_LK38"/>
      <sheetName val="&quot;Outstanding_SO&quot;38"/>
      <sheetName val="Tax_Rate37"/>
      <sheetName val="SAP_PbT37"/>
      <sheetName val="TAX_SUMMARY38"/>
      <sheetName val="BSHO_Report37"/>
      <sheetName val="Check_Sheet37"/>
      <sheetName val="PLHO_Report37"/>
      <sheetName val="DFR_CT37"/>
      <sheetName val="Mkt_Total_by_Cat_B$37"/>
      <sheetName val="Mkt_Total_by_Cat_US$37"/>
      <sheetName val="N_Lead37"/>
      <sheetName val="N_3_137"/>
      <sheetName val="N_837"/>
      <sheetName val="N_937"/>
      <sheetName val="Assumption_&amp;_Result37"/>
      <sheetName val="Dec_08_-_Jan_09_(2)37"/>
      <sheetName val="AA_1_BNI37"/>
      <sheetName val="I_4_1_(2)37"/>
      <sheetName val="Hay_Guide_Charts_Notes37"/>
      <sheetName val="trf_ns_0437"/>
      <sheetName val="SL1006_(IDR)37"/>
      <sheetName val="trf_multiple37"/>
      <sheetName val="4_1_Placement_w_o_b37"/>
      <sheetName val="tabel_perkiraan37"/>
      <sheetName val="trfakt_sgl37"/>
      <sheetName val="trf_multiple_dnrks37"/>
      <sheetName val="SL1006_(VLS)37"/>
      <sheetName val="Irregular_Income37"/>
      <sheetName val="FE-1770_P137"/>
      <sheetName val="Benefit_Factors37"/>
      <sheetName val="Marshal_(2)37"/>
      <sheetName val="KKP_2137"/>
      <sheetName val="tabel_masa_kerja37"/>
      <sheetName val="new_IFS_format37"/>
      <sheetName val="Art_2337"/>
      <sheetName val="MTD_Results37"/>
      <sheetName val="YTD_Results37"/>
      <sheetName val="A3-Dec_2012-ALN37"/>
      <sheetName val="chiet_tinh35"/>
      <sheetName val="NB_UNIT337"/>
      <sheetName val="Customize_Your_Purchase_Order35"/>
      <sheetName val="9E1_334"/>
      <sheetName val="1195_B134"/>
      <sheetName val="mgr_&amp;_staff37"/>
      <sheetName val="ShareCapital_37"/>
      <sheetName val="Level_1_&amp;_235"/>
      <sheetName val="JAN_200135"/>
      <sheetName val="Trading_Statement35"/>
      <sheetName val="Rincian_Iuran35"/>
      <sheetName val="Data_Rekon35"/>
      <sheetName val="Premi_Iuran35"/>
      <sheetName val="Slide_2234"/>
      <sheetName val="Data_WP34"/>
      <sheetName val="NY_ADMIN34"/>
      <sheetName val="SPI_GMBH34"/>
      <sheetName val="FA_sd_APRIL_0734"/>
      <sheetName val="tabel_nilai35"/>
      <sheetName val="AA_1_1_BNI35"/>
      <sheetName val="_SAF_0232"/>
      <sheetName val="UV_1032"/>
      <sheetName val="YTD_Resurts32"/>
      <sheetName val="TRF_15032"/>
      <sheetName val="Material_Bpn_jul'0732"/>
      <sheetName val="IMPUT_PENERIMAAN_BULK_WB32"/>
      <sheetName val="van_khuon32"/>
      <sheetName val="U2_232"/>
      <sheetName val="LINK_MOR32"/>
      <sheetName val="LINK_GAP32"/>
      <sheetName val="General_Info32"/>
      <sheetName val="Cost_Summary32"/>
      <sheetName val="SK_HTM32"/>
      <sheetName val="Entry__HTM32"/>
      <sheetName val="Cost_Analysis32"/>
      <sheetName val="Scenarios_and_Sensitivities33"/>
      <sheetName val="Global_Assumptions33"/>
      <sheetName val="F_2_WIP_CKP32"/>
      <sheetName val="F_2_1_CKP32"/>
      <sheetName val="1541020-House_Loan32"/>
      <sheetName val="RMS_FUNGSIONAL32"/>
      <sheetName val="RMS_-_STR_(2)32"/>
      <sheetName val="LIST__MESIN11"/>
      <sheetName val="MAST_PROD11"/>
      <sheetName val="LIS__PAKAI11"/>
      <sheetName val="PART_&amp;_MAINT_11"/>
      <sheetName val="STD__COST11"/>
      <sheetName val="movement&amp;add_test11"/>
      <sheetName val="A_4_211"/>
      <sheetName val="A_4_311"/>
      <sheetName val="Letter_Form11"/>
      <sheetName val="Sales_Report_MKTG11"/>
      <sheetName val="U-3_1_1_telephone11"/>
      <sheetName val="corp_tax11"/>
      <sheetName val="HPP_PER_BULAN11"/>
      <sheetName val="Finance_Projection-0711"/>
      <sheetName val="ah_sanitary11"/>
      <sheetName val="03_Detailed11"/>
      <sheetName val="01_Bid_Price_summary11"/>
      <sheetName val="Permanent_info36"/>
      <sheetName val="Depreciation_&amp;_Peny_36"/>
      <sheetName val="PPh_21_Recon36"/>
      <sheetName val="fiscal_depr(E)36"/>
      <sheetName val="A_u_g36"/>
      <sheetName val="J_u_l36"/>
      <sheetName val="O_c_t36"/>
      <sheetName val="A_p_r36"/>
      <sheetName val="M_a_y36"/>
      <sheetName val="S_e_p36"/>
      <sheetName val="00_received_in_0136"/>
      <sheetName val="F_e_b36"/>
      <sheetName val="Per_GL_J_a_n36"/>
      <sheetName val="J_u_n36"/>
      <sheetName val="M_a_r36"/>
      <sheetName val="C1_NOV36"/>
      <sheetName val="jurnal-audit_236"/>
      <sheetName val="EXT_B336"/>
      <sheetName val="B2_136"/>
      <sheetName val="Main_table36"/>
      <sheetName val="Data_Per_wilayah_Vin_Code_20036"/>
      <sheetName val="Data_Per_wilayah36"/>
      <sheetName val="Print_AR36"/>
      <sheetName val="INDIRECT_DETAIL35"/>
      <sheetName val="DIRECT_COST35"/>
      <sheetName val="E4_1d36"/>
      <sheetName val="Prog_Imbalan36"/>
      <sheetName val="DES_0236"/>
      <sheetName val="Buku_Besar_136"/>
      <sheetName val="Pg7_436"/>
      <sheetName val="analisa_L-K36"/>
      <sheetName val="data_slip36"/>
      <sheetName val="Template_36"/>
      <sheetName val="jul05_ok35"/>
      <sheetName val="sept_05_dd35"/>
      <sheetName val="VAT_out36"/>
      <sheetName val="Danamon_LK36"/>
      <sheetName val="&quot;Outstanding_SO&quot;36"/>
      <sheetName val="Tax_Rate35"/>
      <sheetName val="SAP_PbT35"/>
      <sheetName val="TAX_SUMMARY36"/>
      <sheetName val="BSHO_Report35"/>
      <sheetName val="Check_Sheet35"/>
      <sheetName val="PLHO_Report35"/>
      <sheetName val="DFR_CT35"/>
      <sheetName val="Mkt_Total_by_Cat_B$35"/>
      <sheetName val="Mkt_Total_by_Cat_US$35"/>
      <sheetName val="N_Lead35"/>
      <sheetName val="N_3_135"/>
      <sheetName val="N_835"/>
      <sheetName val="N_935"/>
      <sheetName val="Assumption_&amp;_Result35"/>
      <sheetName val="Dec_08_-_Jan_09_(2)35"/>
      <sheetName val="AA_1_BNI35"/>
      <sheetName val="I_4_1_(2)35"/>
      <sheetName val="Hay_Guide_Charts_Notes35"/>
      <sheetName val="trf_ns_0435"/>
      <sheetName val="SL1006_(IDR)35"/>
      <sheetName val="trf_multiple35"/>
      <sheetName val="4_1_Placement_w_o_b35"/>
      <sheetName val="tabel_perkiraan35"/>
      <sheetName val="trfakt_sgl35"/>
      <sheetName val="trf_multiple_dnrks35"/>
      <sheetName val="SL1006_(VLS)35"/>
      <sheetName val="Irregular_Income35"/>
      <sheetName val="FE-1770_P135"/>
      <sheetName val="Benefit_Factors35"/>
      <sheetName val="Marshal_(2)35"/>
      <sheetName val="KKP_2135"/>
      <sheetName val="tabel_masa_kerja35"/>
      <sheetName val="new_IFS_format35"/>
      <sheetName val="Art_2335"/>
      <sheetName val="MTD_Results35"/>
      <sheetName val="YTD_Results35"/>
      <sheetName val="A3-Dec_2012-ALN35"/>
      <sheetName val="chiet_tinh33"/>
      <sheetName val="NB_UNIT335"/>
      <sheetName val="Customize_Your_Purchase_Order33"/>
      <sheetName val="9E1_332"/>
      <sheetName val="1195_B132"/>
      <sheetName val="mgr_&amp;_staff35"/>
      <sheetName val="ShareCapital_35"/>
      <sheetName val="Level_1_&amp;_233"/>
      <sheetName val="JAN_200133"/>
      <sheetName val="Trading_Statement33"/>
      <sheetName val="Rincian_Iuran33"/>
      <sheetName val="Data_Rekon33"/>
      <sheetName val="Premi_Iuran33"/>
      <sheetName val="Slide_2232"/>
      <sheetName val="Data_WP32"/>
      <sheetName val="NY_ADMIN32"/>
      <sheetName val="SPI_GMBH32"/>
      <sheetName val="FA_sd_APRIL_0732"/>
      <sheetName val="tabel_nilai33"/>
      <sheetName val="AA_1_1_BNI33"/>
      <sheetName val="_SAF_0230"/>
      <sheetName val="UV_1030"/>
      <sheetName val="YTD_Resurts30"/>
      <sheetName val="TRF_15030"/>
      <sheetName val="Material_Bpn_jul'0730"/>
      <sheetName val="IMPUT_PENERIMAAN_BULK_WB30"/>
      <sheetName val="van_khuon30"/>
      <sheetName val="U2_230"/>
      <sheetName val="LINK_MOR30"/>
      <sheetName val="LINK_GAP30"/>
      <sheetName val="General_Info30"/>
      <sheetName val="Cost_Summary30"/>
      <sheetName val="SK_HTM30"/>
      <sheetName val="Entry__HTM30"/>
      <sheetName val="Cost_Analysis30"/>
      <sheetName val="Scenarios_and_Sensitivities31"/>
      <sheetName val="Global_Assumptions31"/>
      <sheetName val="F_2_WIP_CKP30"/>
      <sheetName val="F_2_1_CKP30"/>
      <sheetName val="1541020-House_Loan30"/>
      <sheetName val="RMS_FUNGSIONAL30"/>
      <sheetName val="RMS_-_STR_(2)30"/>
      <sheetName val="LIST__MESIN9"/>
      <sheetName val="MAST_PROD9"/>
      <sheetName val="LIS__PAKAI9"/>
      <sheetName val="PART_&amp;_MAINT_9"/>
      <sheetName val="STD__COST9"/>
      <sheetName val="movement&amp;add_test9"/>
      <sheetName val="A_4_29"/>
      <sheetName val="A_4_39"/>
      <sheetName val="Letter_Form9"/>
      <sheetName val="Sales_Report_MKTG9"/>
      <sheetName val="U-3_1_1_telephone9"/>
      <sheetName val="corp_tax9"/>
      <sheetName val="HPP_PER_BULAN9"/>
      <sheetName val="Finance_Projection-079"/>
      <sheetName val="ah_sanitary9"/>
      <sheetName val="03_Detailed9"/>
      <sheetName val="01_Bid_Price_summary9"/>
      <sheetName val="Permanent_info37"/>
      <sheetName val="Depreciation_&amp;_Peny_37"/>
      <sheetName val="PPh_21_Recon37"/>
      <sheetName val="fiscal_depr(E)37"/>
      <sheetName val="A_u_g37"/>
      <sheetName val="J_u_l37"/>
      <sheetName val="O_c_t37"/>
      <sheetName val="A_p_r37"/>
      <sheetName val="M_a_y37"/>
      <sheetName val="S_e_p37"/>
      <sheetName val="00_received_in_0137"/>
      <sheetName val="F_e_b37"/>
      <sheetName val="Per_GL_J_a_n37"/>
      <sheetName val="J_u_n37"/>
      <sheetName val="M_a_r37"/>
      <sheetName val="C1_NOV37"/>
      <sheetName val="jurnal-audit_237"/>
      <sheetName val="EXT_B337"/>
      <sheetName val="B2_137"/>
      <sheetName val="Main_table37"/>
      <sheetName val="Data_Per_wilayah_Vin_Code_20037"/>
      <sheetName val="Data_Per_wilayah37"/>
      <sheetName val="Print_AR37"/>
      <sheetName val="INDIRECT_DETAIL36"/>
      <sheetName val="DIRECT_COST36"/>
      <sheetName val="E4_1d37"/>
      <sheetName val="Prog_Imbalan37"/>
      <sheetName val="DES_0237"/>
      <sheetName val="Buku_Besar_137"/>
      <sheetName val="Pg7_437"/>
      <sheetName val="analisa_L-K37"/>
      <sheetName val="data_slip37"/>
      <sheetName val="Template_37"/>
      <sheetName val="jul05_ok36"/>
      <sheetName val="sept_05_dd36"/>
      <sheetName val="VAT_out37"/>
      <sheetName val="Danamon_LK37"/>
      <sheetName val="&quot;Outstanding_SO&quot;37"/>
      <sheetName val="Tax_Rate36"/>
      <sheetName val="SAP_PbT36"/>
      <sheetName val="TAX_SUMMARY37"/>
      <sheetName val="BSHO_Report36"/>
      <sheetName val="Check_Sheet36"/>
      <sheetName val="PLHO_Report36"/>
      <sheetName val="DFR_CT36"/>
      <sheetName val="Mkt_Total_by_Cat_B$36"/>
      <sheetName val="Mkt_Total_by_Cat_US$36"/>
      <sheetName val="N_Lead36"/>
      <sheetName val="N_3_136"/>
      <sheetName val="N_836"/>
      <sheetName val="N_936"/>
      <sheetName val="Assumption_&amp;_Result36"/>
      <sheetName val="Dec_08_-_Jan_09_(2)36"/>
      <sheetName val="AA_1_BNI36"/>
      <sheetName val="I_4_1_(2)36"/>
      <sheetName val="Hay_Guide_Charts_Notes36"/>
      <sheetName val="trf_ns_0436"/>
      <sheetName val="SL1006_(IDR)36"/>
      <sheetName val="trf_multiple36"/>
      <sheetName val="4_1_Placement_w_o_b36"/>
      <sheetName val="tabel_perkiraan36"/>
      <sheetName val="trfakt_sgl36"/>
      <sheetName val="trf_multiple_dnrks36"/>
      <sheetName val="SL1006_(VLS)36"/>
      <sheetName val="Irregular_Income36"/>
      <sheetName val="FE-1770_P136"/>
      <sheetName val="Benefit_Factors36"/>
      <sheetName val="Marshal_(2)36"/>
      <sheetName val="KKP_2136"/>
      <sheetName val="tabel_masa_kerja36"/>
      <sheetName val="new_IFS_format36"/>
      <sheetName val="Art_2336"/>
      <sheetName val="MTD_Results36"/>
      <sheetName val="YTD_Results36"/>
      <sheetName val="A3-Dec_2012-ALN36"/>
      <sheetName val="chiet_tinh34"/>
      <sheetName val="NB_UNIT336"/>
      <sheetName val="Customize_Your_Purchase_Order34"/>
      <sheetName val="9E1_333"/>
      <sheetName val="1195_B133"/>
      <sheetName val="mgr_&amp;_staff36"/>
      <sheetName val="ShareCapital_36"/>
      <sheetName val="Level_1_&amp;_234"/>
      <sheetName val="JAN_200134"/>
      <sheetName val="Trading_Statement34"/>
      <sheetName val="Rincian_Iuran34"/>
      <sheetName val="Data_Rekon34"/>
      <sheetName val="Premi_Iuran34"/>
      <sheetName val="Slide_2233"/>
      <sheetName val="Data_WP33"/>
      <sheetName val="NY_ADMIN33"/>
      <sheetName val="SPI_GMBH33"/>
      <sheetName val="FA_sd_APRIL_0733"/>
      <sheetName val="tabel_nilai34"/>
      <sheetName val="AA_1_1_BNI34"/>
      <sheetName val="_SAF_0231"/>
      <sheetName val="UV_1031"/>
      <sheetName val="YTD_Resurts31"/>
      <sheetName val="TRF_15031"/>
      <sheetName val="Material_Bpn_jul'0731"/>
      <sheetName val="IMPUT_PENERIMAAN_BULK_WB31"/>
      <sheetName val="van_khuon31"/>
      <sheetName val="U2_231"/>
      <sheetName val="LINK_MOR31"/>
      <sheetName val="LINK_GAP31"/>
      <sheetName val="General_Info31"/>
      <sheetName val="Cost_Summary31"/>
      <sheetName val="SK_HTM31"/>
      <sheetName val="Entry__HTM31"/>
      <sheetName val="Cost_Analysis31"/>
      <sheetName val="Scenarios_and_Sensitivities32"/>
      <sheetName val="Global_Assumptions32"/>
      <sheetName val="F_2_WIP_CKP31"/>
      <sheetName val="F_2_1_CKP31"/>
      <sheetName val="1541020-House_Loan31"/>
      <sheetName val="RMS_FUNGSIONAL31"/>
      <sheetName val="RMS_-_STR_(2)31"/>
      <sheetName val="LIST__MESIN10"/>
      <sheetName val="MAST_PROD10"/>
      <sheetName val="LIS__PAKAI10"/>
      <sheetName val="PART_&amp;_MAINT_10"/>
      <sheetName val="STD__COST10"/>
      <sheetName val="movement&amp;add_test10"/>
      <sheetName val="A_4_210"/>
      <sheetName val="A_4_310"/>
      <sheetName val="Letter_Form10"/>
      <sheetName val="Sales_Report_MKTG10"/>
      <sheetName val="U-3_1_1_telephone10"/>
      <sheetName val="corp_tax10"/>
      <sheetName val="HPP_PER_BULAN10"/>
      <sheetName val="Finance_Projection-0710"/>
      <sheetName val="ah_sanitary10"/>
      <sheetName val="03_Detailed10"/>
      <sheetName val="01_Bid_Price_summary10"/>
      <sheetName val="Permanent_info39"/>
      <sheetName val="Depreciation_&amp;_Peny_39"/>
      <sheetName val="PPh_21_Recon39"/>
      <sheetName val="fiscal_depr(E)39"/>
      <sheetName val="A_u_g39"/>
      <sheetName val="J_u_l39"/>
      <sheetName val="O_c_t39"/>
      <sheetName val="A_p_r39"/>
      <sheetName val="M_a_y39"/>
      <sheetName val="S_e_p39"/>
      <sheetName val="00_received_in_0139"/>
      <sheetName val="F_e_b39"/>
      <sheetName val="Per_GL_J_a_n39"/>
      <sheetName val="J_u_n39"/>
      <sheetName val="M_a_r39"/>
      <sheetName val="C1_NOV39"/>
      <sheetName val="jurnal-audit_239"/>
      <sheetName val="EXT_B339"/>
      <sheetName val="B2_139"/>
      <sheetName val="Main_table39"/>
      <sheetName val="Data_Per_wilayah_Vin_Code_20039"/>
      <sheetName val="Data_Per_wilayah39"/>
      <sheetName val="Print_AR39"/>
      <sheetName val="INDIRECT_DETAIL38"/>
      <sheetName val="DIRECT_COST38"/>
      <sheetName val="E4_1d39"/>
      <sheetName val="Prog_Imbalan39"/>
      <sheetName val="DES_0239"/>
      <sheetName val="Buku_Besar_139"/>
      <sheetName val="Pg7_439"/>
      <sheetName val="analisa_L-K39"/>
      <sheetName val="data_slip39"/>
      <sheetName val="Template_39"/>
      <sheetName val="jul05_ok38"/>
      <sheetName val="sept_05_dd38"/>
      <sheetName val="VAT_out39"/>
      <sheetName val="Danamon_LK39"/>
      <sheetName val="&quot;Outstanding_SO&quot;39"/>
      <sheetName val="Tax_Rate38"/>
      <sheetName val="SAP_PbT38"/>
      <sheetName val="TAX_SUMMARY39"/>
      <sheetName val="BSHO_Report38"/>
      <sheetName val="Check_Sheet38"/>
      <sheetName val="PLHO_Report38"/>
      <sheetName val="DFR_CT38"/>
      <sheetName val="Mkt_Total_by_Cat_B$38"/>
      <sheetName val="Mkt_Total_by_Cat_US$38"/>
      <sheetName val="N_Lead38"/>
      <sheetName val="N_3_138"/>
      <sheetName val="N_838"/>
      <sheetName val="N_938"/>
      <sheetName val="Assumption_&amp;_Result38"/>
      <sheetName val="Dec_08_-_Jan_09_(2)38"/>
      <sheetName val="AA_1_BNI38"/>
      <sheetName val="I_4_1_(2)38"/>
      <sheetName val="Hay_Guide_Charts_Notes38"/>
      <sheetName val="trf_ns_0438"/>
      <sheetName val="SL1006_(IDR)38"/>
      <sheetName val="trf_multiple38"/>
      <sheetName val="4_1_Placement_w_o_b38"/>
      <sheetName val="tabel_perkiraan38"/>
      <sheetName val="trfakt_sgl38"/>
      <sheetName val="trf_multiple_dnrks38"/>
      <sheetName val="SL1006_(VLS)38"/>
      <sheetName val="Irregular_Income38"/>
      <sheetName val="FE-1770_P138"/>
      <sheetName val="Benefit_Factors38"/>
      <sheetName val="Marshal_(2)38"/>
      <sheetName val="KKP_2138"/>
      <sheetName val="tabel_masa_kerja38"/>
      <sheetName val="new_IFS_format38"/>
      <sheetName val="Art_2338"/>
      <sheetName val="MTD_Results38"/>
      <sheetName val="YTD_Results38"/>
      <sheetName val="A3-Dec_2012-ALN38"/>
      <sheetName val="chiet_tinh36"/>
      <sheetName val="NB_UNIT338"/>
      <sheetName val="Customize_Your_Purchase_Order36"/>
      <sheetName val="9E1_335"/>
      <sheetName val="1195_B135"/>
      <sheetName val="mgr_&amp;_staff38"/>
      <sheetName val="ShareCapital_38"/>
      <sheetName val="Level_1_&amp;_236"/>
      <sheetName val="JAN_200136"/>
      <sheetName val="Trading_Statement36"/>
      <sheetName val="Rincian_Iuran36"/>
      <sheetName val="Data_Rekon36"/>
      <sheetName val="Premi_Iuran36"/>
      <sheetName val="Slide_2235"/>
      <sheetName val="Data_WP35"/>
      <sheetName val="NY_ADMIN35"/>
      <sheetName val="SPI_GMBH35"/>
      <sheetName val="FA_sd_APRIL_0735"/>
      <sheetName val="tabel_nilai36"/>
      <sheetName val="AA_1_1_BNI36"/>
      <sheetName val="_SAF_0233"/>
      <sheetName val="UV_1033"/>
      <sheetName val="YTD_Resurts33"/>
      <sheetName val="TRF_15033"/>
      <sheetName val="Material_Bpn_jul'0733"/>
      <sheetName val="IMPUT_PENERIMAAN_BULK_WB33"/>
      <sheetName val="van_khuon33"/>
      <sheetName val="U2_233"/>
      <sheetName val="LINK_MOR33"/>
      <sheetName val="LINK_GAP33"/>
      <sheetName val="General_Info33"/>
      <sheetName val="Cost_Summary33"/>
      <sheetName val="SK_HTM33"/>
      <sheetName val="Entry__HTM33"/>
      <sheetName val="Cost_Analysis33"/>
      <sheetName val="Scenarios_and_Sensitivities34"/>
      <sheetName val="Global_Assumptions34"/>
      <sheetName val="F_2_WIP_CKP33"/>
      <sheetName val="F_2_1_CKP33"/>
      <sheetName val="1541020-House_Loan33"/>
      <sheetName val="RMS_FUNGSIONAL33"/>
      <sheetName val="RMS_-_STR_(2)33"/>
      <sheetName val="LIST__MESIN12"/>
      <sheetName val="MAST_PROD12"/>
      <sheetName val="LIS__PAKAI12"/>
      <sheetName val="PART_&amp;_MAINT_12"/>
      <sheetName val="STD__COST12"/>
      <sheetName val="movement&amp;add_test12"/>
      <sheetName val="A_4_212"/>
      <sheetName val="A_4_312"/>
      <sheetName val="Letter_Form12"/>
      <sheetName val="Sales_Report_MKTG12"/>
      <sheetName val="U-3_1_1_telephone12"/>
      <sheetName val="corp_tax12"/>
      <sheetName val="HPP_PER_BULAN12"/>
      <sheetName val="Finance_Projection-0712"/>
      <sheetName val="ah_sanitary12"/>
      <sheetName val="03_Detailed12"/>
      <sheetName val="01_Bid_Price_summary12"/>
      <sheetName val="By UPO"/>
      <sheetName val="F1771-III"/>
      <sheetName val="Dec 08 - Jan 09"/>
      <sheetName val="Abs Jun"/>
      <sheetName val="ABSEN JUN s.d JUL'10"/>
      <sheetName val="abs Apr 10"/>
      <sheetName val="OT Apr 10"/>
      <sheetName val="PHL (3)"/>
      <sheetName val="L_I___ATY"/>
      <sheetName val="N_o_v"/>
      <sheetName val="J_a_n"/>
      <sheetName val="Income Statement_VDF"/>
      <sheetName val="Summary Page_VDF"/>
      <sheetName val="Invested capital_VDF"/>
      <sheetName val="NOPAT_VDF"/>
      <sheetName val="DCF_VDF"/>
      <sheetName val="WACC_VDF"/>
      <sheetName val="PV of Op Leases_VDF"/>
      <sheetName val="Table Array"/>
      <sheetName val="worksheet"/>
      <sheetName val="trf 7 jht"/>
      <sheetName val="FOIL"/>
      <sheetName val="Sheet5"/>
      <sheetName val="R-16.1"/>
      <sheetName val="R-16.2"/>
      <sheetName val="HPC1"/>
      <sheetName val="HPC2"/>
      <sheetName val="DET1"/>
      <sheetName val="FOODS1"/>
      <sheetName val="LONDON"/>
      <sheetName val="PMG"/>
      <sheetName val="PP1"/>
      <sheetName val="SWALLOW"/>
      <sheetName val="TOT-HPC1"/>
      <sheetName val="%RGP - GRAPH"/>
      <sheetName val="FOODS"/>
      <sheetName val="RF,UVG&amp;PRI-TOT"/>
      <sheetName val="GP P'Tonne  &amp; %"/>
      <sheetName val="COMPANY"/>
      <sheetName val="NPS"/>
      <sheetName val="TR"/>
      <sheetName val="VOL"/>
      <sheetName val="RF,UVG&amp;PRI-CAT"/>
      <sheetName val="UVG &amp; PRICE %"/>
      <sheetName val="JSiar"/>
      <sheetName val="MV-50%"/>
      <sheetName val="Family"/>
      <sheetName val="h-013211-2"/>
      <sheetName val="pro ra op"/>
      <sheetName val="RKAP 2013 TBM1"/>
      <sheetName val="pl_items"/>
      <sheetName val="Nick Miller NAV-CFSI"/>
      <sheetName val="Main"/>
      <sheetName val="1999"/>
      <sheetName val="Fomat  1"/>
      <sheetName val="EXC-R"/>
      <sheetName val="Busang2"/>
      <sheetName val="Busang3"/>
      <sheetName val="Busang1"/>
      <sheetName val="Jonggon1"/>
      <sheetName val="Jonggon2"/>
      <sheetName val="Jonggon3"/>
      <sheetName val="CBA MECH &amp; SS (MECH)"/>
      <sheetName val="KB-Ajt'03"/>
      <sheetName val="KS-Ajt'03"/>
      <sheetName val="KT-Ajt'03"/>
      <sheetName val="Mill-Ajt'03"/>
      <sheetName val="P"/>
      <sheetName val="RD_I-BUT"/>
      <sheetName val="Trial_Bal"/>
      <sheetName val="pihak_iii"/>
      <sheetName val="TB_1216"/>
      <sheetName val="A6_Employee_Loan"/>
      <sheetName val="Marshal_-1"/>
      <sheetName val="persatuan_(2)"/>
      <sheetName val="TBM_0"/>
      <sheetName val="Fomat__1"/>
      <sheetName val="Rekons_PPh_21"/>
      <sheetName val="Permanent+_Prob"/>
      <sheetName val="REF-CRB"/>
      <sheetName val="시산표"/>
      <sheetName val="REUTERS"/>
      <sheetName val="Notes 08"/>
      <sheetName val="RMS - STR"/>
      <sheetName val="Support"/>
      <sheetName val="KODE WP"/>
      <sheetName val="China"/>
      <sheetName val="412src2"/>
      <sheetName val="Filesave"/>
      <sheetName val="재료비"/>
      <sheetName val="MV"/>
      <sheetName val="Comp equip"/>
      <sheetName val="FFE"/>
      <sheetName val="Permanent_info42"/>
      <sheetName val="Depreciation_&amp;_Peny_42"/>
      <sheetName val="PPh_21_Recon42"/>
      <sheetName val="fiscal_depr(E)42"/>
      <sheetName val="A_u_g42"/>
      <sheetName val="J_u_l42"/>
      <sheetName val="O_c_t42"/>
      <sheetName val="A_p_r42"/>
      <sheetName val="M_a_y42"/>
      <sheetName val="S_e_p42"/>
      <sheetName val="00_received_in_0142"/>
      <sheetName val="F_e_b42"/>
      <sheetName val="Per_GL_J_a_n42"/>
      <sheetName val="J_u_n42"/>
      <sheetName val="M_a_r42"/>
      <sheetName val="C1_NOV42"/>
      <sheetName val="jurnal-audit_242"/>
      <sheetName val="EXT_B342"/>
      <sheetName val="B2_142"/>
      <sheetName val="Main_table42"/>
      <sheetName val="Data_Per_wilayah_Vin_Code_20042"/>
      <sheetName val="Data_Per_wilayah42"/>
      <sheetName val="Print_AR42"/>
      <sheetName val="INDIRECT_DETAIL41"/>
      <sheetName val="DIRECT_COST41"/>
      <sheetName val="E4_1d42"/>
      <sheetName val="Prog_Imbalan42"/>
      <sheetName val="DES_0242"/>
      <sheetName val="Buku_Besar_142"/>
      <sheetName val="Pg7_442"/>
      <sheetName val="analisa_L-K42"/>
      <sheetName val="data_slip42"/>
      <sheetName val="Template_42"/>
      <sheetName val="jul05_ok41"/>
      <sheetName val="sept_05_dd41"/>
      <sheetName val="VAT_out42"/>
      <sheetName val="Danamon_LK42"/>
      <sheetName val="&quot;Outstanding_SO&quot;42"/>
      <sheetName val="Tax_Rate41"/>
      <sheetName val="SAP_PbT41"/>
      <sheetName val="TAX_SUMMARY42"/>
      <sheetName val="BSHO_Report41"/>
      <sheetName val="Check_Sheet41"/>
      <sheetName val="PLHO_Report41"/>
      <sheetName val="DFR_CT41"/>
      <sheetName val="Mkt_Total_by_Cat_B$41"/>
      <sheetName val="Mkt_Total_by_Cat_US$41"/>
      <sheetName val="N_Lead41"/>
      <sheetName val="N_3_141"/>
      <sheetName val="N_841"/>
      <sheetName val="N_941"/>
      <sheetName val="Assumption_&amp;_Result41"/>
      <sheetName val="Dec_08_-_Jan_09_(2)41"/>
      <sheetName val="AA_1_BNI41"/>
      <sheetName val="I_4_1_(2)41"/>
      <sheetName val="Hay_Guide_Charts_Notes41"/>
      <sheetName val="trf_ns_0441"/>
      <sheetName val="SL1006_(IDR)41"/>
      <sheetName val="trf_multiple41"/>
      <sheetName val="4_1_Placement_w_o_b41"/>
      <sheetName val="tabel_perkiraan41"/>
      <sheetName val="trfakt_sgl41"/>
      <sheetName val="trf_multiple_dnrks41"/>
      <sheetName val="SL1006_(VLS)41"/>
      <sheetName val="Irregular_Income41"/>
      <sheetName val="FE-1770_P141"/>
      <sheetName val="Benefit_Factors41"/>
      <sheetName val="Marshal_(2)41"/>
      <sheetName val="KKP_2141"/>
      <sheetName val="tabel_masa_kerja41"/>
      <sheetName val="new_IFS_format41"/>
      <sheetName val="Art_2341"/>
      <sheetName val="MTD_Results41"/>
      <sheetName val="YTD_Results41"/>
      <sheetName val="A3-Dec_2012-ALN41"/>
      <sheetName val="chiet_tinh39"/>
      <sheetName val="NB_UNIT341"/>
      <sheetName val="Customize_Your_Purchase_Order39"/>
      <sheetName val="9E1_338"/>
      <sheetName val="1195_B138"/>
      <sheetName val="mgr_&amp;_staff41"/>
      <sheetName val="ShareCapital_41"/>
      <sheetName val="Level_1_&amp;_239"/>
      <sheetName val="JAN_200139"/>
      <sheetName val="Trading_Statement39"/>
      <sheetName val="Rincian_Iuran39"/>
      <sheetName val="Data_Rekon39"/>
      <sheetName val="Premi_Iuran39"/>
      <sheetName val="Slide_2238"/>
      <sheetName val="Data_WP38"/>
      <sheetName val="NY_ADMIN38"/>
      <sheetName val="SPI_GMBH38"/>
      <sheetName val="FA_sd_APRIL_0738"/>
      <sheetName val="tabel_nilai39"/>
      <sheetName val="AA_1_1_BNI39"/>
      <sheetName val="_SAF_0236"/>
      <sheetName val="UV_1036"/>
      <sheetName val="YTD_Resurts36"/>
      <sheetName val="TRF_15036"/>
      <sheetName val="Material_Bpn_jul'0736"/>
      <sheetName val="IMPUT_PENERIMAAN_BULK_WB36"/>
      <sheetName val="van_khuon36"/>
      <sheetName val="U2_236"/>
      <sheetName val="LINK_MOR36"/>
      <sheetName val="LINK_GAP36"/>
      <sheetName val="General_Info36"/>
      <sheetName val="Cost_Summary36"/>
      <sheetName val="SK_HTM36"/>
      <sheetName val="Entry__HTM36"/>
      <sheetName val="Cost_Analysis36"/>
      <sheetName val="Scenarios_and_Sensitivities37"/>
      <sheetName val="Global_Assumptions37"/>
      <sheetName val="F_2_WIP_CKP36"/>
      <sheetName val="F_2_1_CKP36"/>
      <sheetName val="1541020-House_Loan36"/>
      <sheetName val="RMS_FUNGSIONAL36"/>
      <sheetName val="RMS_-_STR_(2)36"/>
      <sheetName val="LIST__MESIN15"/>
      <sheetName val="MAST_PROD15"/>
      <sheetName val="LIS__PAKAI15"/>
      <sheetName val="PART_&amp;_MAINT_15"/>
      <sheetName val="STD__COST15"/>
      <sheetName val="movement&amp;add_test15"/>
      <sheetName val="A_4_215"/>
      <sheetName val="A_4_315"/>
      <sheetName val="Letter_Form15"/>
      <sheetName val="Sales_Report_MKTG15"/>
      <sheetName val="U-3_1_1_telephone15"/>
      <sheetName val="corp_tax15"/>
      <sheetName val="HPP_PER_BULAN15"/>
      <sheetName val="Finance_Projection-0715"/>
      <sheetName val="ah_sanitary15"/>
      <sheetName val="03_Detailed15"/>
      <sheetName val="01_Bid_Price_summary15"/>
      <sheetName val="Permanent_info41"/>
      <sheetName val="Depreciation_&amp;_Peny_41"/>
      <sheetName val="PPh_21_Recon41"/>
      <sheetName val="fiscal_depr(E)41"/>
      <sheetName val="A_u_g41"/>
      <sheetName val="J_u_l41"/>
      <sheetName val="O_c_t41"/>
      <sheetName val="A_p_r41"/>
      <sheetName val="M_a_y41"/>
      <sheetName val="S_e_p41"/>
      <sheetName val="00_received_in_0141"/>
      <sheetName val="F_e_b41"/>
      <sheetName val="Per_GL_J_a_n41"/>
      <sheetName val="J_u_n41"/>
      <sheetName val="M_a_r41"/>
      <sheetName val="C1_NOV41"/>
      <sheetName val="jurnal-audit_241"/>
      <sheetName val="EXT_B341"/>
      <sheetName val="B2_141"/>
      <sheetName val="Main_table41"/>
      <sheetName val="Data_Per_wilayah_Vin_Code_20041"/>
      <sheetName val="Data_Per_wilayah41"/>
      <sheetName val="Print_AR41"/>
      <sheetName val="INDIRECT_DETAIL40"/>
      <sheetName val="DIRECT_COST40"/>
      <sheetName val="E4_1d41"/>
      <sheetName val="Prog_Imbalan41"/>
      <sheetName val="DES_0241"/>
      <sheetName val="Buku_Besar_141"/>
      <sheetName val="Pg7_441"/>
      <sheetName val="analisa_L-K41"/>
      <sheetName val="data_slip41"/>
      <sheetName val="Template_41"/>
      <sheetName val="jul05_ok40"/>
      <sheetName val="sept_05_dd40"/>
      <sheetName val="VAT_out41"/>
      <sheetName val="Danamon_LK41"/>
      <sheetName val="&quot;Outstanding_SO&quot;41"/>
      <sheetName val="Tax_Rate40"/>
      <sheetName val="SAP_PbT40"/>
      <sheetName val="TAX_SUMMARY41"/>
      <sheetName val="BSHO_Report40"/>
      <sheetName val="Check_Sheet40"/>
      <sheetName val="PLHO_Report40"/>
      <sheetName val="DFR_CT40"/>
      <sheetName val="Mkt_Total_by_Cat_B$40"/>
      <sheetName val="Mkt_Total_by_Cat_US$40"/>
      <sheetName val="N_Lead40"/>
      <sheetName val="N_3_140"/>
      <sheetName val="N_840"/>
      <sheetName val="N_940"/>
      <sheetName val="Assumption_&amp;_Result40"/>
      <sheetName val="Dec_08_-_Jan_09_(2)40"/>
      <sheetName val="AA_1_BNI40"/>
      <sheetName val="I_4_1_(2)40"/>
      <sheetName val="Hay_Guide_Charts_Notes40"/>
      <sheetName val="trf_ns_0440"/>
      <sheetName val="SL1006_(IDR)40"/>
      <sheetName val="trf_multiple40"/>
      <sheetName val="4_1_Placement_w_o_b40"/>
      <sheetName val="tabel_perkiraan40"/>
      <sheetName val="trfakt_sgl40"/>
      <sheetName val="trf_multiple_dnrks40"/>
      <sheetName val="SL1006_(VLS)40"/>
      <sheetName val="Irregular_Income40"/>
      <sheetName val="FE-1770_P140"/>
      <sheetName val="Benefit_Factors40"/>
      <sheetName val="Marshal_(2)40"/>
      <sheetName val="KKP_2140"/>
      <sheetName val="tabel_masa_kerja40"/>
      <sheetName val="new_IFS_format40"/>
      <sheetName val="Art_2340"/>
      <sheetName val="MTD_Results40"/>
      <sheetName val="YTD_Results40"/>
      <sheetName val="A3-Dec_2012-ALN40"/>
      <sheetName val="chiet_tinh38"/>
      <sheetName val="NB_UNIT340"/>
      <sheetName val="Customize_Your_Purchase_Order38"/>
      <sheetName val="9E1_337"/>
      <sheetName val="1195_B137"/>
      <sheetName val="mgr_&amp;_staff40"/>
      <sheetName val="ShareCapital_40"/>
      <sheetName val="Level_1_&amp;_238"/>
      <sheetName val="JAN_200138"/>
      <sheetName val="Trading_Statement38"/>
      <sheetName val="Rincian_Iuran38"/>
      <sheetName val="Data_Rekon38"/>
      <sheetName val="Premi_Iuran38"/>
      <sheetName val="Slide_2237"/>
      <sheetName val="Data_WP37"/>
      <sheetName val="NY_ADMIN37"/>
      <sheetName val="SPI_GMBH37"/>
      <sheetName val="FA_sd_APRIL_0737"/>
      <sheetName val="tabel_nilai38"/>
      <sheetName val="AA_1_1_BNI38"/>
      <sheetName val="_SAF_0235"/>
      <sheetName val="UV_1035"/>
      <sheetName val="YTD_Resurts35"/>
      <sheetName val="TRF_15035"/>
      <sheetName val="Material_Bpn_jul'0735"/>
      <sheetName val="IMPUT_PENERIMAAN_BULK_WB35"/>
      <sheetName val="van_khuon35"/>
      <sheetName val="U2_235"/>
      <sheetName val="LINK_MOR35"/>
      <sheetName val="LINK_GAP35"/>
      <sheetName val="General_Info35"/>
      <sheetName val="Cost_Summary35"/>
      <sheetName val="SK_HTM35"/>
      <sheetName val="Entry__HTM35"/>
      <sheetName val="Cost_Analysis35"/>
      <sheetName val="Scenarios_and_Sensitivities36"/>
      <sheetName val="Global_Assumptions36"/>
      <sheetName val="F_2_WIP_CKP35"/>
      <sheetName val="F_2_1_CKP35"/>
      <sheetName val="1541020-House_Loan35"/>
      <sheetName val="RMS_FUNGSIONAL35"/>
      <sheetName val="RMS_-_STR_(2)35"/>
      <sheetName val="LIST__MESIN14"/>
      <sheetName val="MAST_PROD14"/>
      <sheetName val="LIS__PAKAI14"/>
      <sheetName val="PART_&amp;_MAINT_14"/>
      <sheetName val="STD__COST14"/>
      <sheetName val="movement&amp;add_test14"/>
      <sheetName val="A_4_214"/>
      <sheetName val="A_4_314"/>
      <sheetName val="Letter_Form14"/>
      <sheetName val="Sales_Report_MKTG14"/>
      <sheetName val="U-3_1_1_telephone14"/>
      <sheetName val="corp_tax14"/>
      <sheetName val="HPP_PER_BULAN14"/>
      <sheetName val="Finance_Projection-0714"/>
      <sheetName val="ah_sanitary14"/>
      <sheetName val="03_Detailed14"/>
      <sheetName val="01_Bid_Price_summary14"/>
      <sheetName val="Permanent_info40"/>
      <sheetName val="Depreciation_&amp;_Peny_40"/>
      <sheetName val="PPh_21_Recon40"/>
      <sheetName val="fiscal_depr(E)40"/>
      <sheetName val="A_u_g40"/>
      <sheetName val="J_u_l40"/>
      <sheetName val="O_c_t40"/>
      <sheetName val="A_p_r40"/>
      <sheetName val="M_a_y40"/>
      <sheetName val="S_e_p40"/>
      <sheetName val="00_received_in_0140"/>
      <sheetName val="F_e_b40"/>
      <sheetName val="Per_GL_J_a_n40"/>
      <sheetName val="J_u_n40"/>
      <sheetName val="M_a_r40"/>
      <sheetName val="C1_NOV40"/>
      <sheetName val="jurnal-audit_240"/>
      <sheetName val="EXT_B340"/>
      <sheetName val="B2_140"/>
      <sheetName val="Main_table40"/>
      <sheetName val="Data_Per_wilayah_Vin_Code_20040"/>
      <sheetName val="Data_Per_wilayah40"/>
      <sheetName val="Print_AR40"/>
      <sheetName val="INDIRECT_DETAIL39"/>
      <sheetName val="DIRECT_COST39"/>
      <sheetName val="E4_1d40"/>
      <sheetName val="Prog_Imbalan40"/>
      <sheetName val="DES_0240"/>
      <sheetName val="Buku_Besar_140"/>
      <sheetName val="Pg7_440"/>
      <sheetName val="analisa_L-K40"/>
      <sheetName val="data_slip40"/>
      <sheetName val="Template_40"/>
      <sheetName val="jul05_ok39"/>
      <sheetName val="sept_05_dd39"/>
      <sheetName val="VAT_out40"/>
      <sheetName val="Danamon_LK40"/>
      <sheetName val="&quot;Outstanding_SO&quot;40"/>
      <sheetName val="Tax_Rate39"/>
      <sheetName val="SAP_PbT39"/>
      <sheetName val="TAX_SUMMARY40"/>
      <sheetName val="BSHO_Report39"/>
      <sheetName val="Check_Sheet39"/>
      <sheetName val="PLHO_Report39"/>
      <sheetName val="DFR_CT39"/>
      <sheetName val="Mkt_Total_by_Cat_B$39"/>
      <sheetName val="Mkt_Total_by_Cat_US$39"/>
      <sheetName val="N_Lead39"/>
      <sheetName val="N_3_139"/>
      <sheetName val="N_839"/>
      <sheetName val="N_939"/>
      <sheetName val="Assumption_&amp;_Result39"/>
      <sheetName val="Dec_08_-_Jan_09_(2)39"/>
      <sheetName val="AA_1_BNI39"/>
      <sheetName val="I_4_1_(2)39"/>
      <sheetName val="Hay_Guide_Charts_Notes39"/>
      <sheetName val="trf_ns_0439"/>
      <sheetName val="SL1006_(IDR)39"/>
      <sheetName val="trf_multiple39"/>
      <sheetName val="4_1_Placement_w_o_b39"/>
      <sheetName val="tabel_perkiraan39"/>
      <sheetName val="trfakt_sgl39"/>
      <sheetName val="trf_multiple_dnrks39"/>
      <sheetName val="SL1006_(VLS)39"/>
      <sheetName val="Irregular_Income39"/>
      <sheetName val="FE-1770_P139"/>
      <sheetName val="Benefit_Factors39"/>
      <sheetName val="Marshal_(2)39"/>
      <sheetName val="KKP_2139"/>
      <sheetName val="tabel_masa_kerja39"/>
      <sheetName val="new_IFS_format39"/>
      <sheetName val="Art_2339"/>
      <sheetName val="MTD_Results39"/>
      <sheetName val="YTD_Results39"/>
      <sheetName val="A3-Dec_2012-ALN39"/>
      <sheetName val="chiet_tinh37"/>
      <sheetName val="NB_UNIT339"/>
      <sheetName val="Customize_Your_Purchase_Order37"/>
      <sheetName val="9E1_336"/>
      <sheetName val="1195_B136"/>
      <sheetName val="mgr_&amp;_staff39"/>
      <sheetName val="ShareCapital_39"/>
      <sheetName val="Level_1_&amp;_237"/>
      <sheetName val="JAN_200137"/>
      <sheetName val="Trading_Statement37"/>
      <sheetName val="Rincian_Iuran37"/>
      <sheetName val="Data_Rekon37"/>
      <sheetName val="Premi_Iuran37"/>
      <sheetName val="Slide_2236"/>
      <sheetName val="Data_WP36"/>
      <sheetName val="NY_ADMIN36"/>
      <sheetName val="SPI_GMBH36"/>
      <sheetName val="FA_sd_APRIL_0736"/>
      <sheetName val="tabel_nilai37"/>
      <sheetName val="AA_1_1_BNI37"/>
      <sheetName val="_SAF_0234"/>
      <sheetName val="UV_1034"/>
      <sheetName val="YTD_Resurts34"/>
      <sheetName val="TRF_15034"/>
      <sheetName val="Material_Bpn_jul'0734"/>
      <sheetName val="IMPUT_PENERIMAAN_BULK_WB34"/>
      <sheetName val="van_khuon34"/>
      <sheetName val="U2_234"/>
      <sheetName val="LINK_MOR34"/>
      <sheetName val="LINK_GAP34"/>
      <sheetName val="General_Info34"/>
      <sheetName val="Cost_Summary34"/>
      <sheetName val="SK_HTM34"/>
      <sheetName val="Entry__HTM34"/>
      <sheetName val="Cost_Analysis34"/>
      <sheetName val="Scenarios_and_Sensitivities35"/>
      <sheetName val="Global_Assumptions35"/>
      <sheetName val="F_2_WIP_CKP34"/>
      <sheetName val="F_2_1_CKP34"/>
      <sheetName val="1541020-House_Loan34"/>
      <sheetName val="RMS_FUNGSIONAL34"/>
      <sheetName val="RMS_-_STR_(2)34"/>
      <sheetName val="LIST__MESIN13"/>
      <sheetName val="MAST_PROD13"/>
      <sheetName val="LIS__PAKAI13"/>
      <sheetName val="PART_&amp;_MAINT_13"/>
      <sheetName val="STD__COST13"/>
      <sheetName val="movement&amp;add_test13"/>
      <sheetName val="A_4_213"/>
      <sheetName val="A_4_313"/>
      <sheetName val="Letter_Form13"/>
      <sheetName val="Sales_Report_MKTG13"/>
      <sheetName val="U-3_1_1_telephone13"/>
      <sheetName val="corp_tax13"/>
      <sheetName val="HPP_PER_BULAN13"/>
      <sheetName val="Finance_Projection-0713"/>
      <sheetName val="ah_sanitary13"/>
      <sheetName val="03_Detailed13"/>
      <sheetName val="01_Bid_Price_summary13"/>
      <sheetName val="Component cost"/>
      <sheetName val="LP-02b"/>
      <sheetName val="20-102"/>
      <sheetName val="Atur"/>
      <sheetName val="대비표"/>
      <sheetName val="Stewardship"/>
      <sheetName val="Tickmarks"/>
      <sheetName val="PPN"/>
      <sheetName val="e-SPT"/>
      <sheetName val="Pivot-SPT"/>
      <sheetName val="Pivot-Sales"/>
      <sheetName val="Pivot-VAT Out"/>
      <sheetName val="Rekon"/>
      <sheetName val="Rekon SPT - GL Sales"/>
      <sheetName val="Rekon SPT - GL VAT"/>
      <sheetName val="Rekon GL Sales - GL VAT"/>
      <sheetName val="Resume"/>
      <sheetName val="Pivot-Resume"/>
      <sheetName val="10-1_4"/>
      <sheetName val="10-1_5"/>
      <sheetName val="As"/>
      <sheetName val="Cash-print"/>
      <sheetName val="BCT"/>
      <sheetName val="FORM-X-1"/>
      <sheetName val="Olah"/>
      <sheetName val="PK RM"/>
      <sheetName val="Data SRL"/>
      <sheetName val="Data Prod_Graf"/>
      <sheetName val="Laporan UOB"/>
      <sheetName val="Tanaman"/>
      <sheetName val="3-Resume"/>
      <sheetName val="Kertas Kerja"/>
      <sheetName val="Uraian Mesin 2015"/>
      <sheetName val="extract"/>
      <sheetName val="PROD.FRY-MONODON"/>
      <sheetName val="PPh_2p³_x0008__x0018_??"/>
      <sheetName val="REKAP OMZET KAPAL"/>
      <sheetName val="FE-1771-I"/>
      <sheetName val="PPH29"/>
      <sheetName val="Rinci prd 13-14"/>
      <sheetName val="Rinci sekt 13-14"/>
      <sheetName val="A.W. TIGER"/>
      <sheetName val="RPP-6"/>
      <sheetName val="HRG"/>
      <sheetName val="ISJAN02"/>
      <sheetName val="BSJLWJAN02(1)"/>
      <sheetName val="COPSJAN02"/>
      <sheetName val="DETAILS"/>
      <sheetName val="DETAILSJL"/>
      <sheetName val="FAJAN02"/>
      <sheetName val="ISACTUSD"/>
      <sheetName val="BUDGETCON"/>
      <sheetName val="ISCLJAN02"/>
      <sheetName val="ISACT"/>
      <sheetName val="ISUSD"/>
      <sheetName val="BUDGETJL"/>
      <sheetName val="BUDGETJLM"/>
      <sheetName val="MENU1"/>
      <sheetName val="Koreksi Fiskal"/>
      <sheetName val="cashflow"/>
      <sheetName val="REJECT3"/>
      <sheetName val="1721"/>
      <sheetName val="Database"/>
      <sheetName val="PERLENGKAPAN "/>
      <sheetName val="Adj"/>
      <sheetName val="N-CRAM"/>
      <sheetName val="report"/>
      <sheetName val="N-LTLS"/>
      <sheetName val="KAEF"/>
      <sheetName val="ADIRA-N"/>
      <sheetName val="N-ASII"/>
      <sheetName val="BBCA"/>
      <sheetName val="TLKM-J"/>
      <sheetName val="N-TLKM"/>
      <sheetName val="203"/>
      <sheetName val="Annual-Plan-1998-A-US$-Rupiah-F"/>
      <sheetName val="at"/>
      <sheetName val="Perhitungan"/>
      <sheetName val="F-2"/>
      <sheetName val="Fixset"/>
      <sheetName val="WTB"/>
      <sheetName val="スコアＴＢＬ"/>
      <sheetName val="COST DATA (2)"/>
      <sheetName val="LTLGroup-Trans"/>
      <sheetName val="Notes"/>
      <sheetName val="F-19_2"/>
      <sheetName val="Telin_SG-HK_Sales_transaction"/>
      <sheetName val="Telin_SG-HKPurchase_transaction"/>
      <sheetName val="By_UPO"/>
      <sheetName val="kegiatan_usaha"/>
      <sheetName val="RD_I-BUT1"/>
      <sheetName val="Trial_Bal1"/>
      <sheetName val="pihak_iii1"/>
      <sheetName val="701500_TRAVEL_ADVANCE2"/>
      <sheetName val="A6_Employee_Loan1"/>
      <sheetName val="Rekons_PPh_211"/>
      <sheetName val="L_I___ATY1"/>
      <sheetName val="N_o_v1"/>
      <sheetName val="J_a_n1"/>
      <sheetName val="Analisa_Alat_Berat1"/>
      <sheetName val="TB_12161"/>
      <sheetName val="Marshal_-11"/>
      <sheetName val="persatuan_(2)1"/>
      <sheetName val="TBM_01"/>
      <sheetName val="F-19_21"/>
      <sheetName val="Telin_SG-HK_Sales_transaction1"/>
      <sheetName val="Telin_SG-HKPurchase_transactio1"/>
      <sheetName val="By_UPO1"/>
      <sheetName val="kegiatan_usaha1"/>
      <sheetName val="Permanent+_Prob1"/>
      <sheetName val="Salaries"/>
      <sheetName val="STOCK_AWAL"/>
      <sheetName val="budget idr"/>
      <sheetName val="Line Usage-Pulses"/>
      <sheetName val="Msn. Listrik"/>
      <sheetName val="EX_RATE2"/>
      <sheetName val="CAN"/>
      <sheetName val="Master Date"/>
      <sheetName val="CHECK LIST-KPR"/>
      <sheetName val="grafik"/>
      <sheetName val="pro_ra_op"/>
      <sheetName val="CHECK_LIST-KPR"/>
      <sheetName val="IPL_SCHEDULE"/>
      <sheetName val="pro_ra_op1"/>
      <sheetName val="CHECK_LIST-KPR1"/>
      <sheetName val="Permanent_info43"/>
      <sheetName val="Depreciation_&amp;_Peny_43"/>
      <sheetName val="PPh_21_Recon43"/>
      <sheetName val="J_u_l43"/>
      <sheetName val="O_c_t43"/>
      <sheetName val="A_p_r43"/>
      <sheetName val="M_a_y43"/>
      <sheetName val="S_e_p43"/>
      <sheetName val="00_received_in_0143"/>
      <sheetName val="F_e_b43"/>
      <sheetName val="Per_GL_J_a_n43"/>
      <sheetName val="J_u_n43"/>
      <sheetName val="A_u_g43"/>
      <sheetName val="M_a_r43"/>
      <sheetName val="Buku_Besar_143"/>
      <sheetName val="EXT_B343"/>
      <sheetName val="B2_143"/>
      <sheetName val="Pg7_443"/>
      <sheetName val="fiscal_depr(E)43"/>
      <sheetName val="VAT_out43"/>
      <sheetName val="Main_table43"/>
      <sheetName val="Data_Per_wilayah_Vin_Code_20043"/>
      <sheetName val="Data_Per_wilayah43"/>
      <sheetName val="C1_NOV43"/>
      <sheetName val="jurnal-audit_243"/>
      <sheetName val="E4_1d43"/>
      <sheetName val="Print_AR43"/>
      <sheetName val="Prog_Imbalan43"/>
      <sheetName val="DES_0243"/>
      <sheetName val="analisa_L-K43"/>
      <sheetName val="data_slip43"/>
      <sheetName val="Template_43"/>
      <sheetName val="&quot;Outstanding_SO&quot;43"/>
      <sheetName val="INDIRECT_DETAIL42"/>
      <sheetName val="DIRECT_COST42"/>
      <sheetName val="Danamon_LK43"/>
      <sheetName val="BSHO_Report42"/>
      <sheetName val="Check_Sheet42"/>
      <sheetName val="PLHO_Report42"/>
      <sheetName val="DFR_CT42"/>
      <sheetName val="TAX_SUMMARY43"/>
      <sheetName val="jul05_ok42"/>
      <sheetName val="sept_05_dd42"/>
      <sheetName val="Mkt_Total_by_Cat_B$42"/>
      <sheetName val="Mkt_Total_by_Cat_US$42"/>
      <sheetName val="KKP_2142"/>
      <sheetName val="N_Lead42"/>
      <sheetName val="N_3_142"/>
      <sheetName val="N_842"/>
      <sheetName val="N_942"/>
      <sheetName val="Assumption_&amp;_Result42"/>
      <sheetName val="Irregular_Income42"/>
      <sheetName val="FE-1770_P142"/>
      <sheetName val="Marshal_(2)42"/>
      <sheetName val="new_IFS_format42"/>
      <sheetName val="SAP_PbT42"/>
      <sheetName val="Tax_Rate42"/>
      <sheetName val="Dec_08_-_Jan_09_(2)42"/>
      <sheetName val="AA_1_BNI42"/>
      <sheetName val="I_4_1_(2)42"/>
      <sheetName val="Benefit_Factors42"/>
      <sheetName val="9E1_339"/>
      <sheetName val="Hay_Guide_Charts_Notes42"/>
      <sheetName val="trf_ns_0442"/>
      <sheetName val="SL1006_(IDR)42"/>
      <sheetName val="trf_multiple42"/>
      <sheetName val="4_1_Placement_w_o_b42"/>
      <sheetName val="tabel_perkiraan42"/>
      <sheetName val="trfakt_sgl42"/>
      <sheetName val="trf_multiple_dnrks42"/>
      <sheetName val="SL1006_(VLS)42"/>
      <sheetName val="A3-Dec_2012-ALN42"/>
      <sheetName val="tabel_masa_kerja42"/>
      <sheetName val="MTD_Results42"/>
      <sheetName val="YTD_Results42"/>
      <sheetName val="chiet_tinh40"/>
      <sheetName val="1195_B139"/>
      <sheetName val="mgr_&amp;_staff42"/>
      <sheetName val="ShareCapital_42"/>
      <sheetName val="Art_2342"/>
      <sheetName val="NB_UNIT342"/>
      <sheetName val="Customize_Your_Purchase_Order40"/>
      <sheetName val="Level_1_&amp;_240"/>
      <sheetName val="JAN_200140"/>
      <sheetName val="Trading_Statement40"/>
      <sheetName val="Rincian_Iuran40"/>
      <sheetName val="Data_Rekon40"/>
      <sheetName val="Premi_Iuran40"/>
      <sheetName val="NY_ADMIN39"/>
      <sheetName val="SPI_GMBH39"/>
      <sheetName val="FA_sd_APRIL_0739"/>
      <sheetName val="Slide_2239"/>
      <sheetName val="Data_WP39"/>
      <sheetName val="tabel_nilai40"/>
      <sheetName val="AA_1_1_BNI40"/>
      <sheetName val="_SAF_0237"/>
      <sheetName val="UV_1037"/>
      <sheetName val="General_Info37"/>
      <sheetName val="Cost_Summary37"/>
      <sheetName val="SK_HTM37"/>
      <sheetName val="Entry__HTM37"/>
      <sheetName val="Material_Bpn_jul'0737"/>
      <sheetName val="Cost_Analysis37"/>
      <sheetName val="Scenarios_and_Sensitivities38"/>
      <sheetName val="Global_Assumptions38"/>
      <sheetName val="F_2_WIP_CKP37"/>
      <sheetName val="F_2_1_CKP37"/>
      <sheetName val="1541020-House_Loan37"/>
      <sheetName val="movement&amp;add_test16"/>
      <sheetName val="IMPUT_PENERIMAAN_BULK_WB37"/>
      <sheetName val="van_khuon37"/>
      <sheetName val="LINK_MOR37"/>
      <sheetName val="LINK_GAP37"/>
      <sheetName val="U2_237"/>
      <sheetName val="Sales_Report_MKTG16"/>
      <sheetName val="U-3_1_1_telephone16"/>
      <sheetName val="corp_tax16"/>
      <sheetName val="TRF_15037"/>
      <sheetName val="YTD_Resurts37"/>
      <sheetName val="A_4_216"/>
      <sheetName val="A_4_316"/>
      <sheetName val="HPP_PER_BULAN16"/>
      <sheetName val="LIST__MESIN16"/>
      <sheetName val="MAST_PROD16"/>
      <sheetName val="LIS__PAKAI16"/>
      <sheetName val="PART_&amp;_MAINT_16"/>
      <sheetName val="STD__COST16"/>
      <sheetName val="RMS_FUNGSIONAL37"/>
      <sheetName val="RMS_-_STR_(2)37"/>
      <sheetName val="Finance_Projection-0716"/>
      <sheetName val="Letter_Form16"/>
      <sheetName val="ah_sanitary16"/>
      <sheetName val="03_Detailed16"/>
      <sheetName val="01_Bid_Price_summary16"/>
      <sheetName val="Rekap_Budget"/>
      <sheetName val="Income_Statement_VDF"/>
      <sheetName val="Summary_Page_VDF"/>
      <sheetName val="Invested_capital_VDF"/>
      <sheetName val="PV_of_Op_Leases_VDF"/>
      <sheetName val="master_(2)"/>
      <sheetName val="all_ar"/>
      <sheetName val="A-lr_pabrik"/>
      <sheetName val="PPh_2p³??"/>
      <sheetName val="GL_546111"/>
      <sheetName val="trf_7_jht"/>
      <sheetName val="fiscal_depr_E_"/>
      <sheetName val="2003_Forecast"/>
      <sheetName val="2004_Risk_Adjusted_AOP"/>
      <sheetName val="CBA_MECH_&amp;_SS_(MECH)"/>
      <sheetName val="PL_(MONTHLY)"/>
      <sheetName val="kode_transaksi"/>
      <sheetName val="Client_AJE"/>
      <sheetName val="Dec_08_-_Jan_09"/>
      <sheetName val="Abs_Jun"/>
      <sheetName val="ABSEN_JUN_s_d_JUL'10"/>
      <sheetName val="abs_Apr_10"/>
      <sheetName val="OT_Apr_10"/>
      <sheetName val="PHL_(3)"/>
      <sheetName val="Fomat__11"/>
      <sheetName val="Notes_08"/>
      <sheetName val="RMS_-_STR"/>
      <sheetName val="Table_Array"/>
      <sheetName val="KODE_WP"/>
      <sheetName val="HUTANG_PER_VENDOR_09"/>
      <sheetName val="IMPUT_PENERIMAAN_BAG_PRODUKSI"/>
      <sheetName val="PEMAKAIAN_BY_PRODUKSI"/>
      <sheetName val="BA_all_pnjam"/>
      <sheetName val="KPRIKPA1_19_PEMB_PHP"/>
      <sheetName val="REKAP_OMZET_KAPAL"/>
      <sheetName val="Pivot-VAT_Out"/>
      <sheetName val="Rekon_SPT_-_GL_Sales"/>
      <sheetName val="Rekon_SPT_-_GL_VAT"/>
      <sheetName val="Rekon_GL_Sales_-_GL_VAT"/>
      <sheetName val="Comp_equip"/>
      <sheetName val="PK_RM"/>
      <sheetName val="Data_SRL"/>
      <sheetName val="Data_Prod_Graf"/>
      <sheetName val="Laporan_UOB"/>
      <sheetName val="Kertas_Kerja"/>
      <sheetName val="Uraian_Mesin_2015"/>
      <sheetName val="Component_cost"/>
      <sheetName val="PROD_FRY-MONODON"/>
      <sheetName val="Rinci_prd_13-14"/>
      <sheetName val="Rinci_sekt_13-14"/>
      <sheetName val="A_W__TIGER"/>
      <sheetName val="Koreksi_Fiskal"/>
      <sheetName val="PERLENGKAPAN_"/>
      <sheetName val="COST_DATA_(2)"/>
      <sheetName val="%RGP_-_GRAPH"/>
      <sheetName val="GP_P'Tonne__&amp;_%"/>
      <sheetName val="UVG_&amp;_PRICE_%"/>
      <sheetName val="RKAP_2013_TBM1"/>
      <sheetName val="GL_5461111"/>
      <sheetName val="Analisa_Alat_Berat2"/>
      <sheetName val="RD_I-BUT2"/>
      <sheetName val="Trial_Bal2"/>
      <sheetName val="pihak_iii2"/>
      <sheetName val="701500_TRAVEL_ADVANCE3"/>
      <sheetName val="GL_5461112"/>
      <sheetName val="A6_Employee_Loan2"/>
      <sheetName val="L_I___ATY2"/>
      <sheetName val="N_o_v2"/>
      <sheetName val="J_a_n2"/>
      <sheetName val="BHA"/>
      <sheetName val="Okt"/>
      <sheetName val="CoyDetails"/>
      <sheetName val="BT"/>
      <sheetName val="summary KPI"/>
      <sheetName val="summary_KPI"/>
      <sheetName val="Permanent_info44"/>
      <sheetName val="Depreciation_&amp;_Peny_44"/>
      <sheetName val="PPh_21_Recon44"/>
      <sheetName val="fiscal_depr(E)44"/>
      <sheetName val="A_u_g44"/>
      <sheetName val="J_u_l44"/>
      <sheetName val="O_c_t44"/>
      <sheetName val="A_p_r44"/>
      <sheetName val="M_a_y44"/>
      <sheetName val="S_e_p44"/>
      <sheetName val="00_received_in_0144"/>
      <sheetName val="F_e_b44"/>
      <sheetName val="Per_GL_J_a_n44"/>
      <sheetName val="J_u_n44"/>
      <sheetName val="M_a_r44"/>
      <sheetName val="C1_NOV44"/>
      <sheetName val="jurnal-audit_244"/>
      <sheetName val="EXT_B344"/>
      <sheetName val="B2_144"/>
      <sheetName val="Main_table44"/>
      <sheetName val="Data_Per_wilayah_Vin_Code_20044"/>
      <sheetName val="Data_Per_wilayah44"/>
      <sheetName val="Print_AR44"/>
      <sheetName val="INDIRECT_DETAIL43"/>
      <sheetName val="DIRECT_COST43"/>
      <sheetName val="E4_1d44"/>
      <sheetName val="Prog_Imbalan44"/>
      <sheetName val="DES_0244"/>
      <sheetName val="Buku_Besar_144"/>
      <sheetName val="Pg7_444"/>
      <sheetName val="analisa_L-K44"/>
      <sheetName val="data_slip44"/>
      <sheetName val="Template_44"/>
      <sheetName val="jul05_ok43"/>
      <sheetName val="sept_05_dd43"/>
      <sheetName val="VAT_out44"/>
      <sheetName val="Danamon_LK44"/>
      <sheetName val="&quot;Outstanding_SO&quot;44"/>
      <sheetName val="Tax_Rate43"/>
      <sheetName val="SAP_PbT43"/>
      <sheetName val="TAX_SUMMARY44"/>
      <sheetName val="BSHO_Report43"/>
      <sheetName val="Check_Sheet43"/>
      <sheetName val="PLHO_Report43"/>
      <sheetName val="DFR_CT43"/>
      <sheetName val="Mkt_Total_by_Cat_B$43"/>
      <sheetName val="Mkt_Total_by_Cat_US$43"/>
      <sheetName val="N_Lead43"/>
      <sheetName val="N_3_143"/>
      <sheetName val="N_843"/>
      <sheetName val="N_943"/>
      <sheetName val="Assumption_&amp;_Result43"/>
      <sheetName val="Dec_08_-_Jan_09_(2)43"/>
      <sheetName val="AA_1_BNI43"/>
      <sheetName val="I_4_1_(2)43"/>
      <sheetName val="Hay_Guide_Charts_Notes43"/>
      <sheetName val="trf_ns_0443"/>
      <sheetName val="SL1006_(IDR)43"/>
      <sheetName val="trf_multiple43"/>
      <sheetName val="4_1_Placement_w_o_b43"/>
      <sheetName val="tabel_perkiraan43"/>
      <sheetName val="trfakt_sgl43"/>
      <sheetName val="trf_multiple_dnrks43"/>
      <sheetName val="SL1006_(VLS)43"/>
      <sheetName val="Irregular_Income43"/>
      <sheetName val="FE-1770_P143"/>
      <sheetName val="Benefit_Factors43"/>
      <sheetName val="Marshal_(2)43"/>
      <sheetName val="KKP_2143"/>
      <sheetName val="tabel_masa_kerja43"/>
      <sheetName val="new_IFS_format43"/>
      <sheetName val="Art_2343"/>
      <sheetName val="MTD_Results43"/>
      <sheetName val="YTD_Results43"/>
      <sheetName val="A3-Dec_2012-ALN43"/>
      <sheetName val="chiet_tinh41"/>
      <sheetName val="NB_UNIT343"/>
      <sheetName val="Customize_Your_Purchase_Order41"/>
      <sheetName val="9E1_340"/>
      <sheetName val="1195_B140"/>
      <sheetName val="mgr_&amp;_staff43"/>
      <sheetName val="ShareCapital_43"/>
      <sheetName val="Level_1_&amp;_241"/>
      <sheetName val="JAN_200141"/>
      <sheetName val="Trading_Statement41"/>
      <sheetName val="Rincian_Iuran41"/>
      <sheetName val="Data_Rekon41"/>
      <sheetName val="Premi_Iuran41"/>
      <sheetName val="Slide_2240"/>
      <sheetName val="Data_WP40"/>
      <sheetName val="NY_ADMIN40"/>
      <sheetName val="SPI_GMBH40"/>
      <sheetName val="FA_sd_APRIL_0740"/>
      <sheetName val="tabel_nilai41"/>
      <sheetName val="AA_1_1_BNI41"/>
      <sheetName val="_SAF_0238"/>
      <sheetName val="UV_1038"/>
      <sheetName val="YTD_Resurts38"/>
      <sheetName val="TRF_15038"/>
      <sheetName val="Material_Bpn_jul'0738"/>
      <sheetName val="IMPUT_PENERIMAAN_BULK_WB38"/>
      <sheetName val="van_khuon38"/>
      <sheetName val="U2_238"/>
      <sheetName val="LINK_MOR38"/>
      <sheetName val="LINK_GAP38"/>
      <sheetName val="General_Info38"/>
      <sheetName val="Cost_Summary38"/>
      <sheetName val="SK_HTM38"/>
      <sheetName val="Entry__HTM38"/>
      <sheetName val="Cost_Analysis38"/>
      <sheetName val="Scenarios_and_Sensitivities39"/>
      <sheetName val="Global_Assumptions39"/>
      <sheetName val="F_2_WIP_CKP38"/>
      <sheetName val="F_2_1_CKP38"/>
      <sheetName val="1541020-House_Loan38"/>
      <sheetName val="RMS_FUNGSIONAL38"/>
      <sheetName val="RMS_-_STR_(2)38"/>
      <sheetName val="LIST__MESIN17"/>
      <sheetName val="MAST_PROD17"/>
      <sheetName val="LIS__PAKAI17"/>
      <sheetName val="PART_&amp;_MAINT_17"/>
      <sheetName val="STD__COST17"/>
      <sheetName val="movement&amp;add_test17"/>
      <sheetName val="A_4_217"/>
      <sheetName val="A_4_317"/>
      <sheetName val="Letter_Form17"/>
      <sheetName val="Sales_Report_MKTG17"/>
      <sheetName val="U-3_1_1_telephone17"/>
      <sheetName val="corp_tax17"/>
      <sheetName val="HPP_PER_BULAN17"/>
      <sheetName val="Finance_Projection-0717"/>
      <sheetName val="ah_sanitary17"/>
      <sheetName val="03_Detailed17"/>
      <sheetName val="01_Bid_Price_summary17"/>
      <sheetName val="Rec XX"/>
      <sheetName val="CH"/>
      <sheetName val="Group"/>
      <sheetName val="Cash Flow"/>
      <sheetName val="rekap aset"/>
      <sheetName val="anl-2"/>
      <sheetName val="Bdown"/>
      <sheetName val="BOQBAP"/>
      <sheetName val="Ws Jul-2004"/>
      <sheetName val="REKAP"/>
      <sheetName val="mut_mei"/>
      <sheetName val="txfyb"/>
      <sheetName val="lrjsb"/>
      <sheetName val="zjfyb"/>
      <sheetName val="jcsjb"/>
      <sheetName val="zjsyb"/>
      <sheetName val="cbfyb"/>
      <sheetName val="ldzjb"/>
      <sheetName val="CA"/>
      <sheetName val="CA-O7"/>
      <sheetName val="DATA BANK"/>
      <sheetName val="GiaVL"/>
      <sheetName val="Effort.P"/>
      <sheetName val="CRITERIA2"/>
      <sheetName val="translate"/>
      <sheetName val="Detail-PARENT"/>
      <sheetName val="Rumus Prosesing"/>
      <sheetName val="NERACA"/>
      <sheetName val="O4_CA"/>
      <sheetName val="O5_IBA"/>
      <sheetName val="Kode Rek PJA"/>
      <sheetName val="FO"/>
      <sheetName val="FF-3"/>
      <sheetName val="To Generate"/>
      <sheetName val="Bahan.BQ"/>
      <sheetName val="P-1 Acc Payroll"/>
      <sheetName val="hour"/>
      <sheetName val="見積書"/>
      <sheetName val="Proposed 2003 Salary Range"/>
      <sheetName val="Adjustment"/>
      <sheetName val="Tax Cal"/>
      <sheetName val="AKTIVA"/>
      <sheetName val="Source"/>
      <sheetName val="Cap01"/>
      <sheetName val="U2.5 RM From Purhase"/>
      <sheetName val="BW"/>
      <sheetName val="Test Depre"/>
      <sheetName val="PM-BS"/>
      <sheetName val="Marshal00"/>
      <sheetName val="front page"/>
      <sheetName val="List of content"/>
      <sheetName val="01 Area Statement (NA)"/>
      <sheetName val="02 Potential"/>
      <sheetName val="3,1 inti development"/>
      <sheetName val="3,2 Plasma development "/>
      <sheetName val="04 Infra &amp; planting"/>
      <sheetName val="05 Census"/>
      <sheetName val="06 Supplying"/>
      <sheetName val="07 Manuring"/>
      <sheetName val="08 Weeding"/>
      <sheetName val="09 Nursery"/>
      <sheetName val="10 Yield"/>
      <sheetName val="11. PnD"/>
      <sheetName val="12 Breakdown workers &amp;harvester"/>
      <sheetName val="13 org chart"/>
      <sheetName val="14 rainfall"/>
      <sheetName val="15 fire report"/>
      <sheetName val="16 capex"/>
      <sheetName val="17 visitor"/>
      <sheetName val="18 CSR"/>
      <sheetName val="PP"/>
      <sheetName val="ACT"/>
      <sheetName val="CMLS"/>
      <sheetName val="GRAPH PLANTING PROGRAMME"/>
      <sheetName val="Order_Nov_w45"/>
      <sheetName val="Order_Oct_w40"/>
      <sheetName val="Order_Oct_w41"/>
      <sheetName val="Internal Summary"/>
      <sheetName val="経費02A"/>
      <sheetName val="SAA-Apr08"/>
      <sheetName val="1106-M&amp;E"/>
      <sheetName val="1105-B&amp;I-OK"/>
      <sheetName val="SUMMARY"/>
      <sheetName val="IDR customers"/>
      <sheetName val="USD customers"/>
      <sheetName val="jgd"/>
      <sheetName val="Income_Statement_VDF1"/>
      <sheetName val="Summary_Page_VDF1"/>
      <sheetName val="Invested_capital_VDF1"/>
      <sheetName val="PV_of_Op_Leases_VDF1"/>
      <sheetName val="fiscal_depr_E_1"/>
      <sheetName val="2003_Forecast1"/>
      <sheetName val="2004_Risk_Adjusted_AOP1"/>
      <sheetName val="PL_(MONTHLY)1"/>
      <sheetName val="Client_AJE1"/>
      <sheetName val="Marshal_-12"/>
      <sheetName val="Rekons_PPh_212"/>
      <sheetName val="TB_12162"/>
      <sheetName val="PL_(MONTHLY)2"/>
      <sheetName val="persatuan_(2)2"/>
      <sheetName val="TBM_02"/>
      <sheetName val="Income_Statement_VDF2"/>
      <sheetName val="Summary_Page_VDF2"/>
      <sheetName val="Invested_capital_VDF2"/>
      <sheetName val="PV_of_Op_Leases_VDF2"/>
      <sheetName val="fiscal_depr_E_2"/>
      <sheetName val="Permanent+_Prob2"/>
      <sheetName val="2003_Forecast2"/>
      <sheetName val="2004_Risk_Adjusted_AOP2"/>
      <sheetName val="kegiatan_usaha2"/>
      <sheetName val="Client_AJE2"/>
      <sheetName val="Marshal_-14"/>
      <sheetName val="Analisa_Alat_Berat4"/>
      <sheetName val="L_I___ATY4"/>
      <sheetName val="N_o_v4"/>
      <sheetName val="J_a_n4"/>
      <sheetName val="RD_I-BUT4"/>
      <sheetName val="Trial_Bal4"/>
      <sheetName val="pihak_iii4"/>
      <sheetName val="701500_TRAVEL_ADVANCE5"/>
      <sheetName val="A6_Employee_Loan4"/>
      <sheetName val="Rekons_PPh_214"/>
      <sheetName val="TB_12164"/>
      <sheetName val="PL_(MONTHLY)4"/>
      <sheetName val="persatuan_(2)4"/>
      <sheetName val="TBM_04"/>
      <sheetName val="Income_Statement_VDF4"/>
      <sheetName val="Summary_Page_VDF4"/>
      <sheetName val="Invested_capital_VDF4"/>
      <sheetName val="PV_of_Op_Leases_VDF4"/>
      <sheetName val="fiscal_depr_E_4"/>
      <sheetName val="Permanent+_Prob4"/>
      <sheetName val="2003_Forecast4"/>
      <sheetName val="2004_Risk_Adjusted_AOP4"/>
      <sheetName val="kegiatan_usaha4"/>
      <sheetName val="Client_AJE4"/>
      <sheetName val="Rekap_Budget2"/>
      <sheetName val="trf_7_jht2"/>
      <sheetName val="master_(2)2"/>
      <sheetName val="kode_transaksi2"/>
      <sheetName val="F-19_22"/>
      <sheetName val="Telin_SG-HK_Sales_transaction2"/>
      <sheetName val="Telin_SG-HKPurchase_transactio2"/>
      <sheetName val="all_ar2"/>
      <sheetName val="A-lr_pabrik2"/>
      <sheetName val="HUTANG_PER_VENDOR_092"/>
      <sheetName val="IMPUT_PENERIMAAN_BAG_PRODUKSI2"/>
      <sheetName val="PEMAKAIAN_BY_PRODUKSI2"/>
      <sheetName val="Table_Array2"/>
      <sheetName val="Marshal_-13"/>
      <sheetName val="Analisa_Alat_Berat3"/>
      <sheetName val="L_I___ATY3"/>
      <sheetName val="N_o_v3"/>
      <sheetName val="J_a_n3"/>
      <sheetName val="RD_I-BUT3"/>
      <sheetName val="Trial_Bal3"/>
      <sheetName val="pihak_iii3"/>
      <sheetName val="701500_TRAVEL_ADVANCE4"/>
      <sheetName val="A6_Employee_Loan3"/>
      <sheetName val="Rekons_PPh_213"/>
      <sheetName val="TB_12163"/>
      <sheetName val="PL_(MONTHLY)3"/>
      <sheetName val="persatuan_(2)3"/>
      <sheetName val="TBM_03"/>
      <sheetName val="Income_Statement_VDF3"/>
      <sheetName val="Summary_Page_VDF3"/>
      <sheetName val="Invested_capital_VDF3"/>
      <sheetName val="PV_of_Op_Leases_VDF3"/>
      <sheetName val="fiscal_depr_E_3"/>
      <sheetName val="Permanent+_Prob3"/>
      <sheetName val="2003_Forecast3"/>
      <sheetName val="2004_Risk_Adjusted_AOP3"/>
      <sheetName val="kegiatan_usaha3"/>
      <sheetName val="Client_AJE3"/>
      <sheetName val="Rekap_Budget1"/>
      <sheetName val="trf_7_jht1"/>
      <sheetName val="master_(2)1"/>
      <sheetName val="kode_transaksi1"/>
      <sheetName val="all_ar1"/>
      <sheetName val="A-lr_pabrik1"/>
      <sheetName val="HUTANG_PER_VENDOR_091"/>
      <sheetName val="IMPUT_PENERIMAAN_BAG_PRODUKSI1"/>
      <sheetName val="PEMAKAIAN_BY_PRODUKSI1"/>
      <sheetName val="Table_Array1"/>
      <sheetName val="Analisa_Alat_Berat5"/>
      <sheetName val="701500_TRAVEL_ADVANCE6"/>
      <sheetName val="RD_I-BUT5"/>
      <sheetName val="Trial_Bal5"/>
      <sheetName val="pihak_iii5"/>
      <sheetName val="L_I___ATY5"/>
      <sheetName val="N_o_v5"/>
      <sheetName val="J_a_n5"/>
      <sheetName val="Marshal_-15"/>
      <sheetName val="Income_Statement_VDF5"/>
      <sheetName val="Summary_Page_VDF5"/>
      <sheetName val="Invested_capital_VDF5"/>
      <sheetName val="PV_of_Op_Leases_VDF5"/>
      <sheetName val="fiscal_depr_E_5"/>
      <sheetName val="A6_Employee_Loan5"/>
      <sheetName val="Rekons_PPh_215"/>
      <sheetName val="persatuan_(2)5"/>
      <sheetName val="TBM_05"/>
      <sheetName val="kegiatan_usaha5"/>
      <sheetName val="Permanent+_Prob5"/>
      <sheetName val="2003_Forecast5"/>
      <sheetName val="2004_Risk_Adjusted_AOP5"/>
      <sheetName val="TB_12165"/>
      <sheetName val="PL_(MONTHLY)5"/>
      <sheetName val="Rekap_Budget3"/>
      <sheetName val="master_(2)3"/>
      <sheetName val="kode_transaksi3"/>
      <sheetName val="F-19_23"/>
      <sheetName val="Telin_SG-HK_Sales_transaction3"/>
      <sheetName val="Telin_SG-HKPurchase_transactio3"/>
      <sheetName val="all_ar3"/>
      <sheetName val="A-lr_pabrik3"/>
      <sheetName val="Client_AJE5"/>
      <sheetName val="trf_7_jht3"/>
      <sheetName val="GL_5461113"/>
      <sheetName val="HUTANG_PER_VENDOR_093"/>
      <sheetName val="IMPUT_PENERIMAAN_BAG_PRODUKSI3"/>
      <sheetName val="PEMAKAIAN_BY_PRODUKSI3"/>
      <sheetName val="Table_Array3"/>
      <sheetName val="IDR_customers"/>
      <sheetName val="USD_customers"/>
      <sheetName val="rekap_aset"/>
      <sheetName val="Ws_Jul-2004"/>
      <sheetName val="DATA_BANK"/>
      <sheetName val="Kode_Rek_PJA"/>
      <sheetName val="To_Generate"/>
      <sheetName val="Bahan_BQ"/>
      <sheetName val="P-1_Acc_Payroll"/>
      <sheetName val="daftar"/>
      <sheetName val="CMA Addition"/>
      <sheetName val="TB98_oct99_sap99_WPL"/>
      <sheetName val="PPh_2p³_x0008__x0018___"/>
      <sheetName val="_"/>
      <sheetName val="PPh_2p³  _x0000__x0000_"/>
      <sheetName val="PPh_2p³  "/>
      <sheetName val="PPh_2p³  ??"/>
      <sheetName val="PPN OUT1 SDR"/>
      <sheetName val="PPN OUT1"/>
      <sheetName val="PPN OUT2"/>
      <sheetName val="PPN OUT3"/>
      <sheetName val="NO FAKTUR"/>
      <sheetName val="Bukubesar"/>
      <sheetName val="POMALAA"/>
      <sheetName val="Input"/>
      <sheetName val="STR"/>
      <sheetName val="AVP"/>
      <sheetName val="DCF"/>
      <sheetName val="Financial Summary"/>
      <sheetName val="Estimates"/>
      <sheetName val="Valuation Summary"/>
      <sheetName val="Ownership"/>
      <sheetName val="Shares Traded"/>
      <sheetName val="Public &amp; Private Valuation"/>
      <sheetName val="Momentum"/>
      <sheetName val="Main Menu"/>
      <sheetName val="Results"/>
      <sheetName val="dBKdr"/>
      <sheetName val="10-103.1"/>
      <sheetName val="AR EXPORT"/>
      <sheetName val="Permanent_info45"/>
      <sheetName val="Depreciation_&amp;_Peny_45"/>
      <sheetName val="PPh_21_Recon45"/>
      <sheetName val="fiscal_depr(E)45"/>
      <sheetName val="A_u_g45"/>
      <sheetName val="J_u_l45"/>
      <sheetName val="O_c_t45"/>
      <sheetName val="A_p_r45"/>
      <sheetName val="M_a_y45"/>
      <sheetName val="S_e_p45"/>
      <sheetName val="00_received_in_0145"/>
      <sheetName val="F_e_b45"/>
      <sheetName val="Per_GL_J_a_n45"/>
      <sheetName val="J_u_n45"/>
      <sheetName val="M_a_r45"/>
      <sheetName val="C1_NOV45"/>
      <sheetName val="jurnal-audit_245"/>
      <sheetName val="EXT_B345"/>
      <sheetName val="B2_145"/>
      <sheetName val="Main_table45"/>
      <sheetName val="Data_Per_wilayah_Vin_Code_20045"/>
      <sheetName val="Data_Per_wilayah45"/>
      <sheetName val="Print_AR45"/>
      <sheetName val="INDIRECT_DETAIL44"/>
      <sheetName val="DIRECT_COST44"/>
      <sheetName val="E4_1d45"/>
      <sheetName val="Prog_Imbalan45"/>
      <sheetName val="DES_0245"/>
      <sheetName val="Buku_Besar_145"/>
      <sheetName val="Pg7_445"/>
      <sheetName val="analisa_L-K45"/>
      <sheetName val="data_slip45"/>
      <sheetName val="Template_45"/>
      <sheetName val="jul05_ok44"/>
      <sheetName val="sept_05_dd44"/>
      <sheetName val="VAT_out45"/>
      <sheetName val="Danamon_LK45"/>
      <sheetName val="&quot;Outstanding_SO&quot;45"/>
      <sheetName val="Tax_Rate44"/>
      <sheetName val="SAP_PbT44"/>
      <sheetName val="TAX_SUMMARY45"/>
      <sheetName val="BSHO_Report44"/>
      <sheetName val="Check_Sheet44"/>
      <sheetName val="PLHO_Report44"/>
      <sheetName val="DFR_CT44"/>
      <sheetName val="Mkt_Total_by_Cat_B$44"/>
      <sheetName val="Mkt_Total_by_Cat_US$44"/>
      <sheetName val="N_Lead44"/>
      <sheetName val="N_3_144"/>
      <sheetName val="N_844"/>
      <sheetName val="N_944"/>
      <sheetName val="Assumption_&amp;_Result44"/>
      <sheetName val="Dec_08_-_Jan_09_(2)44"/>
      <sheetName val="AA_1_BNI44"/>
      <sheetName val="I_4_1_(2)44"/>
      <sheetName val="Hay_Guide_Charts_Notes44"/>
      <sheetName val="trf_ns_0444"/>
      <sheetName val="SL1006_(IDR)44"/>
      <sheetName val="trf_multiple44"/>
      <sheetName val="4_1_Placement_w_o_b44"/>
      <sheetName val="tabel_perkiraan44"/>
      <sheetName val="trfakt_sgl44"/>
      <sheetName val="trf_multiple_dnrks44"/>
      <sheetName val="SL1006_(VLS)44"/>
      <sheetName val="Irregular_Income44"/>
      <sheetName val="FE-1770_P144"/>
      <sheetName val="Benefit_Factors44"/>
      <sheetName val="Marshal_(2)44"/>
      <sheetName val="KKP_2144"/>
      <sheetName val="tabel_masa_kerja44"/>
      <sheetName val="new_IFS_format44"/>
      <sheetName val="Art_2344"/>
      <sheetName val="MTD_Results44"/>
      <sheetName val="YTD_Results44"/>
      <sheetName val="A3-Dec_2012-ALN44"/>
      <sheetName val="chiet_tinh42"/>
      <sheetName val="NB_UNIT344"/>
      <sheetName val="Customize_Your_Purchase_Order42"/>
      <sheetName val="9E1_341"/>
      <sheetName val="1195_B141"/>
      <sheetName val="mgr_&amp;_staff44"/>
      <sheetName val="ShareCapital_44"/>
      <sheetName val="Level_1_&amp;_242"/>
      <sheetName val="JAN_200142"/>
      <sheetName val="Trading_Statement42"/>
      <sheetName val="Rincian_Iuran42"/>
      <sheetName val="Data_Rekon42"/>
      <sheetName val="Premi_Iuran42"/>
      <sheetName val="Slide_2241"/>
      <sheetName val="Data_WP41"/>
      <sheetName val="NY_ADMIN41"/>
      <sheetName val="SPI_GMBH41"/>
      <sheetName val="FA_sd_APRIL_0741"/>
      <sheetName val="tabel_nilai42"/>
      <sheetName val="AA_1_1_BNI42"/>
      <sheetName val="_SAF_0239"/>
      <sheetName val="UV_1039"/>
      <sheetName val="YTD_Resurts39"/>
      <sheetName val="TRF_15039"/>
      <sheetName val="Material_Bpn_jul'0739"/>
      <sheetName val="IMPUT_PENERIMAAN_BULK_WB39"/>
      <sheetName val="van_khuon39"/>
      <sheetName val="U2_239"/>
      <sheetName val="LINK_MOR39"/>
      <sheetName val="LINK_GAP39"/>
      <sheetName val="General_Info39"/>
      <sheetName val="Cost_Summary39"/>
      <sheetName val="SK_HTM39"/>
      <sheetName val="Entry__HTM39"/>
      <sheetName val="Cost_Analysis39"/>
      <sheetName val="Scenarios_and_Sensitivities40"/>
      <sheetName val="Global_Assumptions40"/>
      <sheetName val="F_2_WIP_CKP39"/>
      <sheetName val="F_2_1_CKP39"/>
      <sheetName val="1541020-House_Loan39"/>
      <sheetName val="RMS_FUNGSIONAL39"/>
      <sheetName val="RMS_-_STR_(2)39"/>
      <sheetName val="LIST__MESIN18"/>
      <sheetName val="MAST_PROD18"/>
      <sheetName val="LIS__PAKAI18"/>
      <sheetName val="PART_&amp;_MAINT_18"/>
      <sheetName val="STD__COST18"/>
      <sheetName val="movement&amp;add_test18"/>
      <sheetName val="A_4_218"/>
      <sheetName val="A_4_318"/>
      <sheetName val="Letter_Form18"/>
      <sheetName val="Sales_Report_MKTG18"/>
      <sheetName val="U-3_1_1_telephone18"/>
      <sheetName val="corp_tax18"/>
      <sheetName val="HPP_PER_BULAN18"/>
      <sheetName val="Finance_Projection-0718"/>
      <sheetName val="ah_sanitary18"/>
      <sheetName val="03_Detailed18"/>
      <sheetName val="01_Bid_Price_summary18"/>
      <sheetName val="Permanent_info46"/>
      <sheetName val="Depreciation_&amp;_Peny_46"/>
      <sheetName val="PPh_21_Recon46"/>
      <sheetName val="fiscal_depr(E)46"/>
      <sheetName val="A_u_g46"/>
      <sheetName val="J_u_l46"/>
      <sheetName val="O_c_t46"/>
      <sheetName val="A_p_r46"/>
      <sheetName val="M_a_y46"/>
      <sheetName val="S_e_p46"/>
      <sheetName val="00_received_in_0146"/>
      <sheetName val="F_e_b46"/>
      <sheetName val="Per_GL_J_a_n46"/>
      <sheetName val="J_u_n46"/>
      <sheetName val="M_a_r46"/>
      <sheetName val="C1_NOV46"/>
      <sheetName val="jurnal-audit_246"/>
      <sheetName val="EXT_B346"/>
      <sheetName val="B2_146"/>
      <sheetName val="Main_table46"/>
      <sheetName val="Data_Per_wilayah_Vin_Code_20046"/>
      <sheetName val="Data_Per_wilayah46"/>
      <sheetName val="Print_AR46"/>
      <sheetName val="INDIRECT_DETAIL45"/>
      <sheetName val="DIRECT_COST45"/>
      <sheetName val="E4_1d46"/>
      <sheetName val="Prog_Imbalan46"/>
      <sheetName val="DES_0246"/>
      <sheetName val="Buku_Besar_146"/>
      <sheetName val="Pg7_446"/>
      <sheetName val="analisa_L-K46"/>
      <sheetName val="data_slip46"/>
      <sheetName val="Template_46"/>
      <sheetName val="jul05_ok45"/>
      <sheetName val="sept_05_dd45"/>
      <sheetName val="VAT_out46"/>
      <sheetName val="Danamon_LK46"/>
      <sheetName val="&quot;Outstanding_SO&quot;46"/>
      <sheetName val="Tax_Rate45"/>
      <sheetName val="SAP_PbT45"/>
      <sheetName val="TAX_SUMMARY46"/>
      <sheetName val="BSHO_Report45"/>
      <sheetName val="Check_Sheet45"/>
      <sheetName val="PLHO_Report45"/>
      <sheetName val="DFR_CT45"/>
      <sheetName val="Mkt_Total_by_Cat_B$45"/>
      <sheetName val="Mkt_Total_by_Cat_US$45"/>
      <sheetName val="N_Lead45"/>
      <sheetName val="N_3_145"/>
      <sheetName val="N_845"/>
      <sheetName val="N_945"/>
      <sheetName val="Assumption_&amp;_Result45"/>
      <sheetName val="Dec_08_-_Jan_09_(2)45"/>
      <sheetName val="AA_1_BNI45"/>
      <sheetName val="I_4_1_(2)45"/>
      <sheetName val="Hay_Guide_Charts_Notes45"/>
      <sheetName val="trf_ns_0445"/>
      <sheetName val="SL1006_(IDR)45"/>
      <sheetName val="trf_multiple45"/>
      <sheetName val="4_1_Placement_w_o_b45"/>
      <sheetName val="tabel_perkiraan45"/>
      <sheetName val="trfakt_sgl45"/>
      <sheetName val="trf_multiple_dnrks45"/>
      <sheetName val="SL1006_(VLS)45"/>
      <sheetName val="Irregular_Income45"/>
      <sheetName val="FE-1770_P145"/>
      <sheetName val="Benefit_Factors45"/>
      <sheetName val="Marshal_(2)45"/>
      <sheetName val="KKP_2145"/>
      <sheetName val="tabel_masa_kerja45"/>
      <sheetName val="new_IFS_format45"/>
      <sheetName val="Art_2345"/>
      <sheetName val="MTD_Results45"/>
      <sheetName val="YTD_Results45"/>
      <sheetName val="A3-Dec_2012-ALN45"/>
      <sheetName val="chiet_tinh43"/>
      <sheetName val="NB_UNIT345"/>
      <sheetName val="Customize_Your_Purchase_Order43"/>
      <sheetName val="9E1_342"/>
      <sheetName val="1195_B142"/>
      <sheetName val="mgr_&amp;_staff45"/>
      <sheetName val="ShareCapital_45"/>
      <sheetName val="Level_1_&amp;_243"/>
      <sheetName val="JAN_200143"/>
      <sheetName val="Trading_Statement43"/>
      <sheetName val="Rincian_Iuran43"/>
      <sheetName val="Data_Rekon43"/>
      <sheetName val="Premi_Iuran43"/>
      <sheetName val="Slide_2242"/>
      <sheetName val="Data_WP42"/>
      <sheetName val="NY_ADMIN42"/>
      <sheetName val="SPI_GMBH42"/>
      <sheetName val="FA_sd_APRIL_0742"/>
      <sheetName val="tabel_nilai43"/>
      <sheetName val="AA_1_1_BNI43"/>
      <sheetName val="_SAF_0240"/>
      <sheetName val="UV_1040"/>
      <sheetName val="YTD_Resurts40"/>
      <sheetName val="TRF_15040"/>
      <sheetName val="Material_Bpn_jul'0740"/>
      <sheetName val="IMPUT_PENERIMAAN_BULK_WB40"/>
      <sheetName val="van_khuon40"/>
      <sheetName val="U2_240"/>
      <sheetName val="LINK_MOR40"/>
      <sheetName val="LINK_GAP40"/>
      <sheetName val="General_Info40"/>
      <sheetName val="Cost_Summary40"/>
      <sheetName val="SK_HTM40"/>
      <sheetName val="Entry__HTM40"/>
      <sheetName val="Cost_Analysis40"/>
      <sheetName val="Scenarios_and_Sensitivities41"/>
      <sheetName val="Global_Assumptions41"/>
      <sheetName val="F_2_WIP_CKP40"/>
      <sheetName val="F_2_1_CKP40"/>
      <sheetName val="1541020-House_Loan40"/>
      <sheetName val="RMS_FUNGSIONAL40"/>
      <sheetName val="RMS_-_STR_(2)40"/>
      <sheetName val="LIST__MESIN19"/>
      <sheetName val="MAST_PROD19"/>
      <sheetName val="LIS__PAKAI19"/>
      <sheetName val="PART_&amp;_MAINT_19"/>
      <sheetName val="STD__COST19"/>
      <sheetName val="movement&amp;add_test19"/>
      <sheetName val="A_4_219"/>
      <sheetName val="A_4_319"/>
      <sheetName val="Letter_Form19"/>
      <sheetName val="Sales_Report_MKTG19"/>
      <sheetName val="U-3_1_1_telephone19"/>
      <sheetName val="corp_tax19"/>
      <sheetName val="HPP_PER_BULAN19"/>
      <sheetName val="Finance_Projection-0719"/>
      <sheetName val="ah_sanitary19"/>
      <sheetName val="03_Detailed19"/>
      <sheetName val="01_Bid_Price_summary19"/>
      <sheetName val="Permanent_info47"/>
      <sheetName val="Depreciation_&amp;_Peny_47"/>
      <sheetName val="PPh_21_Recon47"/>
      <sheetName val="fiscal_depr(E)47"/>
      <sheetName val="A_u_g47"/>
      <sheetName val="J_u_l47"/>
      <sheetName val="O_c_t47"/>
      <sheetName val="A_p_r47"/>
      <sheetName val="M_a_y47"/>
      <sheetName val="S_e_p47"/>
      <sheetName val="00_received_in_0147"/>
      <sheetName val="F_e_b47"/>
      <sheetName val="Per_GL_J_a_n47"/>
      <sheetName val="J_u_n47"/>
      <sheetName val="M_a_r47"/>
      <sheetName val="C1_NOV47"/>
      <sheetName val="jurnal-audit_247"/>
      <sheetName val="EXT_B347"/>
      <sheetName val="B2_147"/>
      <sheetName val="Main_table47"/>
      <sheetName val="Data_Per_wilayah_Vin_Code_20047"/>
      <sheetName val="Data_Per_wilayah47"/>
      <sheetName val="Print_AR47"/>
      <sheetName val="INDIRECT_DETAIL46"/>
      <sheetName val="DIRECT_COST46"/>
      <sheetName val="E4_1d47"/>
      <sheetName val="Prog_Imbalan47"/>
      <sheetName val="DES_0247"/>
      <sheetName val="Buku_Besar_147"/>
      <sheetName val="Pg7_447"/>
      <sheetName val="analisa_L-K47"/>
      <sheetName val="data_slip47"/>
      <sheetName val="Template_47"/>
      <sheetName val="jul05_ok46"/>
      <sheetName val="sept_05_dd46"/>
      <sheetName val="VAT_out47"/>
      <sheetName val="Danamon_LK47"/>
      <sheetName val="&quot;Outstanding_SO&quot;47"/>
      <sheetName val="Tax_Rate46"/>
      <sheetName val="SAP_PbT46"/>
      <sheetName val="TAX_SUMMARY47"/>
      <sheetName val="BSHO_Report46"/>
      <sheetName val="Check_Sheet46"/>
      <sheetName val="PLHO_Report46"/>
      <sheetName val="DFR_CT46"/>
      <sheetName val="Mkt_Total_by_Cat_B$46"/>
      <sheetName val="Mkt_Total_by_Cat_US$46"/>
      <sheetName val="N_Lead46"/>
      <sheetName val="N_3_146"/>
      <sheetName val="N_846"/>
      <sheetName val="N_946"/>
      <sheetName val="Assumption_&amp;_Result46"/>
      <sheetName val="Dec_08_-_Jan_09_(2)46"/>
      <sheetName val="AA_1_BNI46"/>
      <sheetName val="I_4_1_(2)46"/>
      <sheetName val="Hay_Guide_Charts_Notes46"/>
      <sheetName val="trf_ns_0446"/>
      <sheetName val="SL1006_(IDR)46"/>
      <sheetName val="trf_multiple46"/>
      <sheetName val="4_1_Placement_w_o_b46"/>
      <sheetName val="tabel_perkiraan46"/>
      <sheetName val="trfakt_sgl46"/>
      <sheetName val="trf_multiple_dnrks46"/>
      <sheetName val="SL1006_(VLS)46"/>
      <sheetName val="Irregular_Income46"/>
      <sheetName val="FE-1770_P146"/>
      <sheetName val="Benefit_Factors46"/>
      <sheetName val="Marshal_(2)46"/>
      <sheetName val="KKP_2146"/>
      <sheetName val="tabel_masa_kerja46"/>
      <sheetName val="new_IFS_format46"/>
      <sheetName val="Art_2346"/>
      <sheetName val="MTD_Results46"/>
      <sheetName val="YTD_Results46"/>
      <sheetName val="A3-Dec_2012-ALN46"/>
      <sheetName val="chiet_tinh44"/>
      <sheetName val="NB_UNIT346"/>
      <sheetName val="Customize_Your_Purchase_Order44"/>
      <sheetName val="9E1_343"/>
      <sheetName val="1195_B143"/>
      <sheetName val="mgr_&amp;_staff46"/>
      <sheetName val="ShareCapital_46"/>
      <sheetName val="Level_1_&amp;_244"/>
      <sheetName val="JAN_200144"/>
      <sheetName val="Trading_Statement44"/>
      <sheetName val="Rincian_Iuran44"/>
      <sheetName val="Data_Rekon44"/>
      <sheetName val="Premi_Iuran44"/>
      <sheetName val="Slide_2243"/>
      <sheetName val="Data_WP43"/>
      <sheetName val="NY_ADMIN43"/>
      <sheetName val="SPI_GMBH43"/>
      <sheetName val="FA_sd_APRIL_0743"/>
      <sheetName val="tabel_nilai44"/>
      <sheetName val="AA_1_1_BNI44"/>
      <sheetName val="_SAF_0241"/>
      <sheetName val="UV_1041"/>
      <sheetName val="YTD_Resurts41"/>
      <sheetName val="TRF_15041"/>
      <sheetName val="Material_Bpn_jul'0741"/>
      <sheetName val="IMPUT_PENERIMAAN_BULK_WB41"/>
      <sheetName val="van_khuon41"/>
      <sheetName val="U2_241"/>
      <sheetName val="LINK_MOR41"/>
      <sheetName val="LINK_GAP41"/>
      <sheetName val="General_Info41"/>
      <sheetName val="Cost_Summary41"/>
      <sheetName val="SK_HTM41"/>
      <sheetName val="Entry__HTM41"/>
      <sheetName val="Cost_Analysis41"/>
      <sheetName val="Scenarios_and_Sensitivities42"/>
      <sheetName val="Global_Assumptions42"/>
      <sheetName val="F_2_WIP_CKP41"/>
      <sheetName val="F_2_1_CKP41"/>
      <sheetName val="1541020-House_Loan41"/>
      <sheetName val="RMS_FUNGSIONAL41"/>
      <sheetName val="RMS_-_STR_(2)41"/>
      <sheetName val="LIST__MESIN20"/>
      <sheetName val="MAST_PROD20"/>
      <sheetName val="LIS__PAKAI20"/>
      <sheetName val="PART_&amp;_MAINT_20"/>
      <sheetName val="STD__COST20"/>
      <sheetName val="movement&amp;add_test20"/>
      <sheetName val="A_4_220"/>
      <sheetName val="A_4_320"/>
      <sheetName val="Letter_Form20"/>
      <sheetName val="Sales_Report_MKTG20"/>
      <sheetName val="U-3_1_1_telephone20"/>
      <sheetName val="corp_tax20"/>
      <sheetName val="HPP_PER_BULAN20"/>
      <sheetName val="Finance_Projection-0720"/>
      <sheetName val="ah_sanitary20"/>
      <sheetName val="03_Detailed20"/>
      <sheetName val="01_Bid_Price_summary20"/>
      <sheetName val="Permanent_info48"/>
      <sheetName val="Depreciation_&amp;_Peny_48"/>
      <sheetName val="PPh_21_Recon48"/>
      <sheetName val="A_u_g48"/>
      <sheetName val="J_u_l48"/>
      <sheetName val="O_c_t48"/>
      <sheetName val="A_p_r48"/>
      <sheetName val="M_a_y48"/>
      <sheetName val="S_e_p48"/>
      <sheetName val="00_received_in_0148"/>
      <sheetName val="F_e_b48"/>
      <sheetName val="Per_GL_J_a_n48"/>
      <sheetName val="J_u_n48"/>
      <sheetName val="M_a_r48"/>
      <sheetName val="fiscal_depr(E)48"/>
      <sheetName val="EXT_B348"/>
      <sheetName val="B2_148"/>
      <sheetName val="Main_table48"/>
      <sheetName val="C1_NOV48"/>
      <sheetName val="jurnal-audit_248"/>
      <sheetName val="Data_Per_wilayah_Vin_Code_20048"/>
      <sheetName val="Data_Per_wilayah48"/>
      <sheetName val="INDIRECT_DETAIL47"/>
      <sheetName val="DIRECT_COST47"/>
      <sheetName val="E4_1d48"/>
      <sheetName val="Prog_Imbalan48"/>
      <sheetName val="DES_0248"/>
      <sheetName val="Buku_Besar_148"/>
      <sheetName val="Pg7_448"/>
      <sheetName val="Print_AR48"/>
      <sheetName val="VAT_out48"/>
      <sheetName val="analisa_L-K48"/>
      <sheetName val="data_slip48"/>
      <sheetName val="Template_48"/>
      <sheetName val="jul05_ok47"/>
      <sheetName val="sept_05_dd47"/>
      <sheetName val="Danamon_LK48"/>
      <sheetName val="&quot;Outstanding_SO&quot;48"/>
      <sheetName val="Tax_Rate47"/>
      <sheetName val="SAP_PbT47"/>
      <sheetName val="BSHO_Report47"/>
      <sheetName val="Check_Sheet47"/>
      <sheetName val="PLHO_Report47"/>
      <sheetName val="TAX_SUMMARY48"/>
      <sheetName val="Assumption_&amp;_Result47"/>
      <sheetName val="DFR_CT47"/>
      <sheetName val="Mkt_Total_by_Cat_B$47"/>
      <sheetName val="Mkt_Total_by_Cat_US$47"/>
      <sheetName val="N_Lead47"/>
      <sheetName val="N_3_147"/>
      <sheetName val="N_847"/>
      <sheetName val="N_947"/>
      <sheetName val="Dec_08_-_Jan_09_(2)47"/>
      <sheetName val="AA_1_BNI47"/>
      <sheetName val="I_4_1_(2)47"/>
      <sheetName val="Hay_Guide_Charts_Notes47"/>
      <sheetName val="trf_ns_0447"/>
      <sheetName val="SL1006_(IDR)47"/>
      <sheetName val="trf_multiple47"/>
      <sheetName val="4_1_Placement_w_o_b47"/>
      <sheetName val="tabel_perkiraan47"/>
      <sheetName val="trfakt_sgl47"/>
      <sheetName val="trf_multiple_dnrks47"/>
      <sheetName val="SL1006_(VLS)47"/>
      <sheetName val="Irregular_Income47"/>
      <sheetName val="FE-1770_P147"/>
      <sheetName val="Benefit_Factors47"/>
      <sheetName val="Marshal_(2)47"/>
      <sheetName val="KKP_2147"/>
      <sheetName val="tabel_masa_kerja47"/>
      <sheetName val="new_IFS_format47"/>
      <sheetName val="MTD_Results47"/>
      <sheetName val="YTD_Results47"/>
      <sheetName val="A3-Dec_2012-ALN47"/>
      <sheetName val="Art_2347"/>
      <sheetName val="chiet_tinh45"/>
      <sheetName val="NB_UNIT347"/>
      <sheetName val="Customize_Your_Purchase_Order45"/>
      <sheetName val="9E1_344"/>
      <sheetName val="1195_B144"/>
      <sheetName val="mgr_&amp;_staff47"/>
      <sheetName val="ShareCapital_47"/>
      <sheetName val="Level_1_&amp;_245"/>
      <sheetName val="JAN_200145"/>
      <sheetName val="Trading_Statement45"/>
      <sheetName val="Rincian_Iuran45"/>
      <sheetName val="Data_Rekon45"/>
      <sheetName val="Premi_Iuran45"/>
      <sheetName val="Slide_2244"/>
      <sheetName val="Data_WP44"/>
      <sheetName val="NY_ADMIN44"/>
      <sheetName val="SPI_GMBH44"/>
      <sheetName val="FA_sd_APRIL_0744"/>
      <sheetName val="tabel_nilai45"/>
      <sheetName val="AA_1_1_BNI45"/>
      <sheetName val="UV_1042"/>
      <sheetName val="Cost_Summary42"/>
      <sheetName val="General_Info42"/>
      <sheetName val="SK_HTM42"/>
      <sheetName val="Entry__HTM42"/>
      <sheetName val="Material_Bpn_jul'0742"/>
      <sheetName val="IMPUT_PENERIMAAN_BULK_WB42"/>
      <sheetName val="Cost_Analysis42"/>
      <sheetName val="Scenarios_and_Sensitivities43"/>
      <sheetName val="Global_Assumptions43"/>
      <sheetName val="F_2_WIP_CKP42"/>
      <sheetName val="F_2_1_CKP42"/>
      <sheetName val="1541020-House_Loan42"/>
      <sheetName val="_SAF_0242"/>
      <sheetName val="TRF_15042"/>
      <sheetName val="YTD_Resurts42"/>
      <sheetName val="van_khuon42"/>
      <sheetName val="U2_242"/>
      <sheetName val="LINK_MOR42"/>
      <sheetName val="LINK_GAP42"/>
      <sheetName val="RMS_FUNGSIONAL42"/>
      <sheetName val="RMS_-_STR_(2)42"/>
      <sheetName val="movement&amp;add_test21"/>
      <sheetName val="LIST__MESIN21"/>
      <sheetName val="MAST_PROD21"/>
      <sheetName val="LIS__PAKAI21"/>
      <sheetName val="PART_&amp;_MAINT_21"/>
      <sheetName val="STD__COST21"/>
      <sheetName val="HPP_PER_BULAN21"/>
      <sheetName val="A_4_221"/>
      <sheetName val="A_4_321"/>
      <sheetName val="Letter_Form21"/>
      <sheetName val="Sales_Report_MKTG21"/>
      <sheetName val="U-3_1_1_telephone21"/>
      <sheetName val="corp_tax21"/>
      <sheetName val="Finance_Projection-0721"/>
      <sheetName val="ah_sanitary21"/>
      <sheetName val="03_Detailed21"/>
      <sheetName val="01_Bid_Price_summary21"/>
      <sheetName val="Permanent_info49"/>
      <sheetName val="Depreciation_&amp;_Peny_49"/>
      <sheetName val="PPh_21_Recon49"/>
      <sheetName val="A_u_g49"/>
      <sheetName val="J_u_l49"/>
      <sheetName val="O_c_t49"/>
      <sheetName val="A_p_r49"/>
      <sheetName val="M_a_y49"/>
      <sheetName val="S_e_p49"/>
      <sheetName val="00_received_in_0149"/>
      <sheetName val="F_e_b49"/>
      <sheetName val="Per_GL_J_a_n49"/>
      <sheetName val="J_u_n49"/>
      <sheetName val="M_a_r49"/>
      <sheetName val="fiscal_depr(E)49"/>
      <sheetName val="EXT_B349"/>
      <sheetName val="B2_149"/>
      <sheetName val="Main_table49"/>
      <sheetName val="C1_NOV49"/>
      <sheetName val="jurnal-audit_249"/>
      <sheetName val="Data_Per_wilayah_Vin_Code_20049"/>
      <sheetName val="Data_Per_wilayah49"/>
      <sheetName val="INDIRECT_DETAIL48"/>
      <sheetName val="DIRECT_COST48"/>
      <sheetName val="E4_1d49"/>
      <sheetName val="Prog_Imbalan49"/>
      <sheetName val="DES_0249"/>
      <sheetName val="Buku_Besar_149"/>
      <sheetName val="Pg7_449"/>
      <sheetName val="Print_AR49"/>
      <sheetName val="VAT_out49"/>
      <sheetName val="analisa_L-K49"/>
      <sheetName val="data_slip49"/>
      <sheetName val="Template_49"/>
      <sheetName val="jul05_ok48"/>
      <sheetName val="sept_05_dd48"/>
      <sheetName val="Danamon_LK49"/>
      <sheetName val="&quot;Outstanding_SO&quot;49"/>
      <sheetName val="Tax_Rate48"/>
      <sheetName val="SAP_PbT48"/>
      <sheetName val="BSHO_Report48"/>
      <sheetName val="Check_Sheet48"/>
      <sheetName val="PLHO_Report48"/>
      <sheetName val="TAX_SUMMARY49"/>
      <sheetName val="Assumption_&amp;_Result48"/>
      <sheetName val="DFR_CT48"/>
      <sheetName val="Mkt_Total_by_Cat_B$48"/>
      <sheetName val="Mkt_Total_by_Cat_US$48"/>
      <sheetName val="N_Lead48"/>
      <sheetName val="N_3_148"/>
      <sheetName val="N_848"/>
      <sheetName val="N_948"/>
      <sheetName val="Dec_08_-_Jan_09_(2)48"/>
      <sheetName val="AA_1_BNI48"/>
      <sheetName val="I_4_1_(2)48"/>
      <sheetName val="Hay_Guide_Charts_Notes48"/>
      <sheetName val="trf_ns_0448"/>
      <sheetName val="SL1006_(IDR)48"/>
      <sheetName val="trf_multiple48"/>
      <sheetName val="4_1_Placement_w_o_b48"/>
      <sheetName val="tabel_perkiraan48"/>
      <sheetName val="trfakt_sgl48"/>
      <sheetName val="trf_multiple_dnrks48"/>
      <sheetName val="SL1006_(VLS)48"/>
      <sheetName val="Irregular_Income48"/>
      <sheetName val="FE-1770_P148"/>
      <sheetName val="Benefit_Factors48"/>
      <sheetName val="Marshal_(2)48"/>
      <sheetName val="KKP_2148"/>
      <sheetName val="tabel_masa_kerja48"/>
      <sheetName val="new_IFS_format48"/>
      <sheetName val="MTD_Results48"/>
      <sheetName val="YTD_Results48"/>
      <sheetName val="A3-Dec_2012-ALN48"/>
      <sheetName val="Art_2348"/>
      <sheetName val="chiet_tinh46"/>
      <sheetName val="NB_UNIT348"/>
      <sheetName val="Customize_Your_Purchase_Order46"/>
      <sheetName val="9E1_345"/>
      <sheetName val="1195_B145"/>
      <sheetName val="mgr_&amp;_staff48"/>
      <sheetName val="ShareCapital_48"/>
      <sheetName val="Level_1_&amp;_246"/>
      <sheetName val="JAN_200146"/>
      <sheetName val="Trading_Statement46"/>
      <sheetName val="Rincian_Iuran46"/>
      <sheetName val="Data_Rekon46"/>
      <sheetName val="Premi_Iuran46"/>
      <sheetName val="Slide_2245"/>
      <sheetName val="Data_WP45"/>
      <sheetName val="NY_ADMIN45"/>
      <sheetName val="SPI_GMBH45"/>
      <sheetName val="FA_sd_APRIL_0745"/>
      <sheetName val="tabel_nilai46"/>
      <sheetName val="AA_1_1_BNI46"/>
      <sheetName val="UV_1043"/>
      <sheetName val="Cost_Summary43"/>
      <sheetName val="General_Info43"/>
      <sheetName val="SK_HTM43"/>
      <sheetName val="Entry__HTM43"/>
      <sheetName val="Material_Bpn_jul'0743"/>
      <sheetName val="IMPUT_PENERIMAAN_BULK_WB43"/>
      <sheetName val="Cost_Analysis43"/>
      <sheetName val="Scenarios_and_Sensitivities44"/>
      <sheetName val="Global_Assumptions44"/>
      <sheetName val="F_2_WIP_CKP43"/>
      <sheetName val="F_2_1_CKP43"/>
      <sheetName val="1541020-House_Loan43"/>
      <sheetName val="_SAF_0243"/>
      <sheetName val="TRF_15043"/>
      <sheetName val="YTD_Resurts43"/>
      <sheetName val="van_khuon43"/>
      <sheetName val="U2_243"/>
      <sheetName val="LINK_MOR43"/>
      <sheetName val="LINK_GAP43"/>
      <sheetName val="RMS_FUNGSIONAL43"/>
      <sheetName val="RMS_-_STR_(2)43"/>
      <sheetName val="movement&amp;add_test22"/>
      <sheetName val="LIST__MESIN22"/>
      <sheetName val="MAST_PROD22"/>
      <sheetName val="LIS__PAKAI22"/>
      <sheetName val="PART_&amp;_MAINT_22"/>
      <sheetName val="STD__COST22"/>
      <sheetName val="HPP_PER_BULAN22"/>
      <sheetName val="A_4_222"/>
      <sheetName val="A_4_322"/>
      <sheetName val="Letter_Form22"/>
      <sheetName val="Sales_Report_MKTG22"/>
      <sheetName val="U-3_1_1_telephone22"/>
      <sheetName val="corp_tax22"/>
      <sheetName val="Finance_Projection-0722"/>
      <sheetName val="ah_sanitary22"/>
      <sheetName val="03_Detailed22"/>
      <sheetName val="01_Bid_Price_summary22"/>
      <sheetName val="master_(2)4"/>
      <sheetName val="KKP SL-baru"/>
      <sheetName val="2930"/>
      <sheetName val="2933"/>
      <sheetName val="2934"/>
      <sheetName val="??"/>
      <sheetName val="RPT-1.0"/>
      <sheetName val="FAD"/>
      <sheetName val="GAD"/>
      <sheetName val="HRD"/>
      <sheetName val="Join Account"/>
      <sheetName val="QHSED"/>
      <sheetName val="P&amp;L"/>
      <sheetName val="Marshalling"/>
      <sheetName val="PL"/>
      <sheetName val="Taxadjustment"/>
      <sheetName val="Taxcalculation"/>
      <sheetName val="PPh pasal 25"/>
      <sheetName val="transaksi"/>
      <sheetName val="new 1771"/>
      <sheetName val="New 1771 (2)"/>
      <sheetName val="1771 I"/>
      <sheetName val="1771 II"/>
      <sheetName val="1771"/>
      <sheetName val="1771.2"/>
      <sheetName val="1771-I"/>
      <sheetName val="1771-II"/>
      <sheetName val="1771-III"/>
      <sheetName val="1771-IV"/>
      <sheetName val="1771-V"/>
      <sheetName val="lamp 1771-V"/>
      <sheetName val="1771-VI"/>
      <sheetName val="DRAFT"/>
      <sheetName val="AJP&amp;Penutup"/>
      <sheetName val="StrukGj"/>
      <sheetName val="DPLA"/>
      <sheetName val="MainComp"/>
      <sheetName val="1.01B"/>
      <sheetName val="CA Sheet"/>
      <sheetName val="sum"/>
      <sheetName val="Up &amp; bhn"/>
      <sheetName val="NEGARA"/>
      <sheetName val="neraca okt"/>
      <sheetName val="ROSS LIST"/>
      <sheetName val="E-7.1"/>
      <sheetName val="NERACA-05"/>
      <sheetName val="Q-PC1"/>
      <sheetName val="Q-PC2"/>
      <sheetName val="JURNAL-"/>
      <sheetName val="Details FA Fiscal"/>
      <sheetName val="System"/>
      <sheetName val="LP_2"/>
      <sheetName val="WBS1"/>
      <sheetName val="F1c DATA ADM6"/>
      <sheetName val="Perm. Test"/>
      <sheetName val="Keyword"/>
      <sheetName val="co_data"/>
      <sheetName val="Income Statement"/>
      <sheetName val="Profile"/>
      <sheetName val="Jan"/>
      <sheetName val="COEFFS"/>
      <sheetName val="Detail PS"/>
      <sheetName val="Parts"/>
      <sheetName val="10"/>
      <sheetName val="Statistics"/>
      <sheetName val="MC TIRE"/>
      <sheetName val="NP (2)"/>
      <sheetName val="NP (4)"/>
      <sheetName val="analiz"/>
      <sheetName val="R-16_1"/>
      <sheetName val="R-16_2"/>
      <sheetName val="RKAP_2013_TBM12"/>
      <sheetName val="Rinci_prd_13-142"/>
      <sheetName val="Rinci_sekt_13-142"/>
      <sheetName val="rekap_aset2"/>
      <sheetName val="Ws_Jul-20042"/>
      <sheetName val="DATA_BANK2"/>
      <sheetName val="A_W__TIGER2"/>
      <sheetName val="pro_ra_op2"/>
      <sheetName val="CHECK_LIST-KPR2"/>
      <sheetName val="Fomat__12"/>
      <sheetName val="CBA_MECH_&amp;_SS_(MECH)2"/>
      <sheetName val="Kode_Rek_PJA2"/>
      <sheetName val="To_Generate2"/>
      <sheetName val="Bahan_BQ2"/>
      <sheetName val="Comp_equip2"/>
      <sheetName val="Dec_08_-_Jan_092"/>
      <sheetName val="Abs_Jun2"/>
      <sheetName val="ABSEN_JUN_s_d_JUL'102"/>
      <sheetName val="abs_Apr_102"/>
      <sheetName val="OT_Apr_102"/>
      <sheetName val="PHL_(3)2"/>
      <sheetName val="BA_all_pnjam2"/>
      <sheetName val="KPRIKPA1_19_PEMB_PHP2"/>
      <sheetName val="By_UPO2"/>
      <sheetName val="R-16_12"/>
      <sheetName val="R-16_22"/>
      <sheetName val="RKAP_2013_TBM11"/>
      <sheetName val="Rinci_prd_13-141"/>
      <sheetName val="Rinci_sekt_13-141"/>
      <sheetName val="rekap_aset1"/>
      <sheetName val="Ws_Jul-20041"/>
      <sheetName val="DATA_BANK1"/>
      <sheetName val="A_W__TIGER1"/>
      <sheetName val="CBA_MECH_&amp;_SS_(MECH)1"/>
      <sheetName val="Kode_Rek_PJA1"/>
      <sheetName val="To_Generate1"/>
      <sheetName val="Bahan_BQ1"/>
      <sheetName val="Comp_equip1"/>
      <sheetName val="Dec_08_-_Jan_091"/>
      <sheetName val="Abs_Jun1"/>
      <sheetName val="ABSEN_JUN_s_d_JUL'101"/>
      <sheetName val="abs_Apr_101"/>
      <sheetName val="OT_Apr_101"/>
      <sheetName val="PHL_(3)1"/>
      <sheetName val="BA_all_pnjam1"/>
      <sheetName val="KPRIKPA1_19_PEMB_PHP1"/>
      <sheetName val="R-16_11"/>
      <sheetName val="R-16_21"/>
      <sheetName val="RKAP_2013_TBM13"/>
      <sheetName val="Rinci_prd_13-143"/>
      <sheetName val="Rinci_sekt_13-143"/>
      <sheetName val="rekap_aset3"/>
      <sheetName val="Ws_Jul-20043"/>
      <sheetName val="DATA_BANK3"/>
      <sheetName val="A_W__TIGER3"/>
      <sheetName val="pro_ra_op3"/>
      <sheetName val="CHECK_LIST-KPR3"/>
      <sheetName val="Fomat__13"/>
      <sheetName val="CBA_MECH_&amp;_SS_(MECH)3"/>
      <sheetName val="Kode_Rek_PJA3"/>
      <sheetName val="To_Generate3"/>
      <sheetName val="Bahan_BQ3"/>
      <sheetName val="Comp_equip3"/>
      <sheetName val="Dec_08_-_Jan_093"/>
      <sheetName val="Abs_Jun3"/>
      <sheetName val="ABSEN_JUN_s_d_JUL'103"/>
      <sheetName val="abs_Apr_103"/>
      <sheetName val="OT_Apr_103"/>
      <sheetName val="PHL_(3)3"/>
      <sheetName val="BA_all_pnjam3"/>
      <sheetName val="KPRIKPA1_19_PEMB_PHP3"/>
      <sheetName val="By_UPO3"/>
      <sheetName val="R-16_13"/>
      <sheetName val="R-16_23"/>
      <sheetName val="Table_Array4"/>
      <sheetName val="all_ar4"/>
      <sheetName val="A-lr_pabrik4"/>
      <sheetName val="Rekap_Budget4"/>
      <sheetName val="trf_7_jht4"/>
      <sheetName val="GL_5461114"/>
      <sheetName val="RKAP_2013_TBM14"/>
      <sheetName val="Rinci_prd_13-144"/>
      <sheetName val="Rinci_sekt_13-144"/>
      <sheetName val="rekap_aset4"/>
      <sheetName val="Ws_Jul-20044"/>
      <sheetName val="DATA_BANK4"/>
      <sheetName val="F-19_24"/>
      <sheetName val="Telin_SG-HK_Sales_transaction4"/>
      <sheetName val="Telin_SG-HKPurchase_transactio4"/>
      <sheetName val="A_W__TIGER4"/>
      <sheetName val="pro_ra_op4"/>
      <sheetName val="CHECK_LIST-KPR4"/>
      <sheetName val="Fomat__14"/>
      <sheetName val="CBA_MECH_&amp;_SS_(MECH)4"/>
      <sheetName val="Kode_Rek_PJA4"/>
      <sheetName val="To_Generate4"/>
      <sheetName val="Bahan_BQ4"/>
      <sheetName val="Comp_equip4"/>
      <sheetName val="Dec_08_-_Jan_094"/>
      <sheetName val="Abs_Jun4"/>
      <sheetName val="ABSEN_JUN_s_d_JUL'104"/>
      <sheetName val="abs_Apr_104"/>
      <sheetName val="OT_Apr_104"/>
      <sheetName val="PHL_(3)4"/>
      <sheetName val="BA_all_pnjam4"/>
      <sheetName val="KPRIKPA1_19_PEMB_PHP4"/>
      <sheetName val="kode_transaksi4"/>
      <sheetName val="By_UPO4"/>
      <sheetName val="R-16_14"/>
      <sheetName val="R-16_24"/>
      <sheetName val="Table_Array5"/>
      <sheetName val="master_(2)5"/>
      <sheetName val="all_ar5"/>
      <sheetName val="A-lr_pabrik5"/>
      <sheetName val="Rekap_Budget5"/>
      <sheetName val="trf_7_jht5"/>
      <sheetName val="GL_5461115"/>
      <sheetName val="RKAP_2013_TBM15"/>
      <sheetName val="Rinci_prd_13-145"/>
      <sheetName val="Rinci_sekt_13-145"/>
      <sheetName val="rekap_aset5"/>
      <sheetName val="Ws_Jul-20045"/>
      <sheetName val="DATA_BANK5"/>
      <sheetName val="F-19_25"/>
      <sheetName val="Telin_SG-HK_Sales_transaction5"/>
      <sheetName val="Telin_SG-HKPurchase_transactio5"/>
      <sheetName val="A_W__TIGER5"/>
      <sheetName val="pro_ra_op5"/>
      <sheetName val="CHECK_LIST-KPR5"/>
      <sheetName val="Fomat__15"/>
      <sheetName val="CBA_MECH_&amp;_SS_(MECH)5"/>
      <sheetName val="Kode_Rek_PJA5"/>
      <sheetName val="To_Generate5"/>
      <sheetName val="Bahan_BQ5"/>
      <sheetName val="Comp_equip5"/>
      <sheetName val="Dec_08_-_Jan_095"/>
      <sheetName val="Abs_Jun5"/>
      <sheetName val="ABSEN_JUN_s_d_JUL'105"/>
      <sheetName val="abs_Apr_105"/>
      <sheetName val="OT_Apr_105"/>
      <sheetName val="PHL_(3)5"/>
      <sheetName val="BA_all_pnjam5"/>
      <sheetName val="KPRIKPA1_19_PEMB_PHP5"/>
      <sheetName val="kode_transaksi5"/>
      <sheetName val="By_UPO5"/>
      <sheetName val="R-16_15"/>
      <sheetName val="R-16_25"/>
      <sheetName val="ACUAN"/>
      <sheetName val="Balance Sheet"/>
      <sheetName val="Answer"/>
      <sheetName val="NR _ MTM"/>
      <sheetName val="NR - MTM"/>
      <sheetName val=" BEP-1999"/>
      <sheetName val="Non-Statistical Sampling Master"/>
      <sheetName val="Two Step Revenue Testing Master"/>
      <sheetName val="Global Data"/>
      <sheetName val="W-NAD"/>
      <sheetName val="SAA"/>
      <sheetName val="KBB-CIB BANK"/>
      <sheetName val="LK2004"/>
      <sheetName val="sph"/>
      <sheetName val="Validasi"/>
      <sheetName val="Harga BBM Indonesia"/>
      <sheetName val="Table 1"/>
      <sheetName val="Source HPI"/>
      <sheetName val="Source HP"/>
      <sheetName val="BEFORE ALLOCATION"/>
      <sheetName val="L"/>
      <sheetName val="Worksheet Jan-Jun 2004"/>
      <sheetName val="DataWP"/>
      <sheetName val="B.1"/>
      <sheetName val="M"/>
      <sheetName val="Uraian"/>
      <sheetName val="Catatan"/>
      <sheetName val="UshDeb00"/>
      <sheetName val="W1"/>
      <sheetName val="Assumptions (2)"/>
      <sheetName val="bayar_04_fak"/>
      <sheetName val="DATA PENGUSAHAAN"/>
      <sheetName val="Kamus"/>
      <sheetName val="RumusTB 1 bln"/>
      <sheetName val="PkRp"/>
      <sheetName val="DAFTAR ISI"/>
      <sheetName val="K "/>
      <sheetName val="LAPBUL"/>
      <sheetName val="SUM_IN"/>
      <sheetName val="FA_Acc"/>
      <sheetName val="GL05"/>
      <sheetName val="Welcome"/>
      <sheetName val="PLL"/>
      <sheetName val="BDM"/>
      <sheetName val="Checker"/>
      <sheetName val="Pajak Penghasilan"/>
      <sheetName val="ProductionQty"/>
      <sheetName val="rkap2008"/>
      <sheetName val="PL-2"/>
      <sheetName val="TB Juni2011Gabungan"/>
      <sheetName val="QSS"/>
      <sheetName val="Harga Dasar"/>
      <sheetName val="TB_Dec09"/>
      <sheetName val="TB_Dec08"/>
      <sheetName val="Rekap 2002 mod"/>
      <sheetName val="Form 18-10"/>
      <sheetName val="LC Supports"/>
      <sheetName val="Reconciliation"/>
      <sheetName val="T.B"/>
      <sheetName val="assets"/>
      <sheetName val="detail (permanent)"/>
      <sheetName val="RESIDU-3"/>
      <sheetName val="Surgical"/>
      <sheetName val="Report Budget"/>
      <sheetName val="Headquarter"/>
      <sheetName val="NBB"/>
      <sheetName val="NBM"/>
      <sheetName val="PJI"/>
      <sheetName val="Marshal_-17"/>
      <sheetName val="RD_I-BUT7"/>
      <sheetName val="Trial_Bal7"/>
      <sheetName val="pihak_iii7"/>
      <sheetName val="Rekons_PPh_217"/>
      <sheetName val="A6_Employee_Loan7"/>
      <sheetName val="L_I___ATY7"/>
      <sheetName val="N_o_v7"/>
      <sheetName val="J_a_n7"/>
      <sheetName val="Analisa_Alat_Berat7"/>
      <sheetName val="701500_TRAVEL_ADVANCE8"/>
      <sheetName val="Income_Statement_VDF7"/>
      <sheetName val="Summary_Page_VDF7"/>
      <sheetName val="Invested_capital_VDF7"/>
      <sheetName val="PV_of_Op_Leases_VDF7"/>
      <sheetName val="Permanent+_Prob7"/>
      <sheetName val="fiscal_depr_E_7"/>
      <sheetName val="Table_Array7"/>
      <sheetName val="master_(2)7"/>
      <sheetName val="all_ar7"/>
      <sheetName val="A-lr_pabrik7"/>
      <sheetName val="Rekap_Budget7"/>
      <sheetName val="kegiatan_usaha7"/>
      <sheetName val="persatuan_(2)7"/>
      <sheetName val="TBM_07"/>
      <sheetName val="trf_7_jht7"/>
      <sheetName val="GL_5461117"/>
      <sheetName val="TB_12167"/>
      <sheetName val="RKAP_2013_TBM17"/>
      <sheetName val="PL_(MONTHLY)7"/>
      <sheetName val="Rinci_prd_13-147"/>
      <sheetName val="Rinci_sekt_13-147"/>
      <sheetName val="rekap_aset7"/>
      <sheetName val="Ws_Jul-20047"/>
      <sheetName val="DATA_BANK7"/>
      <sheetName val="F-19_27"/>
      <sheetName val="Telin_SG-HK_Sales_transaction7"/>
      <sheetName val="Telin_SG-HKPurchase_transactio7"/>
      <sheetName val="A_W__TIGER7"/>
      <sheetName val="pro_ra_op7"/>
      <sheetName val="CHECK_LIST-KPR7"/>
      <sheetName val="Fomat__17"/>
      <sheetName val="CBA_MECH_&amp;_SS_(MECH)7"/>
      <sheetName val="Client_AJE7"/>
      <sheetName val="Kode_Rek_PJA7"/>
      <sheetName val="To_Generate7"/>
      <sheetName val="Bahan_BQ7"/>
      <sheetName val="2003_Forecast7"/>
      <sheetName val="2004_Risk_Adjusted_AOP7"/>
      <sheetName val="Comp_equip7"/>
      <sheetName val="Dec_08_-_Jan_097"/>
      <sheetName val="Abs_Jun7"/>
      <sheetName val="ABSEN_JUN_s_d_JUL'107"/>
      <sheetName val="abs_Apr_107"/>
      <sheetName val="OT_Apr_107"/>
      <sheetName val="PHL_(3)7"/>
      <sheetName val="BA_all_pnjam7"/>
      <sheetName val="KPRIKPA1_19_PEMB_PHP7"/>
      <sheetName val="kode_transaksi7"/>
      <sheetName val="By_UPO7"/>
      <sheetName val="R-16_17"/>
      <sheetName val="R-16_27"/>
      <sheetName val="Marshal_-16"/>
      <sheetName val="RD_I-BUT6"/>
      <sheetName val="Trial_Bal6"/>
      <sheetName val="pihak_iii6"/>
      <sheetName val="Rekons_PPh_216"/>
      <sheetName val="A6_Employee_Loan6"/>
      <sheetName val="L_I___ATY6"/>
      <sheetName val="N_o_v6"/>
      <sheetName val="J_a_n6"/>
      <sheetName val="Analisa_Alat_Berat6"/>
      <sheetName val="701500_TRAVEL_ADVANCE7"/>
      <sheetName val="Income_Statement_VDF6"/>
      <sheetName val="Summary_Page_VDF6"/>
      <sheetName val="Invested_capital_VDF6"/>
      <sheetName val="PV_of_Op_Leases_VDF6"/>
      <sheetName val="Permanent+_Prob6"/>
      <sheetName val="fiscal_depr_E_6"/>
      <sheetName val="Table_Array6"/>
      <sheetName val="master_(2)6"/>
      <sheetName val="all_ar6"/>
      <sheetName val="A-lr_pabrik6"/>
      <sheetName val="Rekap_Budget6"/>
      <sheetName val="kegiatan_usaha6"/>
      <sheetName val="persatuan_(2)6"/>
      <sheetName val="TBM_06"/>
      <sheetName val="trf_7_jht6"/>
      <sheetName val="GL_5461116"/>
      <sheetName val="TB_12166"/>
      <sheetName val="RKAP_2013_TBM16"/>
      <sheetName val="PL_(MONTHLY)6"/>
      <sheetName val="Rinci_prd_13-146"/>
      <sheetName val="Rinci_sekt_13-146"/>
      <sheetName val="rekap_aset6"/>
      <sheetName val="Ws_Jul-20046"/>
      <sheetName val="DATA_BANK6"/>
      <sheetName val="F-19_26"/>
      <sheetName val="Telin_SG-HK_Sales_transaction6"/>
      <sheetName val="Telin_SG-HKPurchase_transactio6"/>
      <sheetName val="A_W__TIGER6"/>
      <sheetName val="pro_ra_op6"/>
      <sheetName val="CHECK_LIST-KPR6"/>
      <sheetName val="Fomat__16"/>
      <sheetName val="CBA_MECH_&amp;_SS_(MECH)6"/>
      <sheetName val="Client_AJE6"/>
      <sheetName val="Kode_Rek_PJA6"/>
      <sheetName val="To_Generate6"/>
      <sheetName val="Bahan_BQ6"/>
      <sheetName val="2003_Forecast6"/>
      <sheetName val="2004_Risk_Adjusted_AOP6"/>
      <sheetName val="Comp_equip6"/>
      <sheetName val="Dec_08_-_Jan_096"/>
      <sheetName val="Abs_Jun6"/>
      <sheetName val="ABSEN_JUN_s_d_JUL'106"/>
      <sheetName val="abs_Apr_106"/>
      <sheetName val="OT_Apr_106"/>
      <sheetName val="PHL_(3)6"/>
      <sheetName val="BA_all_pnjam6"/>
      <sheetName val="KPRIKPA1_19_PEMB_PHP6"/>
      <sheetName val="kode_transaksi6"/>
      <sheetName val="By_UPO6"/>
      <sheetName val="R-16_16"/>
      <sheetName val="R-16_26"/>
      <sheetName val="Marshal_-18"/>
      <sheetName val="RD_I-BUT8"/>
      <sheetName val="Trial_Bal8"/>
      <sheetName val="pihak_iii8"/>
      <sheetName val="Rekons_PPh_218"/>
      <sheetName val="A6_Employee_Loan8"/>
      <sheetName val="L_I___ATY8"/>
      <sheetName val="N_o_v8"/>
      <sheetName val="J_a_n8"/>
      <sheetName val="Analisa_Alat_Berat8"/>
      <sheetName val="701500_TRAVEL_ADVANCE9"/>
      <sheetName val="Income_Statement_VDF8"/>
      <sheetName val="Summary_Page_VDF8"/>
      <sheetName val="Invested_capital_VDF8"/>
      <sheetName val="PV_of_Op_Leases_VDF8"/>
      <sheetName val="Permanent+_Prob8"/>
      <sheetName val="fiscal_depr_E_8"/>
      <sheetName val="Table_Array8"/>
      <sheetName val="master_(2)8"/>
      <sheetName val="all_ar8"/>
      <sheetName val="A-lr_pabrik8"/>
      <sheetName val="Rekap_Budget8"/>
      <sheetName val="kegiatan_usaha8"/>
      <sheetName val="persatuan_(2)8"/>
      <sheetName val="TBM_08"/>
      <sheetName val="trf_7_jht8"/>
      <sheetName val="GL_5461118"/>
      <sheetName val="TB_12168"/>
      <sheetName val="RKAP_2013_TBM18"/>
      <sheetName val="PL_(MONTHLY)8"/>
      <sheetName val="Rinci_prd_13-148"/>
      <sheetName val="Rinci_sekt_13-148"/>
      <sheetName val="rekap_aset8"/>
      <sheetName val="Ws_Jul-20048"/>
      <sheetName val="DATA_BANK8"/>
      <sheetName val="F-19_28"/>
      <sheetName val="Telin_SG-HK_Sales_transaction8"/>
      <sheetName val="Telin_SG-HKPurchase_transactio8"/>
      <sheetName val="A_W__TIGER8"/>
      <sheetName val="pro_ra_op8"/>
      <sheetName val="CHECK_LIST-KPR8"/>
      <sheetName val="Fomat__18"/>
      <sheetName val="CBA_MECH_&amp;_SS_(MECH)8"/>
      <sheetName val="Client_AJE8"/>
      <sheetName val="Kode_Rek_PJA8"/>
      <sheetName val="To_Generate8"/>
      <sheetName val="Bahan_BQ8"/>
      <sheetName val="2003_Forecast8"/>
      <sheetName val="2004_Risk_Adjusted_AOP8"/>
      <sheetName val="Comp_equip8"/>
      <sheetName val="Dec_08_-_Jan_098"/>
      <sheetName val="Abs_Jun8"/>
      <sheetName val="ABSEN_JUN_s_d_JUL'108"/>
      <sheetName val="abs_Apr_108"/>
      <sheetName val="OT_Apr_108"/>
      <sheetName val="PHL_(3)8"/>
      <sheetName val="BA_all_pnjam8"/>
      <sheetName val="KPRIKPA1_19_PEMB_PHP8"/>
      <sheetName val="kode_transaksi8"/>
      <sheetName val="By_UPO8"/>
      <sheetName val="R-16_18"/>
      <sheetName val="R-16_28"/>
      <sheetName val="Permanent_info50"/>
      <sheetName val="Depreciation_&amp;_Peny_50"/>
      <sheetName val="PPh_21_Recon50"/>
      <sheetName val="A_u_g50"/>
      <sheetName val="J_u_l50"/>
      <sheetName val="O_c_t50"/>
      <sheetName val="A_p_r50"/>
      <sheetName val="M_a_y50"/>
      <sheetName val="S_e_p50"/>
      <sheetName val="00_received_in_0150"/>
      <sheetName val="F_e_b50"/>
      <sheetName val="Per_GL_J_a_n50"/>
      <sheetName val="J_u_n50"/>
      <sheetName val="M_a_r50"/>
      <sheetName val="fiscal_depr(E)50"/>
      <sheetName val="C1_NOV50"/>
      <sheetName val="jurnal-audit_250"/>
      <sheetName val="EXT_B350"/>
      <sheetName val="B2_150"/>
      <sheetName val="Main_table50"/>
      <sheetName val="Data_Per_wilayah_Vin_Code_20050"/>
      <sheetName val="Data_Per_wilayah50"/>
      <sheetName val="INDIRECT_DETAIL49"/>
      <sheetName val="DIRECT_COST49"/>
      <sheetName val="Buku_Besar_150"/>
      <sheetName val="Pg7_450"/>
      <sheetName val="Print_AR50"/>
      <sheetName val="E4_1d50"/>
      <sheetName val="Prog_Imbalan50"/>
      <sheetName val="DES_0250"/>
      <sheetName val="analisa_L-K50"/>
      <sheetName val="data_slip50"/>
      <sheetName val="Template_50"/>
      <sheetName val="jul05_ok49"/>
      <sheetName val="sept_05_dd49"/>
      <sheetName val="VAT_out50"/>
      <sheetName val="Danamon_LK50"/>
      <sheetName val="&quot;Outstanding_SO&quot;50"/>
      <sheetName val="Tax_Rate49"/>
      <sheetName val="SAP_PbT49"/>
      <sheetName val="BSHO_Report49"/>
      <sheetName val="Check_Sheet49"/>
      <sheetName val="PLHO_Report49"/>
      <sheetName val="TAX_SUMMARY50"/>
      <sheetName val="DFR_CT49"/>
      <sheetName val="Mkt_Total_by_Cat_B$49"/>
      <sheetName val="Mkt_Total_by_Cat_US$49"/>
      <sheetName val="N_Lead49"/>
      <sheetName val="N_3_149"/>
      <sheetName val="N_849"/>
      <sheetName val="N_949"/>
      <sheetName val="Benefit_Factors49"/>
      <sheetName val="Assumption_&amp;_Result49"/>
      <sheetName val="Dec_08_-_Jan_09_(2)49"/>
      <sheetName val="AA_1_BNI49"/>
      <sheetName val="I_4_1_(2)49"/>
      <sheetName val="Irregular_Income49"/>
      <sheetName val="FE-1770_P149"/>
      <sheetName val="Marshal_(2)49"/>
      <sheetName val="KKP_2149"/>
      <sheetName val="tabel_masa_kerja49"/>
      <sheetName val="new_IFS_format49"/>
      <sheetName val="Hay_Guide_Charts_Notes49"/>
      <sheetName val="trf_ns_0449"/>
      <sheetName val="SL1006_(IDR)49"/>
      <sheetName val="trf_multiple49"/>
      <sheetName val="4_1_Placement_w_o_b49"/>
      <sheetName val="tabel_perkiraan49"/>
      <sheetName val="trfakt_sgl49"/>
      <sheetName val="trf_multiple_dnrks49"/>
      <sheetName val="SL1006_(VLS)49"/>
      <sheetName val="MTD_Results49"/>
      <sheetName val="YTD_Results49"/>
      <sheetName val="A3-Dec_2012-ALN49"/>
      <sheetName val="Level_1_&amp;_247"/>
      <sheetName val="JAN_200147"/>
      <sheetName val="Trading_Statement47"/>
      <sheetName val="Customize_Your_Purchase_Order47"/>
      <sheetName val="Art_2349"/>
      <sheetName val="chiet_tinh47"/>
      <sheetName val="9E1_346"/>
      <sheetName val="NB_UNIT349"/>
      <sheetName val="Slide_2246"/>
      <sheetName val="Rincian_Iuran47"/>
      <sheetName val="Data_Rekon47"/>
      <sheetName val="Premi_Iuran47"/>
      <sheetName val="NY_ADMIN46"/>
      <sheetName val="SPI_GMBH46"/>
      <sheetName val="FA_sd_APRIL_0746"/>
      <sheetName val="tabel_nilai47"/>
      <sheetName val="1195_B146"/>
      <sheetName val="mgr_&amp;_staff49"/>
      <sheetName val="ShareCapital_49"/>
      <sheetName val="Data_WP46"/>
      <sheetName val="_SAF_0244"/>
      <sheetName val="TRF_15044"/>
      <sheetName val="AA_1_1_BNI47"/>
      <sheetName val="UV_1044"/>
      <sheetName val="General_Info44"/>
      <sheetName val="1541020-House_Loan44"/>
      <sheetName val="Material_Bpn_jul'0744"/>
      <sheetName val="IMPUT_PENERIMAAN_BULK_WB44"/>
      <sheetName val="HPP_PER_BULAN23"/>
      <sheetName val="Cost_Analysis44"/>
      <sheetName val="Scenarios_and_Sensitivities45"/>
      <sheetName val="Global_Assumptions45"/>
      <sheetName val="F_2_WIP_CKP44"/>
      <sheetName val="F_2_1_CKP44"/>
      <sheetName val="movement&amp;add_test23"/>
      <sheetName val="Cost_Summary44"/>
      <sheetName val="YTD_Resurts44"/>
      <sheetName val="van_khuon44"/>
      <sheetName val="U2_244"/>
      <sheetName val="LINK_MOR44"/>
      <sheetName val="LINK_GAP44"/>
      <sheetName val="SK_HTM44"/>
      <sheetName val="Entry__HTM44"/>
      <sheetName val="Finance_Projection-0723"/>
      <sheetName val="Letter_Form23"/>
      <sheetName val="Sales_Report_MKTG23"/>
      <sheetName val="U-3_1_1_telephone23"/>
      <sheetName val="corp_tax23"/>
      <sheetName val="Marshal_-110"/>
      <sheetName val="A_4_223"/>
      <sheetName val="A_4_323"/>
      <sheetName val="RMS_FUNGSIONAL44"/>
      <sheetName val="RMS_-_STR_(2)44"/>
      <sheetName val="LIST__MESIN23"/>
      <sheetName val="MAST_PROD23"/>
      <sheetName val="LIS__PAKAI23"/>
      <sheetName val="PART_&amp;_MAINT_23"/>
      <sheetName val="STD__COST23"/>
      <sheetName val="RD_I-BUT10"/>
      <sheetName val="Trial_Bal10"/>
      <sheetName val="pihak_iii10"/>
      <sheetName val="Rekons_PPh_2110"/>
      <sheetName val="A6_Employee_Loan10"/>
      <sheetName val="L_I___ATY10"/>
      <sheetName val="N_o_v10"/>
      <sheetName val="J_a_n10"/>
      <sheetName val="Analisa_Alat_Berat10"/>
      <sheetName val="701500_TRAVEL_ADVANCE11"/>
      <sheetName val="Income_Statement_VDF10"/>
      <sheetName val="Summary_Page_VDF10"/>
      <sheetName val="Invested_capital_VDF10"/>
      <sheetName val="PV_of_Op_Leases_VDF10"/>
      <sheetName val="ah_sanitary23"/>
      <sheetName val="03_Detailed23"/>
      <sheetName val="01_Bid_Price_summary23"/>
      <sheetName val="Permanent+_Prob10"/>
      <sheetName val="fiscal_depr_E_10"/>
      <sheetName val="Table_Array10"/>
      <sheetName val="master_(2)10"/>
      <sheetName val="all_ar10"/>
      <sheetName val="A-lr_pabrik10"/>
      <sheetName val="Rekap_Budget10"/>
      <sheetName val="kegiatan_usaha10"/>
      <sheetName val="persatuan_(2)10"/>
      <sheetName val="TBM_010"/>
      <sheetName val="trf_7_jht10"/>
      <sheetName val="GL_54611110"/>
      <sheetName val="TB_121610"/>
      <sheetName val="RKAP_2013_TBM110"/>
      <sheetName val="PL_(MONTHLY)10"/>
      <sheetName val="Rinci_prd_13-1410"/>
      <sheetName val="Rinci_sekt_13-1410"/>
      <sheetName val="rekap_aset10"/>
      <sheetName val="Ws_Jul-200410"/>
      <sheetName val="DATA_BANK10"/>
      <sheetName val="F-19_210"/>
      <sheetName val="Telin_SG-HK_Sales_transaction10"/>
      <sheetName val="Telin_SG-HKPurchase_transacti10"/>
      <sheetName val="A_W__TIGER10"/>
      <sheetName val="pro_ra_op10"/>
      <sheetName val="CHECK_LIST-KPR10"/>
      <sheetName val="Fomat__110"/>
      <sheetName val="CBA_MECH_&amp;_SS_(MECH)10"/>
      <sheetName val="Client_AJE10"/>
      <sheetName val="Kode_Rek_PJA10"/>
      <sheetName val="To_Generate10"/>
      <sheetName val="Bahan_BQ10"/>
      <sheetName val="2003_Forecast10"/>
      <sheetName val="2004_Risk_Adjusted_AOP10"/>
      <sheetName val="Comp_equip10"/>
      <sheetName val="Dec_08_-_Jan_0910"/>
      <sheetName val="Abs_Jun10"/>
      <sheetName val="ABSEN_JUN_s_d_JUL'1010"/>
      <sheetName val="abs_Apr_1010"/>
      <sheetName val="OT_Apr_1010"/>
      <sheetName val="PHL_(3)10"/>
      <sheetName val="BA_all_pnjam10"/>
      <sheetName val="KPRIKPA1_19_PEMB_PHP10"/>
      <sheetName val="kode_transaksi10"/>
      <sheetName val="By_UPO10"/>
      <sheetName val="R-16_110"/>
      <sheetName val="R-16_210"/>
      <sheetName val="Msn__Listrik1"/>
      <sheetName val="Cash_Flow1"/>
      <sheetName val="PPh_2p³__1"/>
      <sheetName val="REKAP_OMZET_KAPAL1"/>
      <sheetName val="PPh_2p³__"/>
      <sheetName val="PK_RM1"/>
      <sheetName val="Data_SRL1"/>
      <sheetName val="Data_Prod_Graf1"/>
      <sheetName val="Laporan_UOB1"/>
      <sheetName val="Kertas_Kerja1"/>
      <sheetName val="Uraian_Mesin_20151"/>
      <sheetName val="PROD_FRY-MONODON1"/>
      <sheetName val="Nick_Miller_NAV-CFSI1"/>
      <sheetName val="budget_idr1"/>
      <sheetName val="Component_cost1"/>
      <sheetName val="%RGP_-_GRAPH1"/>
      <sheetName val="GP_P'Tonne__&amp;_%1"/>
      <sheetName val="UVG_&amp;_PRICE_%1"/>
      <sheetName val="Notes_081"/>
      <sheetName val="RMS_-_STR1"/>
      <sheetName val="Marshal_-19"/>
      <sheetName val="RD_I-BUT9"/>
      <sheetName val="Trial_Bal9"/>
      <sheetName val="pihak_iii9"/>
      <sheetName val="Rekons_PPh_219"/>
      <sheetName val="A6_Employee_Loan9"/>
      <sheetName val="L_I___ATY9"/>
      <sheetName val="N_o_v9"/>
      <sheetName val="J_a_n9"/>
      <sheetName val="Analisa_Alat_Berat9"/>
      <sheetName val="701500_TRAVEL_ADVANCE10"/>
      <sheetName val="Income_Statement_VDF9"/>
      <sheetName val="Summary_Page_VDF9"/>
      <sheetName val="Invested_capital_VDF9"/>
      <sheetName val="PV_of_Op_Leases_VDF9"/>
      <sheetName val="Permanent+_Prob9"/>
      <sheetName val="fiscal_depr_E_9"/>
      <sheetName val="Table_Array9"/>
      <sheetName val="master_(2)9"/>
      <sheetName val="all_ar9"/>
      <sheetName val="A-lr_pabrik9"/>
      <sheetName val="Rekap_Budget9"/>
      <sheetName val="kegiatan_usaha9"/>
      <sheetName val="persatuan_(2)9"/>
      <sheetName val="TBM_09"/>
      <sheetName val="trf_7_jht9"/>
      <sheetName val="GL_5461119"/>
      <sheetName val="TB_12169"/>
      <sheetName val="RKAP_2013_TBM19"/>
      <sheetName val="PL_(MONTHLY)9"/>
      <sheetName val="Rinci_prd_13-149"/>
      <sheetName val="Rinci_sekt_13-149"/>
      <sheetName val="rekap_aset9"/>
      <sheetName val="Ws_Jul-20049"/>
      <sheetName val="DATA_BANK9"/>
      <sheetName val="F-19_29"/>
      <sheetName val="Telin_SG-HK_Sales_transaction9"/>
      <sheetName val="Telin_SG-HKPurchase_transactio9"/>
      <sheetName val="A_W__TIGER9"/>
      <sheetName val="pro_ra_op9"/>
      <sheetName val="CHECK_LIST-KPR9"/>
      <sheetName val="Fomat__19"/>
      <sheetName val="CBA_MECH_&amp;_SS_(MECH)9"/>
      <sheetName val="Client_AJE9"/>
      <sheetName val="Kode_Rek_PJA9"/>
      <sheetName val="To_Generate9"/>
      <sheetName val="Bahan_BQ9"/>
      <sheetName val="2003_Forecast9"/>
      <sheetName val="2004_Risk_Adjusted_AOP9"/>
      <sheetName val="Comp_equip9"/>
      <sheetName val="Dec_08_-_Jan_099"/>
      <sheetName val="Abs_Jun9"/>
      <sheetName val="ABSEN_JUN_s_d_JUL'109"/>
      <sheetName val="abs_Apr_109"/>
      <sheetName val="OT_Apr_109"/>
      <sheetName val="PHL_(3)9"/>
      <sheetName val="BA_all_pnjam9"/>
      <sheetName val="KPRIKPA1_19_PEMB_PHP9"/>
      <sheetName val="kode_transaksi9"/>
      <sheetName val="By_UPO9"/>
      <sheetName val="R-16_19"/>
      <sheetName val="R-16_29"/>
      <sheetName val="Msn__Listrik"/>
      <sheetName val="Cash_Flow"/>
      <sheetName val="Nick_Miller_NAV-CFSI"/>
      <sheetName val="budget_idr"/>
      <sheetName val="pnl statement"/>
      <sheetName val="POTO MAC"/>
      <sheetName val="Cp&gt;10-Ln&lt;10"/>
      <sheetName val="Ln&lt;20"/>
      <sheetName val="data elements"/>
      <sheetName val="Brandtype"/>
      <sheetName val="d-1004"/>
      <sheetName val="Monthly Recap"/>
      <sheetName val="Projection"/>
      <sheetName val="AN_EL(16.0)"/>
      <sheetName val="Bukti Memorial"/>
      <sheetName val="data_benefit(1)"/>
      <sheetName val="A&amp;P95.XLS"/>
      <sheetName val="PROFIT &amp; LOSS STATEMENT-1995 BP"/>
      <sheetName val="3800-Interim"/>
      <sheetName val="ocean voyage"/>
      <sheetName val="per-hp"/>
      <sheetName val="prmt"/>
      <sheetName val="#REF!"/>
      <sheetName val="RUPS"/>
      <sheetName val="A.W. VANAMEI"/>
      <sheetName val="HARGA SWAL+SKT"/>
      <sheetName val="PF-OFFICE"/>
      <sheetName val="ACM0131(GT)"/>
      <sheetName val="Dom"/>
      <sheetName val="Gm"/>
      <sheetName val="Man Power &amp; Comp"/>
      <sheetName val="Artwork"/>
      <sheetName val="HUTANG_PER_VENDOR_094"/>
      <sheetName val="IMPUT_PENERIMAAN_BAG_PRODUKSI4"/>
      <sheetName val="PEMAKAIAN_BY_PRODUKSI4"/>
      <sheetName val="IDR_customers1"/>
      <sheetName val="USD_customers1"/>
      <sheetName val="P-1_Acc_Payroll1"/>
      <sheetName val="KODE_WP1"/>
      <sheetName val="Rec_XX"/>
      <sheetName val="Line_Usage-Pulses"/>
      <sheetName val="Join_Account"/>
      <sheetName val="Master_Date"/>
      <sheetName val="pnl_statement"/>
      <sheetName val="Kode Rekening"/>
      <sheetName val="WT"/>
      <sheetName val="JURNAL"/>
      <sheetName val="COA"/>
      <sheetName val="BB"/>
      <sheetName val="Kas 2006"/>
      <sheetName val="WBS (2)salah"/>
      <sheetName val="Rekap Piutang"/>
      <sheetName val="RL-ALL"/>
      <sheetName val="WBS"/>
      <sheetName val="KPNO"/>
      <sheetName val="ms3"/>
      <sheetName val="Basic Price Alat"/>
      <sheetName val="ACC_NUM"/>
      <sheetName val="Schedule-TB"/>
      <sheetName val="BS-Report"/>
      <sheetName val="sad CHECKING"/>
      <sheetName val="Basic Price"/>
      <sheetName val="Kusen Aluminium"/>
      <sheetName val="Atap&amp;Penutup"/>
      <sheetName val="Besi"/>
      <sheetName val="Beton"/>
      <sheetName val="Cat"/>
      <sheetName val="Galian"/>
      <sheetName val="1.4. Kanal"/>
      <sheetName val="Keramik"/>
      <sheetName val="Kusen Kayu"/>
      <sheetName val="Lap. Pondasi"/>
      <sheetName val="Pasangan"/>
      <sheetName val="Pembersihan"/>
      <sheetName val="TOTAL RKP"/>
      <sheetName val="Rekap Item Pekerjaan"/>
      <sheetName val="Sanitari"/>
      <sheetName val="Timbunan"/>
      <sheetName val="A DS04"/>
      <sheetName val="351BQMCN"/>
      <sheetName val="MK"/>
      <sheetName val="Dda Vilia per dec2000"/>
      <sheetName val="XL4Poppy"/>
      <sheetName val="Breadown-Tham khao"/>
      <sheetName val="TTL"/>
      <sheetName val="RetPlan"/>
      <sheetName val="Office_Rent"/>
      <sheetName val="Rate &amp; Act_P"/>
      <sheetName val="Piutang Normal Psrt"/>
      <sheetName val="Penyusutan Kendaraan"/>
      <sheetName val="NL'07"/>
      <sheetName val="DEPK2003"/>
      <sheetName val="Operating Cycle"/>
      <sheetName val="COGS"/>
      <sheetName val="Ist"/>
      <sheetName val="KREDIT&amp;MASA"/>
      <sheetName val="EQUALISASI"/>
      <sheetName val="susut"/>
      <sheetName val="Tag_99"/>
      <sheetName val="Lamp-14(Manajemen)"/>
      <sheetName val="WASTE BY MATERIAL"/>
      <sheetName val="CPIS"/>
      <sheetName val="B1"/>
      <sheetName val="Nov"/>
      <sheetName val="Vol_"/>
      <sheetName val="Vol."/>
      <sheetName val="Vol_1"/>
      <sheetName val="2004"/>
      <sheetName val="kesker-30"/>
      <sheetName val="H.Satuan"/>
      <sheetName val="@GeneralInfo"/>
      <sheetName val="Interdata"/>
      <sheetName val="Neraca detail per book"/>
      <sheetName val="Py.Schedule"/>
      <sheetName val="Cash Flow bulanan"/>
      <sheetName val="O2"/>
      <sheetName val="sch10-rm2"/>
      <sheetName val="sch6-rm"/>
      <sheetName val="analisa bunga Mandiri"/>
      <sheetName val="ban-ling"/>
      <sheetName val="cf9900"/>
      <sheetName val="c4_"/>
      <sheetName val="FX-List-Asset-NB"/>
      <sheetName val="LM13_16"/>
      <sheetName val="Four Star Financials"/>
      <sheetName val="SM_13仕様一覧"/>
      <sheetName val="ExchRate"/>
      <sheetName val="ExchRates"/>
      <sheetName val="Alokasi Beban2015"/>
      <sheetName val="Pipe"/>
      <sheetName val="KMS-DIS5"/>
      <sheetName val="PPh PAsal 21"/>
      <sheetName val="grossup"/>
      <sheetName val="Elimination"/>
      <sheetName val="anal"/>
      <sheetName val="Twr (15)"/>
      <sheetName val="ME"/>
      <sheetName val="Data Base"/>
      <sheetName val="LOADDAT"/>
      <sheetName val="Prod"/>
      <sheetName val="Memb Schd"/>
      <sheetName val="NRC"/>
      <sheetName val="Konf Giro"/>
      <sheetName val="Konf Dep"/>
      <sheetName val="310J1"/>
      <sheetName val="SEX"/>
      <sheetName val="Cover Sheet"/>
      <sheetName val="PRO"/>
      <sheetName val="Sales Price"/>
      <sheetName val="P&amp;L BSheet CFlow"/>
      <sheetName val="WBS_WPL"/>
      <sheetName val="Machine"/>
      <sheetName val="Cashfl"/>
      <sheetName val="Sat-Tan"/>
      <sheetName val="Performance_Assumptions"/>
      <sheetName val="fin pro centers"/>
      <sheetName val="Karung"/>
      <sheetName val="5 yr val"/>
      <sheetName val="Graphs"/>
      <sheetName val="10 yr val"/>
      <sheetName val=" Summ fin."/>
      <sheetName val="Hargamat"/>
      <sheetName val="HargaSatuanPond"/>
      <sheetName val="schalt"/>
      <sheetName val="schtng"/>
      <sheetName val="schbhn"/>
      <sheetName val="Chart1"/>
      <sheetName val="SPT"/>
      <sheetName val="KPKom"/>
      <sheetName val="SIK"/>
      <sheetName val="SPPP"/>
      <sheetName val="Berkas"/>
      <sheetName val="BCD"/>
      <sheetName val="Rasio"/>
      <sheetName val="APro"/>
      <sheetName val="DbTF"/>
      <sheetName val="DbPem"/>
      <sheetName val="DK"/>
      <sheetName val="LPIS"/>
      <sheetName val="KONS2007"/>
      <sheetName val="MC_TIRE"/>
      <sheetName val="TB2003"/>
      <sheetName val="Valuation"/>
      <sheetName val="Effort_P1"/>
      <sheetName val="Test_Depre1"/>
      <sheetName val="Proposed_2003_Salary_Range1"/>
      <sheetName val="Tax_Cal1"/>
      <sheetName val="GRAPH_PLANTING_PROGRAMME1"/>
      <sheetName val="Internal_Summary1"/>
      <sheetName val="front_page1"/>
      <sheetName val="List_of_content1"/>
      <sheetName val="01_Area_Statement_(NA)1"/>
      <sheetName val="02_Potential1"/>
      <sheetName val="3,1_inti_development1"/>
      <sheetName val="3,2_Plasma_development_1"/>
      <sheetName val="04_Infra_&amp;_planting1"/>
      <sheetName val="05_Census1"/>
      <sheetName val="06_Supplying1"/>
      <sheetName val="07_Manuring1"/>
      <sheetName val="08_Weeding1"/>
      <sheetName val="09_Nursery1"/>
      <sheetName val="10_Yield1"/>
      <sheetName val="11__PnD1"/>
      <sheetName val="12_Breakdown_workers_&amp;harveste1"/>
      <sheetName val="13_org_chart1"/>
      <sheetName val="14_rainfall1"/>
      <sheetName val="15_fire_report1"/>
      <sheetName val="16_capex1"/>
      <sheetName val="17_visitor1"/>
      <sheetName val="18_CSR1"/>
      <sheetName val="Line_Usage-Pulses1"/>
      <sheetName val="PERLENGKAPAN_1"/>
      <sheetName val="Pivot-VAT_Out1"/>
      <sheetName val="Rekon_SPT_-_GL_Sales1"/>
      <sheetName val="Rekon_SPT_-_GL_VAT1"/>
      <sheetName val="Rekon_GL_Sales_-_GL_VAT1"/>
      <sheetName val="COST_DATA_(2)1"/>
      <sheetName val="Rec_XX1"/>
      <sheetName val="Koreksi_Fiskal1"/>
      <sheetName val="Effort_P"/>
      <sheetName val="Test_Depre"/>
      <sheetName val="Proposed_2003_Salary_Range"/>
      <sheetName val="Tax_Cal"/>
      <sheetName val="GRAPH_PLANTING_PROGRAMME"/>
      <sheetName val="Internal_Summary"/>
      <sheetName val="front_page"/>
      <sheetName val="List_of_content"/>
      <sheetName val="01_Area_Statement_(NA)"/>
      <sheetName val="02_Potential"/>
      <sheetName val="3,1_inti_development"/>
      <sheetName val="3,2_Plasma_development_"/>
      <sheetName val="04_Infra_&amp;_planting"/>
      <sheetName val="05_Census"/>
      <sheetName val="06_Supplying"/>
      <sheetName val="07_Manuring"/>
      <sheetName val="08_Weeding"/>
      <sheetName val="09_Nursery"/>
      <sheetName val="10_Yield"/>
      <sheetName val="11__PnD"/>
      <sheetName val="12_Breakdown_workers_&amp;harvester"/>
      <sheetName val="13_org_chart"/>
      <sheetName val="14_rainfall"/>
      <sheetName val="15_fire_report"/>
      <sheetName val="16_capex"/>
      <sheetName val="17_visitor"/>
      <sheetName val="18_CSR"/>
      <sheetName val="Notes_082"/>
      <sheetName val="RMS_-_STR2"/>
      <sheetName val="KODE_WP2"/>
      <sheetName val="Effort_P2"/>
      <sheetName val="Test_Depre2"/>
      <sheetName val="Proposed_2003_Salary_Range2"/>
      <sheetName val="Tax_Cal2"/>
      <sheetName val="Nick_Miller_NAV-CFSI2"/>
      <sheetName val="GRAPH_PLANTING_PROGRAMME2"/>
      <sheetName val="Internal_Summary2"/>
      <sheetName val="PK_RM2"/>
      <sheetName val="Data_SRL2"/>
      <sheetName val="Data_Prod_Graf2"/>
      <sheetName val="Laporan_UOB2"/>
      <sheetName val="Kertas_Kerja2"/>
      <sheetName val="Uraian_Mesin_20152"/>
      <sheetName val="front_page2"/>
      <sheetName val="List_of_content2"/>
      <sheetName val="01_Area_Statement_(NA)2"/>
      <sheetName val="02_Potential2"/>
      <sheetName val="3,1_inti_development2"/>
      <sheetName val="3,2_Plasma_development_2"/>
      <sheetName val="04_Infra_&amp;_planting2"/>
      <sheetName val="05_Census2"/>
      <sheetName val="06_Supplying2"/>
      <sheetName val="07_Manuring2"/>
      <sheetName val="08_Weeding2"/>
      <sheetName val="09_Nursery2"/>
      <sheetName val="10_Yield2"/>
      <sheetName val="11__PnD2"/>
      <sheetName val="12_Breakdown_workers_&amp;harveste2"/>
      <sheetName val="13_org_chart2"/>
      <sheetName val="14_rainfall2"/>
      <sheetName val="15_fire_report2"/>
      <sheetName val="16_capex2"/>
      <sheetName val="17_visitor2"/>
      <sheetName val="18_CSR2"/>
      <sheetName val="Component_cost2"/>
      <sheetName val="PROD_FRY-MONODON2"/>
      <sheetName val="Msn__Listrik2"/>
      <sheetName val="Line_Usage-Pulses2"/>
      <sheetName val="PERLENGKAPAN_2"/>
      <sheetName val="P-1_Acc_Payroll2"/>
      <sheetName val="Pivot-VAT_Out2"/>
      <sheetName val="Rekon_SPT_-_GL_Sales2"/>
      <sheetName val="Rekon_SPT_-_GL_VAT2"/>
      <sheetName val="Rekon_GL_Sales_-_GL_VAT2"/>
      <sheetName val="COST_DATA_(2)2"/>
      <sheetName val="%RGP_-_GRAPH2"/>
      <sheetName val="GP_P'Tonne__&amp;_%2"/>
      <sheetName val="UVG_&amp;_PRICE_%2"/>
      <sheetName val="Rec_XX2"/>
      <sheetName val="budget_idr2"/>
      <sheetName val="Koreksi_Fiskal2"/>
      <sheetName val="REKAP_OMZET_KAPAL2"/>
      <sheetName val="Notes_083"/>
      <sheetName val="RMS_-_STR3"/>
      <sheetName val="KODE_WP3"/>
      <sheetName val="Effort_P3"/>
      <sheetName val="Test_Depre3"/>
      <sheetName val="Proposed_2003_Salary_Range3"/>
      <sheetName val="Tax_Cal3"/>
      <sheetName val="Nick_Miller_NAV-CFSI3"/>
      <sheetName val="GRAPH_PLANTING_PROGRAMME3"/>
      <sheetName val="Internal_Summary3"/>
      <sheetName val="PK_RM3"/>
      <sheetName val="Data_SRL3"/>
      <sheetName val="Data_Prod_Graf3"/>
      <sheetName val="Laporan_UOB3"/>
      <sheetName val="Kertas_Kerja3"/>
      <sheetName val="Uraian_Mesin_20153"/>
      <sheetName val="front_page3"/>
      <sheetName val="List_of_content3"/>
      <sheetName val="01_Area_Statement_(NA)3"/>
      <sheetName val="02_Potential3"/>
      <sheetName val="3,1_inti_development3"/>
      <sheetName val="3,2_Plasma_development_3"/>
      <sheetName val="04_Infra_&amp;_planting3"/>
      <sheetName val="05_Census3"/>
      <sheetName val="06_Supplying3"/>
      <sheetName val="07_Manuring3"/>
      <sheetName val="08_Weeding3"/>
      <sheetName val="09_Nursery3"/>
      <sheetName val="10_Yield3"/>
      <sheetName val="11__PnD3"/>
      <sheetName val="12_Breakdown_workers_&amp;harveste3"/>
      <sheetName val="13_org_chart3"/>
      <sheetName val="14_rainfall3"/>
      <sheetName val="15_fire_report3"/>
      <sheetName val="16_capex3"/>
      <sheetName val="17_visitor3"/>
      <sheetName val="18_CSR3"/>
      <sheetName val="Component_cost3"/>
      <sheetName val="PROD_FRY-MONODON3"/>
      <sheetName val="Msn__Listrik3"/>
      <sheetName val="Line_Usage-Pulses3"/>
      <sheetName val="PERLENGKAPAN_3"/>
      <sheetName val="P-1_Acc_Payroll3"/>
      <sheetName val="Pivot-VAT_Out3"/>
      <sheetName val="Rekon_SPT_-_GL_Sales3"/>
      <sheetName val="Rekon_SPT_-_GL_VAT3"/>
      <sheetName val="Rekon_GL_Sales_-_GL_VAT3"/>
      <sheetName val="COST_DATA_(2)3"/>
      <sheetName val="%RGP_-_GRAPH3"/>
      <sheetName val="GP_P'Tonne__&amp;_%3"/>
      <sheetName val="UVG_&amp;_PRICE_%3"/>
      <sheetName val="Rec_XX3"/>
      <sheetName val="budget_idr3"/>
      <sheetName val="Koreksi_Fiskal3"/>
      <sheetName val="REKAP_OMZET_KAPAL3"/>
      <sheetName val="analitis"/>
      <sheetName val="L I - ATY"/>
      <sheetName val="MASTER_INPUT"/>
      <sheetName val="CPO 16-9-TID "/>
      <sheetName val="WIP III"/>
      <sheetName val="Master Data Template Orig"/>
      <sheetName val="ANALYSIS"/>
      <sheetName val="Entry Broker"/>
      <sheetName val="Kartu"/>
      <sheetName val="SHEET6"/>
      <sheetName val="Cost 1 Jan"/>
      <sheetName val="dash"/>
      <sheetName val="3.5"/>
      <sheetName val="Map"/>
      <sheetName val="Thailand"/>
      <sheetName val="Deferred tax analysis"/>
      <sheetName val="Detail-Sep"/>
      <sheetName val="RESUME SEP 22"/>
      <sheetName val="KODE BRG"/>
      <sheetName val="DATA CUSTOMER"/>
      <sheetName val="Variables"/>
      <sheetName val="data (2)"/>
    </sheetNames>
    <sheetDataSet>
      <sheetData sheetId="0" refreshError="1">
        <row r="1">
          <cell r="A1" t="str">
            <v>Code</v>
          </cell>
        </row>
        <row r="5">
          <cell r="E5">
            <v>1</v>
          </cell>
          <cell r="G5">
            <v>0</v>
          </cell>
          <cell r="H5">
            <v>0</v>
          </cell>
          <cell r="I5">
            <v>0</v>
          </cell>
          <cell r="K5">
            <v>0</v>
          </cell>
          <cell r="L5">
            <v>8</v>
          </cell>
          <cell r="M5">
            <v>0</v>
          </cell>
          <cell r="O5">
            <v>0</v>
          </cell>
          <cell r="Q5">
            <v>0</v>
          </cell>
          <cell r="R5">
            <v>5</v>
          </cell>
          <cell r="S5">
            <v>2</v>
          </cell>
        </row>
      </sheetData>
      <sheetData sheetId="1">
        <row r="5">
          <cell r="E5">
            <v>1</v>
          </cell>
        </row>
      </sheetData>
      <sheetData sheetId="2"/>
      <sheetData sheetId="3"/>
      <sheetData sheetId="4"/>
      <sheetData sheetId="5">
        <row r="5">
          <cell r="E5">
            <v>1</v>
          </cell>
        </row>
      </sheetData>
      <sheetData sheetId="6"/>
      <sheetData sheetId="7">
        <row r="5">
          <cell r="E5">
            <v>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>
        <row r="5">
          <cell r="E5">
            <v>1</v>
          </cell>
        </row>
      </sheetData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>
        <row r="5">
          <cell r="E5">
            <v>1</v>
          </cell>
        </row>
      </sheetData>
      <sheetData sheetId="411">
        <row r="5">
          <cell r="E5">
            <v>1</v>
          </cell>
        </row>
      </sheetData>
      <sheetData sheetId="412">
        <row r="5">
          <cell r="E5">
            <v>1</v>
          </cell>
        </row>
      </sheetData>
      <sheetData sheetId="413">
        <row r="5">
          <cell r="E5">
            <v>1</v>
          </cell>
        </row>
      </sheetData>
      <sheetData sheetId="414">
        <row r="5">
          <cell r="E5">
            <v>1</v>
          </cell>
        </row>
      </sheetData>
      <sheetData sheetId="415">
        <row r="5">
          <cell r="E5">
            <v>1</v>
          </cell>
        </row>
      </sheetData>
      <sheetData sheetId="416">
        <row r="5">
          <cell r="E5">
            <v>1</v>
          </cell>
        </row>
      </sheetData>
      <sheetData sheetId="417">
        <row r="5">
          <cell r="E5">
            <v>1</v>
          </cell>
        </row>
      </sheetData>
      <sheetData sheetId="418">
        <row r="5">
          <cell r="E5">
            <v>1</v>
          </cell>
        </row>
      </sheetData>
      <sheetData sheetId="419">
        <row r="5">
          <cell r="E5">
            <v>1</v>
          </cell>
        </row>
      </sheetData>
      <sheetData sheetId="420">
        <row r="5">
          <cell r="E5">
            <v>1</v>
          </cell>
        </row>
      </sheetData>
      <sheetData sheetId="421">
        <row r="5">
          <cell r="E5">
            <v>1</v>
          </cell>
        </row>
      </sheetData>
      <sheetData sheetId="422">
        <row r="5">
          <cell r="E5">
            <v>1</v>
          </cell>
        </row>
      </sheetData>
      <sheetData sheetId="423">
        <row r="5">
          <cell r="E5">
            <v>1</v>
          </cell>
        </row>
      </sheetData>
      <sheetData sheetId="424">
        <row r="5">
          <cell r="E5">
            <v>1</v>
          </cell>
        </row>
      </sheetData>
      <sheetData sheetId="425">
        <row r="5">
          <cell r="E5">
            <v>1</v>
          </cell>
        </row>
      </sheetData>
      <sheetData sheetId="426">
        <row r="5">
          <cell r="E5">
            <v>1</v>
          </cell>
        </row>
      </sheetData>
      <sheetData sheetId="427">
        <row r="5">
          <cell r="E5">
            <v>1</v>
          </cell>
        </row>
      </sheetData>
      <sheetData sheetId="428">
        <row r="5">
          <cell r="E5">
            <v>1</v>
          </cell>
        </row>
      </sheetData>
      <sheetData sheetId="429">
        <row r="5">
          <cell r="E5">
            <v>1</v>
          </cell>
        </row>
      </sheetData>
      <sheetData sheetId="430">
        <row r="5">
          <cell r="E5">
            <v>1</v>
          </cell>
        </row>
      </sheetData>
      <sheetData sheetId="431">
        <row r="5">
          <cell r="E5">
            <v>1</v>
          </cell>
        </row>
      </sheetData>
      <sheetData sheetId="432">
        <row r="5">
          <cell r="E5">
            <v>1</v>
          </cell>
        </row>
      </sheetData>
      <sheetData sheetId="433">
        <row r="5">
          <cell r="E5">
            <v>1</v>
          </cell>
        </row>
      </sheetData>
      <sheetData sheetId="434">
        <row r="5">
          <cell r="E5">
            <v>1</v>
          </cell>
        </row>
      </sheetData>
      <sheetData sheetId="435">
        <row r="5">
          <cell r="E5">
            <v>1</v>
          </cell>
        </row>
      </sheetData>
      <sheetData sheetId="436">
        <row r="5">
          <cell r="E5">
            <v>1</v>
          </cell>
        </row>
      </sheetData>
      <sheetData sheetId="437">
        <row r="5">
          <cell r="E5">
            <v>1</v>
          </cell>
        </row>
      </sheetData>
      <sheetData sheetId="438">
        <row r="5">
          <cell r="E5">
            <v>1</v>
          </cell>
        </row>
      </sheetData>
      <sheetData sheetId="439">
        <row r="5">
          <cell r="E5">
            <v>1</v>
          </cell>
        </row>
      </sheetData>
      <sheetData sheetId="440">
        <row r="5">
          <cell r="E5">
            <v>1</v>
          </cell>
        </row>
      </sheetData>
      <sheetData sheetId="441">
        <row r="5">
          <cell r="E5">
            <v>1</v>
          </cell>
        </row>
      </sheetData>
      <sheetData sheetId="442">
        <row r="5">
          <cell r="E5">
            <v>1</v>
          </cell>
        </row>
      </sheetData>
      <sheetData sheetId="443">
        <row r="5">
          <cell r="E5">
            <v>1</v>
          </cell>
        </row>
      </sheetData>
      <sheetData sheetId="444">
        <row r="5">
          <cell r="E5">
            <v>1</v>
          </cell>
        </row>
      </sheetData>
      <sheetData sheetId="445">
        <row r="5">
          <cell r="E5">
            <v>1</v>
          </cell>
        </row>
      </sheetData>
      <sheetData sheetId="446">
        <row r="5">
          <cell r="E5">
            <v>1</v>
          </cell>
        </row>
      </sheetData>
      <sheetData sheetId="447">
        <row r="5">
          <cell r="E5">
            <v>1</v>
          </cell>
        </row>
      </sheetData>
      <sheetData sheetId="448">
        <row r="5">
          <cell r="E5">
            <v>1</v>
          </cell>
        </row>
      </sheetData>
      <sheetData sheetId="449">
        <row r="5">
          <cell r="E5">
            <v>1</v>
          </cell>
        </row>
      </sheetData>
      <sheetData sheetId="450">
        <row r="5">
          <cell r="E5">
            <v>1</v>
          </cell>
        </row>
      </sheetData>
      <sheetData sheetId="451">
        <row r="5">
          <cell r="E5">
            <v>1</v>
          </cell>
        </row>
      </sheetData>
      <sheetData sheetId="452">
        <row r="5">
          <cell r="E5">
            <v>1</v>
          </cell>
        </row>
      </sheetData>
      <sheetData sheetId="453">
        <row r="5">
          <cell r="E5">
            <v>1</v>
          </cell>
        </row>
      </sheetData>
      <sheetData sheetId="454">
        <row r="5">
          <cell r="E5">
            <v>1</v>
          </cell>
        </row>
      </sheetData>
      <sheetData sheetId="455">
        <row r="5">
          <cell r="E5">
            <v>1</v>
          </cell>
        </row>
      </sheetData>
      <sheetData sheetId="456">
        <row r="5">
          <cell r="E5">
            <v>1</v>
          </cell>
        </row>
      </sheetData>
      <sheetData sheetId="457">
        <row r="5">
          <cell r="E5">
            <v>1</v>
          </cell>
        </row>
      </sheetData>
      <sheetData sheetId="458">
        <row r="5">
          <cell r="E5">
            <v>1</v>
          </cell>
        </row>
      </sheetData>
      <sheetData sheetId="459">
        <row r="5">
          <cell r="E5">
            <v>1</v>
          </cell>
        </row>
      </sheetData>
      <sheetData sheetId="460">
        <row r="5">
          <cell r="E5">
            <v>1</v>
          </cell>
        </row>
      </sheetData>
      <sheetData sheetId="461">
        <row r="5">
          <cell r="E5">
            <v>1</v>
          </cell>
        </row>
      </sheetData>
      <sheetData sheetId="462">
        <row r="5">
          <cell r="E5">
            <v>1</v>
          </cell>
        </row>
      </sheetData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>
        <row r="5">
          <cell r="E5">
            <v>1</v>
          </cell>
        </row>
      </sheetData>
      <sheetData sheetId="603">
        <row r="5">
          <cell r="E5">
            <v>1</v>
          </cell>
        </row>
      </sheetData>
      <sheetData sheetId="604">
        <row r="5">
          <cell r="E5">
            <v>1</v>
          </cell>
        </row>
      </sheetData>
      <sheetData sheetId="605">
        <row r="5">
          <cell r="E5">
            <v>1</v>
          </cell>
        </row>
      </sheetData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>
        <row r="5">
          <cell r="E5">
            <v>1</v>
          </cell>
        </row>
      </sheetData>
      <sheetData sheetId="642">
        <row r="5">
          <cell r="E5">
            <v>1</v>
          </cell>
        </row>
      </sheetData>
      <sheetData sheetId="643">
        <row r="5">
          <cell r="E5">
            <v>1</v>
          </cell>
        </row>
      </sheetData>
      <sheetData sheetId="644">
        <row r="5">
          <cell r="E5">
            <v>1</v>
          </cell>
        </row>
      </sheetData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>
        <row r="5">
          <cell r="E5">
            <v>1</v>
          </cell>
        </row>
      </sheetData>
      <sheetData sheetId="676">
        <row r="5">
          <cell r="E5">
            <v>1</v>
          </cell>
        </row>
      </sheetData>
      <sheetData sheetId="677">
        <row r="5">
          <cell r="E5">
            <v>1</v>
          </cell>
        </row>
      </sheetData>
      <sheetData sheetId="678">
        <row r="5">
          <cell r="E5">
            <v>1</v>
          </cell>
        </row>
      </sheetData>
      <sheetData sheetId="679">
        <row r="5">
          <cell r="E5">
            <v>1</v>
          </cell>
        </row>
      </sheetData>
      <sheetData sheetId="680">
        <row r="5">
          <cell r="E5">
            <v>1</v>
          </cell>
        </row>
      </sheetData>
      <sheetData sheetId="681">
        <row r="5">
          <cell r="E5">
            <v>1</v>
          </cell>
        </row>
      </sheetData>
      <sheetData sheetId="682">
        <row r="5">
          <cell r="E5">
            <v>1</v>
          </cell>
        </row>
      </sheetData>
      <sheetData sheetId="683">
        <row r="5">
          <cell r="E5">
            <v>1</v>
          </cell>
        </row>
      </sheetData>
      <sheetData sheetId="684">
        <row r="5">
          <cell r="E5">
            <v>1</v>
          </cell>
        </row>
      </sheetData>
      <sheetData sheetId="685">
        <row r="5">
          <cell r="E5">
            <v>1</v>
          </cell>
        </row>
      </sheetData>
      <sheetData sheetId="686">
        <row r="5">
          <cell r="E5">
            <v>1</v>
          </cell>
        </row>
      </sheetData>
      <sheetData sheetId="687">
        <row r="5">
          <cell r="E5">
            <v>1</v>
          </cell>
        </row>
      </sheetData>
      <sheetData sheetId="688">
        <row r="5">
          <cell r="E5">
            <v>1</v>
          </cell>
        </row>
      </sheetData>
      <sheetData sheetId="689">
        <row r="5">
          <cell r="E5">
            <v>1</v>
          </cell>
        </row>
      </sheetData>
      <sheetData sheetId="690">
        <row r="5">
          <cell r="E5">
            <v>1</v>
          </cell>
        </row>
      </sheetData>
      <sheetData sheetId="691">
        <row r="5">
          <cell r="E5">
            <v>1</v>
          </cell>
        </row>
      </sheetData>
      <sheetData sheetId="692">
        <row r="5">
          <cell r="E5">
            <v>1</v>
          </cell>
        </row>
      </sheetData>
      <sheetData sheetId="693">
        <row r="5">
          <cell r="E5">
            <v>1</v>
          </cell>
        </row>
      </sheetData>
      <sheetData sheetId="694">
        <row r="5">
          <cell r="E5">
            <v>1</v>
          </cell>
        </row>
      </sheetData>
      <sheetData sheetId="695">
        <row r="5">
          <cell r="E5">
            <v>1</v>
          </cell>
        </row>
      </sheetData>
      <sheetData sheetId="696">
        <row r="5">
          <cell r="E5">
            <v>1</v>
          </cell>
        </row>
      </sheetData>
      <sheetData sheetId="697">
        <row r="5">
          <cell r="E5">
            <v>1</v>
          </cell>
        </row>
      </sheetData>
      <sheetData sheetId="698">
        <row r="5">
          <cell r="E5">
            <v>1</v>
          </cell>
        </row>
      </sheetData>
      <sheetData sheetId="699">
        <row r="5">
          <cell r="E5">
            <v>1</v>
          </cell>
        </row>
      </sheetData>
      <sheetData sheetId="700">
        <row r="5">
          <cell r="E5">
            <v>1</v>
          </cell>
        </row>
      </sheetData>
      <sheetData sheetId="701">
        <row r="5">
          <cell r="E5">
            <v>1</v>
          </cell>
        </row>
      </sheetData>
      <sheetData sheetId="702">
        <row r="5">
          <cell r="E5">
            <v>1</v>
          </cell>
        </row>
      </sheetData>
      <sheetData sheetId="703">
        <row r="5">
          <cell r="E5">
            <v>1</v>
          </cell>
        </row>
      </sheetData>
      <sheetData sheetId="704">
        <row r="5">
          <cell r="E5">
            <v>1</v>
          </cell>
        </row>
      </sheetData>
      <sheetData sheetId="705">
        <row r="5">
          <cell r="E5">
            <v>1</v>
          </cell>
        </row>
      </sheetData>
      <sheetData sheetId="706">
        <row r="5">
          <cell r="E5">
            <v>1</v>
          </cell>
        </row>
      </sheetData>
      <sheetData sheetId="707">
        <row r="5">
          <cell r="E5">
            <v>1</v>
          </cell>
        </row>
      </sheetData>
      <sheetData sheetId="708">
        <row r="5">
          <cell r="E5">
            <v>1</v>
          </cell>
        </row>
      </sheetData>
      <sheetData sheetId="709">
        <row r="5">
          <cell r="E5">
            <v>1</v>
          </cell>
        </row>
      </sheetData>
      <sheetData sheetId="710">
        <row r="5">
          <cell r="E5">
            <v>1</v>
          </cell>
        </row>
      </sheetData>
      <sheetData sheetId="711">
        <row r="5">
          <cell r="E5">
            <v>1</v>
          </cell>
        </row>
      </sheetData>
      <sheetData sheetId="712">
        <row r="5">
          <cell r="E5">
            <v>1</v>
          </cell>
        </row>
      </sheetData>
      <sheetData sheetId="713">
        <row r="5">
          <cell r="E5">
            <v>1</v>
          </cell>
        </row>
      </sheetData>
      <sheetData sheetId="714">
        <row r="5">
          <cell r="E5">
            <v>1</v>
          </cell>
        </row>
      </sheetData>
      <sheetData sheetId="715">
        <row r="5">
          <cell r="E5">
            <v>1</v>
          </cell>
        </row>
      </sheetData>
      <sheetData sheetId="716">
        <row r="5">
          <cell r="E5">
            <v>1</v>
          </cell>
        </row>
      </sheetData>
      <sheetData sheetId="717">
        <row r="5">
          <cell r="E5">
            <v>1</v>
          </cell>
        </row>
      </sheetData>
      <sheetData sheetId="718">
        <row r="5">
          <cell r="E5">
            <v>1</v>
          </cell>
        </row>
      </sheetData>
      <sheetData sheetId="719">
        <row r="5">
          <cell r="E5">
            <v>1</v>
          </cell>
        </row>
      </sheetData>
      <sheetData sheetId="720">
        <row r="5">
          <cell r="E5">
            <v>1</v>
          </cell>
        </row>
      </sheetData>
      <sheetData sheetId="721">
        <row r="5">
          <cell r="E5">
            <v>1</v>
          </cell>
        </row>
      </sheetData>
      <sheetData sheetId="722">
        <row r="5">
          <cell r="E5">
            <v>1</v>
          </cell>
        </row>
      </sheetData>
      <sheetData sheetId="723">
        <row r="5">
          <cell r="E5">
            <v>1</v>
          </cell>
        </row>
      </sheetData>
      <sheetData sheetId="724">
        <row r="5">
          <cell r="E5">
            <v>1</v>
          </cell>
        </row>
      </sheetData>
      <sheetData sheetId="725">
        <row r="5">
          <cell r="E5">
            <v>1</v>
          </cell>
        </row>
      </sheetData>
      <sheetData sheetId="726">
        <row r="5">
          <cell r="E5">
            <v>1</v>
          </cell>
        </row>
      </sheetData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>
        <row r="5">
          <cell r="E5">
            <v>1</v>
          </cell>
        </row>
      </sheetData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>
        <row r="5">
          <cell r="E5">
            <v>1</v>
          </cell>
        </row>
      </sheetData>
      <sheetData sheetId="831" refreshError="1"/>
      <sheetData sheetId="832" refreshError="1"/>
      <sheetData sheetId="833" refreshError="1"/>
      <sheetData sheetId="834">
        <row r="5">
          <cell r="E5">
            <v>1</v>
          </cell>
        </row>
      </sheetData>
      <sheetData sheetId="835">
        <row r="5">
          <cell r="E5">
            <v>1</v>
          </cell>
        </row>
      </sheetData>
      <sheetData sheetId="836">
        <row r="5">
          <cell r="E5">
            <v>1</v>
          </cell>
        </row>
      </sheetData>
      <sheetData sheetId="837">
        <row r="5">
          <cell r="E5">
            <v>1</v>
          </cell>
        </row>
      </sheetData>
      <sheetData sheetId="838">
        <row r="5">
          <cell r="E5">
            <v>1</v>
          </cell>
        </row>
      </sheetData>
      <sheetData sheetId="839">
        <row r="5">
          <cell r="E5">
            <v>1</v>
          </cell>
        </row>
      </sheetData>
      <sheetData sheetId="840">
        <row r="5">
          <cell r="E5">
            <v>1</v>
          </cell>
        </row>
      </sheetData>
      <sheetData sheetId="841">
        <row r="5">
          <cell r="E5">
            <v>1</v>
          </cell>
        </row>
      </sheetData>
      <sheetData sheetId="842">
        <row r="5">
          <cell r="E5">
            <v>1</v>
          </cell>
        </row>
      </sheetData>
      <sheetData sheetId="843">
        <row r="5">
          <cell r="E5">
            <v>1</v>
          </cell>
        </row>
      </sheetData>
      <sheetData sheetId="844">
        <row r="5">
          <cell r="E5">
            <v>1</v>
          </cell>
        </row>
      </sheetData>
      <sheetData sheetId="845">
        <row r="5">
          <cell r="E5">
            <v>1</v>
          </cell>
        </row>
      </sheetData>
      <sheetData sheetId="846">
        <row r="5">
          <cell r="E5">
            <v>1</v>
          </cell>
        </row>
      </sheetData>
      <sheetData sheetId="847">
        <row r="5">
          <cell r="E5">
            <v>1</v>
          </cell>
        </row>
      </sheetData>
      <sheetData sheetId="848">
        <row r="5">
          <cell r="E5">
            <v>1</v>
          </cell>
        </row>
      </sheetData>
      <sheetData sheetId="849">
        <row r="5">
          <cell r="E5">
            <v>1</v>
          </cell>
        </row>
      </sheetData>
      <sheetData sheetId="850">
        <row r="5">
          <cell r="E5">
            <v>1</v>
          </cell>
        </row>
      </sheetData>
      <sheetData sheetId="851">
        <row r="5">
          <cell r="E5">
            <v>1</v>
          </cell>
        </row>
      </sheetData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>
        <row r="5">
          <cell r="E5">
            <v>1</v>
          </cell>
        </row>
      </sheetData>
      <sheetData sheetId="864">
        <row r="5">
          <cell r="E5">
            <v>1</v>
          </cell>
        </row>
      </sheetData>
      <sheetData sheetId="865">
        <row r="5">
          <cell r="E5">
            <v>1</v>
          </cell>
        </row>
      </sheetData>
      <sheetData sheetId="866">
        <row r="5">
          <cell r="E5">
            <v>1</v>
          </cell>
        </row>
      </sheetData>
      <sheetData sheetId="867">
        <row r="5">
          <cell r="E5">
            <v>1</v>
          </cell>
        </row>
      </sheetData>
      <sheetData sheetId="868">
        <row r="5">
          <cell r="E5">
            <v>1</v>
          </cell>
        </row>
      </sheetData>
      <sheetData sheetId="869">
        <row r="5">
          <cell r="E5">
            <v>1</v>
          </cell>
        </row>
      </sheetData>
      <sheetData sheetId="870">
        <row r="5">
          <cell r="E5">
            <v>1</v>
          </cell>
        </row>
      </sheetData>
      <sheetData sheetId="871">
        <row r="5">
          <cell r="E5">
            <v>1</v>
          </cell>
        </row>
      </sheetData>
      <sheetData sheetId="872">
        <row r="5">
          <cell r="E5">
            <v>1</v>
          </cell>
        </row>
      </sheetData>
      <sheetData sheetId="873">
        <row r="5">
          <cell r="E5">
            <v>1</v>
          </cell>
        </row>
      </sheetData>
      <sheetData sheetId="874">
        <row r="5">
          <cell r="E5">
            <v>1</v>
          </cell>
        </row>
      </sheetData>
      <sheetData sheetId="875">
        <row r="5">
          <cell r="E5">
            <v>1</v>
          </cell>
        </row>
      </sheetData>
      <sheetData sheetId="876">
        <row r="5">
          <cell r="E5">
            <v>1</v>
          </cell>
        </row>
      </sheetData>
      <sheetData sheetId="877">
        <row r="5">
          <cell r="E5">
            <v>1</v>
          </cell>
        </row>
      </sheetData>
      <sheetData sheetId="878">
        <row r="5">
          <cell r="E5">
            <v>1</v>
          </cell>
        </row>
      </sheetData>
      <sheetData sheetId="879">
        <row r="5">
          <cell r="E5">
            <v>1</v>
          </cell>
        </row>
      </sheetData>
      <sheetData sheetId="880">
        <row r="5">
          <cell r="E5">
            <v>1</v>
          </cell>
        </row>
      </sheetData>
      <sheetData sheetId="881">
        <row r="5">
          <cell r="E5">
            <v>1</v>
          </cell>
        </row>
      </sheetData>
      <sheetData sheetId="882">
        <row r="5">
          <cell r="E5">
            <v>1</v>
          </cell>
        </row>
      </sheetData>
      <sheetData sheetId="883">
        <row r="5">
          <cell r="E5">
            <v>1</v>
          </cell>
        </row>
      </sheetData>
      <sheetData sheetId="884">
        <row r="5">
          <cell r="E5">
            <v>1</v>
          </cell>
        </row>
      </sheetData>
      <sheetData sheetId="885">
        <row r="5">
          <cell r="E5">
            <v>1</v>
          </cell>
        </row>
      </sheetData>
      <sheetData sheetId="886">
        <row r="5">
          <cell r="E5">
            <v>1</v>
          </cell>
        </row>
      </sheetData>
      <sheetData sheetId="887">
        <row r="5">
          <cell r="E5">
            <v>1</v>
          </cell>
        </row>
      </sheetData>
      <sheetData sheetId="888">
        <row r="5">
          <cell r="E5">
            <v>1</v>
          </cell>
        </row>
      </sheetData>
      <sheetData sheetId="889">
        <row r="5">
          <cell r="E5">
            <v>1</v>
          </cell>
        </row>
      </sheetData>
      <sheetData sheetId="890">
        <row r="5">
          <cell r="E5">
            <v>1</v>
          </cell>
        </row>
      </sheetData>
      <sheetData sheetId="891">
        <row r="5">
          <cell r="E5">
            <v>1</v>
          </cell>
        </row>
      </sheetData>
      <sheetData sheetId="892">
        <row r="5">
          <cell r="E5">
            <v>1</v>
          </cell>
        </row>
      </sheetData>
      <sheetData sheetId="893">
        <row r="5">
          <cell r="E5">
            <v>1</v>
          </cell>
        </row>
      </sheetData>
      <sheetData sheetId="894">
        <row r="5">
          <cell r="E5">
            <v>1</v>
          </cell>
        </row>
      </sheetData>
      <sheetData sheetId="895">
        <row r="5">
          <cell r="E5">
            <v>1</v>
          </cell>
        </row>
      </sheetData>
      <sheetData sheetId="896">
        <row r="5">
          <cell r="E5">
            <v>1</v>
          </cell>
        </row>
      </sheetData>
      <sheetData sheetId="897">
        <row r="5">
          <cell r="E5">
            <v>1</v>
          </cell>
        </row>
      </sheetData>
      <sheetData sheetId="898">
        <row r="5">
          <cell r="E5">
            <v>1</v>
          </cell>
        </row>
      </sheetData>
      <sheetData sheetId="899">
        <row r="5">
          <cell r="E5">
            <v>1</v>
          </cell>
        </row>
      </sheetData>
      <sheetData sheetId="900">
        <row r="5">
          <cell r="E5">
            <v>1</v>
          </cell>
        </row>
      </sheetData>
      <sheetData sheetId="901">
        <row r="5">
          <cell r="E5">
            <v>1</v>
          </cell>
        </row>
      </sheetData>
      <sheetData sheetId="902">
        <row r="5">
          <cell r="E5">
            <v>1</v>
          </cell>
        </row>
      </sheetData>
      <sheetData sheetId="903">
        <row r="5">
          <cell r="E5">
            <v>1</v>
          </cell>
        </row>
      </sheetData>
      <sheetData sheetId="904">
        <row r="5">
          <cell r="E5">
            <v>1</v>
          </cell>
        </row>
      </sheetData>
      <sheetData sheetId="905">
        <row r="5">
          <cell r="E5">
            <v>1</v>
          </cell>
        </row>
      </sheetData>
      <sheetData sheetId="906">
        <row r="5">
          <cell r="E5">
            <v>1</v>
          </cell>
        </row>
      </sheetData>
      <sheetData sheetId="907">
        <row r="5">
          <cell r="E5">
            <v>1</v>
          </cell>
        </row>
      </sheetData>
      <sheetData sheetId="908">
        <row r="5">
          <cell r="E5">
            <v>1</v>
          </cell>
        </row>
      </sheetData>
      <sheetData sheetId="909">
        <row r="5">
          <cell r="E5">
            <v>1</v>
          </cell>
        </row>
      </sheetData>
      <sheetData sheetId="910">
        <row r="5">
          <cell r="E5">
            <v>1</v>
          </cell>
        </row>
      </sheetData>
      <sheetData sheetId="911">
        <row r="5">
          <cell r="E5">
            <v>1</v>
          </cell>
        </row>
      </sheetData>
      <sheetData sheetId="912">
        <row r="5">
          <cell r="E5">
            <v>1</v>
          </cell>
        </row>
      </sheetData>
      <sheetData sheetId="913">
        <row r="5">
          <cell r="E5">
            <v>1</v>
          </cell>
        </row>
      </sheetData>
      <sheetData sheetId="914">
        <row r="5">
          <cell r="E5">
            <v>1</v>
          </cell>
        </row>
      </sheetData>
      <sheetData sheetId="915">
        <row r="5">
          <cell r="E5">
            <v>1</v>
          </cell>
        </row>
      </sheetData>
      <sheetData sheetId="916">
        <row r="5">
          <cell r="E5">
            <v>1</v>
          </cell>
        </row>
      </sheetData>
      <sheetData sheetId="917">
        <row r="5">
          <cell r="E5">
            <v>1</v>
          </cell>
        </row>
      </sheetData>
      <sheetData sheetId="918">
        <row r="5">
          <cell r="E5">
            <v>1</v>
          </cell>
        </row>
      </sheetData>
      <sheetData sheetId="919">
        <row r="5">
          <cell r="E5">
            <v>1</v>
          </cell>
        </row>
      </sheetData>
      <sheetData sheetId="920">
        <row r="5">
          <cell r="E5">
            <v>1</v>
          </cell>
        </row>
      </sheetData>
      <sheetData sheetId="921">
        <row r="5">
          <cell r="E5">
            <v>1</v>
          </cell>
        </row>
      </sheetData>
      <sheetData sheetId="922">
        <row r="5">
          <cell r="E5">
            <v>1</v>
          </cell>
        </row>
      </sheetData>
      <sheetData sheetId="923">
        <row r="5">
          <cell r="E5">
            <v>1</v>
          </cell>
        </row>
      </sheetData>
      <sheetData sheetId="924">
        <row r="5">
          <cell r="E5">
            <v>1</v>
          </cell>
        </row>
      </sheetData>
      <sheetData sheetId="925">
        <row r="5">
          <cell r="E5">
            <v>1</v>
          </cell>
        </row>
      </sheetData>
      <sheetData sheetId="926">
        <row r="5">
          <cell r="E5">
            <v>1</v>
          </cell>
        </row>
      </sheetData>
      <sheetData sheetId="927">
        <row r="5">
          <cell r="E5">
            <v>1</v>
          </cell>
        </row>
      </sheetData>
      <sheetData sheetId="928">
        <row r="5">
          <cell r="E5">
            <v>1</v>
          </cell>
        </row>
      </sheetData>
      <sheetData sheetId="929">
        <row r="5">
          <cell r="E5">
            <v>1</v>
          </cell>
        </row>
      </sheetData>
      <sheetData sheetId="930">
        <row r="5">
          <cell r="E5">
            <v>1</v>
          </cell>
        </row>
      </sheetData>
      <sheetData sheetId="931">
        <row r="5">
          <cell r="E5">
            <v>1</v>
          </cell>
        </row>
      </sheetData>
      <sheetData sheetId="932">
        <row r="5">
          <cell r="E5">
            <v>1</v>
          </cell>
        </row>
      </sheetData>
      <sheetData sheetId="933">
        <row r="5">
          <cell r="E5">
            <v>1</v>
          </cell>
        </row>
      </sheetData>
      <sheetData sheetId="934">
        <row r="5">
          <cell r="E5">
            <v>1</v>
          </cell>
        </row>
      </sheetData>
      <sheetData sheetId="935">
        <row r="5">
          <cell r="E5">
            <v>1</v>
          </cell>
        </row>
      </sheetData>
      <sheetData sheetId="936">
        <row r="5">
          <cell r="E5">
            <v>1</v>
          </cell>
        </row>
      </sheetData>
      <sheetData sheetId="937">
        <row r="5">
          <cell r="E5">
            <v>1</v>
          </cell>
        </row>
      </sheetData>
      <sheetData sheetId="938">
        <row r="5">
          <cell r="E5">
            <v>1</v>
          </cell>
        </row>
      </sheetData>
      <sheetData sheetId="939">
        <row r="5">
          <cell r="E5">
            <v>1</v>
          </cell>
        </row>
      </sheetData>
      <sheetData sheetId="940">
        <row r="5">
          <cell r="E5">
            <v>1</v>
          </cell>
        </row>
      </sheetData>
      <sheetData sheetId="941">
        <row r="5">
          <cell r="E5">
            <v>1</v>
          </cell>
        </row>
      </sheetData>
      <sheetData sheetId="942">
        <row r="5">
          <cell r="E5">
            <v>1</v>
          </cell>
        </row>
      </sheetData>
      <sheetData sheetId="943">
        <row r="5">
          <cell r="E5">
            <v>1</v>
          </cell>
        </row>
      </sheetData>
      <sheetData sheetId="944">
        <row r="5">
          <cell r="E5">
            <v>1</v>
          </cell>
        </row>
      </sheetData>
      <sheetData sheetId="945">
        <row r="5">
          <cell r="E5">
            <v>1</v>
          </cell>
        </row>
      </sheetData>
      <sheetData sheetId="946">
        <row r="5">
          <cell r="E5">
            <v>1</v>
          </cell>
        </row>
      </sheetData>
      <sheetData sheetId="947">
        <row r="5">
          <cell r="E5">
            <v>1</v>
          </cell>
        </row>
      </sheetData>
      <sheetData sheetId="948">
        <row r="5">
          <cell r="E5">
            <v>1</v>
          </cell>
        </row>
      </sheetData>
      <sheetData sheetId="949">
        <row r="5">
          <cell r="E5">
            <v>1</v>
          </cell>
        </row>
      </sheetData>
      <sheetData sheetId="950">
        <row r="5">
          <cell r="E5">
            <v>1</v>
          </cell>
        </row>
      </sheetData>
      <sheetData sheetId="951">
        <row r="5">
          <cell r="E5">
            <v>1</v>
          </cell>
        </row>
      </sheetData>
      <sheetData sheetId="952">
        <row r="5">
          <cell r="E5">
            <v>1</v>
          </cell>
        </row>
      </sheetData>
      <sheetData sheetId="953">
        <row r="5">
          <cell r="E5">
            <v>1</v>
          </cell>
        </row>
      </sheetData>
      <sheetData sheetId="954">
        <row r="5">
          <cell r="E5">
            <v>1</v>
          </cell>
        </row>
      </sheetData>
      <sheetData sheetId="955">
        <row r="5">
          <cell r="E5">
            <v>1</v>
          </cell>
        </row>
      </sheetData>
      <sheetData sheetId="956">
        <row r="5">
          <cell r="E5">
            <v>1</v>
          </cell>
        </row>
      </sheetData>
      <sheetData sheetId="957">
        <row r="5">
          <cell r="E5">
            <v>1</v>
          </cell>
        </row>
      </sheetData>
      <sheetData sheetId="958">
        <row r="5">
          <cell r="E5">
            <v>1</v>
          </cell>
        </row>
      </sheetData>
      <sheetData sheetId="959">
        <row r="5">
          <cell r="E5">
            <v>1</v>
          </cell>
        </row>
      </sheetData>
      <sheetData sheetId="960">
        <row r="5">
          <cell r="E5">
            <v>1</v>
          </cell>
        </row>
      </sheetData>
      <sheetData sheetId="961">
        <row r="5">
          <cell r="E5">
            <v>1</v>
          </cell>
        </row>
      </sheetData>
      <sheetData sheetId="962">
        <row r="5">
          <cell r="E5">
            <v>1</v>
          </cell>
        </row>
      </sheetData>
      <sheetData sheetId="963">
        <row r="5">
          <cell r="E5">
            <v>1</v>
          </cell>
        </row>
      </sheetData>
      <sheetData sheetId="964">
        <row r="5">
          <cell r="E5">
            <v>1</v>
          </cell>
        </row>
      </sheetData>
      <sheetData sheetId="965">
        <row r="5">
          <cell r="E5">
            <v>1</v>
          </cell>
        </row>
      </sheetData>
      <sheetData sheetId="966">
        <row r="5">
          <cell r="E5">
            <v>1</v>
          </cell>
        </row>
      </sheetData>
      <sheetData sheetId="967">
        <row r="5">
          <cell r="E5">
            <v>1</v>
          </cell>
        </row>
      </sheetData>
      <sheetData sheetId="968">
        <row r="5">
          <cell r="E5">
            <v>1</v>
          </cell>
        </row>
      </sheetData>
      <sheetData sheetId="969">
        <row r="5">
          <cell r="E5">
            <v>1</v>
          </cell>
        </row>
      </sheetData>
      <sheetData sheetId="970">
        <row r="5">
          <cell r="E5">
            <v>1</v>
          </cell>
        </row>
      </sheetData>
      <sheetData sheetId="971">
        <row r="5">
          <cell r="E5">
            <v>1</v>
          </cell>
        </row>
      </sheetData>
      <sheetData sheetId="972">
        <row r="5">
          <cell r="E5">
            <v>1</v>
          </cell>
        </row>
      </sheetData>
      <sheetData sheetId="973">
        <row r="5">
          <cell r="E5">
            <v>1</v>
          </cell>
        </row>
      </sheetData>
      <sheetData sheetId="974">
        <row r="5">
          <cell r="E5">
            <v>1</v>
          </cell>
        </row>
      </sheetData>
      <sheetData sheetId="975">
        <row r="5">
          <cell r="E5">
            <v>1</v>
          </cell>
        </row>
      </sheetData>
      <sheetData sheetId="976">
        <row r="5">
          <cell r="E5">
            <v>1</v>
          </cell>
        </row>
      </sheetData>
      <sheetData sheetId="977">
        <row r="5">
          <cell r="E5">
            <v>1</v>
          </cell>
        </row>
      </sheetData>
      <sheetData sheetId="978">
        <row r="5">
          <cell r="E5">
            <v>1</v>
          </cell>
        </row>
      </sheetData>
      <sheetData sheetId="979">
        <row r="5">
          <cell r="E5">
            <v>1</v>
          </cell>
        </row>
      </sheetData>
      <sheetData sheetId="980">
        <row r="5">
          <cell r="E5">
            <v>1</v>
          </cell>
        </row>
      </sheetData>
      <sheetData sheetId="981">
        <row r="5">
          <cell r="E5">
            <v>1</v>
          </cell>
        </row>
      </sheetData>
      <sheetData sheetId="982">
        <row r="5">
          <cell r="E5">
            <v>1</v>
          </cell>
        </row>
      </sheetData>
      <sheetData sheetId="983">
        <row r="5">
          <cell r="E5">
            <v>1</v>
          </cell>
        </row>
      </sheetData>
      <sheetData sheetId="984">
        <row r="5">
          <cell r="E5">
            <v>1</v>
          </cell>
        </row>
      </sheetData>
      <sheetData sheetId="985">
        <row r="5">
          <cell r="E5">
            <v>1</v>
          </cell>
        </row>
      </sheetData>
      <sheetData sheetId="986">
        <row r="5">
          <cell r="E5">
            <v>1</v>
          </cell>
        </row>
      </sheetData>
      <sheetData sheetId="987">
        <row r="5">
          <cell r="E5">
            <v>1</v>
          </cell>
        </row>
      </sheetData>
      <sheetData sheetId="988">
        <row r="5">
          <cell r="E5">
            <v>1</v>
          </cell>
        </row>
      </sheetData>
      <sheetData sheetId="989">
        <row r="5">
          <cell r="E5">
            <v>1</v>
          </cell>
        </row>
      </sheetData>
      <sheetData sheetId="990">
        <row r="5">
          <cell r="E5">
            <v>1</v>
          </cell>
        </row>
      </sheetData>
      <sheetData sheetId="991">
        <row r="5">
          <cell r="E5">
            <v>1</v>
          </cell>
        </row>
      </sheetData>
      <sheetData sheetId="992">
        <row r="5">
          <cell r="E5">
            <v>1</v>
          </cell>
        </row>
      </sheetData>
      <sheetData sheetId="993">
        <row r="5">
          <cell r="E5">
            <v>1</v>
          </cell>
        </row>
      </sheetData>
      <sheetData sheetId="994">
        <row r="5">
          <cell r="E5">
            <v>1</v>
          </cell>
        </row>
      </sheetData>
      <sheetData sheetId="995">
        <row r="5">
          <cell r="E5">
            <v>1</v>
          </cell>
        </row>
      </sheetData>
      <sheetData sheetId="996">
        <row r="5">
          <cell r="E5">
            <v>1</v>
          </cell>
        </row>
      </sheetData>
      <sheetData sheetId="997">
        <row r="5">
          <cell r="E5">
            <v>1</v>
          </cell>
        </row>
      </sheetData>
      <sheetData sheetId="998">
        <row r="5">
          <cell r="E5">
            <v>1</v>
          </cell>
        </row>
      </sheetData>
      <sheetData sheetId="999">
        <row r="5">
          <cell r="E5">
            <v>1</v>
          </cell>
        </row>
      </sheetData>
      <sheetData sheetId="1000">
        <row r="5">
          <cell r="E5">
            <v>1</v>
          </cell>
        </row>
      </sheetData>
      <sheetData sheetId="1001">
        <row r="5">
          <cell r="E5">
            <v>1</v>
          </cell>
        </row>
      </sheetData>
      <sheetData sheetId="1002">
        <row r="5">
          <cell r="E5">
            <v>1</v>
          </cell>
        </row>
      </sheetData>
      <sheetData sheetId="1003">
        <row r="5">
          <cell r="E5">
            <v>1</v>
          </cell>
        </row>
      </sheetData>
      <sheetData sheetId="1004">
        <row r="5">
          <cell r="E5">
            <v>1</v>
          </cell>
        </row>
      </sheetData>
      <sheetData sheetId="1005">
        <row r="5">
          <cell r="E5">
            <v>1</v>
          </cell>
        </row>
      </sheetData>
      <sheetData sheetId="1006">
        <row r="5">
          <cell r="E5">
            <v>1</v>
          </cell>
        </row>
      </sheetData>
      <sheetData sheetId="1007">
        <row r="5">
          <cell r="E5">
            <v>1</v>
          </cell>
        </row>
      </sheetData>
      <sheetData sheetId="1008">
        <row r="5">
          <cell r="E5">
            <v>1</v>
          </cell>
        </row>
      </sheetData>
      <sheetData sheetId="1009">
        <row r="5">
          <cell r="E5">
            <v>1</v>
          </cell>
        </row>
      </sheetData>
      <sheetData sheetId="1010">
        <row r="5">
          <cell r="E5">
            <v>1</v>
          </cell>
        </row>
      </sheetData>
      <sheetData sheetId="1011">
        <row r="5">
          <cell r="E5">
            <v>1</v>
          </cell>
        </row>
      </sheetData>
      <sheetData sheetId="1012">
        <row r="5">
          <cell r="E5">
            <v>1</v>
          </cell>
        </row>
      </sheetData>
      <sheetData sheetId="1013">
        <row r="5">
          <cell r="E5">
            <v>1</v>
          </cell>
        </row>
      </sheetData>
      <sheetData sheetId="1014">
        <row r="5">
          <cell r="E5">
            <v>1</v>
          </cell>
        </row>
      </sheetData>
      <sheetData sheetId="1015">
        <row r="5">
          <cell r="E5">
            <v>1</v>
          </cell>
        </row>
      </sheetData>
      <sheetData sheetId="1016">
        <row r="5">
          <cell r="E5">
            <v>1</v>
          </cell>
        </row>
      </sheetData>
      <sheetData sheetId="1017">
        <row r="5">
          <cell r="E5">
            <v>1</v>
          </cell>
        </row>
      </sheetData>
      <sheetData sheetId="1018">
        <row r="5">
          <cell r="E5">
            <v>1</v>
          </cell>
        </row>
      </sheetData>
      <sheetData sheetId="1019">
        <row r="5">
          <cell r="E5">
            <v>1</v>
          </cell>
        </row>
      </sheetData>
      <sheetData sheetId="1020">
        <row r="5">
          <cell r="E5">
            <v>1</v>
          </cell>
        </row>
      </sheetData>
      <sheetData sheetId="1021">
        <row r="5">
          <cell r="E5">
            <v>1</v>
          </cell>
        </row>
      </sheetData>
      <sheetData sheetId="1022">
        <row r="5">
          <cell r="E5">
            <v>1</v>
          </cell>
        </row>
      </sheetData>
      <sheetData sheetId="1023">
        <row r="5">
          <cell r="E5">
            <v>1</v>
          </cell>
        </row>
      </sheetData>
      <sheetData sheetId="1024">
        <row r="5">
          <cell r="E5">
            <v>1</v>
          </cell>
        </row>
      </sheetData>
      <sheetData sheetId="1025">
        <row r="5">
          <cell r="E5">
            <v>1</v>
          </cell>
        </row>
      </sheetData>
      <sheetData sheetId="1026">
        <row r="5">
          <cell r="E5">
            <v>1</v>
          </cell>
        </row>
      </sheetData>
      <sheetData sheetId="1027">
        <row r="5">
          <cell r="E5">
            <v>1</v>
          </cell>
        </row>
      </sheetData>
      <sheetData sheetId="1028">
        <row r="5">
          <cell r="E5">
            <v>1</v>
          </cell>
        </row>
      </sheetData>
      <sheetData sheetId="1029">
        <row r="5">
          <cell r="E5">
            <v>1</v>
          </cell>
        </row>
      </sheetData>
      <sheetData sheetId="1030">
        <row r="5">
          <cell r="E5">
            <v>1</v>
          </cell>
        </row>
      </sheetData>
      <sheetData sheetId="1031">
        <row r="5">
          <cell r="E5">
            <v>1</v>
          </cell>
        </row>
      </sheetData>
      <sheetData sheetId="1032">
        <row r="5">
          <cell r="E5">
            <v>1</v>
          </cell>
        </row>
      </sheetData>
      <sheetData sheetId="1033">
        <row r="5">
          <cell r="E5">
            <v>1</v>
          </cell>
        </row>
      </sheetData>
      <sheetData sheetId="1034">
        <row r="5">
          <cell r="E5">
            <v>1</v>
          </cell>
        </row>
      </sheetData>
      <sheetData sheetId="1035">
        <row r="5">
          <cell r="E5">
            <v>1</v>
          </cell>
        </row>
      </sheetData>
      <sheetData sheetId="1036">
        <row r="5">
          <cell r="E5">
            <v>1</v>
          </cell>
        </row>
      </sheetData>
      <sheetData sheetId="1037">
        <row r="5">
          <cell r="E5">
            <v>1</v>
          </cell>
        </row>
      </sheetData>
      <sheetData sheetId="1038">
        <row r="5">
          <cell r="E5">
            <v>1</v>
          </cell>
        </row>
      </sheetData>
      <sheetData sheetId="1039">
        <row r="5">
          <cell r="E5">
            <v>1</v>
          </cell>
        </row>
      </sheetData>
      <sheetData sheetId="1040">
        <row r="5">
          <cell r="E5">
            <v>1</v>
          </cell>
        </row>
      </sheetData>
      <sheetData sheetId="1041">
        <row r="5">
          <cell r="E5">
            <v>1</v>
          </cell>
        </row>
      </sheetData>
      <sheetData sheetId="1042">
        <row r="5">
          <cell r="E5">
            <v>1</v>
          </cell>
        </row>
      </sheetData>
      <sheetData sheetId="1043">
        <row r="5">
          <cell r="E5">
            <v>1</v>
          </cell>
        </row>
      </sheetData>
      <sheetData sheetId="1044">
        <row r="5">
          <cell r="E5">
            <v>1</v>
          </cell>
        </row>
      </sheetData>
      <sheetData sheetId="1045">
        <row r="5">
          <cell r="E5">
            <v>1</v>
          </cell>
        </row>
      </sheetData>
      <sheetData sheetId="1046">
        <row r="5">
          <cell r="E5">
            <v>1</v>
          </cell>
        </row>
      </sheetData>
      <sheetData sheetId="1047">
        <row r="5">
          <cell r="E5">
            <v>1</v>
          </cell>
        </row>
      </sheetData>
      <sheetData sheetId="1048">
        <row r="5">
          <cell r="E5">
            <v>1</v>
          </cell>
        </row>
      </sheetData>
      <sheetData sheetId="1049">
        <row r="5">
          <cell r="E5">
            <v>1</v>
          </cell>
        </row>
      </sheetData>
      <sheetData sheetId="1050">
        <row r="5">
          <cell r="E5">
            <v>1</v>
          </cell>
        </row>
      </sheetData>
      <sheetData sheetId="1051">
        <row r="5">
          <cell r="E5">
            <v>1</v>
          </cell>
        </row>
      </sheetData>
      <sheetData sheetId="1052">
        <row r="5">
          <cell r="E5">
            <v>1</v>
          </cell>
        </row>
      </sheetData>
      <sheetData sheetId="1053">
        <row r="5">
          <cell r="E5">
            <v>1</v>
          </cell>
        </row>
      </sheetData>
      <sheetData sheetId="1054">
        <row r="5">
          <cell r="E5">
            <v>1</v>
          </cell>
        </row>
      </sheetData>
      <sheetData sheetId="1055">
        <row r="5">
          <cell r="E5">
            <v>1</v>
          </cell>
        </row>
      </sheetData>
      <sheetData sheetId="1056">
        <row r="5">
          <cell r="E5">
            <v>1</v>
          </cell>
        </row>
      </sheetData>
      <sheetData sheetId="1057">
        <row r="5">
          <cell r="E5">
            <v>1</v>
          </cell>
        </row>
      </sheetData>
      <sheetData sheetId="1058">
        <row r="5">
          <cell r="E5">
            <v>1</v>
          </cell>
        </row>
      </sheetData>
      <sheetData sheetId="1059">
        <row r="5">
          <cell r="E5">
            <v>1</v>
          </cell>
        </row>
      </sheetData>
      <sheetData sheetId="1060">
        <row r="5">
          <cell r="E5">
            <v>1</v>
          </cell>
        </row>
      </sheetData>
      <sheetData sheetId="1061">
        <row r="5">
          <cell r="E5">
            <v>1</v>
          </cell>
        </row>
      </sheetData>
      <sheetData sheetId="1062">
        <row r="5">
          <cell r="E5">
            <v>1</v>
          </cell>
        </row>
      </sheetData>
      <sheetData sheetId="1063">
        <row r="5">
          <cell r="E5">
            <v>1</v>
          </cell>
        </row>
      </sheetData>
      <sheetData sheetId="1064">
        <row r="5">
          <cell r="E5">
            <v>1</v>
          </cell>
        </row>
      </sheetData>
      <sheetData sheetId="1065">
        <row r="5">
          <cell r="E5">
            <v>1</v>
          </cell>
        </row>
      </sheetData>
      <sheetData sheetId="1066">
        <row r="5">
          <cell r="E5">
            <v>1</v>
          </cell>
        </row>
      </sheetData>
      <sheetData sheetId="1067">
        <row r="5">
          <cell r="E5">
            <v>1</v>
          </cell>
        </row>
      </sheetData>
      <sheetData sheetId="1068">
        <row r="5">
          <cell r="E5">
            <v>1</v>
          </cell>
        </row>
      </sheetData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>
        <row r="5">
          <cell r="E5">
            <v>1</v>
          </cell>
        </row>
      </sheetData>
      <sheetData sheetId="1188">
        <row r="5">
          <cell r="E5">
            <v>1</v>
          </cell>
        </row>
      </sheetData>
      <sheetData sheetId="1189">
        <row r="5">
          <cell r="E5">
            <v>1</v>
          </cell>
        </row>
      </sheetData>
      <sheetData sheetId="1190">
        <row r="5">
          <cell r="E5">
            <v>1</v>
          </cell>
        </row>
      </sheetData>
      <sheetData sheetId="1191">
        <row r="5">
          <cell r="E5">
            <v>1</v>
          </cell>
        </row>
      </sheetData>
      <sheetData sheetId="1192">
        <row r="5">
          <cell r="E5">
            <v>1</v>
          </cell>
        </row>
      </sheetData>
      <sheetData sheetId="1193">
        <row r="5">
          <cell r="E5">
            <v>1</v>
          </cell>
        </row>
      </sheetData>
      <sheetData sheetId="1194">
        <row r="5">
          <cell r="E5">
            <v>1</v>
          </cell>
        </row>
      </sheetData>
      <sheetData sheetId="1195">
        <row r="5">
          <cell r="E5">
            <v>1</v>
          </cell>
        </row>
      </sheetData>
      <sheetData sheetId="1196">
        <row r="5">
          <cell r="E5">
            <v>1</v>
          </cell>
        </row>
      </sheetData>
      <sheetData sheetId="1197">
        <row r="5">
          <cell r="E5">
            <v>1</v>
          </cell>
        </row>
      </sheetData>
      <sheetData sheetId="1198">
        <row r="5">
          <cell r="E5">
            <v>1</v>
          </cell>
        </row>
      </sheetData>
      <sheetData sheetId="1199">
        <row r="5">
          <cell r="E5">
            <v>1</v>
          </cell>
        </row>
      </sheetData>
      <sheetData sheetId="1200">
        <row r="5">
          <cell r="E5">
            <v>1</v>
          </cell>
        </row>
      </sheetData>
      <sheetData sheetId="1201">
        <row r="5">
          <cell r="E5">
            <v>1</v>
          </cell>
        </row>
      </sheetData>
      <sheetData sheetId="1202">
        <row r="5">
          <cell r="E5">
            <v>1</v>
          </cell>
        </row>
      </sheetData>
      <sheetData sheetId="1203">
        <row r="5">
          <cell r="E5">
            <v>1</v>
          </cell>
        </row>
      </sheetData>
      <sheetData sheetId="1204">
        <row r="5">
          <cell r="E5">
            <v>1</v>
          </cell>
        </row>
      </sheetData>
      <sheetData sheetId="1205">
        <row r="5">
          <cell r="E5">
            <v>1</v>
          </cell>
        </row>
      </sheetData>
      <sheetData sheetId="1206">
        <row r="5">
          <cell r="E5">
            <v>1</v>
          </cell>
        </row>
      </sheetData>
      <sheetData sheetId="1207">
        <row r="5">
          <cell r="E5">
            <v>1</v>
          </cell>
        </row>
      </sheetData>
      <sheetData sheetId="1208">
        <row r="5">
          <cell r="E5">
            <v>1</v>
          </cell>
        </row>
      </sheetData>
      <sheetData sheetId="1209">
        <row r="5">
          <cell r="E5">
            <v>1</v>
          </cell>
        </row>
      </sheetData>
      <sheetData sheetId="1210">
        <row r="5">
          <cell r="E5">
            <v>1</v>
          </cell>
        </row>
      </sheetData>
      <sheetData sheetId="1211">
        <row r="5">
          <cell r="E5">
            <v>1</v>
          </cell>
        </row>
      </sheetData>
      <sheetData sheetId="1212">
        <row r="5">
          <cell r="E5">
            <v>1</v>
          </cell>
        </row>
      </sheetData>
      <sheetData sheetId="1213">
        <row r="5">
          <cell r="E5">
            <v>1</v>
          </cell>
        </row>
      </sheetData>
      <sheetData sheetId="1214">
        <row r="5">
          <cell r="E5">
            <v>1</v>
          </cell>
        </row>
      </sheetData>
      <sheetData sheetId="1215">
        <row r="5">
          <cell r="E5">
            <v>1</v>
          </cell>
        </row>
      </sheetData>
      <sheetData sheetId="1216">
        <row r="5">
          <cell r="E5">
            <v>1</v>
          </cell>
        </row>
      </sheetData>
      <sheetData sheetId="1217">
        <row r="5">
          <cell r="E5">
            <v>1</v>
          </cell>
        </row>
      </sheetData>
      <sheetData sheetId="1218">
        <row r="5">
          <cell r="E5">
            <v>1</v>
          </cell>
        </row>
      </sheetData>
      <sheetData sheetId="1219">
        <row r="5">
          <cell r="E5">
            <v>1</v>
          </cell>
        </row>
      </sheetData>
      <sheetData sheetId="1220">
        <row r="5">
          <cell r="E5">
            <v>1</v>
          </cell>
        </row>
      </sheetData>
      <sheetData sheetId="1221">
        <row r="5">
          <cell r="E5">
            <v>1</v>
          </cell>
        </row>
      </sheetData>
      <sheetData sheetId="1222">
        <row r="5">
          <cell r="E5">
            <v>1</v>
          </cell>
        </row>
      </sheetData>
      <sheetData sheetId="1223">
        <row r="5">
          <cell r="E5">
            <v>1</v>
          </cell>
        </row>
      </sheetData>
      <sheetData sheetId="1224">
        <row r="5">
          <cell r="E5">
            <v>1</v>
          </cell>
        </row>
      </sheetData>
      <sheetData sheetId="1225">
        <row r="5">
          <cell r="E5">
            <v>1</v>
          </cell>
        </row>
      </sheetData>
      <sheetData sheetId="1226">
        <row r="5">
          <cell r="E5">
            <v>1</v>
          </cell>
        </row>
      </sheetData>
      <sheetData sheetId="1227">
        <row r="5">
          <cell r="E5">
            <v>1</v>
          </cell>
        </row>
      </sheetData>
      <sheetData sheetId="1228">
        <row r="5">
          <cell r="E5">
            <v>1</v>
          </cell>
        </row>
      </sheetData>
      <sheetData sheetId="1229">
        <row r="5">
          <cell r="E5">
            <v>1</v>
          </cell>
        </row>
      </sheetData>
      <sheetData sheetId="1230">
        <row r="5">
          <cell r="E5">
            <v>1</v>
          </cell>
        </row>
      </sheetData>
      <sheetData sheetId="1231">
        <row r="5">
          <cell r="E5">
            <v>1</v>
          </cell>
        </row>
      </sheetData>
      <sheetData sheetId="1232">
        <row r="5">
          <cell r="E5">
            <v>1</v>
          </cell>
        </row>
      </sheetData>
      <sheetData sheetId="1233">
        <row r="5">
          <cell r="E5">
            <v>1</v>
          </cell>
        </row>
      </sheetData>
      <sheetData sheetId="1234">
        <row r="5">
          <cell r="E5">
            <v>1</v>
          </cell>
        </row>
      </sheetData>
      <sheetData sheetId="1235">
        <row r="5">
          <cell r="E5">
            <v>1</v>
          </cell>
        </row>
      </sheetData>
      <sheetData sheetId="1236">
        <row r="5">
          <cell r="E5">
            <v>1</v>
          </cell>
        </row>
      </sheetData>
      <sheetData sheetId="1237">
        <row r="5">
          <cell r="E5">
            <v>1</v>
          </cell>
        </row>
      </sheetData>
      <sheetData sheetId="1238">
        <row r="5">
          <cell r="E5">
            <v>1</v>
          </cell>
        </row>
      </sheetData>
      <sheetData sheetId="1239">
        <row r="5">
          <cell r="E5">
            <v>1</v>
          </cell>
        </row>
      </sheetData>
      <sheetData sheetId="1240">
        <row r="5">
          <cell r="E5">
            <v>1</v>
          </cell>
        </row>
      </sheetData>
      <sheetData sheetId="1241">
        <row r="5">
          <cell r="E5">
            <v>1</v>
          </cell>
        </row>
      </sheetData>
      <sheetData sheetId="1242">
        <row r="5">
          <cell r="E5">
            <v>1</v>
          </cell>
        </row>
      </sheetData>
      <sheetData sheetId="1243">
        <row r="5">
          <cell r="E5">
            <v>1</v>
          </cell>
        </row>
      </sheetData>
      <sheetData sheetId="1244">
        <row r="5">
          <cell r="E5">
            <v>1</v>
          </cell>
        </row>
      </sheetData>
      <sheetData sheetId="1245">
        <row r="5">
          <cell r="E5">
            <v>1</v>
          </cell>
        </row>
      </sheetData>
      <sheetData sheetId="1246">
        <row r="5">
          <cell r="E5">
            <v>1</v>
          </cell>
        </row>
      </sheetData>
      <sheetData sheetId="1247">
        <row r="5">
          <cell r="E5">
            <v>1</v>
          </cell>
        </row>
      </sheetData>
      <sheetData sheetId="1248">
        <row r="5">
          <cell r="E5">
            <v>1</v>
          </cell>
        </row>
      </sheetData>
      <sheetData sheetId="1249">
        <row r="5">
          <cell r="E5">
            <v>1</v>
          </cell>
        </row>
      </sheetData>
      <sheetData sheetId="1250">
        <row r="5">
          <cell r="E5">
            <v>1</v>
          </cell>
        </row>
      </sheetData>
      <sheetData sheetId="1251">
        <row r="5">
          <cell r="E5">
            <v>1</v>
          </cell>
        </row>
      </sheetData>
      <sheetData sheetId="1252">
        <row r="5">
          <cell r="E5">
            <v>1</v>
          </cell>
        </row>
      </sheetData>
      <sheetData sheetId="1253">
        <row r="5">
          <cell r="E5">
            <v>1</v>
          </cell>
        </row>
      </sheetData>
      <sheetData sheetId="1254">
        <row r="5">
          <cell r="E5">
            <v>1</v>
          </cell>
        </row>
      </sheetData>
      <sheetData sheetId="1255">
        <row r="5">
          <cell r="E5">
            <v>1</v>
          </cell>
        </row>
      </sheetData>
      <sheetData sheetId="1256">
        <row r="5">
          <cell r="E5">
            <v>1</v>
          </cell>
        </row>
      </sheetData>
      <sheetData sheetId="1257">
        <row r="5">
          <cell r="E5">
            <v>1</v>
          </cell>
        </row>
      </sheetData>
      <sheetData sheetId="1258">
        <row r="5">
          <cell r="E5">
            <v>1</v>
          </cell>
        </row>
      </sheetData>
      <sheetData sheetId="1259">
        <row r="5">
          <cell r="E5">
            <v>1</v>
          </cell>
        </row>
      </sheetData>
      <sheetData sheetId="1260">
        <row r="5">
          <cell r="E5">
            <v>1</v>
          </cell>
        </row>
      </sheetData>
      <sheetData sheetId="1261">
        <row r="5">
          <cell r="E5">
            <v>1</v>
          </cell>
        </row>
      </sheetData>
      <sheetData sheetId="1262">
        <row r="5">
          <cell r="E5">
            <v>1</v>
          </cell>
        </row>
      </sheetData>
      <sheetData sheetId="1263">
        <row r="5">
          <cell r="E5">
            <v>1</v>
          </cell>
        </row>
      </sheetData>
      <sheetData sheetId="1264">
        <row r="5">
          <cell r="E5">
            <v>1</v>
          </cell>
        </row>
      </sheetData>
      <sheetData sheetId="1265">
        <row r="5">
          <cell r="E5">
            <v>1</v>
          </cell>
        </row>
      </sheetData>
      <sheetData sheetId="1266">
        <row r="5">
          <cell r="E5">
            <v>1</v>
          </cell>
        </row>
      </sheetData>
      <sheetData sheetId="1267">
        <row r="5">
          <cell r="E5">
            <v>1</v>
          </cell>
        </row>
      </sheetData>
      <sheetData sheetId="1268">
        <row r="5">
          <cell r="E5">
            <v>1</v>
          </cell>
        </row>
      </sheetData>
      <sheetData sheetId="1269">
        <row r="5">
          <cell r="E5">
            <v>1</v>
          </cell>
        </row>
      </sheetData>
      <sheetData sheetId="1270">
        <row r="5">
          <cell r="E5">
            <v>1</v>
          </cell>
        </row>
      </sheetData>
      <sheetData sheetId="1271">
        <row r="5">
          <cell r="E5">
            <v>1</v>
          </cell>
        </row>
      </sheetData>
      <sheetData sheetId="1272">
        <row r="5">
          <cell r="E5">
            <v>1</v>
          </cell>
        </row>
      </sheetData>
      <sheetData sheetId="1273">
        <row r="5">
          <cell r="E5">
            <v>1</v>
          </cell>
        </row>
      </sheetData>
      <sheetData sheetId="1274">
        <row r="5">
          <cell r="E5">
            <v>1</v>
          </cell>
        </row>
      </sheetData>
      <sheetData sheetId="1275">
        <row r="5">
          <cell r="E5">
            <v>1</v>
          </cell>
        </row>
      </sheetData>
      <sheetData sheetId="1276">
        <row r="5">
          <cell r="E5">
            <v>1</v>
          </cell>
        </row>
      </sheetData>
      <sheetData sheetId="1277">
        <row r="5">
          <cell r="E5">
            <v>1</v>
          </cell>
        </row>
      </sheetData>
      <sheetData sheetId="1278">
        <row r="5">
          <cell r="E5">
            <v>1</v>
          </cell>
        </row>
      </sheetData>
      <sheetData sheetId="1279">
        <row r="5">
          <cell r="E5">
            <v>1</v>
          </cell>
        </row>
      </sheetData>
      <sheetData sheetId="1280">
        <row r="5">
          <cell r="E5">
            <v>1</v>
          </cell>
        </row>
      </sheetData>
      <sheetData sheetId="1281">
        <row r="5">
          <cell r="E5">
            <v>1</v>
          </cell>
        </row>
      </sheetData>
      <sheetData sheetId="1282">
        <row r="5">
          <cell r="E5">
            <v>1</v>
          </cell>
        </row>
      </sheetData>
      <sheetData sheetId="1283">
        <row r="5">
          <cell r="E5">
            <v>1</v>
          </cell>
        </row>
      </sheetData>
      <sheetData sheetId="1284">
        <row r="5">
          <cell r="E5">
            <v>1</v>
          </cell>
        </row>
      </sheetData>
      <sheetData sheetId="1285">
        <row r="5">
          <cell r="E5">
            <v>1</v>
          </cell>
        </row>
      </sheetData>
      <sheetData sheetId="1286">
        <row r="5">
          <cell r="E5">
            <v>1</v>
          </cell>
        </row>
      </sheetData>
      <sheetData sheetId="1287">
        <row r="5">
          <cell r="E5">
            <v>1</v>
          </cell>
        </row>
      </sheetData>
      <sheetData sheetId="1288">
        <row r="5">
          <cell r="E5">
            <v>1</v>
          </cell>
        </row>
      </sheetData>
      <sheetData sheetId="1289">
        <row r="5">
          <cell r="E5">
            <v>1</v>
          </cell>
        </row>
      </sheetData>
      <sheetData sheetId="1290">
        <row r="5">
          <cell r="E5">
            <v>1</v>
          </cell>
        </row>
      </sheetData>
      <sheetData sheetId="1291">
        <row r="5">
          <cell r="E5">
            <v>1</v>
          </cell>
        </row>
      </sheetData>
      <sheetData sheetId="1292">
        <row r="5">
          <cell r="E5">
            <v>1</v>
          </cell>
        </row>
      </sheetData>
      <sheetData sheetId="1293">
        <row r="5">
          <cell r="E5">
            <v>1</v>
          </cell>
        </row>
      </sheetData>
      <sheetData sheetId="1294">
        <row r="5">
          <cell r="E5">
            <v>1</v>
          </cell>
        </row>
      </sheetData>
      <sheetData sheetId="1295">
        <row r="5">
          <cell r="E5">
            <v>1</v>
          </cell>
        </row>
      </sheetData>
      <sheetData sheetId="1296">
        <row r="5">
          <cell r="E5">
            <v>1</v>
          </cell>
        </row>
      </sheetData>
      <sheetData sheetId="1297">
        <row r="5">
          <cell r="E5">
            <v>1</v>
          </cell>
        </row>
      </sheetData>
      <sheetData sheetId="1298">
        <row r="5">
          <cell r="E5">
            <v>1</v>
          </cell>
        </row>
      </sheetData>
      <sheetData sheetId="1299">
        <row r="5">
          <cell r="E5">
            <v>1</v>
          </cell>
        </row>
      </sheetData>
      <sheetData sheetId="1300">
        <row r="5">
          <cell r="E5">
            <v>1</v>
          </cell>
        </row>
      </sheetData>
      <sheetData sheetId="1301">
        <row r="5">
          <cell r="E5">
            <v>1</v>
          </cell>
        </row>
      </sheetData>
      <sheetData sheetId="1302">
        <row r="5">
          <cell r="E5">
            <v>1</v>
          </cell>
        </row>
      </sheetData>
      <sheetData sheetId="1303">
        <row r="5">
          <cell r="E5">
            <v>1</v>
          </cell>
        </row>
      </sheetData>
      <sheetData sheetId="1304">
        <row r="5">
          <cell r="E5">
            <v>1</v>
          </cell>
        </row>
      </sheetData>
      <sheetData sheetId="1305">
        <row r="5">
          <cell r="E5">
            <v>1</v>
          </cell>
        </row>
      </sheetData>
      <sheetData sheetId="1306">
        <row r="5">
          <cell r="E5">
            <v>1</v>
          </cell>
        </row>
      </sheetData>
      <sheetData sheetId="1307">
        <row r="5">
          <cell r="E5">
            <v>1</v>
          </cell>
        </row>
      </sheetData>
      <sheetData sheetId="1308">
        <row r="5">
          <cell r="E5">
            <v>1</v>
          </cell>
        </row>
      </sheetData>
      <sheetData sheetId="1309">
        <row r="5">
          <cell r="E5">
            <v>1</v>
          </cell>
        </row>
      </sheetData>
      <sheetData sheetId="1310">
        <row r="5">
          <cell r="E5">
            <v>1</v>
          </cell>
        </row>
      </sheetData>
      <sheetData sheetId="1311">
        <row r="5">
          <cell r="E5">
            <v>1</v>
          </cell>
        </row>
      </sheetData>
      <sheetData sheetId="1312">
        <row r="5">
          <cell r="E5">
            <v>1</v>
          </cell>
        </row>
      </sheetData>
      <sheetData sheetId="1313">
        <row r="5">
          <cell r="E5">
            <v>1</v>
          </cell>
        </row>
      </sheetData>
      <sheetData sheetId="1314">
        <row r="5">
          <cell r="E5">
            <v>1</v>
          </cell>
        </row>
      </sheetData>
      <sheetData sheetId="1315">
        <row r="5">
          <cell r="E5">
            <v>1</v>
          </cell>
        </row>
      </sheetData>
      <sheetData sheetId="1316">
        <row r="5">
          <cell r="E5">
            <v>1</v>
          </cell>
        </row>
      </sheetData>
      <sheetData sheetId="1317">
        <row r="5">
          <cell r="E5">
            <v>1</v>
          </cell>
        </row>
      </sheetData>
      <sheetData sheetId="1318">
        <row r="5">
          <cell r="E5">
            <v>1</v>
          </cell>
        </row>
      </sheetData>
      <sheetData sheetId="1319">
        <row r="5">
          <cell r="E5">
            <v>1</v>
          </cell>
        </row>
      </sheetData>
      <sheetData sheetId="1320">
        <row r="5">
          <cell r="E5">
            <v>1</v>
          </cell>
        </row>
      </sheetData>
      <sheetData sheetId="1321">
        <row r="5">
          <cell r="E5">
            <v>1</v>
          </cell>
        </row>
      </sheetData>
      <sheetData sheetId="1322">
        <row r="5">
          <cell r="E5">
            <v>1</v>
          </cell>
        </row>
      </sheetData>
      <sheetData sheetId="1323">
        <row r="5">
          <cell r="E5">
            <v>1</v>
          </cell>
        </row>
      </sheetData>
      <sheetData sheetId="1324">
        <row r="5">
          <cell r="E5">
            <v>1</v>
          </cell>
        </row>
      </sheetData>
      <sheetData sheetId="1325">
        <row r="5">
          <cell r="E5">
            <v>1</v>
          </cell>
        </row>
      </sheetData>
      <sheetData sheetId="1326">
        <row r="5">
          <cell r="E5">
            <v>1</v>
          </cell>
        </row>
      </sheetData>
      <sheetData sheetId="1327">
        <row r="5">
          <cell r="E5">
            <v>1</v>
          </cell>
        </row>
      </sheetData>
      <sheetData sheetId="1328">
        <row r="5">
          <cell r="E5">
            <v>1</v>
          </cell>
        </row>
      </sheetData>
      <sheetData sheetId="1329">
        <row r="5">
          <cell r="E5">
            <v>1</v>
          </cell>
        </row>
      </sheetData>
      <sheetData sheetId="1330">
        <row r="5">
          <cell r="E5">
            <v>1</v>
          </cell>
        </row>
      </sheetData>
      <sheetData sheetId="1331">
        <row r="5">
          <cell r="E5">
            <v>1</v>
          </cell>
        </row>
      </sheetData>
      <sheetData sheetId="1332">
        <row r="5">
          <cell r="E5">
            <v>1</v>
          </cell>
        </row>
      </sheetData>
      <sheetData sheetId="1333">
        <row r="5">
          <cell r="E5">
            <v>1</v>
          </cell>
        </row>
      </sheetData>
      <sheetData sheetId="1334">
        <row r="5">
          <cell r="E5">
            <v>1</v>
          </cell>
        </row>
      </sheetData>
      <sheetData sheetId="1335">
        <row r="5">
          <cell r="E5">
            <v>1</v>
          </cell>
        </row>
      </sheetData>
      <sheetData sheetId="1336">
        <row r="5">
          <cell r="E5">
            <v>1</v>
          </cell>
        </row>
      </sheetData>
      <sheetData sheetId="1337">
        <row r="5">
          <cell r="E5">
            <v>1</v>
          </cell>
        </row>
      </sheetData>
      <sheetData sheetId="1338">
        <row r="5">
          <cell r="E5">
            <v>1</v>
          </cell>
        </row>
      </sheetData>
      <sheetData sheetId="1339">
        <row r="5">
          <cell r="E5">
            <v>1</v>
          </cell>
        </row>
      </sheetData>
      <sheetData sheetId="1340">
        <row r="5">
          <cell r="E5">
            <v>1</v>
          </cell>
        </row>
      </sheetData>
      <sheetData sheetId="1341">
        <row r="5">
          <cell r="E5">
            <v>1</v>
          </cell>
        </row>
      </sheetData>
      <sheetData sheetId="1342">
        <row r="5">
          <cell r="E5">
            <v>1</v>
          </cell>
        </row>
      </sheetData>
      <sheetData sheetId="1343">
        <row r="5">
          <cell r="E5">
            <v>1</v>
          </cell>
        </row>
      </sheetData>
      <sheetData sheetId="1344">
        <row r="5">
          <cell r="E5">
            <v>1</v>
          </cell>
        </row>
      </sheetData>
      <sheetData sheetId="1345">
        <row r="5">
          <cell r="E5">
            <v>1</v>
          </cell>
        </row>
      </sheetData>
      <sheetData sheetId="1346">
        <row r="5">
          <cell r="E5">
            <v>1</v>
          </cell>
        </row>
      </sheetData>
      <sheetData sheetId="1347">
        <row r="5">
          <cell r="E5">
            <v>1</v>
          </cell>
        </row>
      </sheetData>
      <sheetData sheetId="1348">
        <row r="5">
          <cell r="E5">
            <v>1</v>
          </cell>
        </row>
      </sheetData>
      <sheetData sheetId="1349">
        <row r="5">
          <cell r="E5">
            <v>1</v>
          </cell>
        </row>
      </sheetData>
      <sheetData sheetId="1350">
        <row r="5">
          <cell r="E5">
            <v>1</v>
          </cell>
        </row>
      </sheetData>
      <sheetData sheetId="1351">
        <row r="5">
          <cell r="E5">
            <v>1</v>
          </cell>
        </row>
      </sheetData>
      <sheetData sheetId="1352">
        <row r="5">
          <cell r="E5">
            <v>1</v>
          </cell>
        </row>
      </sheetData>
      <sheetData sheetId="1353">
        <row r="5">
          <cell r="E5">
            <v>1</v>
          </cell>
        </row>
      </sheetData>
      <sheetData sheetId="1354">
        <row r="5">
          <cell r="E5">
            <v>1</v>
          </cell>
        </row>
      </sheetData>
      <sheetData sheetId="1355">
        <row r="5">
          <cell r="E5">
            <v>1</v>
          </cell>
        </row>
      </sheetData>
      <sheetData sheetId="1356">
        <row r="5">
          <cell r="E5">
            <v>1</v>
          </cell>
        </row>
      </sheetData>
      <sheetData sheetId="1357">
        <row r="5">
          <cell r="E5">
            <v>1</v>
          </cell>
        </row>
      </sheetData>
      <sheetData sheetId="1358">
        <row r="5">
          <cell r="E5">
            <v>1</v>
          </cell>
        </row>
      </sheetData>
      <sheetData sheetId="1359">
        <row r="5">
          <cell r="E5">
            <v>1</v>
          </cell>
        </row>
      </sheetData>
      <sheetData sheetId="1360">
        <row r="5">
          <cell r="E5">
            <v>1</v>
          </cell>
        </row>
      </sheetData>
      <sheetData sheetId="1361">
        <row r="5">
          <cell r="E5">
            <v>1</v>
          </cell>
        </row>
      </sheetData>
      <sheetData sheetId="1362">
        <row r="5">
          <cell r="E5">
            <v>1</v>
          </cell>
        </row>
      </sheetData>
      <sheetData sheetId="1363">
        <row r="5">
          <cell r="E5">
            <v>1</v>
          </cell>
        </row>
      </sheetData>
      <sheetData sheetId="1364">
        <row r="5">
          <cell r="E5">
            <v>1</v>
          </cell>
        </row>
      </sheetData>
      <sheetData sheetId="1365">
        <row r="5">
          <cell r="E5">
            <v>1</v>
          </cell>
        </row>
      </sheetData>
      <sheetData sheetId="1366">
        <row r="5">
          <cell r="E5">
            <v>1</v>
          </cell>
        </row>
      </sheetData>
      <sheetData sheetId="1367">
        <row r="5">
          <cell r="E5">
            <v>1</v>
          </cell>
        </row>
      </sheetData>
      <sheetData sheetId="1368">
        <row r="5">
          <cell r="E5">
            <v>1</v>
          </cell>
        </row>
      </sheetData>
      <sheetData sheetId="1369">
        <row r="5">
          <cell r="E5">
            <v>1</v>
          </cell>
        </row>
      </sheetData>
      <sheetData sheetId="1370">
        <row r="5">
          <cell r="E5">
            <v>1</v>
          </cell>
        </row>
      </sheetData>
      <sheetData sheetId="1371">
        <row r="5">
          <cell r="E5">
            <v>1</v>
          </cell>
        </row>
      </sheetData>
      <sheetData sheetId="1372">
        <row r="5">
          <cell r="E5">
            <v>1</v>
          </cell>
        </row>
      </sheetData>
      <sheetData sheetId="1373">
        <row r="5">
          <cell r="E5">
            <v>1</v>
          </cell>
        </row>
      </sheetData>
      <sheetData sheetId="1374">
        <row r="5">
          <cell r="E5">
            <v>1</v>
          </cell>
        </row>
      </sheetData>
      <sheetData sheetId="1375">
        <row r="5">
          <cell r="E5">
            <v>1</v>
          </cell>
        </row>
      </sheetData>
      <sheetData sheetId="1376">
        <row r="5">
          <cell r="E5">
            <v>1</v>
          </cell>
        </row>
      </sheetData>
      <sheetData sheetId="1377">
        <row r="5">
          <cell r="E5">
            <v>1</v>
          </cell>
        </row>
      </sheetData>
      <sheetData sheetId="1378">
        <row r="5">
          <cell r="E5">
            <v>1</v>
          </cell>
        </row>
      </sheetData>
      <sheetData sheetId="1379">
        <row r="5">
          <cell r="E5">
            <v>1</v>
          </cell>
        </row>
      </sheetData>
      <sheetData sheetId="1380">
        <row r="5">
          <cell r="E5">
            <v>1</v>
          </cell>
        </row>
      </sheetData>
      <sheetData sheetId="1381">
        <row r="5">
          <cell r="E5">
            <v>1</v>
          </cell>
        </row>
      </sheetData>
      <sheetData sheetId="1382">
        <row r="5">
          <cell r="E5">
            <v>1</v>
          </cell>
        </row>
      </sheetData>
      <sheetData sheetId="1383">
        <row r="5">
          <cell r="E5">
            <v>1</v>
          </cell>
        </row>
      </sheetData>
      <sheetData sheetId="1384">
        <row r="5">
          <cell r="E5">
            <v>1</v>
          </cell>
        </row>
      </sheetData>
      <sheetData sheetId="1385">
        <row r="5">
          <cell r="E5">
            <v>1</v>
          </cell>
        </row>
      </sheetData>
      <sheetData sheetId="1386">
        <row r="5">
          <cell r="E5">
            <v>1</v>
          </cell>
        </row>
      </sheetData>
      <sheetData sheetId="1387">
        <row r="5">
          <cell r="E5">
            <v>1</v>
          </cell>
        </row>
      </sheetData>
      <sheetData sheetId="1388">
        <row r="5">
          <cell r="E5">
            <v>1</v>
          </cell>
        </row>
      </sheetData>
      <sheetData sheetId="1389">
        <row r="5">
          <cell r="E5">
            <v>1</v>
          </cell>
        </row>
      </sheetData>
      <sheetData sheetId="1390">
        <row r="5">
          <cell r="E5">
            <v>1</v>
          </cell>
        </row>
      </sheetData>
      <sheetData sheetId="1391">
        <row r="5">
          <cell r="E5">
            <v>1</v>
          </cell>
        </row>
      </sheetData>
      <sheetData sheetId="1392">
        <row r="5">
          <cell r="E5">
            <v>1</v>
          </cell>
        </row>
      </sheetData>
      <sheetData sheetId="1393">
        <row r="5">
          <cell r="E5">
            <v>1</v>
          </cell>
        </row>
      </sheetData>
      <sheetData sheetId="1394">
        <row r="5">
          <cell r="E5">
            <v>1</v>
          </cell>
        </row>
      </sheetData>
      <sheetData sheetId="1395">
        <row r="5">
          <cell r="E5">
            <v>1</v>
          </cell>
        </row>
      </sheetData>
      <sheetData sheetId="1396">
        <row r="5">
          <cell r="E5">
            <v>1</v>
          </cell>
        </row>
      </sheetData>
      <sheetData sheetId="1397">
        <row r="5">
          <cell r="E5">
            <v>1</v>
          </cell>
        </row>
      </sheetData>
      <sheetData sheetId="1398">
        <row r="5">
          <cell r="E5">
            <v>1</v>
          </cell>
        </row>
      </sheetData>
      <sheetData sheetId="1399">
        <row r="5">
          <cell r="E5">
            <v>1</v>
          </cell>
        </row>
      </sheetData>
      <sheetData sheetId="1400">
        <row r="5">
          <cell r="E5">
            <v>1</v>
          </cell>
        </row>
      </sheetData>
      <sheetData sheetId="1401">
        <row r="5">
          <cell r="E5">
            <v>1</v>
          </cell>
        </row>
      </sheetData>
      <sheetData sheetId="1402">
        <row r="5">
          <cell r="E5">
            <v>1</v>
          </cell>
        </row>
      </sheetData>
      <sheetData sheetId="1403">
        <row r="5">
          <cell r="E5">
            <v>1</v>
          </cell>
        </row>
      </sheetData>
      <sheetData sheetId="1404">
        <row r="5">
          <cell r="E5">
            <v>1</v>
          </cell>
        </row>
      </sheetData>
      <sheetData sheetId="1405">
        <row r="5">
          <cell r="E5">
            <v>1</v>
          </cell>
        </row>
      </sheetData>
      <sheetData sheetId="1406">
        <row r="5">
          <cell r="E5">
            <v>1</v>
          </cell>
        </row>
      </sheetData>
      <sheetData sheetId="1407">
        <row r="5">
          <cell r="E5">
            <v>1</v>
          </cell>
        </row>
      </sheetData>
      <sheetData sheetId="1408">
        <row r="5">
          <cell r="E5">
            <v>1</v>
          </cell>
        </row>
      </sheetData>
      <sheetData sheetId="1409">
        <row r="5">
          <cell r="E5">
            <v>1</v>
          </cell>
        </row>
      </sheetData>
      <sheetData sheetId="1410">
        <row r="5">
          <cell r="E5">
            <v>1</v>
          </cell>
        </row>
      </sheetData>
      <sheetData sheetId="1411">
        <row r="5">
          <cell r="E5">
            <v>1</v>
          </cell>
        </row>
      </sheetData>
      <sheetData sheetId="1412">
        <row r="5">
          <cell r="E5">
            <v>1</v>
          </cell>
        </row>
      </sheetData>
      <sheetData sheetId="1413">
        <row r="5">
          <cell r="E5">
            <v>1</v>
          </cell>
        </row>
      </sheetData>
      <sheetData sheetId="1414">
        <row r="5">
          <cell r="E5">
            <v>1</v>
          </cell>
        </row>
      </sheetData>
      <sheetData sheetId="1415">
        <row r="5">
          <cell r="E5">
            <v>1</v>
          </cell>
        </row>
      </sheetData>
      <sheetData sheetId="1416">
        <row r="5">
          <cell r="E5">
            <v>1</v>
          </cell>
        </row>
      </sheetData>
      <sheetData sheetId="1417">
        <row r="5">
          <cell r="E5">
            <v>1</v>
          </cell>
        </row>
      </sheetData>
      <sheetData sheetId="1418">
        <row r="5">
          <cell r="E5">
            <v>1</v>
          </cell>
        </row>
      </sheetData>
      <sheetData sheetId="1419">
        <row r="5">
          <cell r="E5">
            <v>1</v>
          </cell>
        </row>
      </sheetData>
      <sheetData sheetId="1420">
        <row r="5">
          <cell r="E5">
            <v>1</v>
          </cell>
        </row>
      </sheetData>
      <sheetData sheetId="1421">
        <row r="5">
          <cell r="E5">
            <v>1</v>
          </cell>
        </row>
      </sheetData>
      <sheetData sheetId="1422">
        <row r="5">
          <cell r="E5">
            <v>1</v>
          </cell>
        </row>
      </sheetData>
      <sheetData sheetId="1423">
        <row r="5">
          <cell r="E5">
            <v>1</v>
          </cell>
        </row>
      </sheetData>
      <sheetData sheetId="1424">
        <row r="5">
          <cell r="E5">
            <v>1</v>
          </cell>
        </row>
      </sheetData>
      <sheetData sheetId="1425">
        <row r="5">
          <cell r="E5">
            <v>1</v>
          </cell>
        </row>
      </sheetData>
      <sheetData sheetId="1426">
        <row r="5">
          <cell r="E5">
            <v>1</v>
          </cell>
        </row>
      </sheetData>
      <sheetData sheetId="1427">
        <row r="5">
          <cell r="E5">
            <v>1</v>
          </cell>
        </row>
      </sheetData>
      <sheetData sheetId="1428">
        <row r="5">
          <cell r="E5">
            <v>1</v>
          </cell>
        </row>
      </sheetData>
      <sheetData sheetId="1429">
        <row r="5">
          <cell r="E5">
            <v>1</v>
          </cell>
        </row>
      </sheetData>
      <sheetData sheetId="1430">
        <row r="5">
          <cell r="E5">
            <v>1</v>
          </cell>
        </row>
      </sheetData>
      <sheetData sheetId="1431">
        <row r="5">
          <cell r="E5">
            <v>1</v>
          </cell>
        </row>
      </sheetData>
      <sheetData sheetId="1432">
        <row r="5">
          <cell r="E5">
            <v>1</v>
          </cell>
        </row>
      </sheetData>
      <sheetData sheetId="1433">
        <row r="5">
          <cell r="E5">
            <v>1</v>
          </cell>
        </row>
      </sheetData>
      <sheetData sheetId="1434">
        <row r="5">
          <cell r="E5">
            <v>1</v>
          </cell>
        </row>
      </sheetData>
      <sheetData sheetId="1435">
        <row r="5">
          <cell r="E5">
            <v>1</v>
          </cell>
        </row>
      </sheetData>
      <sheetData sheetId="1436">
        <row r="5">
          <cell r="E5">
            <v>1</v>
          </cell>
        </row>
      </sheetData>
      <sheetData sheetId="1437">
        <row r="5">
          <cell r="E5">
            <v>1</v>
          </cell>
        </row>
      </sheetData>
      <sheetData sheetId="1438">
        <row r="5">
          <cell r="E5">
            <v>1</v>
          </cell>
        </row>
      </sheetData>
      <sheetData sheetId="1439">
        <row r="5">
          <cell r="E5">
            <v>1</v>
          </cell>
        </row>
      </sheetData>
      <sheetData sheetId="1440">
        <row r="5">
          <cell r="E5">
            <v>1</v>
          </cell>
        </row>
      </sheetData>
      <sheetData sheetId="1441">
        <row r="5">
          <cell r="E5">
            <v>1</v>
          </cell>
        </row>
      </sheetData>
      <sheetData sheetId="1442">
        <row r="5">
          <cell r="E5">
            <v>1</v>
          </cell>
        </row>
      </sheetData>
      <sheetData sheetId="1443">
        <row r="5">
          <cell r="E5">
            <v>1</v>
          </cell>
        </row>
      </sheetData>
      <sheetData sheetId="1444">
        <row r="5">
          <cell r="E5">
            <v>1</v>
          </cell>
        </row>
      </sheetData>
      <sheetData sheetId="1445">
        <row r="5">
          <cell r="E5">
            <v>1</v>
          </cell>
        </row>
      </sheetData>
      <sheetData sheetId="1446">
        <row r="5">
          <cell r="E5">
            <v>1</v>
          </cell>
        </row>
      </sheetData>
      <sheetData sheetId="1447">
        <row r="5">
          <cell r="E5">
            <v>1</v>
          </cell>
        </row>
      </sheetData>
      <sheetData sheetId="1448">
        <row r="5">
          <cell r="E5">
            <v>1</v>
          </cell>
        </row>
      </sheetData>
      <sheetData sheetId="1449">
        <row r="5">
          <cell r="E5">
            <v>1</v>
          </cell>
        </row>
      </sheetData>
      <sheetData sheetId="1450">
        <row r="5">
          <cell r="E5">
            <v>1</v>
          </cell>
        </row>
      </sheetData>
      <sheetData sheetId="1451">
        <row r="5">
          <cell r="E5">
            <v>1</v>
          </cell>
        </row>
      </sheetData>
      <sheetData sheetId="1452">
        <row r="5">
          <cell r="E5">
            <v>1</v>
          </cell>
        </row>
      </sheetData>
      <sheetData sheetId="1453">
        <row r="5">
          <cell r="E5">
            <v>1</v>
          </cell>
        </row>
      </sheetData>
      <sheetData sheetId="1454">
        <row r="5">
          <cell r="E5">
            <v>1</v>
          </cell>
        </row>
      </sheetData>
      <sheetData sheetId="1455">
        <row r="5">
          <cell r="E5">
            <v>1</v>
          </cell>
        </row>
      </sheetData>
      <sheetData sheetId="1456">
        <row r="5">
          <cell r="E5">
            <v>1</v>
          </cell>
        </row>
      </sheetData>
      <sheetData sheetId="1457">
        <row r="5">
          <cell r="E5">
            <v>1</v>
          </cell>
        </row>
      </sheetData>
      <sheetData sheetId="1458">
        <row r="5">
          <cell r="E5">
            <v>1</v>
          </cell>
        </row>
      </sheetData>
      <sheetData sheetId="1459">
        <row r="5">
          <cell r="E5">
            <v>1</v>
          </cell>
        </row>
      </sheetData>
      <sheetData sheetId="1460">
        <row r="5">
          <cell r="E5">
            <v>1</v>
          </cell>
        </row>
      </sheetData>
      <sheetData sheetId="1461">
        <row r="5">
          <cell r="E5">
            <v>1</v>
          </cell>
        </row>
      </sheetData>
      <sheetData sheetId="1462">
        <row r="5">
          <cell r="E5">
            <v>1</v>
          </cell>
        </row>
      </sheetData>
      <sheetData sheetId="1463">
        <row r="5">
          <cell r="E5">
            <v>1</v>
          </cell>
        </row>
      </sheetData>
      <sheetData sheetId="1464">
        <row r="5">
          <cell r="E5">
            <v>1</v>
          </cell>
        </row>
      </sheetData>
      <sheetData sheetId="1465">
        <row r="5">
          <cell r="E5">
            <v>1</v>
          </cell>
        </row>
      </sheetData>
      <sheetData sheetId="1466">
        <row r="5">
          <cell r="E5">
            <v>1</v>
          </cell>
        </row>
      </sheetData>
      <sheetData sheetId="1467">
        <row r="5">
          <cell r="E5">
            <v>1</v>
          </cell>
        </row>
      </sheetData>
      <sheetData sheetId="1468">
        <row r="5">
          <cell r="E5">
            <v>1</v>
          </cell>
        </row>
      </sheetData>
      <sheetData sheetId="1469">
        <row r="5">
          <cell r="E5">
            <v>1</v>
          </cell>
        </row>
      </sheetData>
      <sheetData sheetId="1470">
        <row r="5">
          <cell r="E5">
            <v>1</v>
          </cell>
        </row>
      </sheetData>
      <sheetData sheetId="1471">
        <row r="5">
          <cell r="E5">
            <v>1</v>
          </cell>
        </row>
      </sheetData>
      <sheetData sheetId="1472">
        <row r="5">
          <cell r="E5">
            <v>1</v>
          </cell>
        </row>
      </sheetData>
      <sheetData sheetId="1473">
        <row r="5">
          <cell r="E5">
            <v>1</v>
          </cell>
        </row>
      </sheetData>
      <sheetData sheetId="1474">
        <row r="5">
          <cell r="E5">
            <v>1</v>
          </cell>
        </row>
      </sheetData>
      <sheetData sheetId="1475">
        <row r="5">
          <cell r="E5">
            <v>1</v>
          </cell>
        </row>
      </sheetData>
      <sheetData sheetId="1476">
        <row r="5">
          <cell r="E5">
            <v>1</v>
          </cell>
        </row>
      </sheetData>
      <sheetData sheetId="1477">
        <row r="5">
          <cell r="E5">
            <v>1</v>
          </cell>
        </row>
      </sheetData>
      <sheetData sheetId="1478">
        <row r="5">
          <cell r="E5">
            <v>1</v>
          </cell>
        </row>
      </sheetData>
      <sheetData sheetId="1479">
        <row r="5">
          <cell r="E5">
            <v>1</v>
          </cell>
        </row>
      </sheetData>
      <sheetData sheetId="1480">
        <row r="5">
          <cell r="E5">
            <v>1</v>
          </cell>
        </row>
      </sheetData>
      <sheetData sheetId="1481">
        <row r="5">
          <cell r="E5">
            <v>1</v>
          </cell>
        </row>
      </sheetData>
      <sheetData sheetId="1482">
        <row r="5">
          <cell r="E5">
            <v>1</v>
          </cell>
        </row>
      </sheetData>
      <sheetData sheetId="1483">
        <row r="5">
          <cell r="E5">
            <v>1</v>
          </cell>
        </row>
      </sheetData>
      <sheetData sheetId="1484">
        <row r="5">
          <cell r="E5">
            <v>1</v>
          </cell>
        </row>
      </sheetData>
      <sheetData sheetId="1485">
        <row r="5">
          <cell r="E5">
            <v>1</v>
          </cell>
        </row>
      </sheetData>
      <sheetData sheetId="1486">
        <row r="5">
          <cell r="E5">
            <v>1</v>
          </cell>
        </row>
      </sheetData>
      <sheetData sheetId="1487">
        <row r="5">
          <cell r="E5">
            <v>1</v>
          </cell>
        </row>
      </sheetData>
      <sheetData sheetId="1488">
        <row r="5">
          <cell r="E5">
            <v>1</v>
          </cell>
        </row>
      </sheetData>
      <sheetData sheetId="1489">
        <row r="5">
          <cell r="E5">
            <v>1</v>
          </cell>
        </row>
      </sheetData>
      <sheetData sheetId="1490">
        <row r="5">
          <cell r="E5">
            <v>1</v>
          </cell>
        </row>
      </sheetData>
      <sheetData sheetId="1491">
        <row r="5">
          <cell r="E5">
            <v>1</v>
          </cell>
        </row>
      </sheetData>
      <sheetData sheetId="1492">
        <row r="5">
          <cell r="E5">
            <v>1</v>
          </cell>
        </row>
      </sheetData>
      <sheetData sheetId="1493">
        <row r="5">
          <cell r="E5">
            <v>1</v>
          </cell>
        </row>
      </sheetData>
      <sheetData sheetId="1494">
        <row r="5">
          <cell r="E5">
            <v>1</v>
          </cell>
        </row>
      </sheetData>
      <sheetData sheetId="1495">
        <row r="5">
          <cell r="E5">
            <v>1</v>
          </cell>
        </row>
      </sheetData>
      <sheetData sheetId="1496">
        <row r="5">
          <cell r="E5">
            <v>1</v>
          </cell>
        </row>
      </sheetData>
      <sheetData sheetId="1497">
        <row r="5">
          <cell r="E5">
            <v>1</v>
          </cell>
        </row>
      </sheetData>
      <sheetData sheetId="1498">
        <row r="5">
          <cell r="E5">
            <v>1</v>
          </cell>
        </row>
      </sheetData>
      <sheetData sheetId="1499">
        <row r="5">
          <cell r="E5">
            <v>1</v>
          </cell>
        </row>
      </sheetData>
      <sheetData sheetId="1500">
        <row r="5">
          <cell r="E5">
            <v>1</v>
          </cell>
        </row>
      </sheetData>
      <sheetData sheetId="1501">
        <row r="5">
          <cell r="E5">
            <v>1</v>
          </cell>
        </row>
      </sheetData>
      <sheetData sheetId="1502">
        <row r="5">
          <cell r="E5">
            <v>1</v>
          </cell>
        </row>
      </sheetData>
      <sheetData sheetId="1503">
        <row r="5">
          <cell r="E5">
            <v>1</v>
          </cell>
        </row>
      </sheetData>
      <sheetData sheetId="1504">
        <row r="5">
          <cell r="E5">
            <v>1</v>
          </cell>
        </row>
      </sheetData>
      <sheetData sheetId="1505">
        <row r="5">
          <cell r="E5">
            <v>1</v>
          </cell>
        </row>
      </sheetData>
      <sheetData sheetId="1506">
        <row r="5">
          <cell r="E5">
            <v>1</v>
          </cell>
        </row>
      </sheetData>
      <sheetData sheetId="1507">
        <row r="5">
          <cell r="E5">
            <v>1</v>
          </cell>
        </row>
      </sheetData>
      <sheetData sheetId="1508">
        <row r="5">
          <cell r="E5">
            <v>1</v>
          </cell>
        </row>
      </sheetData>
      <sheetData sheetId="1509">
        <row r="5">
          <cell r="E5">
            <v>1</v>
          </cell>
        </row>
      </sheetData>
      <sheetData sheetId="1510">
        <row r="5">
          <cell r="E5">
            <v>1</v>
          </cell>
        </row>
      </sheetData>
      <sheetData sheetId="1511">
        <row r="5">
          <cell r="E5">
            <v>1</v>
          </cell>
        </row>
      </sheetData>
      <sheetData sheetId="1512">
        <row r="5">
          <cell r="E5">
            <v>1</v>
          </cell>
        </row>
      </sheetData>
      <sheetData sheetId="1513">
        <row r="5">
          <cell r="E5">
            <v>1</v>
          </cell>
        </row>
      </sheetData>
      <sheetData sheetId="1514">
        <row r="5">
          <cell r="E5">
            <v>1</v>
          </cell>
        </row>
      </sheetData>
      <sheetData sheetId="1515">
        <row r="5">
          <cell r="E5">
            <v>1</v>
          </cell>
        </row>
      </sheetData>
      <sheetData sheetId="1516">
        <row r="5">
          <cell r="E5">
            <v>1</v>
          </cell>
        </row>
      </sheetData>
      <sheetData sheetId="1517">
        <row r="5">
          <cell r="E5">
            <v>1</v>
          </cell>
        </row>
      </sheetData>
      <sheetData sheetId="1518">
        <row r="5">
          <cell r="E5">
            <v>1</v>
          </cell>
        </row>
      </sheetData>
      <sheetData sheetId="1519">
        <row r="5">
          <cell r="E5">
            <v>1</v>
          </cell>
        </row>
      </sheetData>
      <sheetData sheetId="1520">
        <row r="5">
          <cell r="E5">
            <v>1</v>
          </cell>
        </row>
      </sheetData>
      <sheetData sheetId="1521">
        <row r="5">
          <cell r="E5">
            <v>1</v>
          </cell>
        </row>
      </sheetData>
      <sheetData sheetId="1522">
        <row r="5">
          <cell r="E5">
            <v>1</v>
          </cell>
        </row>
      </sheetData>
      <sheetData sheetId="1523">
        <row r="5">
          <cell r="E5">
            <v>1</v>
          </cell>
        </row>
      </sheetData>
      <sheetData sheetId="1524">
        <row r="5">
          <cell r="E5">
            <v>1</v>
          </cell>
        </row>
      </sheetData>
      <sheetData sheetId="1525">
        <row r="5">
          <cell r="E5">
            <v>1</v>
          </cell>
        </row>
      </sheetData>
      <sheetData sheetId="1526">
        <row r="5">
          <cell r="E5">
            <v>1</v>
          </cell>
        </row>
      </sheetData>
      <sheetData sheetId="1527">
        <row r="5">
          <cell r="E5">
            <v>1</v>
          </cell>
        </row>
      </sheetData>
      <sheetData sheetId="1528">
        <row r="5">
          <cell r="E5">
            <v>1</v>
          </cell>
        </row>
      </sheetData>
      <sheetData sheetId="1529">
        <row r="5">
          <cell r="E5">
            <v>1</v>
          </cell>
        </row>
      </sheetData>
      <sheetData sheetId="1530">
        <row r="5">
          <cell r="E5">
            <v>1</v>
          </cell>
        </row>
      </sheetData>
      <sheetData sheetId="1531">
        <row r="5">
          <cell r="E5">
            <v>1</v>
          </cell>
        </row>
      </sheetData>
      <sheetData sheetId="1532">
        <row r="5">
          <cell r="E5">
            <v>1</v>
          </cell>
        </row>
      </sheetData>
      <sheetData sheetId="1533">
        <row r="5">
          <cell r="E5">
            <v>1</v>
          </cell>
        </row>
      </sheetData>
      <sheetData sheetId="1534">
        <row r="5">
          <cell r="E5">
            <v>1</v>
          </cell>
        </row>
      </sheetData>
      <sheetData sheetId="1535">
        <row r="5">
          <cell r="E5">
            <v>1</v>
          </cell>
        </row>
      </sheetData>
      <sheetData sheetId="1536">
        <row r="5">
          <cell r="E5">
            <v>1</v>
          </cell>
        </row>
      </sheetData>
      <sheetData sheetId="1537">
        <row r="5">
          <cell r="E5">
            <v>1</v>
          </cell>
        </row>
      </sheetData>
      <sheetData sheetId="1538">
        <row r="5">
          <cell r="E5">
            <v>1</v>
          </cell>
        </row>
      </sheetData>
      <sheetData sheetId="1539">
        <row r="5">
          <cell r="E5">
            <v>1</v>
          </cell>
        </row>
      </sheetData>
      <sheetData sheetId="1540">
        <row r="5">
          <cell r="E5">
            <v>1</v>
          </cell>
        </row>
      </sheetData>
      <sheetData sheetId="1541">
        <row r="5">
          <cell r="E5">
            <v>1</v>
          </cell>
        </row>
      </sheetData>
      <sheetData sheetId="1542">
        <row r="5">
          <cell r="E5">
            <v>1</v>
          </cell>
        </row>
      </sheetData>
      <sheetData sheetId="1543">
        <row r="5">
          <cell r="E5">
            <v>1</v>
          </cell>
        </row>
      </sheetData>
      <sheetData sheetId="1544">
        <row r="5">
          <cell r="E5">
            <v>1</v>
          </cell>
        </row>
      </sheetData>
      <sheetData sheetId="1545">
        <row r="5">
          <cell r="E5">
            <v>1</v>
          </cell>
        </row>
      </sheetData>
      <sheetData sheetId="1546">
        <row r="5">
          <cell r="E5">
            <v>1</v>
          </cell>
        </row>
      </sheetData>
      <sheetData sheetId="1547">
        <row r="5">
          <cell r="E5">
            <v>1</v>
          </cell>
        </row>
      </sheetData>
      <sheetData sheetId="1548">
        <row r="5">
          <cell r="E5">
            <v>1</v>
          </cell>
        </row>
      </sheetData>
      <sheetData sheetId="1549">
        <row r="5">
          <cell r="E5">
            <v>1</v>
          </cell>
        </row>
      </sheetData>
      <sheetData sheetId="1550">
        <row r="5">
          <cell r="E5">
            <v>1</v>
          </cell>
        </row>
      </sheetData>
      <sheetData sheetId="1551">
        <row r="5">
          <cell r="E5">
            <v>1</v>
          </cell>
        </row>
      </sheetData>
      <sheetData sheetId="1552">
        <row r="5">
          <cell r="E5">
            <v>1</v>
          </cell>
        </row>
      </sheetData>
      <sheetData sheetId="1553">
        <row r="5">
          <cell r="E5">
            <v>1</v>
          </cell>
        </row>
      </sheetData>
      <sheetData sheetId="1554">
        <row r="5">
          <cell r="E5">
            <v>1</v>
          </cell>
        </row>
      </sheetData>
      <sheetData sheetId="1555">
        <row r="5">
          <cell r="E5">
            <v>1</v>
          </cell>
        </row>
      </sheetData>
      <sheetData sheetId="1556">
        <row r="5">
          <cell r="E5">
            <v>1</v>
          </cell>
        </row>
      </sheetData>
      <sheetData sheetId="1557">
        <row r="5">
          <cell r="E5">
            <v>1</v>
          </cell>
        </row>
      </sheetData>
      <sheetData sheetId="1558">
        <row r="5">
          <cell r="E5">
            <v>1</v>
          </cell>
        </row>
      </sheetData>
      <sheetData sheetId="1559">
        <row r="5">
          <cell r="E5">
            <v>1</v>
          </cell>
        </row>
      </sheetData>
      <sheetData sheetId="1560">
        <row r="5">
          <cell r="E5">
            <v>1</v>
          </cell>
        </row>
      </sheetData>
      <sheetData sheetId="1561">
        <row r="5">
          <cell r="E5">
            <v>1</v>
          </cell>
        </row>
      </sheetData>
      <sheetData sheetId="1562">
        <row r="5">
          <cell r="E5">
            <v>1</v>
          </cell>
        </row>
      </sheetData>
      <sheetData sheetId="1563">
        <row r="5">
          <cell r="E5">
            <v>1</v>
          </cell>
        </row>
      </sheetData>
      <sheetData sheetId="1564">
        <row r="5">
          <cell r="E5">
            <v>1</v>
          </cell>
        </row>
      </sheetData>
      <sheetData sheetId="1565">
        <row r="5">
          <cell r="E5">
            <v>1</v>
          </cell>
        </row>
      </sheetData>
      <sheetData sheetId="1566">
        <row r="5">
          <cell r="E5">
            <v>1</v>
          </cell>
        </row>
      </sheetData>
      <sheetData sheetId="1567">
        <row r="5">
          <cell r="E5">
            <v>1</v>
          </cell>
        </row>
      </sheetData>
      <sheetData sheetId="1568">
        <row r="5">
          <cell r="E5">
            <v>1</v>
          </cell>
        </row>
      </sheetData>
      <sheetData sheetId="1569">
        <row r="5">
          <cell r="E5">
            <v>1</v>
          </cell>
        </row>
      </sheetData>
      <sheetData sheetId="1570">
        <row r="5">
          <cell r="E5">
            <v>1</v>
          </cell>
        </row>
      </sheetData>
      <sheetData sheetId="1571">
        <row r="5">
          <cell r="E5">
            <v>1</v>
          </cell>
        </row>
      </sheetData>
      <sheetData sheetId="1572">
        <row r="5">
          <cell r="E5">
            <v>1</v>
          </cell>
        </row>
      </sheetData>
      <sheetData sheetId="1573">
        <row r="5">
          <cell r="E5">
            <v>1</v>
          </cell>
        </row>
      </sheetData>
      <sheetData sheetId="1574">
        <row r="5">
          <cell r="E5">
            <v>1</v>
          </cell>
        </row>
      </sheetData>
      <sheetData sheetId="1575">
        <row r="5">
          <cell r="E5">
            <v>1</v>
          </cell>
        </row>
      </sheetData>
      <sheetData sheetId="1576">
        <row r="5">
          <cell r="E5">
            <v>1</v>
          </cell>
        </row>
      </sheetData>
      <sheetData sheetId="1577">
        <row r="5">
          <cell r="E5">
            <v>1</v>
          </cell>
        </row>
      </sheetData>
      <sheetData sheetId="1578">
        <row r="5">
          <cell r="E5">
            <v>1</v>
          </cell>
        </row>
      </sheetData>
      <sheetData sheetId="1579">
        <row r="5">
          <cell r="E5">
            <v>1</v>
          </cell>
        </row>
      </sheetData>
      <sheetData sheetId="1580">
        <row r="5">
          <cell r="E5">
            <v>1</v>
          </cell>
        </row>
      </sheetData>
      <sheetData sheetId="1581">
        <row r="5">
          <cell r="E5">
            <v>1</v>
          </cell>
        </row>
      </sheetData>
      <sheetData sheetId="1582">
        <row r="5">
          <cell r="E5">
            <v>1</v>
          </cell>
        </row>
      </sheetData>
      <sheetData sheetId="1583">
        <row r="5">
          <cell r="E5">
            <v>1</v>
          </cell>
        </row>
      </sheetData>
      <sheetData sheetId="1584">
        <row r="5">
          <cell r="E5">
            <v>1</v>
          </cell>
        </row>
      </sheetData>
      <sheetData sheetId="1585">
        <row r="5">
          <cell r="E5">
            <v>1</v>
          </cell>
        </row>
      </sheetData>
      <sheetData sheetId="1586">
        <row r="5">
          <cell r="E5">
            <v>1</v>
          </cell>
        </row>
      </sheetData>
      <sheetData sheetId="1587">
        <row r="5">
          <cell r="E5">
            <v>1</v>
          </cell>
        </row>
      </sheetData>
      <sheetData sheetId="1588">
        <row r="5">
          <cell r="E5">
            <v>1</v>
          </cell>
        </row>
      </sheetData>
      <sheetData sheetId="1589">
        <row r="5">
          <cell r="E5">
            <v>1</v>
          </cell>
        </row>
      </sheetData>
      <sheetData sheetId="1590">
        <row r="5">
          <cell r="E5">
            <v>1</v>
          </cell>
        </row>
      </sheetData>
      <sheetData sheetId="1591">
        <row r="5">
          <cell r="E5">
            <v>1</v>
          </cell>
        </row>
      </sheetData>
      <sheetData sheetId="1592">
        <row r="5">
          <cell r="E5">
            <v>1</v>
          </cell>
        </row>
      </sheetData>
      <sheetData sheetId="1593">
        <row r="5">
          <cell r="E5">
            <v>1</v>
          </cell>
        </row>
      </sheetData>
      <sheetData sheetId="1594">
        <row r="5">
          <cell r="E5">
            <v>1</v>
          </cell>
        </row>
      </sheetData>
      <sheetData sheetId="1595">
        <row r="5">
          <cell r="E5">
            <v>1</v>
          </cell>
        </row>
      </sheetData>
      <sheetData sheetId="1596">
        <row r="5">
          <cell r="E5">
            <v>1</v>
          </cell>
        </row>
      </sheetData>
      <sheetData sheetId="1597">
        <row r="5">
          <cell r="E5">
            <v>1</v>
          </cell>
        </row>
      </sheetData>
      <sheetData sheetId="1598">
        <row r="5">
          <cell r="E5">
            <v>1</v>
          </cell>
        </row>
      </sheetData>
      <sheetData sheetId="1599">
        <row r="5">
          <cell r="E5">
            <v>1</v>
          </cell>
        </row>
      </sheetData>
      <sheetData sheetId="1600">
        <row r="5">
          <cell r="E5">
            <v>1</v>
          </cell>
        </row>
      </sheetData>
      <sheetData sheetId="1601">
        <row r="5">
          <cell r="E5">
            <v>1</v>
          </cell>
        </row>
      </sheetData>
      <sheetData sheetId="1602">
        <row r="5">
          <cell r="E5">
            <v>1</v>
          </cell>
        </row>
      </sheetData>
      <sheetData sheetId="1603">
        <row r="5">
          <cell r="E5">
            <v>1</v>
          </cell>
        </row>
      </sheetData>
      <sheetData sheetId="1604">
        <row r="5">
          <cell r="E5">
            <v>1</v>
          </cell>
        </row>
      </sheetData>
      <sheetData sheetId="1605">
        <row r="5">
          <cell r="E5">
            <v>1</v>
          </cell>
        </row>
      </sheetData>
      <sheetData sheetId="1606">
        <row r="5">
          <cell r="E5">
            <v>1</v>
          </cell>
        </row>
      </sheetData>
      <sheetData sheetId="1607">
        <row r="5">
          <cell r="E5">
            <v>1</v>
          </cell>
        </row>
      </sheetData>
      <sheetData sheetId="1608">
        <row r="5">
          <cell r="E5">
            <v>1</v>
          </cell>
        </row>
      </sheetData>
      <sheetData sheetId="1609">
        <row r="5">
          <cell r="E5">
            <v>1</v>
          </cell>
        </row>
      </sheetData>
      <sheetData sheetId="1610">
        <row r="5">
          <cell r="E5">
            <v>1</v>
          </cell>
        </row>
      </sheetData>
      <sheetData sheetId="1611">
        <row r="5">
          <cell r="E5">
            <v>1</v>
          </cell>
        </row>
      </sheetData>
      <sheetData sheetId="1612">
        <row r="5">
          <cell r="E5">
            <v>1</v>
          </cell>
        </row>
      </sheetData>
      <sheetData sheetId="1613">
        <row r="5">
          <cell r="E5">
            <v>1</v>
          </cell>
        </row>
      </sheetData>
      <sheetData sheetId="1614">
        <row r="5">
          <cell r="E5">
            <v>1</v>
          </cell>
        </row>
      </sheetData>
      <sheetData sheetId="1615">
        <row r="5">
          <cell r="E5">
            <v>1</v>
          </cell>
        </row>
      </sheetData>
      <sheetData sheetId="1616">
        <row r="5">
          <cell r="E5">
            <v>1</v>
          </cell>
        </row>
      </sheetData>
      <sheetData sheetId="1617">
        <row r="5">
          <cell r="E5">
            <v>1</v>
          </cell>
        </row>
      </sheetData>
      <sheetData sheetId="1618">
        <row r="5">
          <cell r="E5">
            <v>1</v>
          </cell>
        </row>
      </sheetData>
      <sheetData sheetId="1619">
        <row r="5">
          <cell r="E5">
            <v>1</v>
          </cell>
        </row>
      </sheetData>
      <sheetData sheetId="1620">
        <row r="5">
          <cell r="E5">
            <v>1</v>
          </cell>
        </row>
      </sheetData>
      <sheetData sheetId="1621">
        <row r="5">
          <cell r="E5">
            <v>1</v>
          </cell>
        </row>
      </sheetData>
      <sheetData sheetId="1622">
        <row r="5">
          <cell r="E5">
            <v>1</v>
          </cell>
        </row>
      </sheetData>
      <sheetData sheetId="1623">
        <row r="5">
          <cell r="E5">
            <v>1</v>
          </cell>
        </row>
      </sheetData>
      <sheetData sheetId="1624">
        <row r="5">
          <cell r="E5">
            <v>1</v>
          </cell>
        </row>
      </sheetData>
      <sheetData sheetId="1625">
        <row r="5">
          <cell r="E5">
            <v>1</v>
          </cell>
        </row>
      </sheetData>
      <sheetData sheetId="1626">
        <row r="5">
          <cell r="E5">
            <v>1</v>
          </cell>
        </row>
      </sheetData>
      <sheetData sheetId="1627">
        <row r="5">
          <cell r="E5">
            <v>1</v>
          </cell>
        </row>
      </sheetData>
      <sheetData sheetId="1628">
        <row r="5">
          <cell r="E5">
            <v>1</v>
          </cell>
        </row>
      </sheetData>
      <sheetData sheetId="1629">
        <row r="5">
          <cell r="E5">
            <v>1</v>
          </cell>
        </row>
      </sheetData>
      <sheetData sheetId="1630">
        <row r="5">
          <cell r="E5">
            <v>1</v>
          </cell>
        </row>
      </sheetData>
      <sheetData sheetId="1631">
        <row r="5">
          <cell r="E5">
            <v>1</v>
          </cell>
        </row>
      </sheetData>
      <sheetData sheetId="1632">
        <row r="5">
          <cell r="E5">
            <v>1</v>
          </cell>
        </row>
      </sheetData>
      <sheetData sheetId="1633">
        <row r="5">
          <cell r="E5">
            <v>1</v>
          </cell>
        </row>
      </sheetData>
      <sheetData sheetId="1634">
        <row r="5">
          <cell r="E5">
            <v>1</v>
          </cell>
        </row>
      </sheetData>
      <sheetData sheetId="1635">
        <row r="5">
          <cell r="E5">
            <v>1</v>
          </cell>
        </row>
      </sheetData>
      <sheetData sheetId="1636">
        <row r="5">
          <cell r="E5">
            <v>1</v>
          </cell>
        </row>
      </sheetData>
      <sheetData sheetId="1637">
        <row r="5">
          <cell r="E5">
            <v>1</v>
          </cell>
        </row>
      </sheetData>
      <sheetData sheetId="1638">
        <row r="5">
          <cell r="E5">
            <v>1</v>
          </cell>
        </row>
      </sheetData>
      <sheetData sheetId="1639">
        <row r="5">
          <cell r="E5">
            <v>1</v>
          </cell>
        </row>
      </sheetData>
      <sheetData sheetId="1640">
        <row r="5">
          <cell r="E5">
            <v>1</v>
          </cell>
        </row>
      </sheetData>
      <sheetData sheetId="1641">
        <row r="5">
          <cell r="E5">
            <v>1</v>
          </cell>
        </row>
      </sheetData>
      <sheetData sheetId="1642">
        <row r="5">
          <cell r="E5">
            <v>1</v>
          </cell>
        </row>
      </sheetData>
      <sheetData sheetId="1643">
        <row r="5">
          <cell r="E5">
            <v>1</v>
          </cell>
        </row>
      </sheetData>
      <sheetData sheetId="1644">
        <row r="5">
          <cell r="E5">
            <v>1</v>
          </cell>
        </row>
      </sheetData>
      <sheetData sheetId="1645">
        <row r="5">
          <cell r="E5">
            <v>1</v>
          </cell>
        </row>
      </sheetData>
      <sheetData sheetId="1646">
        <row r="5">
          <cell r="E5">
            <v>1</v>
          </cell>
        </row>
      </sheetData>
      <sheetData sheetId="1647">
        <row r="5">
          <cell r="E5">
            <v>1</v>
          </cell>
        </row>
      </sheetData>
      <sheetData sheetId="1648">
        <row r="5">
          <cell r="E5">
            <v>1</v>
          </cell>
        </row>
      </sheetData>
      <sheetData sheetId="1649">
        <row r="5">
          <cell r="E5">
            <v>1</v>
          </cell>
        </row>
      </sheetData>
      <sheetData sheetId="1650">
        <row r="5">
          <cell r="E5">
            <v>1</v>
          </cell>
        </row>
      </sheetData>
      <sheetData sheetId="1651">
        <row r="5">
          <cell r="E5">
            <v>1</v>
          </cell>
        </row>
      </sheetData>
      <sheetData sheetId="1652">
        <row r="5">
          <cell r="E5">
            <v>1</v>
          </cell>
        </row>
      </sheetData>
      <sheetData sheetId="1653">
        <row r="5">
          <cell r="E5">
            <v>1</v>
          </cell>
        </row>
      </sheetData>
      <sheetData sheetId="1654">
        <row r="5">
          <cell r="E5">
            <v>1</v>
          </cell>
        </row>
      </sheetData>
      <sheetData sheetId="1655">
        <row r="5">
          <cell r="E5">
            <v>1</v>
          </cell>
        </row>
      </sheetData>
      <sheetData sheetId="1656">
        <row r="5">
          <cell r="E5">
            <v>1</v>
          </cell>
        </row>
      </sheetData>
      <sheetData sheetId="1657">
        <row r="5">
          <cell r="E5">
            <v>1</v>
          </cell>
        </row>
      </sheetData>
      <sheetData sheetId="1658">
        <row r="5">
          <cell r="E5">
            <v>1</v>
          </cell>
        </row>
      </sheetData>
      <sheetData sheetId="1659">
        <row r="5">
          <cell r="E5">
            <v>1</v>
          </cell>
        </row>
      </sheetData>
      <sheetData sheetId="1660">
        <row r="5">
          <cell r="E5">
            <v>1</v>
          </cell>
        </row>
      </sheetData>
      <sheetData sheetId="1661">
        <row r="5">
          <cell r="E5">
            <v>1</v>
          </cell>
        </row>
      </sheetData>
      <sheetData sheetId="1662">
        <row r="5">
          <cell r="E5">
            <v>1</v>
          </cell>
        </row>
      </sheetData>
      <sheetData sheetId="1663">
        <row r="5">
          <cell r="E5">
            <v>1</v>
          </cell>
        </row>
      </sheetData>
      <sheetData sheetId="1664">
        <row r="5">
          <cell r="E5">
            <v>1</v>
          </cell>
        </row>
      </sheetData>
      <sheetData sheetId="1665">
        <row r="5">
          <cell r="E5">
            <v>1</v>
          </cell>
        </row>
      </sheetData>
      <sheetData sheetId="1666">
        <row r="5">
          <cell r="E5">
            <v>1</v>
          </cell>
        </row>
      </sheetData>
      <sheetData sheetId="1667">
        <row r="5">
          <cell r="E5">
            <v>1</v>
          </cell>
        </row>
      </sheetData>
      <sheetData sheetId="1668">
        <row r="5">
          <cell r="E5">
            <v>1</v>
          </cell>
        </row>
      </sheetData>
      <sheetData sheetId="1669">
        <row r="5">
          <cell r="E5">
            <v>1</v>
          </cell>
        </row>
      </sheetData>
      <sheetData sheetId="1670">
        <row r="5">
          <cell r="E5">
            <v>1</v>
          </cell>
        </row>
      </sheetData>
      <sheetData sheetId="1671">
        <row r="5">
          <cell r="E5">
            <v>1</v>
          </cell>
        </row>
      </sheetData>
      <sheetData sheetId="1672">
        <row r="5">
          <cell r="E5">
            <v>1</v>
          </cell>
        </row>
      </sheetData>
      <sheetData sheetId="1673">
        <row r="5">
          <cell r="E5">
            <v>1</v>
          </cell>
        </row>
      </sheetData>
      <sheetData sheetId="1674">
        <row r="5">
          <cell r="E5">
            <v>1</v>
          </cell>
        </row>
      </sheetData>
      <sheetData sheetId="1675">
        <row r="5">
          <cell r="E5">
            <v>1</v>
          </cell>
        </row>
      </sheetData>
      <sheetData sheetId="1676">
        <row r="5">
          <cell r="E5">
            <v>1</v>
          </cell>
        </row>
      </sheetData>
      <sheetData sheetId="1677">
        <row r="5">
          <cell r="E5">
            <v>1</v>
          </cell>
        </row>
      </sheetData>
      <sheetData sheetId="1678">
        <row r="5">
          <cell r="E5">
            <v>1</v>
          </cell>
        </row>
      </sheetData>
      <sheetData sheetId="1679">
        <row r="5">
          <cell r="E5">
            <v>1</v>
          </cell>
        </row>
      </sheetData>
      <sheetData sheetId="1680">
        <row r="5">
          <cell r="E5">
            <v>1</v>
          </cell>
        </row>
      </sheetData>
      <sheetData sheetId="1681">
        <row r="5">
          <cell r="E5">
            <v>1</v>
          </cell>
        </row>
      </sheetData>
      <sheetData sheetId="1682">
        <row r="5">
          <cell r="E5">
            <v>1</v>
          </cell>
        </row>
      </sheetData>
      <sheetData sheetId="1683">
        <row r="5">
          <cell r="E5">
            <v>1</v>
          </cell>
        </row>
      </sheetData>
      <sheetData sheetId="1684">
        <row r="5">
          <cell r="E5">
            <v>1</v>
          </cell>
        </row>
      </sheetData>
      <sheetData sheetId="1685">
        <row r="5">
          <cell r="E5">
            <v>1</v>
          </cell>
        </row>
      </sheetData>
      <sheetData sheetId="1686">
        <row r="5">
          <cell r="E5">
            <v>1</v>
          </cell>
        </row>
      </sheetData>
      <sheetData sheetId="1687">
        <row r="5">
          <cell r="E5">
            <v>1</v>
          </cell>
        </row>
      </sheetData>
      <sheetData sheetId="1688">
        <row r="5">
          <cell r="E5">
            <v>1</v>
          </cell>
        </row>
      </sheetData>
      <sheetData sheetId="1689">
        <row r="5">
          <cell r="E5">
            <v>1</v>
          </cell>
        </row>
      </sheetData>
      <sheetData sheetId="1690">
        <row r="5">
          <cell r="E5">
            <v>1</v>
          </cell>
        </row>
      </sheetData>
      <sheetData sheetId="1691">
        <row r="5">
          <cell r="E5">
            <v>1</v>
          </cell>
        </row>
      </sheetData>
      <sheetData sheetId="1692">
        <row r="5">
          <cell r="E5">
            <v>1</v>
          </cell>
        </row>
      </sheetData>
      <sheetData sheetId="1693">
        <row r="5">
          <cell r="E5">
            <v>1</v>
          </cell>
        </row>
      </sheetData>
      <sheetData sheetId="1694">
        <row r="5">
          <cell r="E5">
            <v>1</v>
          </cell>
        </row>
      </sheetData>
      <sheetData sheetId="1695">
        <row r="5">
          <cell r="E5">
            <v>1</v>
          </cell>
        </row>
      </sheetData>
      <sheetData sheetId="1696">
        <row r="5">
          <cell r="E5">
            <v>1</v>
          </cell>
        </row>
      </sheetData>
      <sheetData sheetId="1697">
        <row r="5">
          <cell r="E5">
            <v>1</v>
          </cell>
        </row>
      </sheetData>
      <sheetData sheetId="1698">
        <row r="5">
          <cell r="E5">
            <v>1</v>
          </cell>
        </row>
      </sheetData>
      <sheetData sheetId="1699">
        <row r="5">
          <cell r="E5">
            <v>1</v>
          </cell>
        </row>
      </sheetData>
      <sheetData sheetId="1700">
        <row r="5">
          <cell r="E5">
            <v>1</v>
          </cell>
        </row>
      </sheetData>
      <sheetData sheetId="1701">
        <row r="5">
          <cell r="E5">
            <v>1</v>
          </cell>
        </row>
      </sheetData>
      <sheetData sheetId="1702">
        <row r="5">
          <cell r="E5">
            <v>1</v>
          </cell>
        </row>
      </sheetData>
      <sheetData sheetId="1703">
        <row r="5">
          <cell r="E5">
            <v>1</v>
          </cell>
        </row>
      </sheetData>
      <sheetData sheetId="1704">
        <row r="5">
          <cell r="E5">
            <v>1</v>
          </cell>
        </row>
      </sheetData>
      <sheetData sheetId="1705">
        <row r="5">
          <cell r="E5">
            <v>1</v>
          </cell>
        </row>
      </sheetData>
      <sheetData sheetId="1706">
        <row r="5">
          <cell r="E5">
            <v>1</v>
          </cell>
        </row>
      </sheetData>
      <sheetData sheetId="1707">
        <row r="5">
          <cell r="E5">
            <v>1</v>
          </cell>
        </row>
      </sheetData>
      <sheetData sheetId="1708">
        <row r="5">
          <cell r="E5">
            <v>1</v>
          </cell>
        </row>
      </sheetData>
      <sheetData sheetId="1709">
        <row r="5">
          <cell r="E5">
            <v>1</v>
          </cell>
        </row>
      </sheetData>
      <sheetData sheetId="1710">
        <row r="5">
          <cell r="E5">
            <v>1</v>
          </cell>
        </row>
      </sheetData>
      <sheetData sheetId="1711">
        <row r="5">
          <cell r="E5">
            <v>1</v>
          </cell>
        </row>
      </sheetData>
      <sheetData sheetId="1712">
        <row r="5">
          <cell r="E5">
            <v>1</v>
          </cell>
        </row>
      </sheetData>
      <sheetData sheetId="1713">
        <row r="5">
          <cell r="E5">
            <v>1</v>
          </cell>
        </row>
      </sheetData>
      <sheetData sheetId="1714">
        <row r="5">
          <cell r="E5">
            <v>1</v>
          </cell>
        </row>
      </sheetData>
      <sheetData sheetId="1715">
        <row r="5">
          <cell r="E5">
            <v>1</v>
          </cell>
        </row>
      </sheetData>
      <sheetData sheetId="1716">
        <row r="5">
          <cell r="E5">
            <v>1</v>
          </cell>
        </row>
      </sheetData>
      <sheetData sheetId="1717">
        <row r="5">
          <cell r="E5">
            <v>1</v>
          </cell>
        </row>
      </sheetData>
      <sheetData sheetId="1718">
        <row r="5">
          <cell r="E5">
            <v>1</v>
          </cell>
        </row>
      </sheetData>
      <sheetData sheetId="1719">
        <row r="5">
          <cell r="E5">
            <v>1</v>
          </cell>
        </row>
      </sheetData>
      <sheetData sheetId="1720">
        <row r="5">
          <cell r="E5">
            <v>1</v>
          </cell>
        </row>
      </sheetData>
      <sheetData sheetId="1721">
        <row r="5">
          <cell r="E5">
            <v>1</v>
          </cell>
        </row>
      </sheetData>
      <sheetData sheetId="1722">
        <row r="5">
          <cell r="E5">
            <v>1</v>
          </cell>
        </row>
      </sheetData>
      <sheetData sheetId="1723">
        <row r="5">
          <cell r="E5">
            <v>1</v>
          </cell>
        </row>
      </sheetData>
      <sheetData sheetId="1724">
        <row r="5">
          <cell r="E5">
            <v>1</v>
          </cell>
        </row>
      </sheetData>
      <sheetData sheetId="1725">
        <row r="5">
          <cell r="E5">
            <v>1</v>
          </cell>
        </row>
      </sheetData>
      <sheetData sheetId="1726">
        <row r="5">
          <cell r="E5">
            <v>1</v>
          </cell>
        </row>
      </sheetData>
      <sheetData sheetId="1727">
        <row r="5">
          <cell r="E5">
            <v>1</v>
          </cell>
        </row>
      </sheetData>
      <sheetData sheetId="1728">
        <row r="5">
          <cell r="E5">
            <v>1</v>
          </cell>
        </row>
      </sheetData>
      <sheetData sheetId="1729">
        <row r="5">
          <cell r="E5">
            <v>1</v>
          </cell>
        </row>
      </sheetData>
      <sheetData sheetId="1730">
        <row r="5">
          <cell r="E5">
            <v>1</v>
          </cell>
        </row>
      </sheetData>
      <sheetData sheetId="1731">
        <row r="5">
          <cell r="E5">
            <v>1</v>
          </cell>
        </row>
      </sheetData>
      <sheetData sheetId="1732">
        <row r="5">
          <cell r="E5">
            <v>1</v>
          </cell>
        </row>
      </sheetData>
      <sheetData sheetId="1733">
        <row r="5">
          <cell r="E5">
            <v>1</v>
          </cell>
        </row>
      </sheetData>
      <sheetData sheetId="1734">
        <row r="5">
          <cell r="E5">
            <v>1</v>
          </cell>
        </row>
      </sheetData>
      <sheetData sheetId="1735">
        <row r="5">
          <cell r="E5">
            <v>1</v>
          </cell>
        </row>
      </sheetData>
      <sheetData sheetId="1736">
        <row r="5">
          <cell r="E5">
            <v>1</v>
          </cell>
        </row>
      </sheetData>
      <sheetData sheetId="1737">
        <row r="5">
          <cell r="E5">
            <v>1</v>
          </cell>
        </row>
      </sheetData>
      <sheetData sheetId="1738">
        <row r="5">
          <cell r="E5">
            <v>1</v>
          </cell>
        </row>
      </sheetData>
      <sheetData sheetId="1739">
        <row r="5">
          <cell r="E5">
            <v>1</v>
          </cell>
        </row>
      </sheetData>
      <sheetData sheetId="1740">
        <row r="5">
          <cell r="E5">
            <v>1</v>
          </cell>
        </row>
      </sheetData>
      <sheetData sheetId="1741">
        <row r="5">
          <cell r="E5">
            <v>1</v>
          </cell>
        </row>
      </sheetData>
      <sheetData sheetId="1742">
        <row r="5">
          <cell r="E5">
            <v>1</v>
          </cell>
        </row>
      </sheetData>
      <sheetData sheetId="1743">
        <row r="5">
          <cell r="E5">
            <v>1</v>
          </cell>
        </row>
      </sheetData>
      <sheetData sheetId="1744">
        <row r="5">
          <cell r="E5">
            <v>1</v>
          </cell>
        </row>
      </sheetData>
      <sheetData sheetId="1745">
        <row r="5">
          <cell r="E5">
            <v>1</v>
          </cell>
        </row>
      </sheetData>
      <sheetData sheetId="1746">
        <row r="5">
          <cell r="E5">
            <v>1</v>
          </cell>
        </row>
      </sheetData>
      <sheetData sheetId="1747">
        <row r="5">
          <cell r="E5">
            <v>1</v>
          </cell>
        </row>
      </sheetData>
      <sheetData sheetId="1748">
        <row r="5">
          <cell r="E5">
            <v>1</v>
          </cell>
        </row>
      </sheetData>
      <sheetData sheetId="1749">
        <row r="5">
          <cell r="E5">
            <v>1</v>
          </cell>
        </row>
      </sheetData>
      <sheetData sheetId="1750">
        <row r="5">
          <cell r="E5">
            <v>1</v>
          </cell>
        </row>
      </sheetData>
      <sheetData sheetId="1751">
        <row r="5">
          <cell r="E5">
            <v>1</v>
          </cell>
        </row>
      </sheetData>
      <sheetData sheetId="1752">
        <row r="5">
          <cell r="E5">
            <v>1</v>
          </cell>
        </row>
      </sheetData>
      <sheetData sheetId="1753">
        <row r="5">
          <cell r="E5">
            <v>1</v>
          </cell>
        </row>
      </sheetData>
      <sheetData sheetId="1754">
        <row r="5">
          <cell r="E5">
            <v>1</v>
          </cell>
        </row>
      </sheetData>
      <sheetData sheetId="1755">
        <row r="5">
          <cell r="E5">
            <v>1</v>
          </cell>
        </row>
      </sheetData>
      <sheetData sheetId="1756">
        <row r="5">
          <cell r="E5">
            <v>1</v>
          </cell>
        </row>
      </sheetData>
      <sheetData sheetId="1757">
        <row r="5">
          <cell r="E5">
            <v>1</v>
          </cell>
        </row>
      </sheetData>
      <sheetData sheetId="1758">
        <row r="5">
          <cell r="E5">
            <v>1</v>
          </cell>
        </row>
      </sheetData>
      <sheetData sheetId="1759">
        <row r="5">
          <cell r="E5">
            <v>1</v>
          </cell>
        </row>
      </sheetData>
      <sheetData sheetId="1760">
        <row r="5">
          <cell r="E5">
            <v>1</v>
          </cell>
        </row>
      </sheetData>
      <sheetData sheetId="1761">
        <row r="5">
          <cell r="E5">
            <v>1</v>
          </cell>
        </row>
      </sheetData>
      <sheetData sheetId="1762">
        <row r="5">
          <cell r="E5">
            <v>1</v>
          </cell>
        </row>
      </sheetData>
      <sheetData sheetId="1763">
        <row r="5">
          <cell r="E5">
            <v>1</v>
          </cell>
        </row>
      </sheetData>
      <sheetData sheetId="1764">
        <row r="5">
          <cell r="E5">
            <v>1</v>
          </cell>
        </row>
      </sheetData>
      <sheetData sheetId="1765">
        <row r="5">
          <cell r="E5">
            <v>1</v>
          </cell>
        </row>
      </sheetData>
      <sheetData sheetId="1766">
        <row r="5">
          <cell r="E5">
            <v>1</v>
          </cell>
        </row>
      </sheetData>
      <sheetData sheetId="1767">
        <row r="5">
          <cell r="E5">
            <v>1</v>
          </cell>
        </row>
      </sheetData>
      <sheetData sheetId="1768">
        <row r="5">
          <cell r="E5">
            <v>1</v>
          </cell>
        </row>
      </sheetData>
      <sheetData sheetId="1769">
        <row r="5">
          <cell r="E5">
            <v>1</v>
          </cell>
        </row>
      </sheetData>
      <sheetData sheetId="1770">
        <row r="5">
          <cell r="E5">
            <v>1</v>
          </cell>
        </row>
      </sheetData>
      <sheetData sheetId="1771">
        <row r="5">
          <cell r="E5">
            <v>1</v>
          </cell>
        </row>
      </sheetData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>
        <row r="5">
          <cell r="E5">
            <v>1</v>
          </cell>
        </row>
      </sheetData>
      <sheetData sheetId="1812">
        <row r="5">
          <cell r="E5">
            <v>1</v>
          </cell>
        </row>
      </sheetData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>
        <row r="5">
          <cell r="E5" t="str">
            <v>1800001727</v>
          </cell>
        </row>
      </sheetData>
      <sheetData sheetId="1844">
        <row r="5">
          <cell r="E5" t="str">
            <v>1800001727</v>
          </cell>
        </row>
      </sheetData>
      <sheetData sheetId="1845">
        <row r="5">
          <cell r="E5" t="str">
            <v>1800001727</v>
          </cell>
        </row>
      </sheetData>
      <sheetData sheetId="1846">
        <row r="5">
          <cell r="E5" t="str">
            <v>1800001727</v>
          </cell>
        </row>
      </sheetData>
      <sheetData sheetId="1847" refreshError="1"/>
      <sheetData sheetId="1848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>
        <row r="5">
          <cell r="E5">
            <v>1</v>
          </cell>
        </row>
      </sheetData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>
        <row r="5">
          <cell r="E5">
            <v>1</v>
          </cell>
        </row>
      </sheetData>
      <sheetData sheetId="1933">
        <row r="5">
          <cell r="E5">
            <v>1</v>
          </cell>
        </row>
      </sheetData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>
        <row r="5">
          <cell r="E5">
            <v>1</v>
          </cell>
        </row>
      </sheetData>
      <sheetData sheetId="1950">
        <row r="5">
          <cell r="E5">
            <v>1</v>
          </cell>
        </row>
      </sheetData>
      <sheetData sheetId="1951">
        <row r="5">
          <cell r="E5">
            <v>1</v>
          </cell>
        </row>
      </sheetData>
      <sheetData sheetId="1952">
        <row r="5">
          <cell r="E5">
            <v>1</v>
          </cell>
        </row>
      </sheetData>
      <sheetData sheetId="1953">
        <row r="5">
          <cell r="E5">
            <v>1</v>
          </cell>
        </row>
      </sheetData>
      <sheetData sheetId="1954">
        <row r="5">
          <cell r="E5">
            <v>1</v>
          </cell>
        </row>
      </sheetData>
      <sheetData sheetId="1955">
        <row r="5">
          <cell r="E5">
            <v>1</v>
          </cell>
        </row>
      </sheetData>
      <sheetData sheetId="1956">
        <row r="5">
          <cell r="E5">
            <v>1</v>
          </cell>
        </row>
      </sheetData>
      <sheetData sheetId="1957">
        <row r="5">
          <cell r="E5">
            <v>1</v>
          </cell>
        </row>
      </sheetData>
      <sheetData sheetId="1958">
        <row r="5">
          <cell r="E5">
            <v>1</v>
          </cell>
        </row>
      </sheetData>
      <sheetData sheetId="1959">
        <row r="5">
          <cell r="E5">
            <v>1</v>
          </cell>
        </row>
      </sheetData>
      <sheetData sheetId="1960">
        <row r="5">
          <cell r="E5">
            <v>1</v>
          </cell>
        </row>
      </sheetData>
      <sheetData sheetId="1961">
        <row r="5">
          <cell r="E5">
            <v>1</v>
          </cell>
        </row>
      </sheetData>
      <sheetData sheetId="1962">
        <row r="5">
          <cell r="E5">
            <v>1</v>
          </cell>
        </row>
      </sheetData>
      <sheetData sheetId="1963">
        <row r="5">
          <cell r="E5">
            <v>1</v>
          </cell>
        </row>
      </sheetData>
      <sheetData sheetId="1964">
        <row r="5">
          <cell r="E5">
            <v>1</v>
          </cell>
        </row>
      </sheetData>
      <sheetData sheetId="1965">
        <row r="5">
          <cell r="E5">
            <v>1</v>
          </cell>
        </row>
      </sheetData>
      <sheetData sheetId="1966">
        <row r="5">
          <cell r="E5">
            <v>1</v>
          </cell>
        </row>
      </sheetData>
      <sheetData sheetId="1967">
        <row r="5">
          <cell r="E5">
            <v>1</v>
          </cell>
        </row>
      </sheetData>
      <sheetData sheetId="1968">
        <row r="5">
          <cell r="E5">
            <v>1</v>
          </cell>
        </row>
      </sheetData>
      <sheetData sheetId="1969">
        <row r="5">
          <cell r="E5">
            <v>1</v>
          </cell>
        </row>
      </sheetData>
      <sheetData sheetId="1970">
        <row r="5">
          <cell r="E5">
            <v>1</v>
          </cell>
        </row>
      </sheetData>
      <sheetData sheetId="1971">
        <row r="5">
          <cell r="E5">
            <v>1</v>
          </cell>
        </row>
      </sheetData>
      <sheetData sheetId="1972">
        <row r="5">
          <cell r="E5">
            <v>1</v>
          </cell>
        </row>
      </sheetData>
      <sheetData sheetId="1973">
        <row r="5">
          <cell r="E5">
            <v>1</v>
          </cell>
        </row>
      </sheetData>
      <sheetData sheetId="1974">
        <row r="5">
          <cell r="E5">
            <v>1</v>
          </cell>
        </row>
      </sheetData>
      <sheetData sheetId="1975">
        <row r="5">
          <cell r="E5">
            <v>1</v>
          </cell>
        </row>
      </sheetData>
      <sheetData sheetId="1976">
        <row r="5">
          <cell r="E5">
            <v>1</v>
          </cell>
        </row>
      </sheetData>
      <sheetData sheetId="1977">
        <row r="5">
          <cell r="E5">
            <v>1</v>
          </cell>
        </row>
      </sheetData>
      <sheetData sheetId="1978">
        <row r="5">
          <cell r="E5">
            <v>1</v>
          </cell>
        </row>
      </sheetData>
      <sheetData sheetId="1979">
        <row r="5">
          <cell r="E5">
            <v>1</v>
          </cell>
        </row>
      </sheetData>
      <sheetData sheetId="1980">
        <row r="5">
          <cell r="E5">
            <v>1</v>
          </cell>
        </row>
      </sheetData>
      <sheetData sheetId="1981">
        <row r="5">
          <cell r="E5">
            <v>1</v>
          </cell>
        </row>
      </sheetData>
      <sheetData sheetId="1982">
        <row r="5">
          <cell r="E5">
            <v>1</v>
          </cell>
        </row>
      </sheetData>
      <sheetData sheetId="1983">
        <row r="5">
          <cell r="E5">
            <v>1</v>
          </cell>
        </row>
      </sheetData>
      <sheetData sheetId="1984">
        <row r="5">
          <cell r="E5">
            <v>1</v>
          </cell>
        </row>
      </sheetData>
      <sheetData sheetId="1985">
        <row r="5">
          <cell r="E5">
            <v>1</v>
          </cell>
        </row>
      </sheetData>
      <sheetData sheetId="1986">
        <row r="5">
          <cell r="E5">
            <v>1</v>
          </cell>
        </row>
      </sheetData>
      <sheetData sheetId="1987">
        <row r="5">
          <cell r="E5">
            <v>1</v>
          </cell>
        </row>
      </sheetData>
      <sheetData sheetId="1988">
        <row r="5">
          <cell r="E5">
            <v>1</v>
          </cell>
        </row>
      </sheetData>
      <sheetData sheetId="1989">
        <row r="5">
          <cell r="E5">
            <v>1</v>
          </cell>
        </row>
      </sheetData>
      <sheetData sheetId="1990">
        <row r="5">
          <cell r="E5">
            <v>1</v>
          </cell>
        </row>
      </sheetData>
      <sheetData sheetId="1991">
        <row r="5">
          <cell r="E5">
            <v>1</v>
          </cell>
        </row>
      </sheetData>
      <sheetData sheetId="1992">
        <row r="5">
          <cell r="E5">
            <v>1</v>
          </cell>
        </row>
      </sheetData>
      <sheetData sheetId="1993">
        <row r="5">
          <cell r="E5">
            <v>1</v>
          </cell>
        </row>
      </sheetData>
      <sheetData sheetId="1994">
        <row r="5">
          <cell r="E5">
            <v>1</v>
          </cell>
        </row>
      </sheetData>
      <sheetData sheetId="1995">
        <row r="5">
          <cell r="E5">
            <v>1</v>
          </cell>
        </row>
      </sheetData>
      <sheetData sheetId="1996">
        <row r="5">
          <cell r="E5">
            <v>1</v>
          </cell>
        </row>
      </sheetData>
      <sheetData sheetId="1997">
        <row r="5">
          <cell r="E5">
            <v>1</v>
          </cell>
        </row>
      </sheetData>
      <sheetData sheetId="1998">
        <row r="5">
          <cell r="E5">
            <v>1</v>
          </cell>
        </row>
      </sheetData>
      <sheetData sheetId="1999">
        <row r="5">
          <cell r="E5">
            <v>1</v>
          </cell>
        </row>
      </sheetData>
      <sheetData sheetId="2000">
        <row r="5">
          <cell r="E5">
            <v>1</v>
          </cell>
        </row>
      </sheetData>
      <sheetData sheetId="2001">
        <row r="5">
          <cell r="E5">
            <v>1</v>
          </cell>
        </row>
      </sheetData>
      <sheetData sheetId="2002">
        <row r="5">
          <cell r="E5">
            <v>1</v>
          </cell>
        </row>
      </sheetData>
      <sheetData sheetId="2003">
        <row r="5">
          <cell r="E5">
            <v>1</v>
          </cell>
        </row>
      </sheetData>
      <sheetData sheetId="2004">
        <row r="5">
          <cell r="E5">
            <v>1</v>
          </cell>
        </row>
      </sheetData>
      <sheetData sheetId="2005">
        <row r="5">
          <cell r="E5">
            <v>1</v>
          </cell>
        </row>
      </sheetData>
      <sheetData sheetId="2006">
        <row r="5">
          <cell r="E5">
            <v>1</v>
          </cell>
        </row>
      </sheetData>
      <sheetData sheetId="2007">
        <row r="5">
          <cell r="E5">
            <v>1</v>
          </cell>
        </row>
      </sheetData>
      <sheetData sheetId="2008">
        <row r="5">
          <cell r="E5">
            <v>1</v>
          </cell>
        </row>
      </sheetData>
      <sheetData sheetId="2009">
        <row r="5">
          <cell r="E5">
            <v>1</v>
          </cell>
        </row>
      </sheetData>
      <sheetData sheetId="2010">
        <row r="5">
          <cell r="E5">
            <v>1</v>
          </cell>
        </row>
      </sheetData>
      <sheetData sheetId="2011">
        <row r="5">
          <cell r="E5">
            <v>1</v>
          </cell>
        </row>
      </sheetData>
      <sheetData sheetId="2012">
        <row r="5">
          <cell r="E5">
            <v>1</v>
          </cell>
        </row>
      </sheetData>
      <sheetData sheetId="2013">
        <row r="5">
          <cell r="E5">
            <v>1</v>
          </cell>
        </row>
      </sheetData>
      <sheetData sheetId="2014">
        <row r="5">
          <cell r="E5">
            <v>1</v>
          </cell>
        </row>
      </sheetData>
      <sheetData sheetId="2015">
        <row r="5">
          <cell r="E5">
            <v>1</v>
          </cell>
        </row>
      </sheetData>
      <sheetData sheetId="2016">
        <row r="5">
          <cell r="E5">
            <v>1</v>
          </cell>
        </row>
      </sheetData>
      <sheetData sheetId="2017">
        <row r="5">
          <cell r="E5">
            <v>1</v>
          </cell>
        </row>
      </sheetData>
      <sheetData sheetId="2018">
        <row r="5">
          <cell r="E5">
            <v>1</v>
          </cell>
        </row>
      </sheetData>
      <sheetData sheetId="2019">
        <row r="5">
          <cell r="E5">
            <v>1</v>
          </cell>
        </row>
      </sheetData>
      <sheetData sheetId="2020">
        <row r="5">
          <cell r="E5">
            <v>1</v>
          </cell>
        </row>
      </sheetData>
      <sheetData sheetId="2021">
        <row r="5">
          <cell r="E5">
            <v>1</v>
          </cell>
        </row>
      </sheetData>
      <sheetData sheetId="2022">
        <row r="5">
          <cell r="E5">
            <v>1</v>
          </cell>
        </row>
      </sheetData>
      <sheetData sheetId="2023">
        <row r="5">
          <cell r="E5">
            <v>1</v>
          </cell>
        </row>
      </sheetData>
      <sheetData sheetId="2024">
        <row r="5">
          <cell r="E5">
            <v>1</v>
          </cell>
        </row>
      </sheetData>
      <sheetData sheetId="2025">
        <row r="5">
          <cell r="E5">
            <v>1</v>
          </cell>
        </row>
      </sheetData>
      <sheetData sheetId="2026">
        <row r="5">
          <cell r="E5">
            <v>1</v>
          </cell>
        </row>
      </sheetData>
      <sheetData sheetId="2027">
        <row r="5">
          <cell r="E5">
            <v>1</v>
          </cell>
        </row>
      </sheetData>
      <sheetData sheetId="2028">
        <row r="5">
          <cell r="E5">
            <v>1</v>
          </cell>
        </row>
      </sheetData>
      <sheetData sheetId="2029">
        <row r="5">
          <cell r="E5">
            <v>1</v>
          </cell>
        </row>
      </sheetData>
      <sheetData sheetId="2030">
        <row r="5">
          <cell r="E5">
            <v>1</v>
          </cell>
        </row>
      </sheetData>
      <sheetData sheetId="2031">
        <row r="5">
          <cell r="E5">
            <v>1</v>
          </cell>
        </row>
      </sheetData>
      <sheetData sheetId="2032">
        <row r="5">
          <cell r="E5">
            <v>1</v>
          </cell>
        </row>
      </sheetData>
      <sheetData sheetId="2033">
        <row r="5">
          <cell r="E5">
            <v>1</v>
          </cell>
        </row>
      </sheetData>
      <sheetData sheetId="2034">
        <row r="5">
          <cell r="E5">
            <v>1</v>
          </cell>
        </row>
      </sheetData>
      <sheetData sheetId="2035">
        <row r="5">
          <cell r="E5">
            <v>1</v>
          </cell>
        </row>
      </sheetData>
      <sheetData sheetId="2036">
        <row r="5">
          <cell r="E5">
            <v>1</v>
          </cell>
        </row>
      </sheetData>
      <sheetData sheetId="2037">
        <row r="5">
          <cell r="E5">
            <v>1</v>
          </cell>
        </row>
      </sheetData>
      <sheetData sheetId="2038">
        <row r="5">
          <cell r="E5">
            <v>1</v>
          </cell>
        </row>
      </sheetData>
      <sheetData sheetId="2039">
        <row r="5">
          <cell r="E5">
            <v>1</v>
          </cell>
        </row>
      </sheetData>
      <sheetData sheetId="2040">
        <row r="5">
          <cell r="E5">
            <v>1</v>
          </cell>
        </row>
      </sheetData>
      <sheetData sheetId="2041">
        <row r="5">
          <cell r="E5">
            <v>1</v>
          </cell>
        </row>
      </sheetData>
      <sheetData sheetId="2042">
        <row r="5">
          <cell r="E5">
            <v>1</v>
          </cell>
        </row>
      </sheetData>
      <sheetData sheetId="2043">
        <row r="5">
          <cell r="E5">
            <v>1</v>
          </cell>
        </row>
      </sheetData>
      <sheetData sheetId="2044">
        <row r="5">
          <cell r="E5">
            <v>1</v>
          </cell>
        </row>
      </sheetData>
      <sheetData sheetId="2045">
        <row r="5">
          <cell r="E5">
            <v>1</v>
          </cell>
        </row>
      </sheetData>
      <sheetData sheetId="2046">
        <row r="5">
          <cell r="E5">
            <v>1</v>
          </cell>
        </row>
      </sheetData>
      <sheetData sheetId="2047">
        <row r="5">
          <cell r="E5">
            <v>1</v>
          </cell>
        </row>
      </sheetData>
      <sheetData sheetId="2048">
        <row r="5">
          <cell r="E5">
            <v>1</v>
          </cell>
        </row>
      </sheetData>
      <sheetData sheetId="2049">
        <row r="5">
          <cell r="E5">
            <v>1</v>
          </cell>
        </row>
      </sheetData>
      <sheetData sheetId="2050">
        <row r="5">
          <cell r="E5">
            <v>1</v>
          </cell>
        </row>
      </sheetData>
      <sheetData sheetId="2051">
        <row r="5">
          <cell r="E5">
            <v>1</v>
          </cell>
        </row>
      </sheetData>
      <sheetData sheetId="2052">
        <row r="5">
          <cell r="E5">
            <v>1</v>
          </cell>
        </row>
      </sheetData>
      <sheetData sheetId="2053">
        <row r="5">
          <cell r="E5">
            <v>1</v>
          </cell>
        </row>
      </sheetData>
      <sheetData sheetId="2054">
        <row r="5">
          <cell r="E5">
            <v>1</v>
          </cell>
        </row>
      </sheetData>
      <sheetData sheetId="2055">
        <row r="5">
          <cell r="E5">
            <v>1</v>
          </cell>
        </row>
      </sheetData>
      <sheetData sheetId="2056">
        <row r="5">
          <cell r="E5">
            <v>1</v>
          </cell>
        </row>
      </sheetData>
      <sheetData sheetId="2057">
        <row r="5">
          <cell r="E5">
            <v>1</v>
          </cell>
        </row>
      </sheetData>
      <sheetData sheetId="2058">
        <row r="5">
          <cell r="E5">
            <v>1</v>
          </cell>
        </row>
      </sheetData>
      <sheetData sheetId="2059">
        <row r="5">
          <cell r="E5">
            <v>1</v>
          </cell>
        </row>
      </sheetData>
      <sheetData sheetId="2060">
        <row r="5">
          <cell r="E5">
            <v>1</v>
          </cell>
        </row>
      </sheetData>
      <sheetData sheetId="2061">
        <row r="5">
          <cell r="E5">
            <v>1</v>
          </cell>
        </row>
      </sheetData>
      <sheetData sheetId="2062">
        <row r="5">
          <cell r="E5">
            <v>1</v>
          </cell>
        </row>
      </sheetData>
      <sheetData sheetId="2063">
        <row r="5">
          <cell r="E5">
            <v>1</v>
          </cell>
        </row>
      </sheetData>
      <sheetData sheetId="2064">
        <row r="5">
          <cell r="E5">
            <v>1</v>
          </cell>
        </row>
      </sheetData>
      <sheetData sheetId="2065">
        <row r="5">
          <cell r="E5">
            <v>1</v>
          </cell>
        </row>
      </sheetData>
      <sheetData sheetId="2066">
        <row r="5">
          <cell r="E5">
            <v>1</v>
          </cell>
        </row>
      </sheetData>
      <sheetData sheetId="2067">
        <row r="5">
          <cell r="E5">
            <v>1</v>
          </cell>
        </row>
      </sheetData>
      <sheetData sheetId="2068">
        <row r="5">
          <cell r="E5">
            <v>1</v>
          </cell>
        </row>
      </sheetData>
      <sheetData sheetId="2069">
        <row r="5">
          <cell r="E5">
            <v>1</v>
          </cell>
        </row>
      </sheetData>
      <sheetData sheetId="2070">
        <row r="5">
          <cell r="E5">
            <v>1</v>
          </cell>
        </row>
      </sheetData>
      <sheetData sheetId="2071">
        <row r="5">
          <cell r="E5">
            <v>1</v>
          </cell>
        </row>
      </sheetData>
      <sheetData sheetId="2072">
        <row r="5">
          <cell r="E5">
            <v>1</v>
          </cell>
        </row>
      </sheetData>
      <sheetData sheetId="2073">
        <row r="5">
          <cell r="E5">
            <v>1</v>
          </cell>
        </row>
      </sheetData>
      <sheetData sheetId="2074">
        <row r="5">
          <cell r="E5">
            <v>1</v>
          </cell>
        </row>
      </sheetData>
      <sheetData sheetId="2075">
        <row r="5">
          <cell r="E5">
            <v>1</v>
          </cell>
        </row>
      </sheetData>
      <sheetData sheetId="2076">
        <row r="5">
          <cell r="E5">
            <v>1</v>
          </cell>
        </row>
      </sheetData>
      <sheetData sheetId="2077">
        <row r="5">
          <cell r="E5">
            <v>1</v>
          </cell>
        </row>
      </sheetData>
      <sheetData sheetId="2078">
        <row r="5">
          <cell r="E5">
            <v>1</v>
          </cell>
        </row>
      </sheetData>
      <sheetData sheetId="2079">
        <row r="5">
          <cell r="E5">
            <v>1</v>
          </cell>
        </row>
      </sheetData>
      <sheetData sheetId="2080">
        <row r="5">
          <cell r="E5">
            <v>1</v>
          </cell>
        </row>
      </sheetData>
      <sheetData sheetId="2081">
        <row r="5">
          <cell r="E5">
            <v>1</v>
          </cell>
        </row>
      </sheetData>
      <sheetData sheetId="2082">
        <row r="5">
          <cell r="E5">
            <v>1</v>
          </cell>
        </row>
      </sheetData>
      <sheetData sheetId="2083">
        <row r="5">
          <cell r="E5">
            <v>1</v>
          </cell>
        </row>
      </sheetData>
      <sheetData sheetId="2084">
        <row r="5">
          <cell r="E5">
            <v>1</v>
          </cell>
        </row>
      </sheetData>
      <sheetData sheetId="2085">
        <row r="5">
          <cell r="E5">
            <v>1</v>
          </cell>
        </row>
      </sheetData>
      <sheetData sheetId="2086">
        <row r="5">
          <cell r="E5">
            <v>1</v>
          </cell>
        </row>
      </sheetData>
      <sheetData sheetId="2087">
        <row r="5">
          <cell r="E5">
            <v>1</v>
          </cell>
        </row>
      </sheetData>
      <sheetData sheetId="2088">
        <row r="5">
          <cell r="E5">
            <v>1</v>
          </cell>
        </row>
      </sheetData>
      <sheetData sheetId="2089">
        <row r="5">
          <cell r="E5">
            <v>1</v>
          </cell>
        </row>
      </sheetData>
      <sheetData sheetId="2090">
        <row r="5">
          <cell r="E5">
            <v>1</v>
          </cell>
        </row>
      </sheetData>
      <sheetData sheetId="2091">
        <row r="5">
          <cell r="E5">
            <v>1</v>
          </cell>
        </row>
      </sheetData>
      <sheetData sheetId="2092">
        <row r="5">
          <cell r="E5">
            <v>1</v>
          </cell>
        </row>
      </sheetData>
      <sheetData sheetId="2093">
        <row r="5">
          <cell r="E5">
            <v>1</v>
          </cell>
        </row>
      </sheetData>
      <sheetData sheetId="2094">
        <row r="5">
          <cell r="E5">
            <v>1</v>
          </cell>
        </row>
      </sheetData>
      <sheetData sheetId="2095">
        <row r="5">
          <cell r="E5">
            <v>1</v>
          </cell>
        </row>
      </sheetData>
      <sheetData sheetId="2096">
        <row r="5">
          <cell r="E5">
            <v>1</v>
          </cell>
        </row>
      </sheetData>
      <sheetData sheetId="2097">
        <row r="5">
          <cell r="E5">
            <v>1</v>
          </cell>
        </row>
      </sheetData>
      <sheetData sheetId="2098">
        <row r="5">
          <cell r="E5">
            <v>1</v>
          </cell>
        </row>
      </sheetData>
      <sheetData sheetId="2099">
        <row r="5">
          <cell r="E5">
            <v>1</v>
          </cell>
        </row>
      </sheetData>
      <sheetData sheetId="2100">
        <row r="5">
          <cell r="E5">
            <v>1</v>
          </cell>
        </row>
      </sheetData>
      <sheetData sheetId="2101">
        <row r="5">
          <cell r="E5">
            <v>1</v>
          </cell>
        </row>
      </sheetData>
      <sheetData sheetId="2102">
        <row r="5">
          <cell r="E5">
            <v>1</v>
          </cell>
        </row>
      </sheetData>
      <sheetData sheetId="2103">
        <row r="5">
          <cell r="E5">
            <v>1</v>
          </cell>
        </row>
      </sheetData>
      <sheetData sheetId="2104">
        <row r="5">
          <cell r="E5">
            <v>1</v>
          </cell>
        </row>
      </sheetData>
      <sheetData sheetId="2105">
        <row r="5">
          <cell r="E5">
            <v>1</v>
          </cell>
        </row>
      </sheetData>
      <sheetData sheetId="2106">
        <row r="5">
          <cell r="E5">
            <v>1</v>
          </cell>
        </row>
      </sheetData>
      <sheetData sheetId="2107">
        <row r="5">
          <cell r="E5">
            <v>1</v>
          </cell>
        </row>
      </sheetData>
      <sheetData sheetId="2108">
        <row r="5">
          <cell r="E5">
            <v>1</v>
          </cell>
        </row>
      </sheetData>
      <sheetData sheetId="2109">
        <row r="5">
          <cell r="E5">
            <v>1</v>
          </cell>
        </row>
      </sheetData>
      <sheetData sheetId="2110">
        <row r="5">
          <cell r="E5">
            <v>1</v>
          </cell>
        </row>
      </sheetData>
      <sheetData sheetId="2111">
        <row r="5">
          <cell r="E5">
            <v>1</v>
          </cell>
        </row>
      </sheetData>
      <sheetData sheetId="2112">
        <row r="5">
          <cell r="E5">
            <v>1</v>
          </cell>
        </row>
      </sheetData>
      <sheetData sheetId="2113">
        <row r="5">
          <cell r="E5">
            <v>1</v>
          </cell>
        </row>
      </sheetData>
      <sheetData sheetId="2114">
        <row r="5">
          <cell r="E5">
            <v>1</v>
          </cell>
        </row>
      </sheetData>
      <sheetData sheetId="2115">
        <row r="5">
          <cell r="E5">
            <v>1</v>
          </cell>
        </row>
      </sheetData>
      <sheetData sheetId="2116">
        <row r="5">
          <cell r="E5">
            <v>1</v>
          </cell>
        </row>
      </sheetData>
      <sheetData sheetId="2117">
        <row r="5">
          <cell r="E5">
            <v>1</v>
          </cell>
        </row>
      </sheetData>
      <sheetData sheetId="2118">
        <row r="5">
          <cell r="E5">
            <v>1</v>
          </cell>
        </row>
      </sheetData>
      <sheetData sheetId="2119">
        <row r="5">
          <cell r="E5">
            <v>1</v>
          </cell>
        </row>
      </sheetData>
      <sheetData sheetId="2120">
        <row r="5">
          <cell r="E5">
            <v>1</v>
          </cell>
        </row>
      </sheetData>
      <sheetData sheetId="2121">
        <row r="5">
          <cell r="E5">
            <v>1</v>
          </cell>
        </row>
      </sheetData>
      <sheetData sheetId="2122">
        <row r="5">
          <cell r="E5">
            <v>1</v>
          </cell>
        </row>
      </sheetData>
      <sheetData sheetId="2123">
        <row r="5">
          <cell r="E5">
            <v>1</v>
          </cell>
        </row>
      </sheetData>
      <sheetData sheetId="2124">
        <row r="5">
          <cell r="E5">
            <v>1</v>
          </cell>
        </row>
      </sheetData>
      <sheetData sheetId="2125">
        <row r="5">
          <cell r="E5">
            <v>1</v>
          </cell>
        </row>
      </sheetData>
      <sheetData sheetId="2126">
        <row r="5">
          <cell r="E5">
            <v>1</v>
          </cell>
        </row>
      </sheetData>
      <sheetData sheetId="2127">
        <row r="5">
          <cell r="E5">
            <v>1</v>
          </cell>
        </row>
      </sheetData>
      <sheetData sheetId="2128">
        <row r="5">
          <cell r="E5">
            <v>1</v>
          </cell>
        </row>
      </sheetData>
      <sheetData sheetId="2129">
        <row r="5">
          <cell r="E5">
            <v>1</v>
          </cell>
        </row>
      </sheetData>
      <sheetData sheetId="2130">
        <row r="5">
          <cell r="E5">
            <v>1</v>
          </cell>
        </row>
      </sheetData>
      <sheetData sheetId="2131">
        <row r="5">
          <cell r="E5">
            <v>1</v>
          </cell>
        </row>
      </sheetData>
      <sheetData sheetId="2132">
        <row r="5">
          <cell r="E5">
            <v>1</v>
          </cell>
        </row>
      </sheetData>
      <sheetData sheetId="2133">
        <row r="5">
          <cell r="E5">
            <v>1</v>
          </cell>
        </row>
      </sheetData>
      <sheetData sheetId="2134">
        <row r="5">
          <cell r="E5">
            <v>1</v>
          </cell>
        </row>
      </sheetData>
      <sheetData sheetId="2135">
        <row r="5">
          <cell r="E5">
            <v>1</v>
          </cell>
        </row>
      </sheetData>
      <sheetData sheetId="2136">
        <row r="5">
          <cell r="E5">
            <v>1</v>
          </cell>
        </row>
      </sheetData>
      <sheetData sheetId="2137">
        <row r="5">
          <cell r="E5">
            <v>1</v>
          </cell>
        </row>
      </sheetData>
      <sheetData sheetId="2138">
        <row r="5">
          <cell r="E5">
            <v>1</v>
          </cell>
        </row>
      </sheetData>
      <sheetData sheetId="2139">
        <row r="5">
          <cell r="E5">
            <v>1</v>
          </cell>
        </row>
      </sheetData>
      <sheetData sheetId="2140">
        <row r="5">
          <cell r="E5">
            <v>1</v>
          </cell>
        </row>
      </sheetData>
      <sheetData sheetId="2141">
        <row r="5">
          <cell r="E5">
            <v>1</v>
          </cell>
        </row>
      </sheetData>
      <sheetData sheetId="2142">
        <row r="5">
          <cell r="E5">
            <v>1</v>
          </cell>
        </row>
      </sheetData>
      <sheetData sheetId="2143">
        <row r="5">
          <cell r="E5">
            <v>1</v>
          </cell>
        </row>
      </sheetData>
      <sheetData sheetId="2144">
        <row r="5">
          <cell r="E5">
            <v>1</v>
          </cell>
        </row>
      </sheetData>
      <sheetData sheetId="2145">
        <row r="5">
          <cell r="E5">
            <v>1</v>
          </cell>
        </row>
      </sheetData>
      <sheetData sheetId="2146">
        <row r="5">
          <cell r="E5">
            <v>1</v>
          </cell>
        </row>
      </sheetData>
      <sheetData sheetId="2147">
        <row r="5">
          <cell r="E5">
            <v>1</v>
          </cell>
        </row>
      </sheetData>
      <sheetData sheetId="2148">
        <row r="5">
          <cell r="E5">
            <v>1</v>
          </cell>
        </row>
      </sheetData>
      <sheetData sheetId="2149">
        <row r="5">
          <cell r="E5">
            <v>1</v>
          </cell>
        </row>
      </sheetData>
      <sheetData sheetId="2150">
        <row r="5">
          <cell r="E5">
            <v>1</v>
          </cell>
        </row>
      </sheetData>
      <sheetData sheetId="2151">
        <row r="5">
          <cell r="E5">
            <v>1</v>
          </cell>
        </row>
      </sheetData>
      <sheetData sheetId="2152">
        <row r="5">
          <cell r="E5">
            <v>1</v>
          </cell>
        </row>
      </sheetData>
      <sheetData sheetId="2153">
        <row r="5">
          <cell r="E5">
            <v>1</v>
          </cell>
        </row>
      </sheetData>
      <sheetData sheetId="2154">
        <row r="5">
          <cell r="E5">
            <v>1</v>
          </cell>
        </row>
      </sheetData>
      <sheetData sheetId="2155">
        <row r="5">
          <cell r="E5">
            <v>1</v>
          </cell>
        </row>
      </sheetData>
      <sheetData sheetId="2156">
        <row r="5">
          <cell r="E5">
            <v>1</v>
          </cell>
        </row>
      </sheetData>
      <sheetData sheetId="2157">
        <row r="5">
          <cell r="E5">
            <v>1</v>
          </cell>
        </row>
      </sheetData>
      <sheetData sheetId="2158">
        <row r="5">
          <cell r="E5">
            <v>1</v>
          </cell>
        </row>
      </sheetData>
      <sheetData sheetId="2159">
        <row r="5">
          <cell r="E5">
            <v>1</v>
          </cell>
        </row>
      </sheetData>
      <sheetData sheetId="2160">
        <row r="5">
          <cell r="E5">
            <v>1</v>
          </cell>
        </row>
      </sheetData>
      <sheetData sheetId="2161">
        <row r="5">
          <cell r="E5">
            <v>1</v>
          </cell>
        </row>
      </sheetData>
      <sheetData sheetId="2162">
        <row r="5">
          <cell r="E5">
            <v>1</v>
          </cell>
        </row>
      </sheetData>
      <sheetData sheetId="2163">
        <row r="5">
          <cell r="E5">
            <v>1</v>
          </cell>
        </row>
      </sheetData>
      <sheetData sheetId="2164">
        <row r="5">
          <cell r="E5">
            <v>1</v>
          </cell>
        </row>
      </sheetData>
      <sheetData sheetId="2165">
        <row r="5">
          <cell r="E5">
            <v>1</v>
          </cell>
        </row>
      </sheetData>
      <sheetData sheetId="2166">
        <row r="5">
          <cell r="E5">
            <v>1</v>
          </cell>
        </row>
      </sheetData>
      <sheetData sheetId="2167">
        <row r="5">
          <cell r="E5">
            <v>1</v>
          </cell>
        </row>
      </sheetData>
      <sheetData sheetId="2168">
        <row r="5">
          <cell r="E5">
            <v>1</v>
          </cell>
        </row>
      </sheetData>
      <sheetData sheetId="2169">
        <row r="5">
          <cell r="E5">
            <v>1</v>
          </cell>
        </row>
      </sheetData>
      <sheetData sheetId="2170">
        <row r="5">
          <cell r="E5">
            <v>1</v>
          </cell>
        </row>
      </sheetData>
      <sheetData sheetId="2171">
        <row r="5">
          <cell r="E5">
            <v>1</v>
          </cell>
        </row>
      </sheetData>
      <sheetData sheetId="2172">
        <row r="5">
          <cell r="E5">
            <v>1</v>
          </cell>
        </row>
      </sheetData>
      <sheetData sheetId="2173">
        <row r="5">
          <cell r="E5">
            <v>1</v>
          </cell>
        </row>
      </sheetData>
      <sheetData sheetId="2174">
        <row r="5">
          <cell r="E5">
            <v>1</v>
          </cell>
        </row>
      </sheetData>
      <sheetData sheetId="2175">
        <row r="5">
          <cell r="E5">
            <v>1</v>
          </cell>
        </row>
      </sheetData>
      <sheetData sheetId="2176">
        <row r="5">
          <cell r="E5">
            <v>1</v>
          </cell>
        </row>
      </sheetData>
      <sheetData sheetId="2177">
        <row r="5">
          <cell r="E5">
            <v>1</v>
          </cell>
        </row>
      </sheetData>
      <sheetData sheetId="2178">
        <row r="5">
          <cell r="E5">
            <v>1</v>
          </cell>
        </row>
      </sheetData>
      <sheetData sheetId="2179">
        <row r="5">
          <cell r="E5">
            <v>1</v>
          </cell>
        </row>
      </sheetData>
      <sheetData sheetId="2180">
        <row r="5">
          <cell r="E5">
            <v>1</v>
          </cell>
        </row>
      </sheetData>
      <sheetData sheetId="2181">
        <row r="5">
          <cell r="E5">
            <v>1</v>
          </cell>
        </row>
      </sheetData>
      <sheetData sheetId="2182">
        <row r="5">
          <cell r="E5">
            <v>1</v>
          </cell>
        </row>
      </sheetData>
      <sheetData sheetId="2183">
        <row r="5">
          <cell r="E5">
            <v>1</v>
          </cell>
        </row>
      </sheetData>
      <sheetData sheetId="2184">
        <row r="5">
          <cell r="E5">
            <v>1</v>
          </cell>
        </row>
      </sheetData>
      <sheetData sheetId="2185">
        <row r="5">
          <cell r="E5">
            <v>1</v>
          </cell>
        </row>
      </sheetData>
      <sheetData sheetId="2186">
        <row r="5">
          <cell r="E5">
            <v>1</v>
          </cell>
        </row>
      </sheetData>
      <sheetData sheetId="2187">
        <row r="5">
          <cell r="E5">
            <v>1</v>
          </cell>
        </row>
      </sheetData>
      <sheetData sheetId="2188">
        <row r="5">
          <cell r="E5">
            <v>1</v>
          </cell>
        </row>
      </sheetData>
      <sheetData sheetId="2189">
        <row r="5">
          <cell r="E5">
            <v>1</v>
          </cell>
        </row>
      </sheetData>
      <sheetData sheetId="2190">
        <row r="5">
          <cell r="E5">
            <v>1</v>
          </cell>
        </row>
      </sheetData>
      <sheetData sheetId="2191">
        <row r="5">
          <cell r="E5">
            <v>1</v>
          </cell>
        </row>
      </sheetData>
      <sheetData sheetId="2192">
        <row r="5">
          <cell r="E5">
            <v>1</v>
          </cell>
        </row>
      </sheetData>
      <sheetData sheetId="2193">
        <row r="5">
          <cell r="E5">
            <v>1</v>
          </cell>
        </row>
      </sheetData>
      <sheetData sheetId="2194">
        <row r="5">
          <cell r="E5">
            <v>1</v>
          </cell>
        </row>
      </sheetData>
      <sheetData sheetId="2195">
        <row r="5">
          <cell r="E5">
            <v>1</v>
          </cell>
        </row>
      </sheetData>
      <sheetData sheetId="2196">
        <row r="5">
          <cell r="E5">
            <v>1</v>
          </cell>
        </row>
      </sheetData>
      <sheetData sheetId="2197">
        <row r="5">
          <cell r="E5">
            <v>1</v>
          </cell>
        </row>
      </sheetData>
      <sheetData sheetId="2198">
        <row r="5">
          <cell r="E5">
            <v>1</v>
          </cell>
        </row>
      </sheetData>
      <sheetData sheetId="2199">
        <row r="5">
          <cell r="E5">
            <v>1</v>
          </cell>
        </row>
      </sheetData>
      <sheetData sheetId="2200">
        <row r="5">
          <cell r="E5">
            <v>1</v>
          </cell>
        </row>
      </sheetData>
      <sheetData sheetId="2201">
        <row r="5">
          <cell r="E5">
            <v>1</v>
          </cell>
        </row>
      </sheetData>
      <sheetData sheetId="2202">
        <row r="5">
          <cell r="E5">
            <v>1</v>
          </cell>
        </row>
      </sheetData>
      <sheetData sheetId="2203">
        <row r="5">
          <cell r="E5">
            <v>1</v>
          </cell>
        </row>
      </sheetData>
      <sheetData sheetId="2204">
        <row r="5">
          <cell r="E5">
            <v>1</v>
          </cell>
        </row>
      </sheetData>
      <sheetData sheetId="2205">
        <row r="5">
          <cell r="E5">
            <v>1</v>
          </cell>
        </row>
      </sheetData>
      <sheetData sheetId="2206">
        <row r="5">
          <cell r="E5">
            <v>1</v>
          </cell>
        </row>
      </sheetData>
      <sheetData sheetId="2207">
        <row r="5">
          <cell r="E5">
            <v>1</v>
          </cell>
        </row>
      </sheetData>
      <sheetData sheetId="2208">
        <row r="5">
          <cell r="E5">
            <v>1</v>
          </cell>
        </row>
      </sheetData>
      <sheetData sheetId="2209">
        <row r="5">
          <cell r="E5">
            <v>1</v>
          </cell>
        </row>
      </sheetData>
      <sheetData sheetId="2210">
        <row r="5">
          <cell r="E5">
            <v>1</v>
          </cell>
        </row>
      </sheetData>
      <sheetData sheetId="2211">
        <row r="5">
          <cell r="E5">
            <v>1</v>
          </cell>
        </row>
      </sheetData>
      <sheetData sheetId="2212">
        <row r="5">
          <cell r="E5">
            <v>1</v>
          </cell>
        </row>
      </sheetData>
      <sheetData sheetId="2213">
        <row r="5">
          <cell r="E5">
            <v>1</v>
          </cell>
        </row>
      </sheetData>
      <sheetData sheetId="2214">
        <row r="5">
          <cell r="E5">
            <v>1</v>
          </cell>
        </row>
      </sheetData>
      <sheetData sheetId="2215">
        <row r="5">
          <cell r="E5">
            <v>1</v>
          </cell>
        </row>
      </sheetData>
      <sheetData sheetId="2216">
        <row r="5">
          <cell r="E5">
            <v>1</v>
          </cell>
        </row>
      </sheetData>
      <sheetData sheetId="2217">
        <row r="5">
          <cell r="E5">
            <v>1</v>
          </cell>
        </row>
      </sheetData>
      <sheetData sheetId="2218">
        <row r="5">
          <cell r="E5">
            <v>1</v>
          </cell>
        </row>
      </sheetData>
      <sheetData sheetId="2219">
        <row r="5">
          <cell r="E5">
            <v>1</v>
          </cell>
        </row>
      </sheetData>
      <sheetData sheetId="2220">
        <row r="5">
          <cell r="E5">
            <v>1</v>
          </cell>
        </row>
      </sheetData>
      <sheetData sheetId="2221">
        <row r="5">
          <cell r="E5">
            <v>1</v>
          </cell>
        </row>
      </sheetData>
      <sheetData sheetId="2222">
        <row r="5">
          <cell r="E5">
            <v>1</v>
          </cell>
        </row>
      </sheetData>
      <sheetData sheetId="2223">
        <row r="5">
          <cell r="E5">
            <v>1</v>
          </cell>
        </row>
      </sheetData>
      <sheetData sheetId="2224">
        <row r="5">
          <cell r="E5">
            <v>1</v>
          </cell>
        </row>
      </sheetData>
      <sheetData sheetId="2225">
        <row r="5">
          <cell r="E5">
            <v>1</v>
          </cell>
        </row>
      </sheetData>
      <sheetData sheetId="2226">
        <row r="5">
          <cell r="E5">
            <v>1</v>
          </cell>
        </row>
      </sheetData>
      <sheetData sheetId="2227">
        <row r="5">
          <cell r="E5">
            <v>1</v>
          </cell>
        </row>
      </sheetData>
      <sheetData sheetId="2228">
        <row r="5">
          <cell r="E5">
            <v>1</v>
          </cell>
        </row>
      </sheetData>
      <sheetData sheetId="2229">
        <row r="5">
          <cell r="E5">
            <v>1</v>
          </cell>
        </row>
      </sheetData>
      <sheetData sheetId="2230">
        <row r="5">
          <cell r="E5">
            <v>1</v>
          </cell>
        </row>
      </sheetData>
      <sheetData sheetId="2231">
        <row r="5">
          <cell r="E5">
            <v>1</v>
          </cell>
        </row>
      </sheetData>
      <sheetData sheetId="2232">
        <row r="5">
          <cell r="E5">
            <v>1</v>
          </cell>
        </row>
      </sheetData>
      <sheetData sheetId="2233">
        <row r="5">
          <cell r="E5">
            <v>1</v>
          </cell>
        </row>
      </sheetData>
      <sheetData sheetId="2234">
        <row r="5">
          <cell r="E5">
            <v>1</v>
          </cell>
        </row>
      </sheetData>
      <sheetData sheetId="2235">
        <row r="5">
          <cell r="E5">
            <v>1</v>
          </cell>
        </row>
      </sheetData>
      <sheetData sheetId="2236">
        <row r="5">
          <cell r="E5">
            <v>1</v>
          </cell>
        </row>
      </sheetData>
      <sheetData sheetId="2237">
        <row r="5">
          <cell r="E5">
            <v>1</v>
          </cell>
        </row>
      </sheetData>
      <sheetData sheetId="2238">
        <row r="5">
          <cell r="E5">
            <v>1</v>
          </cell>
        </row>
      </sheetData>
      <sheetData sheetId="2239">
        <row r="5">
          <cell r="E5">
            <v>1</v>
          </cell>
        </row>
      </sheetData>
      <sheetData sheetId="2240">
        <row r="5">
          <cell r="E5">
            <v>1</v>
          </cell>
        </row>
      </sheetData>
      <sheetData sheetId="2241">
        <row r="5">
          <cell r="E5">
            <v>1</v>
          </cell>
        </row>
      </sheetData>
      <sheetData sheetId="2242">
        <row r="5">
          <cell r="E5">
            <v>1</v>
          </cell>
        </row>
      </sheetData>
      <sheetData sheetId="2243">
        <row r="5">
          <cell r="E5">
            <v>1</v>
          </cell>
        </row>
      </sheetData>
      <sheetData sheetId="2244">
        <row r="5">
          <cell r="E5">
            <v>1</v>
          </cell>
        </row>
      </sheetData>
      <sheetData sheetId="2245">
        <row r="5">
          <cell r="E5">
            <v>1</v>
          </cell>
        </row>
      </sheetData>
      <sheetData sheetId="2246">
        <row r="5">
          <cell r="E5">
            <v>1</v>
          </cell>
        </row>
      </sheetData>
      <sheetData sheetId="2247">
        <row r="5">
          <cell r="E5">
            <v>1</v>
          </cell>
        </row>
      </sheetData>
      <sheetData sheetId="2248">
        <row r="5">
          <cell r="E5">
            <v>1</v>
          </cell>
        </row>
      </sheetData>
      <sheetData sheetId="2249">
        <row r="5">
          <cell r="E5">
            <v>1</v>
          </cell>
        </row>
      </sheetData>
      <sheetData sheetId="2250">
        <row r="5">
          <cell r="E5">
            <v>1</v>
          </cell>
        </row>
      </sheetData>
      <sheetData sheetId="2251">
        <row r="5">
          <cell r="E5">
            <v>1</v>
          </cell>
        </row>
      </sheetData>
      <sheetData sheetId="2252">
        <row r="5">
          <cell r="E5">
            <v>1</v>
          </cell>
        </row>
      </sheetData>
      <sheetData sheetId="2253">
        <row r="5">
          <cell r="E5">
            <v>1</v>
          </cell>
        </row>
      </sheetData>
      <sheetData sheetId="2254">
        <row r="5">
          <cell r="E5">
            <v>1</v>
          </cell>
        </row>
      </sheetData>
      <sheetData sheetId="2255">
        <row r="5">
          <cell r="E5">
            <v>1</v>
          </cell>
        </row>
      </sheetData>
      <sheetData sheetId="2256">
        <row r="5">
          <cell r="E5">
            <v>1</v>
          </cell>
        </row>
      </sheetData>
      <sheetData sheetId="2257">
        <row r="5">
          <cell r="E5">
            <v>1</v>
          </cell>
        </row>
      </sheetData>
      <sheetData sheetId="2258">
        <row r="5">
          <cell r="E5">
            <v>1</v>
          </cell>
        </row>
      </sheetData>
      <sheetData sheetId="2259">
        <row r="5">
          <cell r="E5">
            <v>1</v>
          </cell>
        </row>
      </sheetData>
      <sheetData sheetId="2260">
        <row r="5">
          <cell r="E5">
            <v>1</v>
          </cell>
        </row>
      </sheetData>
      <sheetData sheetId="2261">
        <row r="5">
          <cell r="E5">
            <v>1</v>
          </cell>
        </row>
      </sheetData>
      <sheetData sheetId="2262">
        <row r="5">
          <cell r="E5">
            <v>1</v>
          </cell>
        </row>
      </sheetData>
      <sheetData sheetId="2263">
        <row r="5">
          <cell r="E5">
            <v>1</v>
          </cell>
        </row>
      </sheetData>
      <sheetData sheetId="2264">
        <row r="5">
          <cell r="E5">
            <v>1</v>
          </cell>
        </row>
      </sheetData>
      <sheetData sheetId="2265">
        <row r="5">
          <cell r="E5">
            <v>1</v>
          </cell>
        </row>
      </sheetData>
      <sheetData sheetId="2266">
        <row r="5">
          <cell r="E5">
            <v>1</v>
          </cell>
        </row>
      </sheetData>
      <sheetData sheetId="2267">
        <row r="5">
          <cell r="E5">
            <v>1</v>
          </cell>
        </row>
      </sheetData>
      <sheetData sheetId="2268">
        <row r="5">
          <cell r="E5">
            <v>1</v>
          </cell>
        </row>
      </sheetData>
      <sheetData sheetId="2269">
        <row r="5">
          <cell r="E5">
            <v>1</v>
          </cell>
        </row>
      </sheetData>
      <sheetData sheetId="2270">
        <row r="5">
          <cell r="E5">
            <v>1</v>
          </cell>
        </row>
      </sheetData>
      <sheetData sheetId="2271">
        <row r="5">
          <cell r="E5">
            <v>1</v>
          </cell>
        </row>
      </sheetData>
      <sheetData sheetId="2272">
        <row r="5">
          <cell r="E5">
            <v>1</v>
          </cell>
        </row>
      </sheetData>
      <sheetData sheetId="2273">
        <row r="5">
          <cell r="E5">
            <v>1</v>
          </cell>
        </row>
      </sheetData>
      <sheetData sheetId="2274">
        <row r="5">
          <cell r="E5">
            <v>1</v>
          </cell>
        </row>
      </sheetData>
      <sheetData sheetId="2275">
        <row r="5">
          <cell r="E5">
            <v>1</v>
          </cell>
        </row>
      </sheetData>
      <sheetData sheetId="2276">
        <row r="5">
          <cell r="E5">
            <v>1</v>
          </cell>
        </row>
      </sheetData>
      <sheetData sheetId="2277">
        <row r="5">
          <cell r="E5">
            <v>1</v>
          </cell>
        </row>
      </sheetData>
      <sheetData sheetId="2278">
        <row r="5">
          <cell r="E5">
            <v>1</v>
          </cell>
        </row>
      </sheetData>
      <sheetData sheetId="2279">
        <row r="5">
          <cell r="E5">
            <v>1</v>
          </cell>
        </row>
      </sheetData>
      <sheetData sheetId="2280">
        <row r="5">
          <cell r="E5">
            <v>1</v>
          </cell>
        </row>
      </sheetData>
      <sheetData sheetId="2281">
        <row r="5">
          <cell r="E5">
            <v>1</v>
          </cell>
        </row>
      </sheetData>
      <sheetData sheetId="2282">
        <row r="5">
          <cell r="E5">
            <v>1</v>
          </cell>
        </row>
      </sheetData>
      <sheetData sheetId="2283">
        <row r="5">
          <cell r="E5">
            <v>1</v>
          </cell>
        </row>
      </sheetData>
      <sheetData sheetId="2284">
        <row r="5">
          <cell r="E5">
            <v>1</v>
          </cell>
        </row>
      </sheetData>
      <sheetData sheetId="2285">
        <row r="5">
          <cell r="E5">
            <v>1</v>
          </cell>
        </row>
      </sheetData>
      <sheetData sheetId="2286">
        <row r="5">
          <cell r="E5">
            <v>1</v>
          </cell>
        </row>
      </sheetData>
      <sheetData sheetId="2287">
        <row r="5">
          <cell r="E5">
            <v>1</v>
          </cell>
        </row>
      </sheetData>
      <sheetData sheetId="2288">
        <row r="5">
          <cell r="E5">
            <v>1</v>
          </cell>
        </row>
      </sheetData>
      <sheetData sheetId="2289">
        <row r="5">
          <cell r="E5">
            <v>1</v>
          </cell>
        </row>
      </sheetData>
      <sheetData sheetId="2290">
        <row r="5">
          <cell r="E5">
            <v>1</v>
          </cell>
        </row>
      </sheetData>
      <sheetData sheetId="2291">
        <row r="5">
          <cell r="E5">
            <v>1</v>
          </cell>
        </row>
      </sheetData>
      <sheetData sheetId="2292">
        <row r="5">
          <cell r="E5">
            <v>1</v>
          </cell>
        </row>
      </sheetData>
      <sheetData sheetId="2293">
        <row r="5">
          <cell r="E5">
            <v>1</v>
          </cell>
        </row>
      </sheetData>
      <sheetData sheetId="2294">
        <row r="5">
          <cell r="E5">
            <v>1</v>
          </cell>
        </row>
      </sheetData>
      <sheetData sheetId="2295">
        <row r="5">
          <cell r="E5">
            <v>1</v>
          </cell>
        </row>
      </sheetData>
      <sheetData sheetId="2296">
        <row r="5">
          <cell r="E5">
            <v>1</v>
          </cell>
        </row>
      </sheetData>
      <sheetData sheetId="2297">
        <row r="5">
          <cell r="E5">
            <v>1</v>
          </cell>
        </row>
      </sheetData>
      <sheetData sheetId="2298">
        <row r="5">
          <cell r="E5">
            <v>1</v>
          </cell>
        </row>
      </sheetData>
      <sheetData sheetId="2299">
        <row r="5">
          <cell r="E5">
            <v>1</v>
          </cell>
        </row>
      </sheetData>
      <sheetData sheetId="2300">
        <row r="5">
          <cell r="E5">
            <v>1</v>
          </cell>
        </row>
      </sheetData>
      <sheetData sheetId="2301">
        <row r="5">
          <cell r="E5">
            <v>1</v>
          </cell>
        </row>
      </sheetData>
      <sheetData sheetId="2302">
        <row r="5">
          <cell r="E5">
            <v>1</v>
          </cell>
        </row>
      </sheetData>
      <sheetData sheetId="2303">
        <row r="5">
          <cell r="E5">
            <v>1</v>
          </cell>
        </row>
      </sheetData>
      <sheetData sheetId="2304">
        <row r="5">
          <cell r="E5">
            <v>1</v>
          </cell>
        </row>
      </sheetData>
      <sheetData sheetId="2305">
        <row r="5">
          <cell r="E5">
            <v>1</v>
          </cell>
        </row>
      </sheetData>
      <sheetData sheetId="2306">
        <row r="5">
          <cell r="E5">
            <v>1</v>
          </cell>
        </row>
      </sheetData>
      <sheetData sheetId="2307">
        <row r="5">
          <cell r="E5">
            <v>1</v>
          </cell>
        </row>
      </sheetData>
      <sheetData sheetId="2308">
        <row r="5">
          <cell r="E5">
            <v>1</v>
          </cell>
        </row>
      </sheetData>
      <sheetData sheetId="2309">
        <row r="5">
          <cell r="E5">
            <v>1</v>
          </cell>
        </row>
      </sheetData>
      <sheetData sheetId="2310">
        <row r="5">
          <cell r="E5">
            <v>1</v>
          </cell>
        </row>
      </sheetData>
      <sheetData sheetId="2311">
        <row r="5">
          <cell r="E5">
            <v>1</v>
          </cell>
        </row>
      </sheetData>
      <sheetData sheetId="2312">
        <row r="5">
          <cell r="E5">
            <v>1</v>
          </cell>
        </row>
      </sheetData>
      <sheetData sheetId="2313">
        <row r="5">
          <cell r="E5">
            <v>1</v>
          </cell>
        </row>
      </sheetData>
      <sheetData sheetId="2314">
        <row r="5">
          <cell r="E5">
            <v>1</v>
          </cell>
        </row>
      </sheetData>
      <sheetData sheetId="2315">
        <row r="5">
          <cell r="E5">
            <v>1</v>
          </cell>
        </row>
      </sheetData>
      <sheetData sheetId="2316">
        <row r="5">
          <cell r="E5">
            <v>1</v>
          </cell>
        </row>
      </sheetData>
      <sheetData sheetId="2317">
        <row r="5">
          <cell r="E5">
            <v>1</v>
          </cell>
        </row>
      </sheetData>
      <sheetData sheetId="2318">
        <row r="5">
          <cell r="E5">
            <v>1</v>
          </cell>
        </row>
      </sheetData>
      <sheetData sheetId="2319">
        <row r="5">
          <cell r="E5">
            <v>1</v>
          </cell>
        </row>
      </sheetData>
      <sheetData sheetId="2320">
        <row r="5">
          <cell r="E5">
            <v>1</v>
          </cell>
        </row>
      </sheetData>
      <sheetData sheetId="2321">
        <row r="5">
          <cell r="E5">
            <v>1</v>
          </cell>
        </row>
      </sheetData>
      <sheetData sheetId="2322">
        <row r="5">
          <cell r="E5">
            <v>1</v>
          </cell>
        </row>
      </sheetData>
      <sheetData sheetId="2323">
        <row r="5">
          <cell r="E5">
            <v>1</v>
          </cell>
        </row>
      </sheetData>
      <sheetData sheetId="2324">
        <row r="5">
          <cell r="E5">
            <v>1</v>
          </cell>
        </row>
      </sheetData>
      <sheetData sheetId="2325">
        <row r="5">
          <cell r="E5">
            <v>1</v>
          </cell>
        </row>
      </sheetData>
      <sheetData sheetId="2326">
        <row r="5">
          <cell r="E5">
            <v>1</v>
          </cell>
        </row>
      </sheetData>
      <sheetData sheetId="2327">
        <row r="5">
          <cell r="E5">
            <v>1</v>
          </cell>
        </row>
      </sheetData>
      <sheetData sheetId="2328">
        <row r="5">
          <cell r="E5">
            <v>1</v>
          </cell>
        </row>
      </sheetData>
      <sheetData sheetId="2329">
        <row r="5">
          <cell r="E5">
            <v>1</v>
          </cell>
        </row>
      </sheetData>
      <sheetData sheetId="2330">
        <row r="5">
          <cell r="E5">
            <v>1</v>
          </cell>
        </row>
      </sheetData>
      <sheetData sheetId="2331">
        <row r="5">
          <cell r="E5">
            <v>1</v>
          </cell>
        </row>
      </sheetData>
      <sheetData sheetId="2332">
        <row r="5">
          <cell r="E5">
            <v>1</v>
          </cell>
        </row>
      </sheetData>
      <sheetData sheetId="2333">
        <row r="5">
          <cell r="E5">
            <v>1</v>
          </cell>
        </row>
      </sheetData>
      <sheetData sheetId="2334">
        <row r="5">
          <cell r="E5">
            <v>1</v>
          </cell>
        </row>
      </sheetData>
      <sheetData sheetId="2335">
        <row r="5">
          <cell r="E5">
            <v>1</v>
          </cell>
        </row>
      </sheetData>
      <sheetData sheetId="2336">
        <row r="5">
          <cell r="E5">
            <v>1</v>
          </cell>
        </row>
      </sheetData>
      <sheetData sheetId="2337">
        <row r="5">
          <cell r="E5">
            <v>1</v>
          </cell>
        </row>
      </sheetData>
      <sheetData sheetId="2338">
        <row r="5">
          <cell r="E5">
            <v>1</v>
          </cell>
        </row>
      </sheetData>
      <sheetData sheetId="2339">
        <row r="5">
          <cell r="E5">
            <v>1</v>
          </cell>
        </row>
      </sheetData>
      <sheetData sheetId="2340">
        <row r="5">
          <cell r="E5">
            <v>1</v>
          </cell>
        </row>
      </sheetData>
      <sheetData sheetId="2341">
        <row r="5">
          <cell r="E5">
            <v>1</v>
          </cell>
        </row>
      </sheetData>
      <sheetData sheetId="2342">
        <row r="5">
          <cell r="E5">
            <v>1</v>
          </cell>
        </row>
      </sheetData>
      <sheetData sheetId="2343">
        <row r="5">
          <cell r="E5">
            <v>1</v>
          </cell>
        </row>
      </sheetData>
      <sheetData sheetId="2344">
        <row r="5">
          <cell r="E5">
            <v>1</v>
          </cell>
        </row>
      </sheetData>
      <sheetData sheetId="2345">
        <row r="5">
          <cell r="E5">
            <v>1</v>
          </cell>
        </row>
      </sheetData>
      <sheetData sheetId="2346">
        <row r="5">
          <cell r="E5">
            <v>1</v>
          </cell>
        </row>
      </sheetData>
      <sheetData sheetId="2347">
        <row r="5">
          <cell r="E5">
            <v>1</v>
          </cell>
        </row>
      </sheetData>
      <sheetData sheetId="2348">
        <row r="5">
          <cell r="E5">
            <v>1</v>
          </cell>
        </row>
      </sheetData>
      <sheetData sheetId="2349">
        <row r="5">
          <cell r="E5">
            <v>1</v>
          </cell>
        </row>
      </sheetData>
      <sheetData sheetId="2350">
        <row r="5">
          <cell r="E5">
            <v>1</v>
          </cell>
        </row>
      </sheetData>
      <sheetData sheetId="2351">
        <row r="5">
          <cell r="E5">
            <v>1</v>
          </cell>
        </row>
      </sheetData>
      <sheetData sheetId="2352">
        <row r="5">
          <cell r="E5">
            <v>1</v>
          </cell>
        </row>
      </sheetData>
      <sheetData sheetId="2353">
        <row r="5">
          <cell r="E5">
            <v>1</v>
          </cell>
        </row>
      </sheetData>
      <sheetData sheetId="2354">
        <row r="5">
          <cell r="E5">
            <v>1</v>
          </cell>
        </row>
      </sheetData>
      <sheetData sheetId="2355">
        <row r="5">
          <cell r="E5">
            <v>1</v>
          </cell>
        </row>
      </sheetData>
      <sheetData sheetId="2356">
        <row r="5">
          <cell r="E5">
            <v>1</v>
          </cell>
        </row>
      </sheetData>
      <sheetData sheetId="2357">
        <row r="5">
          <cell r="E5">
            <v>1</v>
          </cell>
        </row>
      </sheetData>
      <sheetData sheetId="2358">
        <row r="5">
          <cell r="E5">
            <v>1</v>
          </cell>
        </row>
      </sheetData>
      <sheetData sheetId="2359">
        <row r="5">
          <cell r="E5">
            <v>1</v>
          </cell>
        </row>
      </sheetData>
      <sheetData sheetId="2360">
        <row r="5">
          <cell r="E5">
            <v>1</v>
          </cell>
        </row>
      </sheetData>
      <sheetData sheetId="2361">
        <row r="5">
          <cell r="E5">
            <v>1</v>
          </cell>
        </row>
      </sheetData>
      <sheetData sheetId="2362">
        <row r="5">
          <cell r="E5">
            <v>1</v>
          </cell>
        </row>
      </sheetData>
      <sheetData sheetId="2363">
        <row r="5">
          <cell r="E5">
            <v>1</v>
          </cell>
        </row>
      </sheetData>
      <sheetData sheetId="2364">
        <row r="5">
          <cell r="E5">
            <v>1</v>
          </cell>
        </row>
      </sheetData>
      <sheetData sheetId="2365">
        <row r="5">
          <cell r="E5">
            <v>1</v>
          </cell>
        </row>
      </sheetData>
      <sheetData sheetId="2366">
        <row r="5">
          <cell r="E5">
            <v>1</v>
          </cell>
        </row>
      </sheetData>
      <sheetData sheetId="2367">
        <row r="5">
          <cell r="E5">
            <v>1</v>
          </cell>
        </row>
      </sheetData>
      <sheetData sheetId="2368">
        <row r="5">
          <cell r="E5">
            <v>1</v>
          </cell>
        </row>
      </sheetData>
      <sheetData sheetId="2369">
        <row r="5">
          <cell r="E5">
            <v>1</v>
          </cell>
        </row>
      </sheetData>
      <sheetData sheetId="2370">
        <row r="5">
          <cell r="E5">
            <v>1</v>
          </cell>
        </row>
      </sheetData>
      <sheetData sheetId="2371">
        <row r="5">
          <cell r="E5">
            <v>1</v>
          </cell>
        </row>
      </sheetData>
      <sheetData sheetId="2372">
        <row r="5">
          <cell r="E5">
            <v>1</v>
          </cell>
        </row>
      </sheetData>
      <sheetData sheetId="2373">
        <row r="5">
          <cell r="E5">
            <v>1</v>
          </cell>
        </row>
      </sheetData>
      <sheetData sheetId="2374">
        <row r="5">
          <cell r="E5">
            <v>1</v>
          </cell>
        </row>
      </sheetData>
      <sheetData sheetId="2375">
        <row r="5">
          <cell r="E5">
            <v>1</v>
          </cell>
        </row>
      </sheetData>
      <sheetData sheetId="2376">
        <row r="5">
          <cell r="E5">
            <v>1</v>
          </cell>
        </row>
      </sheetData>
      <sheetData sheetId="2377">
        <row r="5">
          <cell r="E5">
            <v>1</v>
          </cell>
        </row>
      </sheetData>
      <sheetData sheetId="2378">
        <row r="5">
          <cell r="E5">
            <v>1</v>
          </cell>
        </row>
      </sheetData>
      <sheetData sheetId="2379">
        <row r="5">
          <cell r="E5">
            <v>1</v>
          </cell>
        </row>
      </sheetData>
      <sheetData sheetId="2380">
        <row r="5">
          <cell r="E5">
            <v>1</v>
          </cell>
        </row>
      </sheetData>
      <sheetData sheetId="2381">
        <row r="5">
          <cell r="E5">
            <v>1</v>
          </cell>
        </row>
      </sheetData>
      <sheetData sheetId="2382">
        <row r="5">
          <cell r="E5">
            <v>1</v>
          </cell>
        </row>
      </sheetData>
      <sheetData sheetId="2383">
        <row r="5">
          <cell r="E5">
            <v>1</v>
          </cell>
        </row>
      </sheetData>
      <sheetData sheetId="2384">
        <row r="5">
          <cell r="E5">
            <v>1</v>
          </cell>
        </row>
      </sheetData>
      <sheetData sheetId="2385">
        <row r="5">
          <cell r="E5">
            <v>1</v>
          </cell>
        </row>
      </sheetData>
      <sheetData sheetId="2386">
        <row r="5">
          <cell r="E5">
            <v>1</v>
          </cell>
        </row>
      </sheetData>
      <sheetData sheetId="2387">
        <row r="5">
          <cell r="E5">
            <v>1</v>
          </cell>
        </row>
      </sheetData>
      <sheetData sheetId="2388">
        <row r="5">
          <cell r="E5">
            <v>1</v>
          </cell>
        </row>
      </sheetData>
      <sheetData sheetId="2389">
        <row r="5">
          <cell r="E5">
            <v>1</v>
          </cell>
        </row>
      </sheetData>
      <sheetData sheetId="2390">
        <row r="5">
          <cell r="E5">
            <v>1</v>
          </cell>
        </row>
      </sheetData>
      <sheetData sheetId="2391">
        <row r="5">
          <cell r="E5">
            <v>1</v>
          </cell>
        </row>
      </sheetData>
      <sheetData sheetId="2392">
        <row r="5">
          <cell r="E5">
            <v>1</v>
          </cell>
        </row>
      </sheetData>
      <sheetData sheetId="2393">
        <row r="5">
          <cell r="E5">
            <v>1</v>
          </cell>
        </row>
      </sheetData>
      <sheetData sheetId="2394">
        <row r="5">
          <cell r="E5">
            <v>1</v>
          </cell>
        </row>
      </sheetData>
      <sheetData sheetId="2395">
        <row r="5">
          <cell r="E5">
            <v>1</v>
          </cell>
        </row>
      </sheetData>
      <sheetData sheetId="2396">
        <row r="5">
          <cell r="E5">
            <v>1</v>
          </cell>
        </row>
      </sheetData>
      <sheetData sheetId="2397">
        <row r="5">
          <cell r="E5">
            <v>1</v>
          </cell>
        </row>
      </sheetData>
      <sheetData sheetId="2398">
        <row r="5">
          <cell r="E5">
            <v>1</v>
          </cell>
        </row>
      </sheetData>
      <sheetData sheetId="2399">
        <row r="5">
          <cell r="E5">
            <v>1</v>
          </cell>
        </row>
      </sheetData>
      <sheetData sheetId="2400">
        <row r="5">
          <cell r="E5">
            <v>1</v>
          </cell>
        </row>
      </sheetData>
      <sheetData sheetId="2401">
        <row r="5">
          <cell r="E5">
            <v>1</v>
          </cell>
        </row>
      </sheetData>
      <sheetData sheetId="2402">
        <row r="5">
          <cell r="E5">
            <v>1</v>
          </cell>
        </row>
      </sheetData>
      <sheetData sheetId="2403">
        <row r="5">
          <cell r="E5">
            <v>1</v>
          </cell>
        </row>
      </sheetData>
      <sheetData sheetId="2404">
        <row r="5">
          <cell r="E5">
            <v>1</v>
          </cell>
        </row>
      </sheetData>
      <sheetData sheetId="2405">
        <row r="5">
          <cell r="E5">
            <v>1</v>
          </cell>
        </row>
      </sheetData>
      <sheetData sheetId="2406">
        <row r="5">
          <cell r="E5">
            <v>1</v>
          </cell>
        </row>
      </sheetData>
      <sheetData sheetId="2407">
        <row r="5">
          <cell r="E5">
            <v>1</v>
          </cell>
        </row>
      </sheetData>
      <sheetData sheetId="2408">
        <row r="5">
          <cell r="E5">
            <v>1</v>
          </cell>
        </row>
      </sheetData>
      <sheetData sheetId="2409">
        <row r="5">
          <cell r="E5">
            <v>1</v>
          </cell>
        </row>
      </sheetData>
      <sheetData sheetId="2410">
        <row r="5">
          <cell r="E5">
            <v>1</v>
          </cell>
        </row>
      </sheetData>
      <sheetData sheetId="2411">
        <row r="5">
          <cell r="E5">
            <v>1</v>
          </cell>
        </row>
      </sheetData>
      <sheetData sheetId="2412">
        <row r="5">
          <cell r="E5">
            <v>1</v>
          </cell>
        </row>
      </sheetData>
      <sheetData sheetId="2413">
        <row r="5">
          <cell r="E5">
            <v>1</v>
          </cell>
        </row>
      </sheetData>
      <sheetData sheetId="2414">
        <row r="5">
          <cell r="E5">
            <v>1</v>
          </cell>
        </row>
      </sheetData>
      <sheetData sheetId="2415">
        <row r="5">
          <cell r="E5">
            <v>1</v>
          </cell>
        </row>
      </sheetData>
      <sheetData sheetId="2416">
        <row r="5">
          <cell r="E5">
            <v>1</v>
          </cell>
        </row>
      </sheetData>
      <sheetData sheetId="2417">
        <row r="5">
          <cell r="E5">
            <v>1</v>
          </cell>
        </row>
      </sheetData>
      <sheetData sheetId="2418">
        <row r="5">
          <cell r="E5">
            <v>1</v>
          </cell>
        </row>
      </sheetData>
      <sheetData sheetId="2419">
        <row r="5">
          <cell r="E5">
            <v>1</v>
          </cell>
        </row>
      </sheetData>
      <sheetData sheetId="2420">
        <row r="5">
          <cell r="E5">
            <v>1</v>
          </cell>
        </row>
      </sheetData>
      <sheetData sheetId="2421">
        <row r="5">
          <cell r="E5">
            <v>1</v>
          </cell>
        </row>
      </sheetData>
      <sheetData sheetId="2422">
        <row r="5">
          <cell r="E5">
            <v>1</v>
          </cell>
        </row>
      </sheetData>
      <sheetData sheetId="2423">
        <row r="5">
          <cell r="E5">
            <v>1</v>
          </cell>
        </row>
      </sheetData>
      <sheetData sheetId="2424">
        <row r="5">
          <cell r="E5">
            <v>1</v>
          </cell>
        </row>
      </sheetData>
      <sheetData sheetId="2425">
        <row r="5">
          <cell r="E5">
            <v>1</v>
          </cell>
        </row>
      </sheetData>
      <sheetData sheetId="2426">
        <row r="5">
          <cell r="E5">
            <v>1</v>
          </cell>
        </row>
      </sheetData>
      <sheetData sheetId="2427">
        <row r="5">
          <cell r="E5">
            <v>1</v>
          </cell>
        </row>
      </sheetData>
      <sheetData sheetId="2428">
        <row r="5">
          <cell r="E5">
            <v>1</v>
          </cell>
        </row>
      </sheetData>
      <sheetData sheetId="2429">
        <row r="5">
          <cell r="E5">
            <v>1</v>
          </cell>
        </row>
      </sheetData>
      <sheetData sheetId="2430">
        <row r="5">
          <cell r="E5">
            <v>1</v>
          </cell>
        </row>
      </sheetData>
      <sheetData sheetId="2431">
        <row r="5">
          <cell r="E5">
            <v>1</v>
          </cell>
        </row>
      </sheetData>
      <sheetData sheetId="2432">
        <row r="5">
          <cell r="E5">
            <v>1</v>
          </cell>
        </row>
      </sheetData>
      <sheetData sheetId="2433">
        <row r="5">
          <cell r="E5">
            <v>1</v>
          </cell>
        </row>
      </sheetData>
      <sheetData sheetId="2434">
        <row r="5">
          <cell r="E5">
            <v>1</v>
          </cell>
        </row>
      </sheetData>
      <sheetData sheetId="2435">
        <row r="5">
          <cell r="E5">
            <v>1</v>
          </cell>
        </row>
      </sheetData>
      <sheetData sheetId="2436">
        <row r="5">
          <cell r="E5">
            <v>1</v>
          </cell>
        </row>
      </sheetData>
      <sheetData sheetId="2437">
        <row r="5">
          <cell r="E5">
            <v>1</v>
          </cell>
        </row>
      </sheetData>
      <sheetData sheetId="2438">
        <row r="5">
          <cell r="E5">
            <v>1</v>
          </cell>
        </row>
      </sheetData>
      <sheetData sheetId="2439">
        <row r="5">
          <cell r="E5">
            <v>1</v>
          </cell>
        </row>
      </sheetData>
      <sheetData sheetId="2440">
        <row r="5">
          <cell r="E5">
            <v>1</v>
          </cell>
        </row>
      </sheetData>
      <sheetData sheetId="2441">
        <row r="5">
          <cell r="E5">
            <v>1</v>
          </cell>
        </row>
      </sheetData>
      <sheetData sheetId="2442">
        <row r="5">
          <cell r="E5">
            <v>1</v>
          </cell>
        </row>
      </sheetData>
      <sheetData sheetId="2443">
        <row r="5">
          <cell r="E5">
            <v>1</v>
          </cell>
        </row>
      </sheetData>
      <sheetData sheetId="2444">
        <row r="5">
          <cell r="E5">
            <v>1</v>
          </cell>
        </row>
      </sheetData>
      <sheetData sheetId="2445">
        <row r="5">
          <cell r="E5">
            <v>1</v>
          </cell>
        </row>
      </sheetData>
      <sheetData sheetId="2446">
        <row r="5">
          <cell r="E5">
            <v>1</v>
          </cell>
        </row>
      </sheetData>
      <sheetData sheetId="2447">
        <row r="5">
          <cell r="E5">
            <v>1</v>
          </cell>
        </row>
      </sheetData>
      <sheetData sheetId="2448">
        <row r="5">
          <cell r="E5">
            <v>1</v>
          </cell>
        </row>
      </sheetData>
      <sheetData sheetId="2449">
        <row r="5">
          <cell r="E5">
            <v>1</v>
          </cell>
        </row>
      </sheetData>
      <sheetData sheetId="2450">
        <row r="5">
          <cell r="E5">
            <v>1</v>
          </cell>
        </row>
      </sheetData>
      <sheetData sheetId="2451">
        <row r="5">
          <cell r="E5">
            <v>1</v>
          </cell>
        </row>
      </sheetData>
      <sheetData sheetId="2452">
        <row r="5">
          <cell r="E5">
            <v>1</v>
          </cell>
        </row>
      </sheetData>
      <sheetData sheetId="2453">
        <row r="5">
          <cell r="E5">
            <v>1</v>
          </cell>
        </row>
      </sheetData>
      <sheetData sheetId="2454">
        <row r="5">
          <cell r="E5">
            <v>1</v>
          </cell>
        </row>
      </sheetData>
      <sheetData sheetId="2455">
        <row r="5">
          <cell r="E5">
            <v>1</v>
          </cell>
        </row>
      </sheetData>
      <sheetData sheetId="2456">
        <row r="5">
          <cell r="E5">
            <v>1</v>
          </cell>
        </row>
      </sheetData>
      <sheetData sheetId="2457">
        <row r="5">
          <cell r="E5">
            <v>1</v>
          </cell>
        </row>
      </sheetData>
      <sheetData sheetId="2458">
        <row r="5">
          <cell r="E5">
            <v>1</v>
          </cell>
        </row>
      </sheetData>
      <sheetData sheetId="2459">
        <row r="5">
          <cell r="E5">
            <v>1</v>
          </cell>
        </row>
      </sheetData>
      <sheetData sheetId="2460">
        <row r="5">
          <cell r="E5">
            <v>1</v>
          </cell>
        </row>
      </sheetData>
      <sheetData sheetId="2461">
        <row r="5">
          <cell r="E5">
            <v>1</v>
          </cell>
        </row>
      </sheetData>
      <sheetData sheetId="2462">
        <row r="5">
          <cell r="E5">
            <v>1</v>
          </cell>
        </row>
      </sheetData>
      <sheetData sheetId="2463">
        <row r="5">
          <cell r="E5">
            <v>1</v>
          </cell>
        </row>
      </sheetData>
      <sheetData sheetId="2464">
        <row r="5">
          <cell r="E5">
            <v>1</v>
          </cell>
        </row>
      </sheetData>
      <sheetData sheetId="2465">
        <row r="5">
          <cell r="E5">
            <v>1</v>
          </cell>
        </row>
      </sheetData>
      <sheetData sheetId="2466">
        <row r="5">
          <cell r="E5">
            <v>1</v>
          </cell>
        </row>
      </sheetData>
      <sheetData sheetId="2467">
        <row r="5">
          <cell r="E5">
            <v>1</v>
          </cell>
        </row>
      </sheetData>
      <sheetData sheetId="2468">
        <row r="5">
          <cell r="E5">
            <v>1</v>
          </cell>
        </row>
      </sheetData>
      <sheetData sheetId="2469">
        <row r="5">
          <cell r="E5">
            <v>1</v>
          </cell>
        </row>
      </sheetData>
      <sheetData sheetId="2470">
        <row r="5">
          <cell r="E5">
            <v>1</v>
          </cell>
        </row>
      </sheetData>
      <sheetData sheetId="2471">
        <row r="5">
          <cell r="E5">
            <v>1</v>
          </cell>
        </row>
      </sheetData>
      <sheetData sheetId="2472">
        <row r="5">
          <cell r="E5">
            <v>1</v>
          </cell>
        </row>
      </sheetData>
      <sheetData sheetId="2473">
        <row r="5">
          <cell r="E5">
            <v>1</v>
          </cell>
        </row>
      </sheetData>
      <sheetData sheetId="2474">
        <row r="5">
          <cell r="E5">
            <v>1</v>
          </cell>
        </row>
      </sheetData>
      <sheetData sheetId="2475">
        <row r="5">
          <cell r="E5">
            <v>1</v>
          </cell>
        </row>
      </sheetData>
      <sheetData sheetId="2476">
        <row r="5">
          <cell r="E5">
            <v>1</v>
          </cell>
        </row>
      </sheetData>
      <sheetData sheetId="2477">
        <row r="5">
          <cell r="E5">
            <v>1</v>
          </cell>
        </row>
      </sheetData>
      <sheetData sheetId="2478">
        <row r="5">
          <cell r="E5">
            <v>1</v>
          </cell>
        </row>
      </sheetData>
      <sheetData sheetId="2479">
        <row r="5">
          <cell r="E5">
            <v>1</v>
          </cell>
        </row>
      </sheetData>
      <sheetData sheetId="2480">
        <row r="5">
          <cell r="E5">
            <v>1</v>
          </cell>
        </row>
      </sheetData>
      <sheetData sheetId="2481">
        <row r="5">
          <cell r="E5">
            <v>1</v>
          </cell>
        </row>
      </sheetData>
      <sheetData sheetId="2482">
        <row r="5">
          <cell r="E5">
            <v>1</v>
          </cell>
        </row>
      </sheetData>
      <sheetData sheetId="2483">
        <row r="5">
          <cell r="E5">
            <v>1</v>
          </cell>
        </row>
      </sheetData>
      <sheetData sheetId="2484">
        <row r="5">
          <cell r="E5">
            <v>1</v>
          </cell>
        </row>
      </sheetData>
      <sheetData sheetId="2485">
        <row r="5">
          <cell r="E5">
            <v>1</v>
          </cell>
        </row>
      </sheetData>
      <sheetData sheetId="2486">
        <row r="5">
          <cell r="E5">
            <v>1</v>
          </cell>
        </row>
      </sheetData>
      <sheetData sheetId="2487">
        <row r="5">
          <cell r="E5">
            <v>1</v>
          </cell>
        </row>
      </sheetData>
      <sheetData sheetId="2488">
        <row r="5">
          <cell r="E5">
            <v>1</v>
          </cell>
        </row>
      </sheetData>
      <sheetData sheetId="2489">
        <row r="5">
          <cell r="E5">
            <v>1</v>
          </cell>
        </row>
      </sheetData>
      <sheetData sheetId="2490">
        <row r="5">
          <cell r="E5">
            <v>1</v>
          </cell>
        </row>
      </sheetData>
      <sheetData sheetId="2491">
        <row r="5">
          <cell r="E5">
            <v>1</v>
          </cell>
        </row>
      </sheetData>
      <sheetData sheetId="2492">
        <row r="5">
          <cell r="E5">
            <v>1</v>
          </cell>
        </row>
      </sheetData>
      <sheetData sheetId="2493">
        <row r="5">
          <cell r="E5">
            <v>1</v>
          </cell>
        </row>
      </sheetData>
      <sheetData sheetId="2494">
        <row r="5">
          <cell r="E5">
            <v>1</v>
          </cell>
        </row>
      </sheetData>
      <sheetData sheetId="2495">
        <row r="5">
          <cell r="E5">
            <v>1</v>
          </cell>
        </row>
      </sheetData>
      <sheetData sheetId="2496">
        <row r="5">
          <cell r="E5">
            <v>1</v>
          </cell>
        </row>
      </sheetData>
      <sheetData sheetId="2497">
        <row r="5">
          <cell r="E5">
            <v>1</v>
          </cell>
        </row>
      </sheetData>
      <sheetData sheetId="2498">
        <row r="5">
          <cell r="E5">
            <v>1</v>
          </cell>
        </row>
      </sheetData>
      <sheetData sheetId="2499">
        <row r="5">
          <cell r="E5">
            <v>1</v>
          </cell>
        </row>
      </sheetData>
      <sheetData sheetId="2500">
        <row r="5">
          <cell r="E5">
            <v>1</v>
          </cell>
        </row>
      </sheetData>
      <sheetData sheetId="2501">
        <row r="5">
          <cell r="E5">
            <v>1</v>
          </cell>
        </row>
      </sheetData>
      <sheetData sheetId="2502">
        <row r="5">
          <cell r="E5">
            <v>1</v>
          </cell>
        </row>
      </sheetData>
      <sheetData sheetId="2503">
        <row r="5">
          <cell r="E5">
            <v>1</v>
          </cell>
        </row>
      </sheetData>
      <sheetData sheetId="2504">
        <row r="5">
          <cell r="E5">
            <v>1</v>
          </cell>
        </row>
      </sheetData>
      <sheetData sheetId="2505">
        <row r="5">
          <cell r="E5">
            <v>1</v>
          </cell>
        </row>
      </sheetData>
      <sheetData sheetId="2506">
        <row r="5">
          <cell r="E5">
            <v>1</v>
          </cell>
        </row>
      </sheetData>
      <sheetData sheetId="2507">
        <row r="5">
          <cell r="E5">
            <v>1</v>
          </cell>
        </row>
      </sheetData>
      <sheetData sheetId="2508">
        <row r="5">
          <cell r="E5">
            <v>1</v>
          </cell>
        </row>
      </sheetData>
      <sheetData sheetId="2509">
        <row r="5">
          <cell r="E5">
            <v>1</v>
          </cell>
        </row>
      </sheetData>
      <sheetData sheetId="2510">
        <row r="5">
          <cell r="E5">
            <v>1</v>
          </cell>
        </row>
      </sheetData>
      <sheetData sheetId="2511">
        <row r="5">
          <cell r="E5">
            <v>1</v>
          </cell>
        </row>
      </sheetData>
      <sheetData sheetId="2512">
        <row r="5">
          <cell r="E5">
            <v>1</v>
          </cell>
        </row>
      </sheetData>
      <sheetData sheetId="2513">
        <row r="5">
          <cell r="E5">
            <v>1</v>
          </cell>
        </row>
      </sheetData>
      <sheetData sheetId="2514">
        <row r="5">
          <cell r="E5">
            <v>1</v>
          </cell>
        </row>
      </sheetData>
      <sheetData sheetId="2515">
        <row r="5">
          <cell r="E5">
            <v>1</v>
          </cell>
        </row>
      </sheetData>
      <sheetData sheetId="2516">
        <row r="5">
          <cell r="E5">
            <v>1</v>
          </cell>
        </row>
      </sheetData>
      <sheetData sheetId="2517">
        <row r="5">
          <cell r="E5">
            <v>1</v>
          </cell>
        </row>
      </sheetData>
      <sheetData sheetId="2518">
        <row r="5">
          <cell r="E5">
            <v>1</v>
          </cell>
        </row>
      </sheetData>
      <sheetData sheetId="2519">
        <row r="5">
          <cell r="E5">
            <v>1</v>
          </cell>
        </row>
      </sheetData>
      <sheetData sheetId="2520">
        <row r="5">
          <cell r="E5">
            <v>1</v>
          </cell>
        </row>
      </sheetData>
      <sheetData sheetId="2521">
        <row r="5">
          <cell r="E5">
            <v>1</v>
          </cell>
        </row>
      </sheetData>
      <sheetData sheetId="2522">
        <row r="5">
          <cell r="E5">
            <v>1</v>
          </cell>
        </row>
      </sheetData>
      <sheetData sheetId="2523">
        <row r="5">
          <cell r="E5">
            <v>1</v>
          </cell>
        </row>
      </sheetData>
      <sheetData sheetId="2524">
        <row r="5">
          <cell r="E5">
            <v>1</v>
          </cell>
        </row>
      </sheetData>
      <sheetData sheetId="2525">
        <row r="5">
          <cell r="E5">
            <v>1</v>
          </cell>
        </row>
      </sheetData>
      <sheetData sheetId="2526">
        <row r="5">
          <cell r="E5">
            <v>1</v>
          </cell>
        </row>
      </sheetData>
      <sheetData sheetId="2527">
        <row r="5">
          <cell r="E5">
            <v>1</v>
          </cell>
        </row>
      </sheetData>
      <sheetData sheetId="2528">
        <row r="5">
          <cell r="E5">
            <v>1</v>
          </cell>
        </row>
      </sheetData>
      <sheetData sheetId="2529">
        <row r="5">
          <cell r="E5">
            <v>1</v>
          </cell>
        </row>
      </sheetData>
      <sheetData sheetId="2530">
        <row r="5">
          <cell r="E5">
            <v>1</v>
          </cell>
        </row>
      </sheetData>
      <sheetData sheetId="2531">
        <row r="5">
          <cell r="E5">
            <v>1</v>
          </cell>
        </row>
      </sheetData>
      <sheetData sheetId="2532">
        <row r="5">
          <cell r="E5">
            <v>1</v>
          </cell>
        </row>
      </sheetData>
      <sheetData sheetId="2533">
        <row r="5">
          <cell r="E5">
            <v>1</v>
          </cell>
        </row>
      </sheetData>
      <sheetData sheetId="2534">
        <row r="5">
          <cell r="E5">
            <v>1</v>
          </cell>
        </row>
      </sheetData>
      <sheetData sheetId="2535">
        <row r="5">
          <cell r="E5">
            <v>1</v>
          </cell>
        </row>
      </sheetData>
      <sheetData sheetId="2536">
        <row r="5">
          <cell r="E5">
            <v>1</v>
          </cell>
        </row>
      </sheetData>
      <sheetData sheetId="2537">
        <row r="5">
          <cell r="E5">
            <v>1</v>
          </cell>
        </row>
      </sheetData>
      <sheetData sheetId="2538">
        <row r="5">
          <cell r="E5">
            <v>1</v>
          </cell>
        </row>
      </sheetData>
      <sheetData sheetId="2539">
        <row r="5">
          <cell r="E5">
            <v>1</v>
          </cell>
        </row>
      </sheetData>
      <sheetData sheetId="2540">
        <row r="5">
          <cell r="E5">
            <v>1</v>
          </cell>
        </row>
      </sheetData>
      <sheetData sheetId="2541">
        <row r="5">
          <cell r="E5">
            <v>1</v>
          </cell>
        </row>
      </sheetData>
      <sheetData sheetId="2542">
        <row r="5">
          <cell r="E5">
            <v>1</v>
          </cell>
        </row>
      </sheetData>
      <sheetData sheetId="2543">
        <row r="5">
          <cell r="E5">
            <v>1</v>
          </cell>
        </row>
      </sheetData>
      <sheetData sheetId="2544">
        <row r="5">
          <cell r="E5">
            <v>1</v>
          </cell>
        </row>
      </sheetData>
      <sheetData sheetId="2545">
        <row r="5">
          <cell r="E5">
            <v>1</v>
          </cell>
        </row>
      </sheetData>
      <sheetData sheetId="2546">
        <row r="5">
          <cell r="E5">
            <v>1</v>
          </cell>
        </row>
      </sheetData>
      <sheetData sheetId="2547">
        <row r="5">
          <cell r="E5">
            <v>1</v>
          </cell>
        </row>
      </sheetData>
      <sheetData sheetId="2548">
        <row r="5">
          <cell r="E5">
            <v>1</v>
          </cell>
        </row>
      </sheetData>
      <sheetData sheetId="2549">
        <row r="5">
          <cell r="E5">
            <v>1</v>
          </cell>
        </row>
      </sheetData>
      <sheetData sheetId="2550">
        <row r="5">
          <cell r="E5">
            <v>1</v>
          </cell>
        </row>
      </sheetData>
      <sheetData sheetId="2551">
        <row r="5">
          <cell r="E5">
            <v>1</v>
          </cell>
        </row>
      </sheetData>
      <sheetData sheetId="2552">
        <row r="5">
          <cell r="E5">
            <v>1</v>
          </cell>
        </row>
      </sheetData>
      <sheetData sheetId="2553">
        <row r="5">
          <cell r="E5">
            <v>1</v>
          </cell>
        </row>
      </sheetData>
      <sheetData sheetId="2554">
        <row r="5">
          <cell r="E5">
            <v>1</v>
          </cell>
        </row>
      </sheetData>
      <sheetData sheetId="2555">
        <row r="5">
          <cell r="E5">
            <v>1</v>
          </cell>
        </row>
      </sheetData>
      <sheetData sheetId="2556">
        <row r="5">
          <cell r="E5">
            <v>1</v>
          </cell>
        </row>
      </sheetData>
      <sheetData sheetId="2557">
        <row r="5">
          <cell r="E5">
            <v>1</v>
          </cell>
        </row>
      </sheetData>
      <sheetData sheetId="2558">
        <row r="5">
          <cell r="E5">
            <v>1</v>
          </cell>
        </row>
      </sheetData>
      <sheetData sheetId="2559">
        <row r="5">
          <cell r="E5">
            <v>1</v>
          </cell>
        </row>
      </sheetData>
      <sheetData sheetId="2560">
        <row r="5">
          <cell r="E5">
            <v>1</v>
          </cell>
        </row>
      </sheetData>
      <sheetData sheetId="2561">
        <row r="5">
          <cell r="E5">
            <v>1</v>
          </cell>
        </row>
      </sheetData>
      <sheetData sheetId="2562">
        <row r="5">
          <cell r="E5">
            <v>1</v>
          </cell>
        </row>
      </sheetData>
      <sheetData sheetId="2563">
        <row r="5">
          <cell r="E5">
            <v>1</v>
          </cell>
        </row>
      </sheetData>
      <sheetData sheetId="2564">
        <row r="5">
          <cell r="E5">
            <v>1</v>
          </cell>
        </row>
      </sheetData>
      <sheetData sheetId="2565">
        <row r="5">
          <cell r="E5">
            <v>1</v>
          </cell>
        </row>
      </sheetData>
      <sheetData sheetId="2566">
        <row r="5">
          <cell r="E5">
            <v>1</v>
          </cell>
        </row>
      </sheetData>
      <sheetData sheetId="2567">
        <row r="5">
          <cell r="E5">
            <v>1</v>
          </cell>
        </row>
      </sheetData>
      <sheetData sheetId="2568">
        <row r="5">
          <cell r="E5">
            <v>1</v>
          </cell>
        </row>
      </sheetData>
      <sheetData sheetId="2569">
        <row r="5">
          <cell r="E5">
            <v>1</v>
          </cell>
        </row>
      </sheetData>
      <sheetData sheetId="2570">
        <row r="5">
          <cell r="E5">
            <v>1</v>
          </cell>
        </row>
      </sheetData>
      <sheetData sheetId="2571">
        <row r="5">
          <cell r="E5">
            <v>1</v>
          </cell>
        </row>
      </sheetData>
      <sheetData sheetId="2572">
        <row r="5">
          <cell r="E5">
            <v>1</v>
          </cell>
        </row>
      </sheetData>
      <sheetData sheetId="2573">
        <row r="5">
          <cell r="E5">
            <v>1</v>
          </cell>
        </row>
      </sheetData>
      <sheetData sheetId="2574">
        <row r="5">
          <cell r="E5">
            <v>1</v>
          </cell>
        </row>
      </sheetData>
      <sheetData sheetId="2575">
        <row r="5">
          <cell r="E5">
            <v>1</v>
          </cell>
        </row>
      </sheetData>
      <sheetData sheetId="2576">
        <row r="5">
          <cell r="E5">
            <v>1</v>
          </cell>
        </row>
      </sheetData>
      <sheetData sheetId="2577">
        <row r="5">
          <cell r="E5">
            <v>1</v>
          </cell>
        </row>
      </sheetData>
      <sheetData sheetId="2578">
        <row r="5">
          <cell r="E5">
            <v>1</v>
          </cell>
        </row>
      </sheetData>
      <sheetData sheetId="2579">
        <row r="5">
          <cell r="E5">
            <v>1</v>
          </cell>
        </row>
      </sheetData>
      <sheetData sheetId="2580">
        <row r="5">
          <cell r="E5">
            <v>1</v>
          </cell>
        </row>
      </sheetData>
      <sheetData sheetId="2581">
        <row r="5">
          <cell r="E5">
            <v>1</v>
          </cell>
        </row>
      </sheetData>
      <sheetData sheetId="2582">
        <row r="5">
          <cell r="E5">
            <v>1</v>
          </cell>
        </row>
      </sheetData>
      <sheetData sheetId="2583">
        <row r="5">
          <cell r="E5">
            <v>1</v>
          </cell>
        </row>
      </sheetData>
      <sheetData sheetId="2584">
        <row r="5">
          <cell r="E5">
            <v>1</v>
          </cell>
        </row>
      </sheetData>
      <sheetData sheetId="2585">
        <row r="5">
          <cell r="E5">
            <v>1</v>
          </cell>
        </row>
      </sheetData>
      <sheetData sheetId="2586">
        <row r="5">
          <cell r="E5">
            <v>1</v>
          </cell>
        </row>
      </sheetData>
      <sheetData sheetId="2587">
        <row r="5">
          <cell r="E5">
            <v>1</v>
          </cell>
        </row>
      </sheetData>
      <sheetData sheetId="2588">
        <row r="5">
          <cell r="E5">
            <v>1</v>
          </cell>
        </row>
      </sheetData>
      <sheetData sheetId="2589">
        <row r="5">
          <cell r="E5">
            <v>1</v>
          </cell>
        </row>
      </sheetData>
      <sheetData sheetId="2590">
        <row r="5">
          <cell r="E5">
            <v>1</v>
          </cell>
        </row>
      </sheetData>
      <sheetData sheetId="2591">
        <row r="5">
          <cell r="E5">
            <v>1</v>
          </cell>
        </row>
      </sheetData>
      <sheetData sheetId="2592">
        <row r="5">
          <cell r="E5">
            <v>1</v>
          </cell>
        </row>
      </sheetData>
      <sheetData sheetId="2593">
        <row r="5">
          <cell r="E5">
            <v>1</v>
          </cell>
        </row>
      </sheetData>
      <sheetData sheetId="2594">
        <row r="5">
          <cell r="E5">
            <v>1</v>
          </cell>
        </row>
      </sheetData>
      <sheetData sheetId="2595">
        <row r="5">
          <cell r="E5">
            <v>1</v>
          </cell>
        </row>
      </sheetData>
      <sheetData sheetId="2596">
        <row r="5">
          <cell r="E5">
            <v>1</v>
          </cell>
        </row>
      </sheetData>
      <sheetData sheetId="2597">
        <row r="5">
          <cell r="E5">
            <v>1</v>
          </cell>
        </row>
      </sheetData>
      <sheetData sheetId="2598">
        <row r="5">
          <cell r="E5">
            <v>1</v>
          </cell>
        </row>
      </sheetData>
      <sheetData sheetId="2599">
        <row r="5">
          <cell r="E5">
            <v>1</v>
          </cell>
        </row>
      </sheetData>
      <sheetData sheetId="2600">
        <row r="5">
          <cell r="E5">
            <v>1</v>
          </cell>
        </row>
      </sheetData>
      <sheetData sheetId="2601">
        <row r="5">
          <cell r="E5">
            <v>1</v>
          </cell>
        </row>
      </sheetData>
      <sheetData sheetId="2602">
        <row r="5">
          <cell r="E5">
            <v>1</v>
          </cell>
        </row>
      </sheetData>
      <sheetData sheetId="2603">
        <row r="5">
          <cell r="E5">
            <v>1</v>
          </cell>
        </row>
      </sheetData>
      <sheetData sheetId="2604">
        <row r="5">
          <cell r="E5">
            <v>1</v>
          </cell>
        </row>
      </sheetData>
      <sheetData sheetId="2605">
        <row r="5">
          <cell r="E5">
            <v>1</v>
          </cell>
        </row>
      </sheetData>
      <sheetData sheetId="2606">
        <row r="5">
          <cell r="E5">
            <v>1</v>
          </cell>
        </row>
      </sheetData>
      <sheetData sheetId="2607">
        <row r="5">
          <cell r="E5">
            <v>1</v>
          </cell>
        </row>
      </sheetData>
      <sheetData sheetId="2608">
        <row r="5">
          <cell r="E5">
            <v>1</v>
          </cell>
        </row>
      </sheetData>
      <sheetData sheetId="2609">
        <row r="5">
          <cell r="E5">
            <v>1</v>
          </cell>
        </row>
      </sheetData>
      <sheetData sheetId="2610">
        <row r="5">
          <cell r="E5">
            <v>1</v>
          </cell>
        </row>
      </sheetData>
      <sheetData sheetId="2611">
        <row r="5">
          <cell r="E5">
            <v>1</v>
          </cell>
        </row>
      </sheetData>
      <sheetData sheetId="2612">
        <row r="5">
          <cell r="E5">
            <v>1</v>
          </cell>
        </row>
      </sheetData>
      <sheetData sheetId="2613">
        <row r="5">
          <cell r="E5">
            <v>1</v>
          </cell>
        </row>
      </sheetData>
      <sheetData sheetId="2614">
        <row r="5">
          <cell r="E5">
            <v>1</v>
          </cell>
        </row>
      </sheetData>
      <sheetData sheetId="2615">
        <row r="5">
          <cell r="E5">
            <v>1</v>
          </cell>
        </row>
      </sheetData>
      <sheetData sheetId="2616">
        <row r="5">
          <cell r="E5">
            <v>1</v>
          </cell>
        </row>
      </sheetData>
      <sheetData sheetId="2617">
        <row r="5">
          <cell r="E5">
            <v>1</v>
          </cell>
        </row>
      </sheetData>
      <sheetData sheetId="2618">
        <row r="5">
          <cell r="E5">
            <v>1</v>
          </cell>
        </row>
      </sheetData>
      <sheetData sheetId="2619">
        <row r="5">
          <cell r="E5">
            <v>1</v>
          </cell>
        </row>
      </sheetData>
      <sheetData sheetId="2620">
        <row r="5">
          <cell r="E5">
            <v>1</v>
          </cell>
        </row>
      </sheetData>
      <sheetData sheetId="2621">
        <row r="5">
          <cell r="E5">
            <v>1</v>
          </cell>
        </row>
      </sheetData>
      <sheetData sheetId="2622">
        <row r="5">
          <cell r="E5">
            <v>1</v>
          </cell>
        </row>
      </sheetData>
      <sheetData sheetId="2623">
        <row r="5">
          <cell r="E5">
            <v>1</v>
          </cell>
        </row>
      </sheetData>
      <sheetData sheetId="2624">
        <row r="5">
          <cell r="E5">
            <v>1</v>
          </cell>
        </row>
      </sheetData>
      <sheetData sheetId="2625">
        <row r="5">
          <cell r="E5">
            <v>1</v>
          </cell>
        </row>
      </sheetData>
      <sheetData sheetId="2626">
        <row r="5">
          <cell r="E5">
            <v>1</v>
          </cell>
        </row>
      </sheetData>
      <sheetData sheetId="2627">
        <row r="5">
          <cell r="E5">
            <v>1</v>
          </cell>
        </row>
      </sheetData>
      <sheetData sheetId="2628">
        <row r="5">
          <cell r="E5">
            <v>1</v>
          </cell>
        </row>
      </sheetData>
      <sheetData sheetId="2629">
        <row r="5">
          <cell r="E5">
            <v>1</v>
          </cell>
        </row>
      </sheetData>
      <sheetData sheetId="2630">
        <row r="5">
          <cell r="E5">
            <v>1</v>
          </cell>
        </row>
      </sheetData>
      <sheetData sheetId="2631">
        <row r="5">
          <cell r="E5">
            <v>1</v>
          </cell>
        </row>
      </sheetData>
      <sheetData sheetId="2632">
        <row r="5">
          <cell r="E5">
            <v>1</v>
          </cell>
        </row>
      </sheetData>
      <sheetData sheetId="2633">
        <row r="5">
          <cell r="E5">
            <v>1</v>
          </cell>
        </row>
      </sheetData>
      <sheetData sheetId="2634">
        <row r="5">
          <cell r="E5">
            <v>1</v>
          </cell>
        </row>
      </sheetData>
      <sheetData sheetId="2635">
        <row r="5">
          <cell r="E5">
            <v>1</v>
          </cell>
        </row>
      </sheetData>
      <sheetData sheetId="2636">
        <row r="5">
          <cell r="E5">
            <v>1</v>
          </cell>
        </row>
      </sheetData>
      <sheetData sheetId="2637">
        <row r="5">
          <cell r="E5">
            <v>1</v>
          </cell>
        </row>
      </sheetData>
      <sheetData sheetId="2638">
        <row r="5">
          <cell r="E5">
            <v>1</v>
          </cell>
        </row>
      </sheetData>
      <sheetData sheetId="2639">
        <row r="5">
          <cell r="E5">
            <v>1</v>
          </cell>
        </row>
      </sheetData>
      <sheetData sheetId="2640">
        <row r="5">
          <cell r="E5">
            <v>1</v>
          </cell>
        </row>
      </sheetData>
      <sheetData sheetId="2641">
        <row r="5">
          <cell r="E5">
            <v>1</v>
          </cell>
        </row>
      </sheetData>
      <sheetData sheetId="2642">
        <row r="5">
          <cell r="E5">
            <v>1</v>
          </cell>
        </row>
      </sheetData>
      <sheetData sheetId="2643">
        <row r="5">
          <cell r="E5">
            <v>1</v>
          </cell>
        </row>
      </sheetData>
      <sheetData sheetId="2644">
        <row r="5">
          <cell r="E5">
            <v>1</v>
          </cell>
        </row>
      </sheetData>
      <sheetData sheetId="2645">
        <row r="5">
          <cell r="E5">
            <v>1</v>
          </cell>
        </row>
      </sheetData>
      <sheetData sheetId="2646">
        <row r="5">
          <cell r="E5">
            <v>1</v>
          </cell>
        </row>
      </sheetData>
      <sheetData sheetId="2647">
        <row r="5">
          <cell r="E5">
            <v>1</v>
          </cell>
        </row>
      </sheetData>
      <sheetData sheetId="2648">
        <row r="5">
          <cell r="E5">
            <v>1</v>
          </cell>
        </row>
      </sheetData>
      <sheetData sheetId="2649">
        <row r="5">
          <cell r="E5">
            <v>1</v>
          </cell>
        </row>
      </sheetData>
      <sheetData sheetId="2650">
        <row r="5">
          <cell r="E5">
            <v>1</v>
          </cell>
        </row>
      </sheetData>
      <sheetData sheetId="2651">
        <row r="5">
          <cell r="E5">
            <v>1</v>
          </cell>
        </row>
      </sheetData>
      <sheetData sheetId="2652">
        <row r="5">
          <cell r="E5">
            <v>1</v>
          </cell>
        </row>
      </sheetData>
      <sheetData sheetId="2653">
        <row r="5">
          <cell r="E5">
            <v>1</v>
          </cell>
        </row>
      </sheetData>
      <sheetData sheetId="2654">
        <row r="5">
          <cell r="E5">
            <v>1</v>
          </cell>
        </row>
      </sheetData>
      <sheetData sheetId="2655">
        <row r="5">
          <cell r="E5">
            <v>1</v>
          </cell>
        </row>
      </sheetData>
      <sheetData sheetId="2656">
        <row r="5">
          <cell r="E5">
            <v>1</v>
          </cell>
        </row>
      </sheetData>
      <sheetData sheetId="2657">
        <row r="5">
          <cell r="E5">
            <v>1</v>
          </cell>
        </row>
      </sheetData>
      <sheetData sheetId="2658">
        <row r="5">
          <cell r="E5">
            <v>1</v>
          </cell>
        </row>
      </sheetData>
      <sheetData sheetId="2659">
        <row r="5">
          <cell r="E5">
            <v>1</v>
          </cell>
        </row>
      </sheetData>
      <sheetData sheetId="2660">
        <row r="5">
          <cell r="E5">
            <v>1</v>
          </cell>
        </row>
      </sheetData>
      <sheetData sheetId="2661">
        <row r="5">
          <cell r="E5">
            <v>1</v>
          </cell>
        </row>
      </sheetData>
      <sheetData sheetId="2662">
        <row r="5">
          <cell r="E5">
            <v>1</v>
          </cell>
        </row>
      </sheetData>
      <sheetData sheetId="2663">
        <row r="5">
          <cell r="E5">
            <v>1</v>
          </cell>
        </row>
      </sheetData>
      <sheetData sheetId="2664">
        <row r="5">
          <cell r="E5">
            <v>1</v>
          </cell>
        </row>
      </sheetData>
      <sheetData sheetId="2665">
        <row r="5">
          <cell r="E5">
            <v>1</v>
          </cell>
        </row>
      </sheetData>
      <sheetData sheetId="2666">
        <row r="5">
          <cell r="E5">
            <v>1</v>
          </cell>
        </row>
      </sheetData>
      <sheetData sheetId="2667">
        <row r="5">
          <cell r="E5">
            <v>1</v>
          </cell>
        </row>
      </sheetData>
      <sheetData sheetId="2668">
        <row r="5">
          <cell r="E5">
            <v>1</v>
          </cell>
        </row>
      </sheetData>
      <sheetData sheetId="2669">
        <row r="5">
          <cell r="E5">
            <v>1</v>
          </cell>
        </row>
      </sheetData>
      <sheetData sheetId="2670">
        <row r="5">
          <cell r="E5">
            <v>1</v>
          </cell>
        </row>
      </sheetData>
      <sheetData sheetId="2671">
        <row r="5">
          <cell r="E5">
            <v>1</v>
          </cell>
        </row>
      </sheetData>
      <sheetData sheetId="2672">
        <row r="5">
          <cell r="E5">
            <v>1</v>
          </cell>
        </row>
      </sheetData>
      <sheetData sheetId="2673">
        <row r="5">
          <cell r="E5">
            <v>1</v>
          </cell>
        </row>
      </sheetData>
      <sheetData sheetId="2674">
        <row r="5">
          <cell r="E5">
            <v>1</v>
          </cell>
        </row>
      </sheetData>
      <sheetData sheetId="2675">
        <row r="5">
          <cell r="E5">
            <v>1</v>
          </cell>
        </row>
      </sheetData>
      <sheetData sheetId="2676">
        <row r="5">
          <cell r="E5">
            <v>1</v>
          </cell>
        </row>
      </sheetData>
      <sheetData sheetId="2677">
        <row r="5">
          <cell r="E5">
            <v>1</v>
          </cell>
        </row>
      </sheetData>
      <sheetData sheetId="2678">
        <row r="5">
          <cell r="E5">
            <v>1</v>
          </cell>
        </row>
      </sheetData>
      <sheetData sheetId="2679">
        <row r="5">
          <cell r="E5">
            <v>1</v>
          </cell>
        </row>
      </sheetData>
      <sheetData sheetId="2680">
        <row r="5">
          <cell r="E5">
            <v>1</v>
          </cell>
        </row>
      </sheetData>
      <sheetData sheetId="2681">
        <row r="5">
          <cell r="E5">
            <v>1</v>
          </cell>
        </row>
      </sheetData>
      <sheetData sheetId="2682">
        <row r="5">
          <cell r="E5">
            <v>1</v>
          </cell>
        </row>
      </sheetData>
      <sheetData sheetId="2683">
        <row r="5">
          <cell r="E5">
            <v>1</v>
          </cell>
        </row>
      </sheetData>
      <sheetData sheetId="2684">
        <row r="5">
          <cell r="E5">
            <v>1</v>
          </cell>
        </row>
      </sheetData>
      <sheetData sheetId="2685">
        <row r="5">
          <cell r="E5">
            <v>1</v>
          </cell>
        </row>
      </sheetData>
      <sheetData sheetId="2686">
        <row r="5">
          <cell r="E5">
            <v>1</v>
          </cell>
        </row>
      </sheetData>
      <sheetData sheetId="2687">
        <row r="5">
          <cell r="E5">
            <v>1</v>
          </cell>
        </row>
      </sheetData>
      <sheetData sheetId="2688">
        <row r="5">
          <cell r="E5">
            <v>1</v>
          </cell>
        </row>
      </sheetData>
      <sheetData sheetId="2689">
        <row r="5">
          <cell r="E5">
            <v>1</v>
          </cell>
        </row>
      </sheetData>
      <sheetData sheetId="2690">
        <row r="5">
          <cell r="E5">
            <v>1</v>
          </cell>
        </row>
      </sheetData>
      <sheetData sheetId="2691">
        <row r="5">
          <cell r="E5">
            <v>1</v>
          </cell>
        </row>
      </sheetData>
      <sheetData sheetId="2692">
        <row r="5">
          <cell r="E5">
            <v>1</v>
          </cell>
        </row>
      </sheetData>
      <sheetData sheetId="2693">
        <row r="5">
          <cell r="E5">
            <v>1</v>
          </cell>
        </row>
      </sheetData>
      <sheetData sheetId="2694">
        <row r="5">
          <cell r="E5">
            <v>1</v>
          </cell>
        </row>
      </sheetData>
      <sheetData sheetId="2695">
        <row r="5">
          <cell r="E5">
            <v>1</v>
          </cell>
        </row>
      </sheetData>
      <sheetData sheetId="2696">
        <row r="5">
          <cell r="E5">
            <v>1</v>
          </cell>
        </row>
      </sheetData>
      <sheetData sheetId="2697">
        <row r="5">
          <cell r="E5">
            <v>1</v>
          </cell>
        </row>
      </sheetData>
      <sheetData sheetId="2698">
        <row r="5">
          <cell r="E5">
            <v>1</v>
          </cell>
        </row>
      </sheetData>
      <sheetData sheetId="2699">
        <row r="5">
          <cell r="E5">
            <v>1</v>
          </cell>
        </row>
      </sheetData>
      <sheetData sheetId="2700">
        <row r="5">
          <cell r="E5">
            <v>1</v>
          </cell>
        </row>
      </sheetData>
      <sheetData sheetId="2701">
        <row r="5">
          <cell r="E5">
            <v>1</v>
          </cell>
        </row>
      </sheetData>
      <sheetData sheetId="2702">
        <row r="5">
          <cell r="E5">
            <v>1</v>
          </cell>
        </row>
      </sheetData>
      <sheetData sheetId="2703">
        <row r="5">
          <cell r="E5">
            <v>1</v>
          </cell>
        </row>
      </sheetData>
      <sheetData sheetId="2704">
        <row r="5">
          <cell r="E5">
            <v>1</v>
          </cell>
        </row>
      </sheetData>
      <sheetData sheetId="2705">
        <row r="5">
          <cell r="E5">
            <v>1</v>
          </cell>
        </row>
      </sheetData>
      <sheetData sheetId="2706">
        <row r="5">
          <cell r="E5">
            <v>1</v>
          </cell>
        </row>
      </sheetData>
      <sheetData sheetId="2707">
        <row r="5">
          <cell r="E5">
            <v>1</v>
          </cell>
        </row>
      </sheetData>
      <sheetData sheetId="2708">
        <row r="5">
          <cell r="E5">
            <v>1</v>
          </cell>
        </row>
      </sheetData>
      <sheetData sheetId="2709">
        <row r="5">
          <cell r="E5">
            <v>1</v>
          </cell>
        </row>
      </sheetData>
      <sheetData sheetId="2710">
        <row r="5">
          <cell r="E5">
            <v>1</v>
          </cell>
        </row>
      </sheetData>
      <sheetData sheetId="2711">
        <row r="5">
          <cell r="E5">
            <v>1</v>
          </cell>
        </row>
      </sheetData>
      <sheetData sheetId="2712">
        <row r="5">
          <cell r="E5">
            <v>1</v>
          </cell>
        </row>
      </sheetData>
      <sheetData sheetId="2713">
        <row r="5">
          <cell r="E5">
            <v>1</v>
          </cell>
        </row>
      </sheetData>
      <sheetData sheetId="2714">
        <row r="5">
          <cell r="E5">
            <v>1</v>
          </cell>
        </row>
      </sheetData>
      <sheetData sheetId="2715">
        <row r="5">
          <cell r="E5">
            <v>1</v>
          </cell>
        </row>
      </sheetData>
      <sheetData sheetId="2716">
        <row r="5">
          <cell r="E5">
            <v>1</v>
          </cell>
        </row>
      </sheetData>
      <sheetData sheetId="2717">
        <row r="5">
          <cell r="E5">
            <v>1</v>
          </cell>
        </row>
      </sheetData>
      <sheetData sheetId="2718">
        <row r="5">
          <cell r="E5">
            <v>1</v>
          </cell>
        </row>
      </sheetData>
      <sheetData sheetId="2719">
        <row r="5">
          <cell r="E5">
            <v>1</v>
          </cell>
        </row>
      </sheetData>
      <sheetData sheetId="2720">
        <row r="5">
          <cell r="E5">
            <v>1</v>
          </cell>
        </row>
      </sheetData>
      <sheetData sheetId="2721">
        <row r="5">
          <cell r="E5">
            <v>1</v>
          </cell>
        </row>
      </sheetData>
      <sheetData sheetId="2722">
        <row r="5">
          <cell r="E5">
            <v>1</v>
          </cell>
        </row>
      </sheetData>
      <sheetData sheetId="2723">
        <row r="5">
          <cell r="E5">
            <v>1</v>
          </cell>
        </row>
      </sheetData>
      <sheetData sheetId="2724">
        <row r="5">
          <cell r="E5">
            <v>1</v>
          </cell>
        </row>
      </sheetData>
      <sheetData sheetId="2725">
        <row r="5">
          <cell r="E5">
            <v>1</v>
          </cell>
        </row>
      </sheetData>
      <sheetData sheetId="2726">
        <row r="5">
          <cell r="E5">
            <v>1</v>
          </cell>
        </row>
      </sheetData>
      <sheetData sheetId="2727">
        <row r="5">
          <cell r="E5">
            <v>1</v>
          </cell>
        </row>
      </sheetData>
      <sheetData sheetId="2728">
        <row r="5">
          <cell r="E5">
            <v>1</v>
          </cell>
        </row>
      </sheetData>
      <sheetData sheetId="2729">
        <row r="5">
          <cell r="E5">
            <v>1</v>
          </cell>
        </row>
      </sheetData>
      <sheetData sheetId="2730">
        <row r="5">
          <cell r="E5">
            <v>1</v>
          </cell>
        </row>
      </sheetData>
      <sheetData sheetId="2731">
        <row r="5">
          <cell r="E5">
            <v>1</v>
          </cell>
        </row>
      </sheetData>
      <sheetData sheetId="2732">
        <row r="5">
          <cell r="E5">
            <v>1</v>
          </cell>
        </row>
      </sheetData>
      <sheetData sheetId="2733">
        <row r="5">
          <cell r="E5">
            <v>1</v>
          </cell>
        </row>
      </sheetData>
      <sheetData sheetId="2734">
        <row r="5">
          <cell r="E5">
            <v>1</v>
          </cell>
        </row>
      </sheetData>
      <sheetData sheetId="2735">
        <row r="5">
          <cell r="E5">
            <v>1</v>
          </cell>
        </row>
      </sheetData>
      <sheetData sheetId="2736">
        <row r="5">
          <cell r="E5">
            <v>1</v>
          </cell>
        </row>
      </sheetData>
      <sheetData sheetId="2737">
        <row r="5">
          <cell r="E5">
            <v>1</v>
          </cell>
        </row>
      </sheetData>
      <sheetData sheetId="2738">
        <row r="5">
          <cell r="E5">
            <v>1</v>
          </cell>
        </row>
      </sheetData>
      <sheetData sheetId="2739">
        <row r="5">
          <cell r="E5">
            <v>1</v>
          </cell>
        </row>
      </sheetData>
      <sheetData sheetId="2740">
        <row r="5">
          <cell r="E5">
            <v>1</v>
          </cell>
        </row>
      </sheetData>
      <sheetData sheetId="2741">
        <row r="5">
          <cell r="E5">
            <v>1</v>
          </cell>
        </row>
      </sheetData>
      <sheetData sheetId="2742">
        <row r="5">
          <cell r="E5">
            <v>1</v>
          </cell>
        </row>
      </sheetData>
      <sheetData sheetId="2743">
        <row r="5">
          <cell r="E5">
            <v>1</v>
          </cell>
        </row>
      </sheetData>
      <sheetData sheetId="2744">
        <row r="5">
          <cell r="E5">
            <v>1</v>
          </cell>
        </row>
      </sheetData>
      <sheetData sheetId="2745">
        <row r="5">
          <cell r="E5">
            <v>1</v>
          </cell>
        </row>
      </sheetData>
      <sheetData sheetId="2746">
        <row r="5">
          <cell r="E5">
            <v>1</v>
          </cell>
        </row>
      </sheetData>
      <sheetData sheetId="2747">
        <row r="5">
          <cell r="E5">
            <v>1</v>
          </cell>
        </row>
      </sheetData>
      <sheetData sheetId="2748">
        <row r="5">
          <cell r="E5">
            <v>1</v>
          </cell>
        </row>
      </sheetData>
      <sheetData sheetId="2749">
        <row r="5">
          <cell r="E5">
            <v>1</v>
          </cell>
        </row>
      </sheetData>
      <sheetData sheetId="2750">
        <row r="5">
          <cell r="E5">
            <v>1</v>
          </cell>
        </row>
      </sheetData>
      <sheetData sheetId="2751">
        <row r="5">
          <cell r="E5">
            <v>1</v>
          </cell>
        </row>
      </sheetData>
      <sheetData sheetId="2752">
        <row r="5">
          <cell r="E5">
            <v>1</v>
          </cell>
        </row>
      </sheetData>
      <sheetData sheetId="2753">
        <row r="5">
          <cell r="E5">
            <v>1</v>
          </cell>
        </row>
      </sheetData>
      <sheetData sheetId="2754">
        <row r="5">
          <cell r="E5">
            <v>1</v>
          </cell>
        </row>
      </sheetData>
      <sheetData sheetId="2755">
        <row r="5">
          <cell r="E5">
            <v>1</v>
          </cell>
        </row>
      </sheetData>
      <sheetData sheetId="2756">
        <row r="5">
          <cell r="E5">
            <v>1</v>
          </cell>
        </row>
      </sheetData>
      <sheetData sheetId="2757">
        <row r="5">
          <cell r="E5">
            <v>1</v>
          </cell>
        </row>
      </sheetData>
      <sheetData sheetId="2758">
        <row r="5">
          <cell r="E5">
            <v>1</v>
          </cell>
        </row>
      </sheetData>
      <sheetData sheetId="2759">
        <row r="5">
          <cell r="E5">
            <v>1</v>
          </cell>
        </row>
      </sheetData>
      <sheetData sheetId="2760">
        <row r="5">
          <cell r="E5">
            <v>1</v>
          </cell>
        </row>
      </sheetData>
      <sheetData sheetId="2761">
        <row r="5">
          <cell r="E5">
            <v>1</v>
          </cell>
        </row>
      </sheetData>
      <sheetData sheetId="2762">
        <row r="5">
          <cell r="E5">
            <v>1</v>
          </cell>
        </row>
      </sheetData>
      <sheetData sheetId="2763">
        <row r="5">
          <cell r="E5">
            <v>1</v>
          </cell>
        </row>
      </sheetData>
      <sheetData sheetId="2764">
        <row r="5">
          <cell r="E5">
            <v>1</v>
          </cell>
        </row>
      </sheetData>
      <sheetData sheetId="2765">
        <row r="5">
          <cell r="E5">
            <v>1</v>
          </cell>
        </row>
      </sheetData>
      <sheetData sheetId="2766">
        <row r="5">
          <cell r="E5">
            <v>1</v>
          </cell>
        </row>
      </sheetData>
      <sheetData sheetId="2767">
        <row r="5">
          <cell r="E5">
            <v>1</v>
          </cell>
        </row>
      </sheetData>
      <sheetData sheetId="2768">
        <row r="5">
          <cell r="E5">
            <v>1</v>
          </cell>
        </row>
      </sheetData>
      <sheetData sheetId="2769">
        <row r="5">
          <cell r="E5">
            <v>1</v>
          </cell>
        </row>
      </sheetData>
      <sheetData sheetId="2770">
        <row r="5">
          <cell r="E5">
            <v>1</v>
          </cell>
        </row>
      </sheetData>
      <sheetData sheetId="2771">
        <row r="5">
          <cell r="E5">
            <v>1</v>
          </cell>
        </row>
      </sheetData>
      <sheetData sheetId="2772">
        <row r="5">
          <cell r="E5">
            <v>1</v>
          </cell>
        </row>
      </sheetData>
      <sheetData sheetId="2773">
        <row r="5">
          <cell r="E5">
            <v>1</v>
          </cell>
        </row>
      </sheetData>
      <sheetData sheetId="2774">
        <row r="5">
          <cell r="E5">
            <v>1</v>
          </cell>
        </row>
      </sheetData>
      <sheetData sheetId="2775">
        <row r="5">
          <cell r="E5">
            <v>1</v>
          </cell>
        </row>
      </sheetData>
      <sheetData sheetId="2776">
        <row r="5">
          <cell r="E5">
            <v>1</v>
          </cell>
        </row>
      </sheetData>
      <sheetData sheetId="2777">
        <row r="5">
          <cell r="E5">
            <v>1</v>
          </cell>
        </row>
      </sheetData>
      <sheetData sheetId="2778">
        <row r="5">
          <cell r="E5">
            <v>1</v>
          </cell>
        </row>
      </sheetData>
      <sheetData sheetId="2779">
        <row r="5">
          <cell r="E5">
            <v>1</v>
          </cell>
        </row>
      </sheetData>
      <sheetData sheetId="2780">
        <row r="5">
          <cell r="E5">
            <v>1</v>
          </cell>
        </row>
      </sheetData>
      <sheetData sheetId="2781">
        <row r="5">
          <cell r="E5">
            <v>1</v>
          </cell>
        </row>
      </sheetData>
      <sheetData sheetId="2782">
        <row r="5">
          <cell r="E5">
            <v>1</v>
          </cell>
        </row>
      </sheetData>
      <sheetData sheetId="2783">
        <row r="5">
          <cell r="E5">
            <v>1</v>
          </cell>
        </row>
      </sheetData>
      <sheetData sheetId="2784">
        <row r="5">
          <cell r="E5">
            <v>1</v>
          </cell>
        </row>
      </sheetData>
      <sheetData sheetId="2785">
        <row r="5">
          <cell r="E5">
            <v>1</v>
          </cell>
        </row>
      </sheetData>
      <sheetData sheetId="2786">
        <row r="5">
          <cell r="E5">
            <v>1</v>
          </cell>
        </row>
      </sheetData>
      <sheetData sheetId="2787">
        <row r="5">
          <cell r="E5">
            <v>1</v>
          </cell>
        </row>
      </sheetData>
      <sheetData sheetId="2788">
        <row r="5">
          <cell r="E5">
            <v>1</v>
          </cell>
        </row>
      </sheetData>
      <sheetData sheetId="2789">
        <row r="5">
          <cell r="E5">
            <v>1</v>
          </cell>
        </row>
      </sheetData>
      <sheetData sheetId="2790">
        <row r="5">
          <cell r="E5">
            <v>1</v>
          </cell>
        </row>
      </sheetData>
      <sheetData sheetId="2791">
        <row r="5">
          <cell r="E5">
            <v>1</v>
          </cell>
        </row>
      </sheetData>
      <sheetData sheetId="2792">
        <row r="5">
          <cell r="E5">
            <v>1</v>
          </cell>
        </row>
      </sheetData>
      <sheetData sheetId="2793">
        <row r="5">
          <cell r="E5">
            <v>1</v>
          </cell>
        </row>
      </sheetData>
      <sheetData sheetId="2794">
        <row r="5">
          <cell r="E5">
            <v>1</v>
          </cell>
        </row>
      </sheetData>
      <sheetData sheetId="2795">
        <row r="5">
          <cell r="E5">
            <v>1</v>
          </cell>
        </row>
      </sheetData>
      <sheetData sheetId="2796">
        <row r="5">
          <cell r="E5">
            <v>1</v>
          </cell>
        </row>
      </sheetData>
      <sheetData sheetId="2797">
        <row r="5">
          <cell r="E5">
            <v>1</v>
          </cell>
        </row>
      </sheetData>
      <sheetData sheetId="2798">
        <row r="5">
          <cell r="E5">
            <v>1</v>
          </cell>
        </row>
      </sheetData>
      <sheetData sheetId="2799">
        <row r="5">
          <cell r="E5">
            <v>1</v>
          </cell>
        </row>
      </sheetData>
      <sheetData sheetId="2800">
        <row r="5">
          <cell r="E5">
            <v>1</v>
          </cell>
        </row>
      </sheetData>
      <sheetData sheetId="2801">
        <row r="5">
          <cell r="E5">
            <v>1</v>
          </cell>
        </row>
      </sheetData>
      <sheetData sheetId="2802">
        <row r="5">
          <cell r="E5">
            <v>1</v>
          </cell>
        </row>
      </sheetData>
      <sheetData sheetId="2803">
        <row r="5">
          <cell r="E5">
            <v>1</v>
          </cell>
        </row>
      </sheetData>
      <sheetData sheetId="2804">
        <row r="5">
          <cell r="E5">
            <v>1</v>
          </cell>
        </row>
      </sheetData>
      <sheetData sheetId="2805">
        <row r="5">
          <cell r="E5">
            <v>1</v>
          </cell>
        </row>
      </sheetData>
      <sheetData sheetId="2806">
        <row r="5">
          <cell r="E5">
            <v>1</v>
          </cell>
        </row>
      </sheetData>
      <sheetData sheetId="2807">
        <row r="5">
          <cell r="E5">
            <v>1</v>
          </cell>
        </row>
      </sheetData>
      <sheetData sheetId="2808">
        <row r="5">
          <cell r="E5">
            <v>1</v>
          </cell>
        </row>
      </sheetData>
      <sheetData sheetId="2809">
        <row r="5">
          <cell r="E5">
            <v>1</v>
          </cell>
        </row>
      </sheetData>
      <sheetData sheetId="2810">
        <row r="5">
          <cell r="E5">
            <v>1</v>
          </cell>
        </row>
      </sheetData>
      <sheetData sheetId="2811">
        <row r="5">
          <cell r="E5">
            <v>1</v>
          </cell>
        </row>
      </sheetData>
      <sheetData sheetId="2812">
        <row r="5">
          <cell r="E5">
            <v>1</v>
          </cell>
        </row>
      </sheetData>
      <sheetData sheetId="2813">
        <row r="5">
          <cell r="E5">
            <v>1</v>
          </cell>
        </row>
      </sheetData>
      <sheetData sheetId="2814">
        <row r="5">
          <cell r="E5">
            <v>1</v>
          </cell>
        </row>
      </sheetData>
      <sheetData sheetId="2815">
        <row r="5">
          <cell r="E5">
            <v>1</v>
          </cell>
        </row>
      </sheetData>
      <sheetData sheetId="2816">
        <row r="5">
          <cell r="E5">
            <v>1</v>
          </cell>
        </row>
      </sheetData>
      <sheetData sheetId="2817">
        <row r="5">
          <cell r="E5">
            <v>1</v>
          </cell>
        </row>
      </sheetData>
      <sheetData sheetId="2818">
        <row r="5">
          <cell r="E5">
            <v>1</v>
          </cell>
        </row>
      </sheetData>
      <sheetData sheetId="2819">
        <row r="5">
          <cell r="E5">
            <v>1</v>
          </cell>
        </row>
      </sheetData>
      <sheetData sheetId="2820">
        <row r="5">
          <cell r="E5">
            <v>1</v>
          </cell>
        </row>
      </sheetData>
      <sheetData sheetId="2821">
        <row r="5">
          <cell r="E5">
            <v>1</v>
          </cell>
        </row>
      </sheetData>
      <sheetData sheetId="2822">
        <row r="5">
          <cell r="E5">
            <v>1</v>
          </cell>
        </row>
      </sheetData>
      <sheetData sheetId="2823">
        <row r="5">
          <cell r="E5">
            <v>1</v>
          </cell>
        </row>
      </sheetData>
      <sheetData sheetId="2824">
        <row r="5">
          <cell r="E5">
            <v>1</v>
          </cell>
        </row>
      </sheetData>
      <sheetData sheetId="2825">
        <row r="5">
          <cell r="E5">
            <v>1</v>
          </cell>
        </row>
      </sheetData>
      <sheetData sheetId="2826">
        <row r="5">
          <cell r="E5">
            <v>1</v>
          </cell>
        </row>
      </sheetData>
      <sheetData sheetId="2827">
        <row r="5">
          <cell r="E5">
            <v>1</v>
          </cell>
        </row>
      </sheetData>
      <sheetData sheetId="2828">
        <row r="5">
          <cell r="E5">
            <v>1</v>
          </cell>
        </row>
      </sheetData>
      <sheetData sheetId="2829">
        <row r="5">
          <cell r="E5">
            <v>1</v>
          </cell>
        </row>
      </sheetData>
      <sheetData sheetId="2830">
        <row r="5">
          <cell r="E5">
            <v>1</v>
          </cell>
        </row>
      </sheetData>
      <sheetData sheetId="2831">
        <row r="5">
          <cell r="E5">
            <v>1</v>
          </cell>
        </row>
      </sheetData>
      <sheetData sheetId="2832">
        <row r="5">
          <cell r="E5">
            <v>1</v>
          </cell>
        </row>
      </sheetData>
      <sheetData sheetId="2833">
        <row r="5">
          <cell r="E5">
            <v>1</v>
          </cell>
        </row>
      </sheetData>
      <sheetData sheetId="2834">
        <row r="5">
          <cell r="E5">
            <v>1</v>
          </cell>
        </row>
      </sheetData>
      <sheetData sheetId="2835">
        <row r="5">
          <cell r="E5">
            <v>1</v>
          </cell>
        </row>
      </sheetData>
      <sheetData sheetId="2836">
        <row r="5">
          <cell r="E5">
            <v>1</v>
          </cell>
        </row>
      </sheetData>
      <sheetData sheetId="2837">
        <row r="5">
          <cell r="E5">
            <v>1</v>
          </cell>
        </row>
      </sheetData>
      <sheetData sheetId="2838">
        <row r="5">
          <cell r="E5">
            <v>1</v>
          </cell>
        </row>
      </sheetData>
      <sheetData sheetId="2839">
        <row r="5">
          <cell r="E5">
            <v>1</v>
          </cell>
        </row>
      </sheetData>
      <sheetData sheetId="2840">
        <row r="5">
          <cell r="E5">
            <v>1</v>
          </cell>
        </row>
      </sheetData>
      <sheetData sheetId="2841">
        <row r="5">
          <cell r="E5">
            <v>1</v>
          </cell>
        </row>
      </sheetData>
      <sheetData sheetId="2842">
        <row r="5">
          <cell r="E5">
            <v>1</v>
          </cell>
        </row>
      </sheetData>
      <sheetData sheetId="2843">
        <row r="5">
          <cell r="E5">
            <v>1</v>
          </cell>
        </row>
      </sheetData>
      <sheetData sheetId="2844">
        <row r="5">
          <cell r="E5">
            <v>1</v>
          </cell>
        </row>
      </sheetData>
      <sheetData sheetId="2845">
        <row r="5">
          <cell r="E5">
            <v>1</v>
          </cell>
        </row>
      </sheetData>
      <sheetData sheetId="2846">
        <row r="5">
          <cell r="E5">
            <v>1</v>
          </cell>
        </row>
      </sheetData>
      <sheetData sheetId="2847">
        <row r="5">
          <cell r="E5">
            <v>1</v>
          </cell>
        </row>
      </sheetData>
      <sheetData sheetId="2848">
        <row r="5">
          <cell r="E5">
            <v>1</v>
          </cell>
        </row>
      </sheetData>
      <sheetData sheetId="2849">
        <row r="5">
          <cell r="E5">
            <v>1</v>
          </cell>
        </row>
      </sheetData>
      <sheetData sheetId="2850">
        <row r="5">
          <cell r="E5">
            <v>1</v>
          </cell>
        </row>
      </sheetData>
      <sheetData sheetId="2851">
        <row r="5">
          <cell r="E5">
            <v>1</v>
          </cell>
        </row>
      </sheetData>
      <sheetData sheetId="2852">
        <row r="5">
          <cell r="E5">
            <v>1</v>
          </cell>
        </row>
      </sheetData>
      <sheetData sheetId="2853">
        <row r="5">
          <cell r="E5">
            <v>1</v>
          </cell>
        </row>
      </sheetData>
      <sheetData sheetId="2854">
        <row r="5">
          <cell r="E5">
            <v>1</v>
          </cell>
        </row>
      </sheetData>
      <sheetData sheetId="2855">
        <row r="5">
          <cell r="E5">
            <v>1</v>
          </cell>
        </row>
      </sheetData>
      <sheetData sheetId="2856">
        <row r="5">
          <cell r="E5">
            <v>1</v>
          </cell>
        </row>
      </sheetData>
      <sheetData sheetId="2857">
        <row r="5">
          <cell r="E5">
            <v>1</v>
          </cell>
        </row>
      </sheetData>
      <sheetData sheetId="2858">
        <row r="5">
          <cell r="E5">
            <v>1</v>
          </cell>
        </row>
      </sheetData>
      <sheetData sheetId="2859">
        <row r="5">
          <cell r="E5">
            <v>1</v>
          </cell>
        </row>
      </sheetData>
      <sheetData sheetId="2860">
        <row r="5">
          <cell r="E5">
            <v>1</v>
          </cell>
        </row>
      </sheetData>
      <sheetData sheetId="2861">
        <row r="5">
          <cell r="E5">
            <v>1</v>
          </cell>
        </row>
      </sheetData>
      <sheetData sheetId="2862">
        <row r="5">
          <cell r="E5">
            <v>1</v>
          </cell>
        </row>
      </sheetData>
      <sheetData sheetId="2863">
        <row r="5">
          <cell r="E5">
            <v>1</v>
          </cell>
        </row>
      </sheetData>
      <sheetData sheetId="2864">
        <row r="5">
          <cell r="E5">
            <v>1</v>
          </cell>
        </row>
      </sheetData>
      <sheetData sheetId="2865">
        <row r="5">
          <cell r="E5">
            <v>1</v>
          </cell>
        </row>
      </sheetData>
      <sheetData sheetId="2866">
        <row r="5">
          <cell r="E5">
            <v>1</v>
          </cell>
        </row>
      </sheetData>
      <sheetData sheetId="2867">
        <row r="5">
          <cell r="E5">
            <v>1</v>
          </cell>
        </row>
      </sheetData>
      <sheetData sheetId="2868">
        <row r="5">
          <cell r="E5">
            <v>1</v>
          </cell>
        </row>
      </sheetData>
      <sheetData sheetId="2869">
        <row r="5">
          <cell r="E5">
            <v>1</v>
          </cell>
        </row>
      </sheetData>
      <sheetData sheetId="2870">
        <row r="5">
          <cell r="E5">
            <v>1</v>
          </cell>
        </row>
      </sheetData>
      <sheetData sheetId="2871">
        <row r="5">
          <cell r="E5">
            <v>1</v>
          </cell>
        </row>
      </sheetData>
      <sheetData sheetId="2872">
        <row r="5">
          <cell r="E5">
            <v>1</v>
          </cell>
        </row>
      </sheetData>
      <sheetData sheetId="2873">
        <row r="5">
          <cell r="E5">
            <v>1</v>
          </cell>
        </row>
      </sheetData>
      <sheetData sheetId="2874">
        <row r="5">
          <cell r="E5">
            <v>1</v>
          </cell>
        </row>
      </sheetData>
      <sheetData sheetId="2875">
        <row r="5">
          <cell r="E5">
            <v>1</v>
          </cell>
        </row>
      </sheetData>
      <sheetData sheetId="2876">
        <row r="5">
          <cell r="E5">
            <v>1</v>
          </cell>
        </row>
      </sheetData>
      <sheetData sheetId="2877">
        <row r="5">
          <cell r="E5">
            <v>1</v>
          </cell>
        </row>
      </sheetData>
      <sheetData sheetId="2878">
        <row r="5">
          <cell r="E5">
            <v>1</v>
          </cell>
        </row>
      </sheetData>
      <sheetData sheetId="2879">
        <row r="5">
          <cell r="E5">
            <v>1</v>
          </cell>
        </row>
      </sheetData>
      <sheetData sheetId="2880">
        <row r="5">
          <cell r="E5">
            <v>1</v>
          </cell>
        </row>
      </sheetData>
      <sheetData sheetId="2881">
        <row r="5">
          <cell r="E5">
            <v>1</v>
          </cell>
        </row>
      </sheetData>
      <sheetData sheetId="2882">
        <row r="5">
          <cell r="E5">
            <v>1</v>
          </cell>
        </row>
      </sheetData>
      <sheetData sheetId="2883">
        <row r="5">
          <cell r="E5">
            <v>1</v>
          </cell>
        </row>
      </sheetData>
      <sheetData sheetId="2884">
        <row r="5">
          <cell r="E5">
            <v>1</v>
          </cell>
        </row>
      </sheetData>
      <sheetData sheetId="2885">
        <row r="5">
          <cell r="E5">
            <v>1</v>
          </cell>
        </row>
      </sheetData>
      <sheetData sheetId="2886">
        <row r="5">
          <cell r="E5">
            <v>1</v>
          </cell>
        </row>
      </sheetData>
      <sheetData sheetId="2887">
        <row r="5">
          <cell r="E5">
            <v>1</v>
          </cell>
        </row>
      </sheetData>
      <sheetData sheetId="2888">
        <row r="5">
          <cell r="E5">
            <v>1</v>
          </cell>
        </row>
      </sheetData>
      <sheetData sheetId="2889">
        <row r="5">
          <cell r="E5">
            <v>1</v>
          </cell>
        </row>
      </sheetData>
      <sheetData sheetId="2890">
        <row r="5">
          <cell r="E5">
            <v>1</v>
          </cell>
        </row>
      </sheetData>
      <sheetData sheetId="2891">
        <row r="5">
          <cell r="E5">
            <v>1</v>
          </cell>
        </row>
      </sheetData>
      <sheetData sheetId="2892">
        <row r="5">
          <cell r="E5">
            <v>1</v>
          </cell>
        </row>
      </sheetData>
      <sheetData sheetId="2893">
        <row r="5">
          <cell r="E5">
            <v>1</v>
          </cell>
        </row>
      </sheetData>
      <sheetData sheetId="2894">
        <row r="5">
          <cell r="E5">
            <v>1</v>
          </cell>
        </row>
      </sheetData>
      <sheetData sheetId="2895">
        <row r="5">
          <cell r="E5">
            <v>1</v>
          </cell>
        </row>
      </sheetData>
      <sheetData sheetId="2896">
        <row r="5">
          <cell r="E5">
            <v>1</v>
          </cell>
        </row>
      </sheetData>
      <sheetData sheetId="2897">
        <row r="5">
          <cell r="E5">
            <v>1</v>
          </cell>
        </row>
      </sheetData>
      <sheetData sheetId="2898">
        <row r="5">
          <cell r="E5">
            <v>1</v>
          </cell>
        </row>
      </sheetData>
      <sheetData sheetId="2899">
        <row r="5">
          <cell r="E5">
            <v>1</v>
          </cell>
        </row>
      </sheetData>
      <sheetData sheetId="2900">
        <row r="5">
          <cell r="E5">
            <v>1</v>
          </cell>
        </row>
      </sheetData>
      <sheetData sheetId="2901">
        <row r="5">
          <cell r="E5">
            <v>1</v>
          </cell>
        </row>
      </sheetData>
      <sheetData sheetId="2902">
        <row r="5">
          <cell r="E5">
            <v>1</v>
          </cell>
        </row>
      </sheetData>
      <sheetData sheetId="2903">
        <row r="5">
          <cell r="E5">
            <v>1</v>
          </cell>
        </row>
      </sheetData>
      <sheetData sheetId="2904">
        <row r="5">
          <cell r="E5">
            <v>1</v>
          </cell>
        </row>
      </sheetData>
      <sheetData sheetId="2905">
        <row r="5">
          <cell r="E5">
            <v>1</v>
          </cell>
        </row>
      </sheetData>
      <sheetData sheetId="2906">
        <row r="5">
          <cell r="E5">
            <v>1</v>
          </cell>
        </row>
      </sheetData>
      <sheetData sheetId="2907">
        <row r="5">
          <cell r="E5">
            <v>1</v>
          </cell>
        </row>
      </sheetData>
      <sheetData sheetId="2908">
        <row r="5">
          <cell r="E5">
            <v>1</v>
          </cell>
        </row>
      </sheetData>
      <sheetData sheetId="2909">
        <row r="5">
          <cell r="E5">
            <v>1</v>
          </cell>
        </row>
      </sheetData>
      <sheetData sheetId="2910">
        <row r="5">
          <cell r="E5">
            <v>1</v>
          </cell>
        </row>
      </sheetData>
      <sheetData sheetId="2911">
        <row r="5">
          <cell r="E5">
            <v>1</v>
          </cell>
        </row>
      </sheetData>
      <sheetData sheetId="2912">
        <row r="5">
          <cell r="E5">
            <v>1</v>
          </cell>
        </row>
      </sheetData>
      <sheetData sheetId="2913">
        <row r="5">
          <cell r="E5">
            <v>1</v>
          </cell>
        </row>
      </sheetData>
      <sheetData sheetId="2914">
        <row r="5">
          <cell r="E5">
            <v>1</v>
          </cell>
        </row>
      </sheetData>
      <sheetData sheetId="2915">
        <row r="5">
          <cell r="E5">
            <v>1</v>
          </cell>
        </row>
      </sheetData>
      <sheetData sheetId="2916">
        <row r="5">
          <cell r="E5">
            <v>1</v>
          </cell>
        </row>
      </sheetData>
      <sheetData sheetId="2917">
        <row r="5">
          <cell r="E5">
            <v>1</v>
          </cell>
        </row>
      </sheetData>
      <sheetData sheetId="2918">
        <row r="5">
          <cell r="E5">
            <v>1</v>
          </cell>
        </row>
      </sheetData>
      <sheetData sheetId="2919">
        <row r="5">
          <cell r="E5">
            <v>1</v>
          </cell>
        </row>
      </sheetData>
      <sheetData sheetId="2920">
        <row r="5">
          <cell r="E5">
            <v>1</v>
          </cell>
        </row>
      </sheetData>
      <sheetData sheetId="2921">
        <row r="5">
          <cell r="E5">
            <v>1</v>
          </cell>
        </row>
      </sheetData>
      <sheetData sheetId="2922">
        <row r="5">
          <cell r="E5">
            <v>1</v>
          </cell>
        </row>
      </sheetData>
      <sheetData sheetId="2923">
        <row r="5">
          <cell r="E5">
            <v>1</v>
          </cell>
        </row>
      </sheetData>
      <sheetData sheetId="2924">
        <row r="5">
          <cell r="E5">
            <v>1</v>
          </cell>
        </row>
      </sheetData>
      <sheetData sheetId="2925">
        <row r="5">
          <cell r="E5">
            <v>1</v>
          </cell>
        </row>
      </sheetData>
      <sheetData sheetId="2926">
        <row r="5">
          <cell r="E5">
            <v>1</v>
          </cell>
        </row>
      </sheetData>
      <sheetData sheetId="2927">
        <row r="5">
          <cell r="E5">
            <v>1</v>
          </cell>
        </row>
      </sheetData>
      <sheetData sheetId="2928">
        <row r="5">
          <cell r="E5">
            <v>1</v>
          </cell>
        </row>
      </sheetData>
      <sheetData sheetId="2929">
        <row r="5">
          <cell r="E5">
            <v>1</v>
          </cell>
        </row>
      </sheetData>
      <sheetData sheetId="2930">
        <row r="5">
          <cell r="E5">
            <v>1</v>
          </cell>
        </row>
      </sheetData>
      <sheetData sheetId="2931">
        <row r="5">
          <cell r="E5">
            <v>1</v>
          </cell>
        </row>
      </sheetData>
      <sheetData sheetId="2932">
        <row r="5">
          <cell r="E5">
            <v>1</v>
          </cell>
        </row>
      </sheetData>
      <sheetData sheetId="2933">
        <row r="5">
          <cell r="E5">
            <v>1</v>
          </cell>
        </row>
      </sheetData>
      <sheetData sheetId="2934">
        <row r="5">
          <cell r="E5">
            <v>1</v>
          </cell>
        </row>
      </sheetData>
      <sheetData sheetId="2935">
        <row r="5">
          <cell r="E5">
            <v>1</v>
          </cell>
        </row>
      </sheetData>
      <sheetData sheetId="2936">
        <row r="5">
          <cell r="E5">
            <v>1</v>
          </cell>
        </row>
      </sheetData>
      <sheetData sheetId="2937">
        <row r="5">
          <cell r="E5">
            <v>1</v>
          </cell>
        </row>
      </sheetData>
      <sheetData sheetId="2938">
        <row r="5">
          <cell r="E5">
            <v>1</v>
          </cell>
        </row>
      </sheetData>
      <sheetData sheetId="2939">
        <row r="5">
          <cell r="E5">
            <v>1</v>
          </cell>
        </row>
      </sheetData>
      <sheetData sheetId="2940">
        <row r="5">
          <cell r="E5">
            <v>1</v>
          </cell>
        </row>
      </sheetData>
      <sheetData sheetId="2941">
        <row r="5">
          <cell r="E5">
            <v>1</v>
          </cell>
        </row>
      </sheetData>
      <sheetData sheetId="2942">
        <row r="5">
          <cell r="E5">
            <v>1</v>
          </cell>
        </row>
      </sheetData>
      <sheetData sheetId="2943">
        <row r="5">
          <cell r="E5">
            <v>1</v>
          </cell>
        </row>
      </sheetData>
      <sheetData sheetId="2944">
        <row r="5">
          <cell r="E5">
            <v>1</v>
          </cell>
        </row>
      </sheetData>
      <sheetData sheetId="2945">
        <row r="5">
          <cell r="E5">
            <v>1</v>
          </cell>
        </row>
      </sheetData>
      <sheetData sheetId="2946">
        <row r="5">
          <cell r="E5">
            <v>1</v>
          </cell>
        </row>
      </sheetData>
      <sheetData sheetId="2947">
        <row r="5">
          <cell r="E5">
            <v>1</v>
          </cell>
        </row>
      </sheetData>
      <sheetData sheetId="2948">
        <row r="5">
          <cell r="E5">
            <v>1</v>
          </cell>
        </row>
      </sheetData>
      <sheetData sheetId="2949">
        <row r="5">
          <cell r="E5">
            <v>1</v>
          </cell>
        </row>
      </sheetData>
      <sheetData sheetId="2950">
        <row r="5">
          <cell r="E5">
            <v>1</v>
          </cell>
        </row>
      </sheetData>
      <sheetData sheetId="2951">
        <row r="5">
          <cell r="E5">
            <v>1</v>
          </cell>
        </row>
      </sheetData>
      <sheetData sheetId="2952">
        <row r="5">
          <cell r="E5">
            <v>1</v>
          </cell>
        </row>
      </sheetData>
      <sheetData sheetId="2953">
        <row r="5">
          <cell r="E5">
            <v>1</v>
          </cell>
        </row>
      </sheetData>
      <sheetData sheetId="2954">
        <row r="5">
          <cell r="E5">
            <v>1</v>
          </cell>
        </row>
      </sheetData>
      <sheetData sheetId="2955">
        <row r="5">
          <cell r="E5">
            <v>1</v>
          </cell>
        </row>
      </sheetData>
      <sheetData sheetId="2956">
        <row r="5">
          <cell r="E5">
            <v>1</v>
          </cell>
        </row>
      </sheetData>
      <sheetData sheetId="2957">
        <row r="5">
          <cell r="E5">
            <v>1</v>
          </cell>
        </row>
      </sheetData>
      <sheetData sheetId="2958">
        <row r="5">
          <cell r="E5">
            <v>1</v>
          </cell>
        </row>
      </sheetData>
      <sheetData sheetId="2959">
        <row r="5">
          <cell r="E5">
            <v>1</v>
          </cell>
        </row>
      </sheetData>
      <sheetData sheetId="2960">
        <row r="5">
          <cell r="E5">
            <v>1</v>
          </cell>
        </row>
      </sheetData>
      <sheetData sheetId="2961">
        <row r="5">
          <cell r="E5">
            <v>1</v>
          </cell>
        </row>
      </sheetData>
      <sheetData sheetId="2962">
        <row r="5">
          <cell r="E5">
            <v>1</v>
          </cell>
        </row>
      </sheetData>
      <sheetData sheetId="2963">
        <row r="5">
          <cell r="E5">
            <v>1</v>
          </cell>
        </row>
      </sheetData>
      <sheetData sheetId="2964">
        <row r="5">
          <cell r="E5">
            <v>1</v>
          </cell>
        </row>
      </sheetData>
      <sheetData sheetId="2965">
        <row r="5">
          <cell r="E5">
            <v>1</v>
          </cell>
        </row>
      </sheetData>
      <sheetData sheetId="2966">
        <row r="5">
          <cell r="E5">
            <v>1</v>
          </cell>
        </row>
      </sheetData>
      <sheetData sheetId="2967">
        <row r="5">
          <cell r="E5">
            <v>1</v>
          </cell>
        </row>
      </sheetData>
      <sheetData sheetId="2968">
        <row r="5">
          <cell r="E5">
            <v>1</v>
          </cell>
        </row>
      </sheetData>
      <sheetData sheetId="2969">
        <row r="5">
          <cell r="E5">
            <v>1</v>
          </cell>
        </row>
      </sheetData>
      <sheetData sheetId="2970">
        <row r="5">
          <cell r="E5">
            <v>1</v>
          </cell>
        </row>
      </sheetData>
      <sheetData sheetId="2971">
        <row r="5">
          <cell r="E5">
            <v>1</v>
          </cell>
        </row>
      </sheetData>
      <sheetData sheetId="2972">
        <row r="5">
          <cell r="E5">
            <v>1</v>
          </cell>
        </row>
      </sheetData>
      <sheetData sheetId="2973">
        <row r="5">
          <cell r="E5">
            <v>1</v>
          </cell>
        </row>
      </sheetData>
      <sheetData sheetId="2974">
        <row r="5">
          <cell r="E5">
            <v>1</v>
          </cell>
        </row>
      </sheetData>
      <sheetData sheetId="2975">
        <row r="5">
          <cell r="E5">
            <v>1</v>
          </cell>
        </row>
      </sheetData>
      <sheetData sheetId="2976">
        <row r="5">
          <cell r="E5">
            <v>1</v>
          </cell>
        </row>
      </sheetData>
      <sheetData sheetId="2977">
        <row r="5">
          <cell r="E5">
            <v>1</v>
          </cell>
        </row>
      </sheetData>
      <sheetData sheetId="2978">
        <row r="5">
          <cell r="E5">
            <v>1</v>
          </cell>
        </row>
      </sheetData>
      <sheetData sheetId="2979">
        <row r="5">
          <cell r="E5">
            <v>1</v>
          </cell>
        </row>
      </sheetData>
      <sheetData sheetId="2980">
        <row r="5">
          <cell r="E5">
            <v>1</v>
          </cell>
        </row>
      </sheetData>
      <sheetData sheetId="2981">
        <row r="5">
          <cell r="E5">
            <v>1</v>
          </cell>
        </row>
      </sheetData>
      <sheetData sheetId="2982">
        <row r="5">
          <cell r="E5">
            <v>1</v>
          </cell>
        </row>
      </sheetData>
      <sheetData sheetId="2983">
        <row r="5">
          <cell r="E5">
            <v>1</v>
          </cell>
        </row>
      </sheetData>
      <sheetData sheetId="2984">
        <row r="5">
          <cell r="E5">
            <v>1</v>
          </cell>
        </row>
      </sheetData>
      <sheetData sheetId="2985">
        <row r="5">
          <cell r="E5">
            <v>1</v>
          </cell>
        </row>
      </sheetData>
      <sheetData sheetId="2986">
        <row r="5">
          <cell r="E5">
            <v>1</v>
          </cell>
        </row>
      </sheetData>
      <sheetData sheetId="2987">
        <row r="5">
          <cell r="E5">
            <v>1</v>
          </cell>
        </row>
      </sheetData>
      <sheetData sheetId="2988">
        <row r="5">
          <cell r="E5">
            <v>1</v>
          </cell>
        </row>
      </sheetData>
      <sheetData sheetId="2989">
        <row r="5">
          <cell r="E5">
            <v>1</v>
          </cell>
        </row>
      </sheetData>
      <sheetData sheetId="2990">
        <row r="5">
          <cell r="E5">
            <v>1</v>
          </cell>
        </row>
      </sheetData>
      <sheetData sheetId="2991">
        <row r="5">
          <cell r="E5">
            <v>1</v>
          </cell>
        </row>
      </sheetData>
      <sheetData sheetId="2992">
        <row r="5">
          <cell r="E5">
            <v>1</v>
          </cell>
        </row>
      </sheetData>
      <sheetData sheetId="2993">
        <row r="5">
          <cell r="E5">
            <v>1</v>
          </cell>
        </row>
      </sheetData>
      <sheetData sheetId="2994">
        <row r="5">
          <cell r="E5">
            <v>1</v>
          </cell>
        </row>
      </sheetData>
      <sheetData sheetId="2995">
        <row r="5">
          <cell r="E5">
            <v>1</v>
          </cell>
        </row>
      </sheetData>
      <sheetData sheetId="2996">
        <row r="5">
          <cell r="E5">
            <v>1</v>
          </cell>
        </row>
      </sheetData>
      <sheetData sheetId="2997">
        <row r="5">
          <cell r="E5">
            <v>1</v>
          </cell>
        </row>
      </sheetData>
      <sheetData sheetId="2998">
        <row r="5">
          <cell r="E5">
            <v>1</v>
          </cell>
        </row>
      </sheetData>
      <sheetData sheetId="2999">
        <row r="5">
          <cell r="E5">
            <v>1</v>
          </cell>
        </row>
      </sheetData>
      <sheetData sheetId="3000">
        <row r="5">
          <cell r="E5">
            <v>1</v>
          </cell>
        </row>
      </sheetData>
      <sheetData sheetId="3001">
        <row r="5">
          <cell r="E5">
            <v>1</v>
          </cell>
        </row>
      </sheetData>
      <sheetData sheetId="3002">
        <row r="5">
          <cell r="E5">
            <v>1</v>
          </cell>
        </row>
      </sheetData>
      <sheetData sheetId="3003">
        <row r="5">
          <cell r="E5">
            <v>1</v>
          </cell>
        </row>
      </sheetData>
      <sheetData sheetId="3004">
        <row r="5">
          <cell r="E5">
            <v>1</v>
          </cell>
        </row>
      </sheetData>
      <sheetData sheetId="3005">
        <row r="5">
          <cell r="E5">
            <v>1</v>
          </cell>
        </row>
      </sheetData>
      <sheetData sheetId="3006">
        <row r="5">
          <cell r="E5">
            <v>1</v>
          </cell>
        </row>
      </sheetData>
      <sheetData sheetId="3007">
        <row r="5">
          <cell r="E5">
            <v>1</v>
          </cell>
        </row>
      </sheetData>
      <sheetData sheetId="3008">
        <row r="5">
          <cell r="E5">
            <v>1</v>
          </cell>
        </row>
      </sheetData>
      <sheetData sheetId="3009">
        <row r="5">
          <cell r="E5">
            <v>1</v>
          </cell>
        </row>
      </sheetData>
      <sheetData sheetId="3010">
        <row r="5">
          <cell r="E5">
            <v>1</v>
          </cell>
        </row>
      </sheetData>
      <sheetData sheetId="3011">
        <row r="5">
          <cell r="E5">
            <v>1</v>
          </cell>
        </row>
      </sheetData>
      <sheetData sheetId="3012">
        <row r="5">
          <cell r="E5">
            <v>1</v>
          </cell>
        </row>
      </sheetData>
      <sheetData sheetId="3013">
        <row r="5">
          <cell r="E5">
            <v>1</v>
          </cell>
        </row>
      </sheetData>
      <sheetData sheetId="3014">
        <row r="5">
          <cell r="E5">
            <v>1</v>
          </cell>
        </row>
      </sheetData>
      <sheetData sheetId="3015">
        <row r="5">
          <cell r="E5">
            <v>1</v>
          </cell>
        </row>
      </sheetData>
      <sheetData sheetId="3016">
        <row r="5">
          <cell r="E5">
            <v>1</v>
          </cell>
        </row>
      </sheetData>
      <sheetData sheetId="3017">
        <row r="5">
          <cell r="E5">
            <v>1</v>
          </cell>
        </row>
      </sheetData>
      <sheetData sheetId="3018">
        <row r="5">
          <cell r="E5">
            <v>1</v>
          </cell>
        </row>
      </sheetData>
      <sheetData sheetId="3019">
        <row r="5">
          <cell r="E5">
            <v>1</v>
          </cell>
        </row>
      </sheetData>
      <sheetData sheetId="3020">
        <row r="5">
          <cell r="E5">
            <v>1</v>
          </cell>
        </row>
      </sheetData>
      <sheetData sheetId="3021">
        <row r="5">
          <cell r="E5">
            <v>1</v>
          </cell>
        </row>
      </sheetData>
      <sheetData sheetId="3022">
        <row r="5">
          <cell r="E5">
            <v>1</v>
          </cell>
        </row>
      </sheetData>
      <sheetData sheetId="3023">
        <row r="5">
          <cell r="E5">
            <v>1</v>
          </cell>
        </row>
      </sheetData>
      <sheetData sheetId="3024">
        <row r="5">
          <cell r="E5">
            <v>1</v>
          </cell>
        </row>
      </sheetData>
      <sheetData sheetId="3025">
        <row r="5">
          <cell r="E5">
            <v>1</v>
          </cell>
        </row>
      </sheetData>
      <sheetData sheetId="3026">
        <row r="5">
          <cell r="E5">
            <v>1</v>
          </cell>
        </row>
      </sheetData>
      <sheetData sheetId="3027">
        <row r="5">
          <cell r="E5">
            <v>1</v>
          </cell>
        </row>
      </sheetData>
      <sheetData sheetId="3028">
        <row r="5">
          <cell r="E5">
            <v>1</v>
          </cell>
        </row>
      </sheetData>
      <sheetData sheetId="3029">
        <row r="5">
          <cell r="E5">
            <v>1</v>
          </cell>
        </row>
      </sheetData>
      <sheetData sheetId="3030">
        <row r="5">
          <cell r="E5">
            <v>1</v>
          </cell>
        </row>
      </sheetData>
      <sheetData sheetId="3031">
        <row r="5">
          <cell r="E5">
            <v>1</v>
          </cell>
        </row>
      </sheetData>
      <sheetData sheetId="3032">
        <row r="5">
          <cell r="E5">
            <v>1</v>
          </cell>
        </row>
      </sheetData>
      <sheetData sheetId="3033">
        <row r="5">
          <cell r="E5">
            <v>1</v>
          </cell>
        </row>
      </sheetData>
      <sheetData sheetId="3034">
        <row r="5">
          <cell r="E5">
            <v>1</v>
          </cell>
        </row>
      </sheetData>
      <sheetData sheetId="3035">
        <row r="5">
          <cell r="E5">
            <v>1</v>
          </cell>
        </row>
      </sheetData>
      <sheetData sheetId="3036">
        <row r="5">
          <cell r="E5">
            <v>1</v>
          </cell>
        </row>
      </sheetData>
      <sheetData sheetId="3037">
        <row r="5">
          <cell r="E5">
            <v>1</v>
          </cell>
        </row>
      </sheetData>
      <sheetData sheetId="3038">
        <row r="5">
          <cell r="E5">
            <v>1</v>
          </cell>
        </row>
      </sheetData>
      <sheetData sheetId="3039">
        <row r="5">
          <cell r="E5">
            <v>1</v>
          </cell>
        </row>
      </sheetData>
      <sheetData sheetId="3040">
        <row r="5">
          <cell r="E5">
            <v>1</v>
          </cell>
        </row>
      </sheetData>
      <sheetData sheetId="3041">
        <row r="5">
          <cell r="E5">
            <v>1</v>
          </cell>
        </row>
      </sheetData>
      <sheetData sheetId="3042">
        <row r="5">
          <cell r="E5">
            <v>1</v>
          </cell>
        </row>
      </sheetData>
      <sheetData sheetId="3043">
        <row r="5">
          <cell r="E5">
            <v>1</v>
          </cell>
        </row>
      </sheetData>
      <sheetData sheetId="3044">
        <row r="5">
          <cell r="E5">
            <v>1</v>
          </cell>
        </row>
      </sheetData>
      <sheetData sheetId="3045">
        <row r="5">
          <cell r="E5">
            <v>1</v>
          </cell>
        </row>
      </sheetData>
      <sheetData sheetId="3046">
        <row r="5">
          <cell r="E5">
            <v>1</v>
          </cell>
        </row>
      </sheetData>
      <sheetData sheetId="3047">
        <row r="5">
          <cell r="E5">
            <v>1</v>
          </cell>
        </row>
      </sheetData>
      <sheetData sheetId="3048">
        <row r="5">
          <cell r="E5">
            <v>1</v>
          </cell>
        </row>
      </sheetData>
      <sheetData sheetId="3049">
        <row r="5">
          <cell r="E5">
            <v>1</v>
          </cell>
        </row>
      </sheetData>
      <sheetData sheetId="3050">
        <row r="5">
          <cell r="E5">
            <v>1</v>
          </cell>
        </row>
      </sheetData>
      <sheetData sheetId="3051">
        <row r="5">
          <cell r="E5">
            <v>1</v>
          </cell>
        </row>
      </sheetData>
      <sheetData sheetId="3052">
        <row r="5">
          <cell r="E5">
            <v>1</v>
          </cell>
        </row>
      </sheetData>
      <sheetData sheetId="3053">
        <row r="5">
          <cell r="E5">
            <v>1</v>
          </cell>
        </row>
      </sheetData>
      <sheetData sheetId="3054">
        <row r="5">
          <cell r="E5">
            <v>1</v>
          </cell>
        </row>
      </sheetData>
      <sheetData sheetId="3055">
        <row r="5">
          <cell r="E5">
            <v>1</v>
          </cell>
        </row>
      </sheetData>
      <sheetData sheetId="3056">
        <row r="5">
          <cell r="E5">
            <v>1</v>
          </cell>
        </row>
      </sheetData>
      <sheetData sheetId="3057">
        <row r="5">
          <cell r="E5">
            <v>1</v>
          </cell>
        </row>
      </sheetData>
      <sheetData sheetId="3058">
        <row r="5">
          <cell r="E5">
            <v>1</v>
          </cell>
        </row>
      </sheetData>
      <sheetData sheetId="3059">
        <row r="5">
          <cell r="E5">
            <v>1</v>
          </cell>
        </row>
      </sheetData>
      <sheetData sheetId="3060">
        <row r="5">
          <cell r="E5">
            <v>1</v>
          </cell>
        </row>
      </sheetData>
      <sheetData sheetId="3061">
        <row r="5">
          <cell r="E5">
            <v>1</v>
          </cell>
        </row>
      </sheetData>
      <sheetData sheetId="3062">
        <row r="5">
          <cell r="E5">
            <v>1</v>
          </cell>
        </row>
      </sheetData>
      <sheetData sheetId="3063">
        <row r="5">
          <cell r="E5">
            <v>1</v>
          </cell>
        </row>
      </sheetData>
      <sheetData sheetId="3064">
        <row r="5">
          <cell r="E5">
            <v>1</v>
          </cell>
        </row>
      </sheetData>
      <sheetData sheetId="3065">
        <row r="5">
          <cell r="E5">
            <v>1</v>
          </cell>
        </row>
      </sheetData>
      <sheetData sheetId="3066">
        <row r="5">
          <cell r="E5">
            <v>1</v>
          </cell>
        </row>
      </sheetData>
      <sheetData sheetId="3067">
        <row r="5">
          <cell r="E5">
            <v>1</v>
          </cell>
        </row>
      </sheetData>
      <sheetData sheetId="3068">
        <row r="5">
          <cell r="E5">
            <v>1</v>
          </cell>
        </row>
      </sheetData>
      <sheetData sheetId="3069">
        <row r="5">
          <cell r="E5">
            <v>1</v>
          </cell>
        </row>
      </sheetData>
      <sheetData sheetId="3070">
        <row r="5">
          <cell r="E5">
            <v>1</v>
          </cell>
        </row>
      </sheetData>
      <sheetData sheetId="3071">
        <row r="5">
          <cell r="E5">
            <v>1</v>
          </cell>
        </row>
      </sheetData>
      <sheetData sheetId="3072">
        <row r="5">
          <cell r="E5">
            <v>1</v>
          </cell>
        </row>
      </sheetData>
      <sheetData sheetId="3073">
        <row r="5">
          <cell r="E5">
            <v>1</v>
          </cell>
        </row>
      </sheetData>
      <sheetData sheetId="3074">
        <row r="5">
          <cell r="E5">
            <v>1</v>
          </cell>
        </row>
      </sheetData>
      <sheetData sheetId="3075">
        <row r="5">
          <cell r="E5">
            <v>1</v>
          </cell>
        </row>
      </sheetData>
      <sheetData sheetId="3076">
        <row r="5">
          <cell r="E5">
            <v>1</v>
          </cell>
        </row>
      </sheetData>
      <sheetData sheetId="3077">
        <row r="5">
          <cell r="E5">
            <v>1</v>
          </cell>
        </row>
      </sheetData>
      <sheetData sheetId="3078">
        <row r="5">
          <cell r="E5">
            <v>1</v>
          </cell>
        </row>
      </sheetData>
      <sheetData sheetId="3079">
        <row r="5">
          <cell r="E5">
            <v>1</v>
          </cell>
        </row>
      </sheetData>
      <sheetData sheetId="3080">
        <row r="5">
          <cell r="E5">
            <v>1</v>
          </cell>
        </row>
      </sheetData>
      <sheetData sheetId="3081">
        <row r="5">
          <cell r="E5">
            <v>1</v>
          </cell>
        </row>
      </sheetData>
      <sheetData sheetId="3082">
        <row r="5">
          <cell r="E5">
            <v>1</v>
          </cell>
        </row>
      </sheetData>
      <sheetData sheetId="3083">
        <row r="5">
          <cell r="E5">
            <v>1</v>
          </cell>
        </row>
      </sheetData>
      <sheetData sheetId="3084">
        <row r="5">
          <cell r="E5">
            <v>1</v>
          </cell>
        </row>
      </sheetData>
      <sheetData sheetId="3085">
        <row r="5">
          <cell r="E5">
            <v>1</v>
          </cell>
        </row>
      </sheetData>
      <sheetData sheetId="3086">
        <row r="5">
          <cell r="E5">
            <v>1</v>
          </cell>
        </row>
      </sheetData>
      <sheetData sheetId="3087">
        <row r="5">
          <cell r="E5">
            <v>1</v>
          </cell>
        </row>
      </sheetData>
      <sheetData sheetId="3088">
        <row r="5">
          <cell r="E5">
            <v>1</v>
          </cell>
        </row>
      </sheetData>
      <sheetData sheetId="3089">
        <row r="5">
          <cell r="E5">
            <v>1</v>
          </cell>
        </row>
      </sheetData>
      <sheetData sheetId="3090">
        <row r="5">
          <cell r="E5">
            <v>1</v>
          </cell>
        </row>
      </sheetData>
      <sheetData sheetId="3091">
        <row r="5">
          <cell r="E5">
            <v>1</v>
          </cell>
        </row>
      </sheetData>
      <sheetData sheetId="3092">
        <row r="5">
          <cell r="E5">
            <v>1</v>
          </cell>
        </row>
      </sheetData>
      <sheetData sheetId="3093">
        <row r="5">
          <cell r="E5">
            <v>1</v>
          </cell>
        </row>
      </sheetData>
      <sheetData sheetId="3094">
        <row r="5">
          <cell r="E5">
            <v>1</v>
          </cell>
        </row>
      </sheetData>
      <sheetData sheetId="3095">
        <row r="5">
          <cell r="E5">
            <v>1</v>
          </cell>
        </row>
      </sheetData>
      <sheetData sheetId="3096">
        <row r="5">
          <cell r="E5">
            <v>1</v>
          </cell>
        </row>
      </sheetData>
      <sheetData sheetId="3097">
        <row r="5">
          <cell r="E5">
            <v>1</v>
          </cell>
        </row>
      </sheetData>
      <sheetData sheetId="3098">
        <row r="5">
          <cell r="E5">
            <v>1</v>
          </cell>
        </row>
      </sheetData>
      <sheetData sheetId="3099">
        <row r="5">
          <cell r="E5">
            <v>1</v>
          </cell>
        </row>
      </sheetData>
      <sheetData sheetId="3100">
        <row r="5">
          <cell r="E5">
            <v>1</v>
          </cell>
        </row>
      </sheetData>
      <sheetData sheetId="3101">
        <row r="5">
          <cell r="E5">
            <v>1</v>
          </cell>
        </row>
      </sheetData>
      <sheetData sheetId="3102">
        <row r="5">
          <cell r="E5">
            <v>1</v>
          </cell>
        </row>
      </sheetData>
      <sheetData sheetId="3103">
        <row r="5">
          <cell r="E5">
            <v>1</v>
          </cell>
        </row>
      </sheetData>
      <sheetData sheetId="3104">
        <row r="5">
          <cell r="E5">
            <v>1</v>
          </cell>
        </row>
      </sheetData>
      <sheetData sheetId="3105">
        <row r="5">
          <cell r="E5">
            <v>1</v>
          </cell>
        </row>
      </sheetData>
      <sheetData sheetId="3106">
        <row r="5">
          <cell r="E5">
            <v>1</v>
          </cell>
        </row>
      </sheetData>
      <sheetData sheetId="3107">
        <row r="5">
          <cell r="E5">
            <v>1</v>
          </cell>
        </row>
      </sheetData>
      <sheetData sheetId="3108">
        <row r="5">
          <cell r="E5">
            <v>1</v>
          </cell>
        </row>
      </sheetData>
      <sheetData sheetId="3109">
        <row r="5">
          <cell r="E5">
            <v>1</v>
          </cell>
        </row>
      </sheetData>
      <sheetData sheetId="3110">
        <row r="5">
          <cell r="E5">
            <v>1</v>
          </cell>
        </row>
      </sheetData>
      <sheetData sheetId="3111">
        <row r="5">
          <cell r="E5">
            <v>1</v>
          </cell>
        </row>
      </sheetData>
      <sheetData sheetId="3112">
        <row r="5">
          <cell r="E5">
            <v>1</v>
          </cell>
        </row>
      </sheetData>
      <sheetData sheetId="3113">
        <row r="5">
          <cell r="E5">
            <v>1</v>
          </cell>
        </row>
      </sheetData>
      <sheetData sheetId="3114">
        <row r="5">
          <cell r="E5">
            <v>1</v>
          </cell>
        </row>
      </sheetData>
      <sheetData sheetId="3115">
        <row r="5">
          <cell r="E5">
            <v>1</v>
          </cell>
        </row>
      </sheetData>
      <sheetData sheetId="3116">
        <row r="5">
          <cell r="E5">
            <v>1</v>
          </cell>
        </row>
      </sheetData>
      <sheetData sheetId="3117">
        <row r="5">
          <cell r="E5">
            <v>1</v>
          </cell>
        </row>
      </sheetData>
      <sheetData sheetId="3118">
        <row r="5">
          <cell r="E5">
            <v>1</v>
          </cell>
        </row>
      </sheetData>
      <sheetData sheetId="3119">
        <row r="5">
          <cell r="E5">
            <v>1</v>
          </cell>
        </row>
      </sheetData>
      <sheetData sheetId="3120">
        <row r="5">
          <cell r="E5">
            <v>1</v>
          </cell>
        </row>
      </sheetData>
      <sheetData sheetId="3121">
        <row r="5">
          <cell r="E5">
            <v>1</v>
          </cell>
        </row>
      </sheetData>
      <sheetData sheetId="3122">
        <row r="5">
          <cell r="E5">
            <v>1</v>
          </cell>
        </row>
      </sheetData>
      <sheetData sheetId="3123">
        <row r="5">
          <cell r="E5">
            <v>1</v>
          </cell>
        </row>
      </sheetData>
      <sheetData sheetId="3124">
        <row r="5">
          <cell r="E5">
            <v>1</v>
          </cell>
        </row>
      </sheetData>
      <sheetData sheetId="3125">
        <row r="5">
          <cell r="E5">
            <v>1</v>
          </cell>
        </row>
      </sheetData>
      <sheetData sheetId="3126">
        <row r="5">
          <cell r="E5">
            <v>1</v>
          </cell>
        </row>
      </sheetData>
      <sheetData sheetId="3127">
        <row r="5">
          <cell r="E5">
            <v>1</v>
          </cell>
        </row>
      </sheetData>
      <sheetData sheetId="3128">
        <row r="5">
          <cell r="E5">
            <v>1</v>
          </cell>
        </row>
      </sheetData>
      <sheetData sheetId="3129">
        <row r="5">
          <cell r="E5">
            <v>1</v>
          </cell>
        </row>
      </sheetData>
      <sheetData sheetId="3130">
        <row r="5">
          <cell r="E5">
            <v>1</v>
          </cell>
        </row>
      </sheetData>
      <sheetData sheetId="3131">
        <row r="5">
          <cell r="E5">
            <v>1</v>
          </cell>
        </row>
      </sheetData>
      <sheetData sheetId="3132">
        <row r="5">
          <cell r="E5">
            <v>1</v>
          </cell>
        </row>
      </sheetData>
      <sheetData sheetId="3133">
        <row r="5">
          <cell r="E5">
            <v>1</v>
          </cell>
        </row>
      </sheetData>
      <sheetData sheetId="3134">
        <row r="5">
          <cell r="E5">
            <v>1</v>
          </cell>
        </row>
      </sheetData>
      <sheetData sheetId="3135">
        <row r="5">
          <cell r="E5">
            <v>1</v>
          </cell>
        </row>
      </sheetData>
      <sheetData sheetId="3136">
        <row r="5">
          <cell r="E5">
            <v>1</v>
          </cell>
        </row>
      </sheetData>
      <sheetData sheetId="3137">
        <row r="5">
          <cell r="E5">
            <v>1</v>
          </cell>
        </row>
      </sheetData>
      <sheetData sheetId="3138">
        <row r="5">
          <cell r="E5">
            <v>1</v>
          </cell>
        </row>
      </sheetData>
      <sheetData sheetId="3139">
        <row r="5">
          <cell r="E5">
            <v>1</v>
          </cell>
        </row>
      </sheetData>
      <sheetData sheetId="3140">
        <row r="5">
          <cell r="E5">
            <v>1</v>
          </cell>
        </row>
      </sheetData>
      <sheetData sheetId="3141">
        <row r="5">
          <cell r="E5">
            <v>1</v>
          </cell>
        </row>
      </sheetData>
      <sheetData sheetId="3142">
        <row r="5">
          <cell r="E5">
            <v>1</v>
          </cell>
        </row>
      </sheetData>
      <sheetData sheetId="3143">
        <row r="5">
          <cell r="E5">
            <v>1</v>
          </cell>
        </row>
      </sheetData>
      <sheetData sheetId="3144">
        <row r="5">
          <cell r="E5">
            <v>1</v>
          </cell>
        </row>
      </sheetData>
      <sheetData sheetId="3145">
        <row r="5">
          <cell r="E5">
            <v>1</v>
          </cell>
        </row>
      </sheetData>
      <sheetData sheetId="3146">
        <row r="5">
          <cell r="E5">
            <v>1</v>
          </cell>
        </row>
      </sheetData>
      <sheetData sheetId="3147">
        <row r="5">
          <cell r="E5">
            <v>1</v>
          </cell>
        </row>
      </sheetData>
      <sheetData sheetId="3148">
        <row r="5">
          <cell r="E5">
            <v>1</v>
          </cell>
        </row>
      </sheetData>
      <sheetData sheetId="3149">
        <row r="5">
          <cell r="E5">
            <v>1</v>
          </cell>
        </row>
      </sheetData>
      <sheetData sheetId="3150">
        <row r="5">
          <cell r="E5">
            <v>1</v>
          </cell>
        </row>
      </sheetData>
      <sheetData sheetId="3151">
        <row r="5">
          <cell r="E5">
            <v>1</v>
          </cell>
        </row>
      </sheetData>
      <sheetData sheetId="3152">
        <row r="5">
          <cell r="E5">
            <v>1</v>
          </cell>
        </row>
      </sheetData>
      <sheetData sheetId="3153">
        <row r="5">
          <cell r="E5">
            <v>1</v>
          </cell>
        </row>
      </sheetData>
      <sheetData sheetId="3154">
        <row r="5">
          <cell r="E5">
            <v>1</v>
          </cell>
        </row>
      </sheetData>
      <sheetData sheetId="3155">
        <row r="5">
          <cell r="E5">
            <v>1</v>
          </cell>
        </row>
      </sheetData>
      <sheetData sheetId="3156">
        <row r="5">
          <cell r="E5">
            <v>1</v>
          </cell>
        </row>
      </sheetData>
      <sheetData sheetId="3157">
        <row r="5">
          <cell r="E5">
            <v>1</v>
          </cell>
        </row>
      </sheetData>
      <sheetData sheetId="3158">
        <row r="5">
          <cell r="E5">
            <v>1</v>
          </cell>
        </row>
      </sheetData>
      <sheetData sheetId="3159">
        <row r="5">
          <cell r="E5">
            <v>1</v>
          </cell>
        </row>
      </sheetData>
      <sheetData sheetId="3160">
        <row r="5">
          <cell r="E5">
            <v>1</v>
          </cell>
        </row>
      </sheetData>
      <sheetData sheetId="3161">
        <row r="5">
          <cell r="E5">
            <v>1</v>
          </cell>
        </row>
      </sheetData>
      <sheetData sheetId="3162">
        <row r="5">
          <cell r="E5">
            <v>1</v>
          </cell>
        </row>
      </sheetData>
      <sheetData sheetId="3163">
        <row r="5">
          <cell r="E5">
            <v>1</v>
          </cell>
        </row>
      </sheetData>
      <sheetData sheetId="3164">
        <row r="5">
          <cell r="E5">
            <v>1</v>
          </cell>
        </row>
      </sheetData>
      <sheetData sheetId="3165">
        <row r="5">
          <cell r="E5">
            <v>1</v>
          </cell>
        </row>
      </sheetData>
      <sheetData sheetId="3166">
        <row r="5">
          <cell r="E5">
            <v>1</v>
          </cell>
        </row>
      </sheetData>
      <sheetData sheetId="3167">
        <row r="5">
          <cell r="E5">
            <v>1</v>
          </cell>
        </row>
      </sheetData>
      <sheetData sheetId="3168">
        <row r="5">
          <cell r="E5">
            <v>1</v>
          </cell>
        </row>
      </sheetData>
      <sheetData sheetId="3169">
        <row r="5">
          <cell r="E5">
            <v>1</v>
          </cell>
        </row>
      </sheetData>
      <sheetData sheetId="3170">
        <row r="5">
          <cell r="E5">
            <v>1</v>
          </cell>
        </row>
      </sheetData>
      <sheetData sheetId="3171">
        <row r="5">
          <cell r="E5">
            <v>1</v>
          </cell>
        </row>
      </sheetData>
      <sheetData sheetId="3172">
        <row r="5">
          <cell r="E5">
            <v>1</v>
          </cell>
        </row>
      </sheetData>
      <sheetData sheetId="3173">
        <row r="5">
          <cell r="E5">
            <v>1</v>
          </cell>
        </row>
      </sheetData>
      <sheetData sheetId="3174">
        <row r="5">
          <cell r="E5">
            <v>1</v>
          </cell>
        </row>
      </sheetData>
      <sheetData sheetId="3175">
        <row r="5">
          <cell r="E5">
            <v>1</v>
          </cell>
        </row>
      </sheetData>
      <sheetData sheetId="3176">
        <row r="5">
          <cell r="E5">
            <v>1</v>
          </cell>
        </row>
      </sheetData>
      <sheetData sheetId="3177">
        <row r="5">
          <cell r="E5">
            <v>1</v>
          </cell>
        </row>
      </sheetData>
      <sheetData sheetId="3178">
        <row r="5">
          <cell r="E5">
            <v>1</v>
          </cell>
        </row>
      </sheetData>
      <sheetData sheetId="3179">
        <row r="5">
          <cell r="E5">
            <v>1</v>
          </cell>
        </row>
      </sheetData>
      <sheetData sheetId="3180">
        <row r="5">
          <cell r="E5">
            <v>1</v>
          </cell>
        </row>
      </sheetData>
      <sheetData sheetId="3181">
        <row r="5">
          <cell r="E5">
            <v>1</v>
          </cell>
        </row>
      </sheetData>
      <sheetData sheetId="3182">
        <row r="5">
          <cell r="E5">
            <v>1</v>
          </cell>
        </row>
      </sheetData>
      <sheetData sheetId="3183">
        <row r="5">
          <cell r="E5">
            <v>1</v>
          </cell>
        </row>
      </sheetData>
      <sheetData sheetId="3184">
        <row r="5">
          <cell r="E5">
            <v>1</v>
          </cell>
        </row>
      </sheetData>
      <sheetData sheetId="3185">
        <row r="5">
          <cell r="E5">
            <v>1</v>
          </cell>
        </row>
      </sheetData>
      <sheetData sheetId="3186">
        <row r="5">
          <cell r="E5">
            <v>1</v>
          </cell>
        </row>
      </sheetData>
      <sheetData sheetId="3187">
        <row r="5">
          <cell r="E5">
            <v>1</v>
          </cell>
        </row>
      </sheetData>
      <sheetData sheetId="3188">
        <row r="5">
          <cell r="E5">
            <v>1</v>
          </cell>
        </row>
      </sheetData>
      <sheetData sheetId="3189">
        <row r="5">
          <cell r="E5">
            <v>1</v>
          </cell>
        </row>
      </sheetData>
      <sheetData sheetId="3190">
        <row r="5">
          <cell r="E5">
            <v>1</v>
          </cell>
        </row>
      </sheetData>
      <sheetData sheetId="3191">
        <row r="5">
          <cell r="E5">
            <v>1</v>
          </cell>
        </row>
      </sheetData>
      <sheetData sheetId="3192">
        <row r="5">
          <cell r="E5">
            <v>1</v>
          </cell>
        </row>
      </sheetData>
      <sheetData sheetId="3193">
        <row r="5">
          <cell r="E5">
            <v>1</v>
          </cell>
        </row>
      </sheetData>
      <sheetData sheetId="3194">
        <row r="5">
          <cell r="E5">
            <v>1</v>
          </cell>
        </row>
      </sheetData>
      <sheetData sheetId="3195">
        <row r="5">
          <cell r="E5">
            <v>1</v>
          </cell>
        </row>
      </sheetData>
      <sheetData sheetId="3196">
        <row r="5">
          <cell r="E5">
            <v>1</v>
          </cell>
        </row>
      </sheetData>
      <sheetData sheetId="3197">
        <row r="5">
          <cell r="E5">
            <v>1</v>
          </cell>
        </row>
      </sheetData>
      <sheetData sheetId="3198">
        <row r="5">
          <cell r="E5">
            <v>1</v>
          </cell>
        </row>
      </sheetData>
      <sheetData sheetId="3199">
        <row r="5">
          <cell r="E5">
            <v>1</v>
          </cell>
        </row>
      </sheetData>
      <sheetData sheetId="3200">
        <row r="5">
          <cell r="E5">
            <v>1</v>
          </cell>
        </row>
      </sheetData>
      <sheetData sheetId="3201">
        <row r="5">
          <cell r="E5">
            <v>1</v>
          </cell>
        </row>
      </sheetData>
      <sheetData sheetId="3202">
        <row r="5">
          <cell r="E5">
            <v>1</v>
          </cell>
        </row>
      </sheetData>
      <sheetData sheetId="3203">
        <row r="5">
          <cell r="E5">
            <v>1</v>
          </cell>
        </row>
      </sheetData>
      <sheetData sheetId="3204">
        <row r="5">
          <cell r="E5">
            <v>1</v>
          </cell>
        </row>
      </sheetData>
      <sheetData sheetId="3205">
        <row r="5">
          <cell r="E5">
            <v>1</v>
          </cell>
        </row>
      </sheetData>
      <sheetData sheetId="3206">
        <row r="5">
          <cell r="E5">
            <v>1</v>
          </cell>
        </row>
      </sheetData>
      <sheetData sheetId="3207">
        <row r="5">
          <cell r="E5">
            <v>1</v>
          </cell>
        </row>
      </sheetData>
      <sheetData sheetId="3208">
        <row r="5">
          <cell r="E5">
            <v>1</v>
          </cell>
        </row>
      </sheetData>
      <sheetData sheetId="3209">
        <row r="5">
          <cell r="E5">
            <v>1</v>
          </cell>
        </row>
      </sheetData>
      <sheetData sheetId="3210">
        <row r="5">
          <cell r="E5">
            <v>1</v>
          </cell>
        </row>
      </sheetData>
      <sheetData sheetId="3211">
        <row r="5">
          <cell r="E5">
            <v>1</v>
          </cell>
        </row>
      </sheetData>
      <sheetData sheetId="3212">
        <row r="5">
          <cell r="E5">
            <v>1</v>
          </cell>
        </row>
      </sheetData>
      <sheetData sheetId="3213">
        <row r="5">
          <cell r="E5">
            <v>1</v>
          </cell>
        </row>
      </sheetData>
      <sheetData sheetId="3214">
        <row r="5">
          <cell r="E5">
            <v>1</v>
          </cell>
        </row>
      </sheetData>
      <sheetData sheetId="3215">
        <row r="5">
          <cell r="E5">
            <v>1</v>
          </cell>
        </row>
      </sheetData>
      <sheetData sheetId="3216">
        <row r="5">
          <cell r="E5">
            <v>1</v>
          </cell>
        </row>
      </sheetData>
      <sheetData sheetId="3217">
        <row r="5">
          <cell r="E5">
            <v>1</v>
          </cell>
        </row>
      </sheetData>
      <sheetData sheetId="3218">
        <row r="5">
          <cell r="E5">
            <v>1</v>
          </cell>
        </row>
      </sheetData>
      <sheetData sheetId="3219">
        <row r="5">
          <cell r="E5">
            <v>1</v>
          </cell>
        </row>
      </sheetData>
      <sheetData sheetId="3220">
        <row r="5">
          <cell r="E5">
            <v>1</v>
          </cell>
        </row>
      </sheetData>
      <sheetData sheetId="3221">
        <row r="5">
          <cell r="E5">
            <v>1</v>
          </cell>
        </row>
      </sheetData>
      <sheetData sheetId="3222">
        <row r="5">
          <cell r="E5">
            <v>1</v>
          </cell>
        </row>
      </sheetData>
      <sheetData sheetId="3223">
        <row r="5">
          <cell r="E5">
            <v>1</v>
          </cell>
        </row>
      </sheetData>
      <sheetData sheetId="3224">
        <row r="5">
          <cell r="E5">
            <v>1</v>
          </cell>
        </row>
      </sheetData>
      <sheetData sheetId="3225">
        <row r="5">
          <cell r="E5">
            <v>1</v>
          </cell>
        </row>
      </sheetData>
      <sheetData sheetId="3226">
        <row r="5">
          <cell r="E5">
            <v>1</v>
          </cell>
        </row>
      </sheetData>
      <sheetData sheetId="3227">
        <row r="5">
          <cell r="E5">
            <v>1</v>
          </cell>
        </row>
      </sheetData>
      <sheetData sheetId="3228">
        <row r="5">
          <cell r="E5">
            <v>1</v>
          </cell>
        </row>
      </sheetData>
      <sheetData sheetId="3229">
        <row r="5">
          <cell r="E5">
            <v>1</v>
          </cell>
        </row>
      </sheetData>
      <sheetData sheetId="3230">
        <row r="5">
          <cell r="E5">
            <v>1</v>
          </cell>
        </row>
      </sheetData>
      <sheetData sheetId="3231">
        <row r="5">
          <cell r="E5">
            <v>1</v>
          </cell>
        </row>
      </sheetData>
      <sheetData sheetId="3232">
        <row r="5">
          <cell r="E5">
            <v>1</v>
          </cell>
        </row>
      </sheetData>
      <sheetData sheetId="3233">
        <row r="5">
          <cell r="E5">
            <v>1</v>
          </cell>
        </row>
      </sheetData>
      <sheetData sheetId="3234">
        <row r="5">
          <cell r="E5">
            <v>1</v>
          </cell>
        </row>
      </sheetData>
      <sheetData sheetId="3235">
        <row r="5">
          <cell r="E5">
            <v>1</v>
          </cell>
        </row>
      </sheetData>
      <sheetData sheetId="3236">
        <row r="5">
          <cell r="E5">
            <v>1</v>
          </cell>
        </row>
      </sheetData>
      <sheetData sheetId="3237">
        <row r="5">
          <cell r="E5">
            <v>1</v>
          </cell>
        </row>
      </sheetData>
      <sheetData sheetId="3238">
        <row r="5">
          <cell r="E5">
            <v>1</v>
          </cell>
        </row>
      </sheetData>
      <sheetData sheetId="3239">
        <row r="5">
          <cell r="E5">
            <v>1</v>
          </cell>
        </row>
      </sheetData>
      <sheetData sheetId="3240">
        <row r="5">
          <cell r="E5">
            <v>1</v>
          </cell>
        </row>
      </sheetData>
      <sheetData sheetId="3241">
        <row r="5">
          <cell r="E5">
            <v>1</v>
          </cell>
        </row>
      </sheetData>
      <sheetData sheetId="3242">
        <row r="5">
          <cell r="E5">
            <v>1</v>
          </cell>
        </row>
      </sheetData>
      <sheetData sheetId="3243">
        <row r="5">
          <cell r="E5">
            <v>1</v>
          </cell>
        </row>
      </sheetData>
      <sheetData sheetId="3244">
        <row r="5">
          <cell r="E5">
            <v>1</v>
          </cell>
        </row>
      </sheetData>
      <sheetData sheetId="3245">
        <row r="5">
          <cell r="E5">
            <v>1</v>
          </cell>
        </row>
      </sheetData>
      <sheetData sheetId="3246">
        <row r="5">
          <cell r="E5">
            <v>1</v>
          </cell>
        </row>
      </sheetData>
      <sheetData sheetId="3247">
        <row r="5">
          <cell r="E5">
            <v>1</v>
          </cell>
        </row>
      </sheetData>
      <sheetData sheetId="3248">
        <row r="5">
          <cell r="E5">
            <v>1</v>
          </cell>
        </row>
      </sheetData>
      <sheetData sheetId="3249">
        <row r="5">
          <cell r="E5">
            <v>1</v>
          </cell>
        </row>
      </sheetData>
      <sheetData sheetId="3250">
        <row r="5">
          <cell r="E5">
            <v>1</v>
          </cell>
        </row>
      </sheetData>
      <sheetData sheetId="3251">
        <row r="5">
          <cell r="E5">
            <v>1</v>
          </cell>
        </row>
      </sheetData>
      <sheetData sheetId="3252">
        <row r="5">
          <cell r="E5">
            <v>1</v>
          </cell>
        </row>
      </sheetData>
      <sheetData sheetId="3253">
        <row r="5">
          <cell r="E5">
            <v>1</v>
          </cell>
        </row>
      </sheetData>
      <sheetData sheetId="3254">
        <row r="5">
          <cell r="E5">
            <v>1</v>
          </cell>
        </row>
      </sheetData>
      <sheetData sheetId="3255">
        <row r="5">
          <cell r="E5">
            <v>1</v>
          </cell>
        </row>
      </sheetData>
      <sheetData sheetId="3256">
        <row r="5">
          <cell r="E5">
            <v>1</v>
          </cell>
        </row>
      </sheetData>
      <sheetData sheetId="3257">
        <row r="5">
          <cell r="E5">
            <v>1</v>
          </cell>
        </row>
      </sheetData>
      <sheetData sheetId="3258">
        <row r="5">
          <cell r="E5">
            <v>1</v>
          </cell>
        </row>
      </sheetData>
      <sheetData sheetId="3259">
        <row r="5">
          <cell r="E5">
            <v>1</v>
          </cell>
        </row>
      </sheetData>
      <sheetData sheetId="3260">
        <row r="5">
          <cell r="E5">
            <v>1</v>
          </cell>
        </row>
      </sheetData>
      <sheetData sheetId="3261">
        <row r="5">
          <cell r="E5">
            <v>1</v>
          </cell>
        </row>
      </sheetData>
      <sheetData sheetId="3262">
        <row r="5">
          <cell r="E5">
            <v>1</v>
          </cell>
        </row>
      </sheetData>
      <sheetData sheetId="3263">
        <row r="5">
          <cell r="E5">
            <v>1</v>
          </cell>
        </row>
      </sheetData>
      <sheetData sheetId="3264">
        <row r="5">
          <cell r="E5">
            <v>1</v>
          </cell>
        </row>
      </sheetData>
      <sheetData sheetId="3265">
        <row r="5">
          <cell r="E5">
            <v>1</v>
          </cell>
        </row>
      </sheetData>
      <sheetData sheetId="3266">
        <row r="5">
          <cell r="E5">
            <v>1</v>
          </cell>
        </row>
      </sheetData>
      <sheetData sheetId="3267">
        <row r="5">
          <cell r="E5">
            <v>1</v>
          </cell>
        </row>
      </sheetData>
      <sheetData sheetId="3268">
        <row r="5">
          <cell r="E5">
            <v>1</v>
          </cell>
        </row>
      </sheetData>
      <sheetData sheetId="3269">
        <row r="5">
          <cell r="E5">
            <v>1</v>
          </cell>
        </row>
      </sheetData>
      <sheetData sheetId="3270">
        <row r="5">
          <cell r="E5">
            <v>1</v>
          </cell>
        </row>
      </sheetData>
      <sheetData sheetId="3271">
        <row r="5">
          <cell r="E5">
            <v>1</v>
          </cell>
        </row>
      </sheetData>
      <sheetData sheetId="3272">
        <row r="5">
          <cell r="E5">
            <v>1</v>
          </cell>
        </row>
      </sheetData>
      <sheetData sheetId="3273">
        <row r="5">
          <cell r="E5">
            <v>1</v>
          </cell>
        </row>
      </sheetData>
      <sheetData sheetId="3274">
        <row r="5">
          <cell r="E5">
            <v>1</v>
          </cell>
        </row>
      </sheetData>
      <sheetData sheetId="3275">
        <row r="5">
          <cell r="E5">
            <v>1</v>
          </cell>
        </row>
      </sheetData>
      <sheetData sheetId="3276">
        <row r="5">
          <cell r="E5">
            <v>1</v>
          </cell>
        </row>
      </sheetData>
      <sheetData sheetId="3277">
        <row r="5">
          <cell r="E5">
            <v>1</v>
          </cell>
        </row>
      </sheetData>
      <sheetData sheetId="3278">
        <row r="5">
          <cell r="E5">
            <v>1</v>
          </cell>
        </row>
      </sheetData>
      <sheetData sheetId="3279">
        <row r="5">
          <cell r="E5">
            <v>1</v>
          </cell>
        </row>
      </sheetData>
      <sheetData sheetId="3280">
        <row r="5">
          <cell r="E5">
            <v>1</v>
          </cell>
        </row>
      </sheetData>
      <sheetData sheetId="3281">
        <row r="5">
          <cell r="E5">
            <v>1</v>
          </cell>
        </row>
      </sheetData>
      <sheetData sheetId="3282">
        <row r="5">
          <cell r="E5">
            <v>1</v>
          </cell>
        </row>
      </sheetData>
      <sheetData sheetId="3283">
        <row r="5">
          <cell r="E5">
            <v>1</v>
          </cell>
        </row>
      </sheetData>
      <sheetData sheetId="3284">
        <row r="5">
          <cell r="E5">
            <v>1</v>
          </cell>
        </row>
      </sheetData>
      <sheetData sheetId="3285">
        <row r="5">
          <cell r="E5">
            <v>1</v>
          </cell>
        </row>
      </sheetData>
      <sheetData sheetId="3286">
        <row r="5">
          <cell r="E5">
            <v>1</v>
          </cell>
        </row>
      </sheetData>
      <sheetData sheetId="3287">
        <row r="5">
          <cell r="E5">
            <v>1</v>
          </cell>
        </row>
      </sheetData>
      <sheetData sheetId="3288">
        <row r="5">
          <cell r="E5">
            <v>1</v>
          </cell>
        </row>
      </sheetData>
      <sheetData sheetId="3289">
        <row r="5">
          <cell r="E5">
            <v>1</v>
          </cell>
        </row>
      </sheetData>
      <sheetData sheetId="3290">
        <row r="5">
          <cell r="E5">
            <v>1</v>
          </cell>
        </row>
      </sheetData>
      <sheetData sheetId="3291">
        <row r="5">
          <cell r="E5">
            <v>1</v>
          </cell>
        </row>
      </sheetData>
      <sheetData sheetId="3292">
        <row r="5">
          <cell r="E5">
            <v>1</v>
          </cell>
        </row>
      </sheetData>
      <sheetData sheetId="3293">
        <row r="5">
          <cell r="E5">
            <v>1</v>
          </cell>
        </row>
      </sheetData>
      <sheetData sheetId="3294">
        <row r="5">
          <cell r="E5">
            <v>1</v>
          </cell>
        </row>
      </sheetData>
      <sheetData sheetId="3295">
        <row r="5">
          <cell r="E5">
            <v>1</v>
          </cell>
        </row>
      </sheetData>
      <sheetData sheetId="3296">
        <row r="5">
          <cell r="E5">
            <v>1</v>
          </cell>
        </row>
      </sheetData>
      <sheetData sheetId="3297">
        <row r="5">
          <cell r="E5">
            <v>1</v>
          </cell>
        </row>
      </sheetData>
      <sheetData sheetId="3298">
        <row r="5">
          <cell r="E5">
            <v>1</v>
          </cell>
        </row>
      </sheetData>
      <sheetData sheetId="3299">
        <row r="5">
          <cell r="E5">
            <v>1</v>
          </cell>
        </row>
      </sheetData>
      <sheetData sheetId="3300">
        <row r="5">
          <cell r="E5">
            <v>1</v>
          </cell>
        </row>
      </sheetData>
      <sheetData sheetId="3301">
        <row r="5">
          <cell r="E5">
            <v>1</v>
          </cell>
        </row>
      </sheetData>
      <sheetData sheetId="3302">
        <row r="5">
          <cell r="E5">
            <v>1</v>
          </cell>
        </row>
      </sheetData>
      <sheetData sheetId="3303">
        <row r="5">
          <cell r="E5">
            <v>1</v>
          </cell>
        </row>
      </sheetData>
      <sheetData sheetId="3304">
        <row r="5">
          <cell r="E5">
            <v>1</v>
          </cell>
        </row>
      </sheetData>
      <sheetData sheetId="3305">
        <row r="5">
          <cell r="E5">
            <v>1</v>
          </cell>
        </row>
      </sheetData>
      <sheetData sheetId="3306">
        <row r="5">
          <cell r="E5">
            <v>1</v>
          </cell>
        </row>
      </sheetData>
      <sheetData sheetId="3307">
        <row r="5">
          <cell r="E5">
            <v>1</v>
          </cell>
        </row>
      </sheetData>
      <sheetData sheetId="3308">
        <row r="5">
          <cell r="E5">
            <v>1</v>
          </cell>
        </row>
      </sheetData>
      <sheetData sheetId="3309">
        <row r="5">
          <cell r="E5">
            <v>1</v>
          </cell>
        </row>
      </sheetData>
      <sheetData sheetId="3310">
        <row r="5">
          <cell r="E5">
            <v>1</v>
          </cell>
        </row>
      </sheetData>
      <sheetData sheetId="3311">
        <row r="5">
          <cell r="E5">
            <v>1</v>
          </cell>
        </row>
      </sheetData>
      <sheetData sheetId="3312">
        <row r="5">
          <cell r="E5">
            <v>1</v>
          </cell>
        </row>
      </sheetData>
      <sheetData sheetId="3313">
        <row r="5">
          <cell r="E5">
            <v>1</v>
          </cell>
        </row>
      </sheetData>
      <sheetData sheetId="3314">
        <row r="5">
          <cell r="E5">
            <v>1</v>
          </cell>
        </row>
      </sheetData>
      <sheetData sheetId="3315">
        <row r="5">
          <cell r="E5">
            <v>1</v>
          </cell>
        </row>
      </sheetData>
      <sheetData sheetId="3316">
        <row r="5">
          <cell r="E5">
            <v>1</v>
          </cell>
        </row>
      </sheetData>
      <sheetData sheetId="3317">
        <row r="5">
          <cell r="E5">
            <v>1</v>
          </cell>
        </row>
      </sheetData>
      <sheetData sheetId="3318">
        <row r="5">
          <cell r="E5">
            <v>1</v>
          </cell>
        </row>
      </sheetData>
      <sheetData sheetId="3319">
        <row r="5">
          <cell r="E5">
            <v>1</v>
          </cell>
        </row>
      </sheetData>
      <sheetData sheetId="3320">
        <row r="5">
          <cell r="E5">
            <v>1</v>
          </cell>
        </row>
      </sheetData>
      <sheetData sheetId="3321">
        <row r="5">
          <cell r="E5">
            <v>1</v>
          </cell>
        </row>
      </sheetData>
      <sheetData sheetId="3322">
        <row r="5">
          <cell r="E5">
            <v>1</v>
          </cell>
        </row>
      </sheetData>
      <sheetData sheetId="3323">
        <row r="5">
          <cell r="E5">
            <v>1</v>
          </cell>
        </row>
      </sheetData>
      <sheetData sheetId="3324">
        <row r="5">
          <cell r="E5">
            <v>1</v>
          </cell>
        </row>
      </sheetData>
      <sheetData sheetId="3325">
        <row r="5">
          <cell r="E5">
            <v>1</v>
          </cell>
        </row>
      </sheetData>
      <sheetData sheetId="3326">
        <row r="5">
          <cell r="E5">
            <v>1</v>
          </cell>
        </row>
      </sheetData>
      <sheetData sheetId="3327">
        <row r="5">
          <cell r="E5">
            <v>1</v>
          </cell>
        </row>
      </sheetData>
      <sheetData sheetId="3328">
        <row r="5">
          <cell r="E5">
            <v>1</v>
          </cell>
        </row>
      </sheetData>
      <sheetData sheetId="3329">
        <row r="5">
          <cell r="E5">
            <v>1</v>
          </cell>
        </row>
      </sheetData>
      <sheetData sheetId="3330">
        <row r="5">
          <cell r="E5">
            <v>1</v>
          </cell>
        </row>
      </sheetData>
      <sheetData sheetId="3331">
        <row r="5">
          <cell r="E5">
            <v>1</v>
          </cell>
        </row>
      </sheetData>
      <sheetData sheetId="3332">
        <row r="5">
          <cell r="E5">
            <v>1</v>
          </cell>
        </row>
      </sheetData>
      <sheetData sheetId="3333">
        <row r="5">
          <cell r="E5">
            <v>1</v>
          </cell>
        </row>
      </sheetData>
      <sheetData sheetId="3334">
        <row r="5">
          <cell r="E5">
            <v>1</v>
          </cell>
        </row>
      </sheetData>
      <sheetData sheetId="3335">
        <row r="5">
          <cell r="E5">
            <v>1</v>
          </cell>
        </row>
      </sheetData>
      <sheetData sheetId="3336">
        <row r="5">
          <cell r="E5">
            <v>1</v>
          </cell>
        </row>
      </sheetData>
      <sheetData sheetId="3337">
        <row r="5">
          <cell r="E5">
            <v>1</v>
          </cell>
        </row>
      </sheetData>
      <sheetData sheetId="3338">
        <row r="5">
          <cell r="E5">
            <v>1</v>
          </cell>
        </row>
      </sheetData>
      <sheetData sheetId="3339">
        <row r="5">
          <cell r="E5">
            <v>1</v>
          </cell>
        </row>
      </sheetData>
      <sheetData sheetId="3340">
        <row r="5">
          <cell r="E5">
            <v>1</v>
          </cell>
        </row>
      </sheetData>
      <sheetData sheetId="3341">
        <row r="5">
          <cell r="E5">
            <v>1</v>
          </cell>
        </row>
      </sheetData>
      <sheetData sheetId="3342">
        <row r="5">
          <cell r="E5">
            <v>1</v>
          </cell>
        </row>
      </sheetData>
      <sheetData sheetId="3343">
        <row r="5">
          <cell r="E5">
            <v>1</v>
          </cell>
        </row>
      </sheetData>
      <sheetData sheetId="3344">
        <row r="5">
          <cell r="E5">
            <v>1</v>
          </cell>
        </row>
      </sheetData>
      <sheetData sheetId="3345">
        <row r="5">
          <cell r="E5">
            <v>1</v>
          </cell>
        </row>
      </sheetData>
      <sheetData sheetId="3346">
        <row r="5">
          <cell r="E5">
            <v>1</v>
          </cell>
        </row>
      </sheetData>
      <sheetData sheetId="3347">
        <row r="5">
          <cell r="E5">
            <v>1</v>
          </cell>
        </row>
      </sheetData>
      <sheetData sheetId="3348">
        <row r="5">
          <cell r="E5">
            <v>1</v>
          </cell>
        </row>
      </sheetData>
      <sheetData sheetId="3349">
        <row r="5">
          <cell r="E5">
            <v>1</v>
          </cell>
        </row>
      </sheetData>
      <sheetData sheetId="3350">
        <row r="5">
          <cell r="E5">
            <v>1</v>
          </cell>
        </row>
      </sheetData>
      <sheetData sheetId="3351">
        <row r="5">
          <cell r="E5">
            <v>1</v>
          </cell>
        </row>
      </sheetData>
      <sheetData sheetId="3352">
        <row r="5">
          <cell r="E5">
            <v>1</v>
          </cell>
        </row>
      </sheetData>
      <sheetData sheetId="3353">
        <row r="5">
          <cell r="E5">
            <v>1</v>
          </cell>
        </row>
      </sheetData>
      <sheetData sheetId="3354">
        <row r="5">
          <cell r="E5">
            <v>1</v>
          </cell>
        </row>
      </sheetData>
      <sheetData sheetId="3355">
        <row r="5">
          <cell r="E5">
            <v>1</v>
          </cell>
        </row>
      </sheetData>
      <sheetData sheetId="3356">
        <row r="5">
          <cell r="E5">
            <v>1</v>
          </cell>
        </row>
      </sheetData>
      <sheetData sheetId="3357">
        <row r="5">
          <cell r="E5">
            <v>1</v>
          </cell>
        </row>
      </sheetData>
      <sheetData sheetId="3358">
        <row r="5">
          <cell r="E5">
            <v>1</v>
          </cell>
        </row>
      </sheetData>
      <sheetData sheetId="3359">
        <row r="5">
          <cell r="E5">
            <v>1</v>
          </cell>
        </row>
      </sheetData>
      <sheetData sheetId="3360">
        <row r="5">
          <cell r="E5">
            <v>1</v>
          </cell>
        </row>
      </sheetData>
      <sheetData sheetId="3361">
        <row r="5">
          <cell r="E5">
            <v>1</v>
          </cell>
        </row>
      </sheetData>
      <sheetData sheetId="3362">
        <row r="5">
          <cell r="E5">
            <v>1</v>
          </cell>
        </row>
      </sheetData>
      <sheetData sheetId="3363">
        <row r="5">
          <cell r="E5">
            <v>1</v>
          </cell>
        </row>
      </sheetData>
      <sheetData sheetId="3364">
        <row r="5">
          <cell r="E5">
            <v>1</v>
          </cell>
        </row>
      </sheetData>
      <sheetData sheetId="3365">
        <row r="5">
          <cell r="E5">
            <v>1</v>
          </cell>
        </row>
      </sheetData>
      <sheetData sheetId="3366">
        <row r="5">
          <cell r="E5">
            <v>1</v>
          </cell>
        </row>
      </sheetData>
      <sheetData sheetId="3367">
        <row r="5">
          <cell r="E5">
            <v>1</v>
          </cell>
        </row>
      </sheetData>
      <sheetData sheetId="3368">
        <row r="5">
          <cell r="E5">
            <v>1</v>
          </cell>
        </row>
      </sheetData>
      <sheetData sheetId="3369">
        <row r="5">
          <cell r="E5">
            <v>1</v>
          </cell>
        </row>
      </sheetData>
      <sheetData sheetId="3370">
        <row r="5">
          <cell r="E5">
            <v>1</v>
          </cell>
        </row>
      </sheetData>
      <sheetData sheetId="3371">
        <row r="5">
          <cell r="E5">
            <v>1</v>
          </cell>
        </row>
      </sheetData>
      <sheetData sheetId="3372">
        <row r="5">
          <cell r="E5">
            <v>1</v>
          </cell>
        </row>
      </sheetData>
      <sheetData sheetId="3373">
        <row r="5">
          <cell r="E5">
            <v>1</v>
          </cell>
        </row>
      </sheetData>
      <sheetData sheetId="3374">
        <row r="5">
          <cell r="E5">
            <v>1</v>
          </cell>
        </row>
      </sheetData>
      <sheetData sheetId="3375">
        <row r="5">
          <cell r="E5">
            <v>1</v>
          </cell>
        </row>
      </sheetData>
      <sheetData sheetId="3376">
        <row r="5">
          <cell r="E5">
            <v>1</v>
          </cell>
        </row>
      </sheetData>
      <sheetData sheetId="3377">
        <row r="5">
          <cell r="E5">
            <v>1</v>
          </cell>
        </row>
      </sheetData>
      <sheetData sheetId="3378">
        <row r="5">
          <cell r="E5">
            <v>1</v>
          </cell>
        </row>
      </sheetData>
      <sheetData sheetId="3379">
        <row r="5">
          <cell r="E5">
            <v>1</v>
          </cell>
        </row>
      </sheetData>
      <sheetData sheetId="3380">
        <row r="5">
          <cell r="E5">
            <v>1</v>
          </cell>
        </row>
      </sheetData>
      <sheetData sheetId="3381">
        <row r="5">
          <cell r="E5">
            <v>1</v>
          </cell>
        </row>
      </sheetData>
      <sheetData sheetId="3382">
        <row r="5">
          <cell r="E5">
            <v>1</v>
          </cell>
        </row>
      </sheetData>
      <sheetData sheetId="3383">
        <row r="5">
          <cell r="E5">
            <v>1</v>
          </cell>
        </row>
      </sheetData>
      <sheetData sheetId="3384">
        <row r="5">
          <cell r="E5">
            <v>1</v>
          </cell>
        </row>
      </sheetData>
      <sheetData sheetId="3385">
        <row r="5">
          <cell r="E5">
            <v>1</v>
          </cell>
        </row>
      </sheetData>
      <sheetData sheetId="3386">
        <row r="5">
          <cell r="E5">
            <v>1</v>
          </cell>
        </row>
      </sheetData>
      <sheetData sheetId="3387">
        <row r="5">
          <cell r="E5">
            <v>1</v>
          </cell>
        </row>
      </sheetData>
      <sheetData sheetId="3388">
        <row r="5">
          <cell r="E5">
            <v>1</v>
          </cell>
        </row>
      </sheetData>
      <sheetData sheetId="3389">
        <row r="5">
          <cell r="E5">
            <v>1</v>
          </cell>
        </row>
      </sheetData>
      <sheetData sheetId="3390">
        <row r="5">
          <cell r="E5">
            <v>1</v>
          </cell>
        </row>
      </sheetData>
      <sheetData sheetId="3391">
        <row r="5">
          <cell r="E5">
            <v>1</v>
          </cell>
        </row>
      </sheetData>
      <sheetData sheetId="3392">
        <row r="5">
          <cell r="E5">
            <v>1</v>
          </cell>
        </row>
      </sheetData>
      <sheetData sheetId="3393">
        <row r="5">
          <cell r="E5">
            <v>1</v>
          </cell>
        </row>
      </sheetData>
      <sheetData sheetId="3394">
        <row r="5">
          <cell r="E5">
            <v>1</v>
          </cell>
        </row>
      </sheetData>
      <sheetData sheetId="3395">
        <row r="5">
          <cell r="E5">
            <v>1</v>
          </cell>
        </row>
      </sheetData>
      <sheetData sheetId="3396">
        <row r="5">
          <cell r="E5">
            <v>1</v>
          </cell>
        </row>
      </sheetData>
      <sheetData sheetId="3397">
        <row r="5">
          <cell r="E5">
            <v>1</v>
          </cell>
        </row>
      </sheetData>
      <sheetData sheetId="3398">
        <row r="5">
          <cell r="E5">
            <v>1</v>
          </cell>
        </row>
      </sheetData>
      <sheetData sheetId="3399">
        <row r="5">
          <cell r="E5">
            <v>1</v>
          </cell>
        </row>
      </sheetData>
      <sheetData sheetId="3400">
        <row r="5">
          <cell r="E5">
            <v>1</v>
          </cell>
        </row>
      </sheetData>
      <sheetData sheetId="3401">
        <row r="5">
          <cell r="E5">
            <v>1</v>
          </cell>
        </row>
      </sheetData>
      <sheetData sheetId="3402">
        <row r="5">
          <cell r="E5">
            <v>1</v>
          </cell>
        </row>
      </sheetData>
      <sheetData sheetId="3403">
        <row r="5">
          <cell r="E5">
            <v>1</v>
          </cell>
        </row>
      </sheetData>
      <sheetData sheetId="3404">
        <row r="5">
          <cell r="E5">
            <v>1</v>
          </cell>
        </row>
      </sheetData>
      <sheetData sheetId="3405">
        <row r="5">
          <cell r="E5">
            <v>1</v>
          </cell>
        </row>
      </sheetData>
      <sheetData sheetId="3406">
        <row r="5">
          <cell r="E5">
            <v>1</v>
          </cell>
        </row>
      </sheetData>
      <sheetData sheetId="3407">
        <row r="5">
          <cell r="E5">
            <v>1</v>
          </cell>
        </row>
      </sheetData>
      <sheetData sheetId="3408">
        <row r="5">
          <cell r="E5">
            <v>1</v>
          </cell>
        </row>
      </sheetData>
      <sheetData sheetId="3409">
        <row r="5">
          <cell r="E5">
            <v>1</v>
          </cell>
        </row>
      </sheetData>
      <sheetData sheetId="3410">
        <row r="5">
          <cell r="E5">
            <v>1</v>
          </cell>
        </row>
      </sheetData>
      <sheetData sheetId="3411">
        <row r="5">
          <cell r="E5">
            <v>1</v>
          </cell>
        </row>
      </sheetData>
      <sheetData sheetId="3412">
        <row r="5">
          <cell r="E5">
            <v>1</v>
          </cell>
        </row>
      </sheetData>
      <sheetData sheetId="3413">
        <row r="5">
          <cell r="E5">
            <v>1</v>
          </cell>
        </row>
      </sheetData>
      <sheetData sheetId="3414">
        <row r="5">
          <cell r="E5">
            <v>1</v>
          </cell>
        </row>
      </sheetData>
      <sheetData sheetId="3415">
        <row r="5">
          <cell r="E5">
            <v>1</v>
          </cell>
        </row>
      </sheetData>
      <sheetData sheetId="3416">
        <row r="5">
          <cell r="E5">
            <v>1</v>
          </cell>
        </row>
      </sheetData>
      <sheetData sheetId="3417">
        <row r="5">
          <cell r="E5">
            <v>1</v>
          </cell>
        </row>
      </sheetData>
      <sheetData sheetId="3418">
        <row r="5">
          <cell r="E5">
            <v>1</v>
          </cell>
        </row>
      </sheetData>
      <sheetData sheetId="3419">
        <row r="5">
          <cell r="E5">
            <v>1</v>
          </cell>
        </row>
      </sheetData>
      <sheetData sheetId="3420">
        <row r="5">
          <cell r="E5">
            <v>1</v>
          </cell>
        </row>
      </sheetData>
      <sheetData sheetId="3421">
        <row r="5">
          <cell r="E5">
            <v>1</v>
          </cell>
        </row>
      </sheetData>
      <sheetData sheetId="3422">
        <row r="5">
          <cell r="E5">
            <v>1</v>
          </cell>
        </row>
      </sheetData>
      <sheetData sheetId="3423">
        <row r="5">
          <cell r="E5">
            <v>1</v>
          </cell>
        </row>
      </sheetData>
      <sheetData sheetId="3424">
        <row r="5">
          <cell r="E5">
            <v>1</v>
          </cell>
        </row>
      </sheetData>
      <sheetData sheetId="3425">
        <row r="5">
          <cell r="E5">
            <v>1</v>
          </cell>
        </row>
      </sheetData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>
        <row r="5">
          <cell r="E5">
            <v>1</v>
          </cell>
        </row>
      </sheetData>
      <sheetData sheetId="3466">
        <row r="5">
          <cell r="E5">
            <v>1</v>
          </cell>
        </row>
      </sheetData>
      <sheetData sheetId="3467">
        <row r="5">
          <cell r="E5">
            <v>1</v>
          </cell>
        </row>
      </sheetData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>
        <row r="5">
          <cell r="E5">
            <v>1</v>
          </cell>
        </row>
      </sheetData>
      <sheetData sheetId="3566">
        <row r="5">
          <cell r="E5">
            <v>1</v>
          </cell>
        </row>
      </sheetData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>
        <row r="5">
          <cell r="E5">
            <v>1</v>
          </cell>
        </row>
      </sheetData>
      <sheetData sheetId="3583">
        <row r="5">
          <cell r="E5">
            <v>1</v>
          </cell>
        </row>
      </sheetData>
      <sheetData sheetId="3584">
        <row r="5">
          <cell r="E5">
            <v>1</v>
          </cell>
        </row>
      </sheetData>
      <sheetData sheetId="3585">
        <row r="5">
          <cell r="E5">
            <v>1</v>
          </cell>
        </row>
      </sheetData>
      <sheetData sheetId="3586">
        <row r="5">
          <cell r="E5">
            <v>1</v>
          </cell>
        </row>
      </sheetData>
      <sheetData sheetId="3587">
        <row r="5">
          <cell r="E5">
            <v>1</v>
          </cell>
        </row>
      </sheetData>
      <sheetData sheetId="3588">
        <row r="5">
          <cell r="E5">
            <v>1</v>
          </cell>
        </row>
      </sheetData>
      <sheetData sheetId="3589">
        <row r="5">
          <cell r="E5">
            <v>1</v>
          </cell>
        </row>
      </sheetData>
      <sheetData sheetId="3590">
        <row r="5">
          <cell r="E5">
            <v>1</v>
          </cell>
        </row>
      </sheetData>
      <sheetData sheetId="3591">
        <row r="5">
          <cell r="E5">
            <v>1</v>
          </cell>
        </row>
      </sheetData>
      <sheetData sheetId="3592">
        <row r="5">
          <cell r="E5">
            <v>1</v>
          </cell>
        </row>
      </sheetData>
      <sheetData sheetId="3593">
        <row r="5">
          <cell r="E5">
            <v>1</v>
          </cell>
        </row>
      </sheetData>
      <sheetData sheetId="3594">
        <row r="5">
          <cell r="E5">
            <v>1</v>
          </cell>
        </row>
      </sheetData>
      <sheetData sheetId="3595">
        <row r="5">
          <cell r="E5">
            <v>1</v>
          </cell>
        </row>
      </sheetData>
      <sheetData sheetId="3596">
        <row r="5">
          <cell r="E5">
            <v>1</v>
          </cell>
        </row>
      </sheetData>
      <sheetData sheetId="3597">
        <row r="5">
          <cell r="E5">
            <v>1</v>
          </cell>
        </row>
      </sheetData>
      <sheetData sheetId="3598">
        <row r="5">
          <cell r="E5">
            <v>1</v>
          </cell>
        </row>
      </sheetData>
      <sheetData sheetId="3599">
        <row r="5">
          <cell r="E5">
            <v>1</v>
          </cell>
        </row>
      </sheetData>
      <sheetData sheetId="3600">
        <row r="5">
          <cell r="E5">
            <v>1</v>
          </cell>
        </row>
      </sheetData>
      <sheetData sheetId="3601">
        <row r="5">
          <cell r="E5">
            <v>1</v>
          </cell>
        </row>
      </sheetData>
      <sheetData sheetId="3602">
        <row r="5">
          <cell r="E5">
            <v>1</v>
          </cell>
        </row>
      </sheetData>
      <sheetData sheetId="3603">
        <row r="5">
          <cell r="E5">
            <v>1</v>
          </cell>
        </row>
      </sheetData>
      <sheetData sheetId="3604">
        <row r="5">
          <cell r="E5">
            <v>1</v>
          </cell>
        </row>
      </sheetData>
      <sheetData sheetId="3605">
        <row r="5">
          <cell r="E5">
            <v>1</v>
          </cell>
        </row>
      </sheetData>
      <sheetData sheetId="3606">
        <row r="5">
          <cell r="E5">
            <v>1</v>
          </cell>
        </row>
      </sheetData>
      <sheetData sheetId="3607">
        <row r="5">
          <cell r="E5">
            <v>1</v>
          </cell>
        </row>
      </sheetData>
      <sheetData sheetId="3608">
        <row r="5">
          <cell r="E5">
            <v>1</v>
          </cell>
        </row>
      </sheetData>
      <sheetData sheetId="3609">
        <row r="5">
          <cell r="E5">
            <v>1</v>
          </cell>
        </row>
      </sheetData>
      <sheetData sheetId="3610">
        <row r="5">
          <cell r="E5">
            <v>1</v>
          </cell>
        </row>
      </sheetData>
      <sheetData sheetId="3611">
        <row r="5">
          <cell r="E5">
            <v>1</v>
          </cell>
        </row>
      </sheetData>
      <sheetData sheetId="3612">
        <row r="5">
          <cell r="E5">
            <v>1</v>
          </cell>
        </row>
      </sheetData>
      <sheetData sheetId="3613">
        <row r="5">
          <cell r="E5">
            <v>1</v>
          </cell>
        </row>
      </sheetData>
      <sheetData sheetId="3614">
        <row r="5">
          <cell r="E5">
            <v>1</v>
          </cell>
        </row>
      </sheetData>
      <sheetData sheetId="3615">
        <row r="5">
          <cell r="E5">
            <v>1</v>
          </cell>
        </row>
      </sheetData>
      <sheetData sheetId="3616">
        <row r="5">
          <cell r="E5">
            <v>1</v>
          </cell>
        </row>
      </sheetData>
      <sheetData sheetId="3617">
        <row r="5">
          <cell r="E5">
            <v>1</v>
          </cell>
        </row>
      </sheetData>
      <sheetData sheetId="3618">
        <row r="5">
          <cell r="E5">
            <v>1</v>
          </cell>
        </row>
      </sheetData>
      <sheetData sheetId="3619">
        <row r="5">
          <cell r="E5">
            <v>1</v>
          </cell>
        </row>
      </sheetData>
      <sheetData sheetId="3620">
        <row r="5">
          <cell r="E5">
            <v>1</v>
          </cell>
        </row>
      </sheetData>
      <sheetData sheetId="3621">
        <row r="5">
          <cell r="E5">
            <v>1</v>
          </cell>
        </row>
      </sheetData>
      <sheetData sheetId="3622">
        <row r="5">
          <cell r="E5">
            <v>1</v>
          </cell>
        </row>
      </sheetData>
      <sheetData sheetId="3623">
        <row r="5">
          <cell r="E5">
            <v>1</v>
          </cell>
        </row>
      </sheetData>
      <sheetData sheetId="3624">
        <row r="5">
          <cell r="E5">
            <v>1</v>
          </cell>
        </row>
      </sheetData>
      <sheetData sheetId="3625">
        <row r="5">
          <cell r="E5">
            <v>1</v>
          </cell>
        </row>
      </sheetData>
      <sheetData sheetId="3626">
        <row r="5">
          <cell r="E5">
            <v>1</v>
          </cell>
        </row>
      </sheetData>
      <sheetData sheetId="3627">
        <row r="5">
          <cell r="E5">
            <v>1</v>
          </cell>
        </row>
      </sheetData>
      <sheetData sheetId="3628">
        <row r="5">
          <cell r="E5">
            <v>1</v>
          </cell>
        </row>
      </sheetData>
      <sheetData sheetId="3629">
        <row r="5">
          <cell r="E5">
            <v>1</v>
          </cell>
        </row>
      </sheetData>
      <sheetData sheetId="3630">
        <row r="5">
          <cell r="E5">
            <v>1</v>
          </cell>
        </row>
      </sheetData>
      <sheetData sheetId="3631">
        <row r="5">
          <cell r="E5">
            <v>1</v>
          </cell>
        </row>
      </sheetData>
      <sheetData sheetId="3632">
        <row r="5">
          <cell r="E5">
            <v>1</v>
          </cell>
        </row>
      </sheetData>
      <sheetData sheetId="3633">
        <row r="5">
          <cell r="E5">
            <v>1</v>
          </cell>
        </row>
      </sheetData>
      <sheetData sheetId="3634">
        <row r="5">
          <cell r="E5">
            <v>1</v>
          </cell>
        </row>
      </sheetData>
      <sheetData sheetId="3635">
        <row r="5">
          <cell r="E5">
            <v>1</v>
          </cell>
        </row>
      </sheetData>
      <sheetData sheetId="3636">
        <row r="5">
          <cell r="E5">
            <v>1</v>
          </cell>
        </row>
      </sheetData>
      <sheetData sheetId="3637">
        <row r="5">
          <cell r="E5">
            <v>1</v>
          </cell>
        </row>
      </sheetData>
      <sheetData sheetId="3638">
        <row r="5">
          <cell r="E5">
            <v>1</v>
          </cell>
        </row>
      </sheetData>
      <sheetData sheetId="3639">
        <row r="5">
          <cell r="E5">
            <v>1</v>
          </cell>
        </row>
      </sheetData>
      <sheetData sheetId="3640">
        <row r="5">
          <cell r="E5">
            <v>1</v>
          </cell>
        </row>
      </sheetData>
      <sheetData sheetId="3641">
        <row r="5">
          <cell r="E5">
            <v>1</v>
          </cell>
        </row>
      </sheetData>
      <sheetData sheetId="3642">
        <row r="5">
          <cell r="E5">
            <v>1</v>
          </cell>
        </row>
      </sheetData>
      <sheetData sheetId="3643">
        <row r="5">
          <cell r="E5">
            <v>1</v>
          </cell>
        </row>
      </sheetData>
      <sheetData sheetId="3644">
        <row r="5">
          <cell r="E5">
            <v>1</v>
          </cell>
        </row>
      </sheetData>
      <sheetData sheetId="3645">
        <row r="5">
          <cell r="E5">
            <v>1</v>
          </cell>
        </row>
      </sheetData>
      <sheetData sheetId="3646">
        <row r="5">
          <cell r="E5">
            <v>1</v>
          </cell>
        </row>
      </sheetData>
      <sheetData sheetId="3647">
        <row r="5">
          <cell r="E5">
            <v>1</v>
          </cell>
        </row>
      </sheetData>
      <sheetData sheetId="3648">
        <row r="5">
          <cell r="E5">
            <v>1</v>
          </cell>
        </row>
      </sheetData>
      <sheetData sheetId="3649">
        <row r="5">
          <cell r="E5">
            <v>1</v>
          </cell>
        </row>
      </sheetData>
      <sheetData sheetId="3650">
        <row r="5">
          <cell r="E5">
            <v>1</v>
          </cell>
        </row>
      </sheetData>
      <sheetData sheetId="3651">
        <row r="5">
          <cell r="E5">
            <v>1</v>
          </cell>
        </row>
      </sheetData>
      <sheetData sheetId="3652">
        <row r="5">
          <cell r="E5">
            <v>1</v>
          </cell>
        </row>
      </sheetData>
      <sheetData sheetId="3653">
        <row r="5">
          <cell r="E5">
            <v>1</v>
          </cell>
        </row>
      </sheetData>
      <sheetData sheetId="3654">
        <row r="5">
          <cell r="E5">
            <v>1</v>
          </cell>
        </row>
      </sheetData>
      <sheetData sheetId="3655">
        <row r="5">
          <cell r="E5">
            <v>1</v>
          </cell>
        </row>
      </sheetData>
      <sheetData sheetId="3656">
        <row r="5">
          <cell r="E5">
            <v>1</v>
          </cell>
        </row>
      </sheetData>
      <sheetData sheetId="3657">
        <row r="5">
          <cell r="E5">
            <v>1</v>
          </cell>
        </row>
      </sheetData>
      <sheetData sheetId="3658">
        <row r="5">
          <cell r="E5">
            <v>1</v>
          </cell>
        </row>
      </sheetData>
      <sheetData sheetId="3659">
        <row r="5">
          <cell r="E5">
            <v>1</v>
          </cell>
        </row>
      </sheetData>
      <sheetData sheetId="3660">
        <row r="5">
          <cell r="E5">
            <v>1</v>
          </cell>
        </row>
      </sheetData>
      <sheetData sheetId="3661">
        <row r="5">
          <cell r="E5">
            <v>1</v>
          </cell>
        </row>
      </sheetData>
      <sheetData sheetId="3662">
        <row r="5">
          <cell r="E5">
            <v>1</v>
          </cell>
        </row>
      </sheetData>
      <sheetData sheetId="3663">
        <row r="5">
          <cell r="E5">
            <v>1</v>
          </cell>
        </row>
      </sheetData>
      <sheetData sheetId="3664">
        <row r="5">
          <cell r="E5">
            <v>1</v>
          </cell>
        </row>
      </sheetData>
      <sheetData sheetId="3665">
        <row r="5">
          <cell r="E5">
            <v>1</v>
          </cell>
        </row>
      </sheetData>
      <sheetData sheetId="3666">
        <row r="5">
          <cell r="E5">
            <v>1</v>
          </cell>
        </row>
      </sheetData>
      <sheetData sheetId="3667">
        <row r="5">
          <cell r="E5">
            <v>1</v>
          </cell>
        </row>
      </sheetData>
      <sheetData sheetId="3668">
        <row r="5">
          <cell r="E5">
            <v>1</v>
          </cell>
        </row>
      </sheetData>
      <sheetData sheetId="3669">
        <row r="5">
          <cell r="E5">
            <v>1</v>
          </cell>
        </row>
      </sheetData>
      <sheetData sheetId="3670">
        <row r="5">
          <cell r="E5">
            <v>1</v>
          </cell>
        </row>
      </sheetData>
      <sheetData sheetId="3671">
        <row r="5">
          <cell r="E5">
            <v>1</v>
          </cell>
        </row>
      </sheetData>
      <sheetData sheetId="3672">
        <row r="5">
          <cell r="E5">
            <v>1</v>
          </cell>
        </row>
      </sheetData>
      <sheetData sheetId="3673">
        <row r="5">
          <cell r="E5">
            <v>1</v>
          </cell>
        </row>
      </sheetData>
      <sheetData sheetId="3674">
        <row r="5">
          <cell r="E5">
            <v>1</v>
          </cell>
        </row>
      </sheetData>
      <sheetData sheetId="3675">
        <row r="5">
          <cell r="E5">
            <v>1</v>
          </cell>
        </row>
      </sheetData>
      <sheetData sheetId="3676">
        <row r="5">
          <cell r="E5">
            <v>1</v>
          </cell>
        </row>
      </sheetData>
      <sheetData sheetId="3677">
        <row r="5">
          <cell r="E5">
            <v>1</v>
          </cell>
        </row>
      </sheetData>
      <sheetData sheetId="3678">
        <row r="5">
          <cell r="E5">
            <v>1</v>
          </cell>
        </row>
      </sheetData>
      <sheetData sheetId="3679">
        <row r="5">
          <cell r="E5">
            <v>1</v>
          </cell>
        </row>
      </sheetData>
      <sheetData sheetId="3680">
        <row r="5">
          <cell r="E5">
            <v>1</v>
          </cell>
        </row>
      </sheetData>
      <sheetData sheetId="3681">
        <row r="5">
          <cell r="E5">
            <v>1</v>
          </cell>
        </row>
      </sheetData>
      <sheetData sheetId="3682">
        <row r="5">
          <cell r="E5">
            <v>1</v>
          </cell>
        </row>
      </sheetData>
      <sheetData sheetId="3683">
        <row r="5">
          <cell r="E5">
            <v>1</v>
          </cell>
        </row>
      </sheetData>
      <sheetData sheetId="3684">
        <row r="5">
          <cell r="E5">
            <v>1</v>
          </cell>
        </row>
      </sheetData>
      <sheetData sheetId="3685">
        <row r="5">
          <cell r="E5">
            <v>1</v>
          </cell>
        </row>
      </sheetData>
      <sheetData sheetId="3686">
        <row r="5">
          <cell r="E5">
            <v>1</v>
          </cell>
        </row>
      </sheetData>
      <sheetData sheetId="3687">
        <row r="5">
          <cell r="E5">
            <v>1</v>
          </cell>
        </row>
      </sheetData>
      <sheetData sheetId="3688">
        <row r="5">
          <cell r="E5">
            <v>1</v>
          </cell>
        </row>
      </sheetData>
      <sheetData sheetId="3689">
        <row r="5">
          <cell r="E5">
            <v>1</v>
          </cell>
        </row>
      </sheetData>
      <sheetData sheetId="3690">
        <row r="5">
          <cell r="E5">
            <v>1</v>
          </cell>
        </row>
      </sheetData>
      <sheetData sheetId="3691">
        <row r="5">
          <cell r="E5">
            <v>1</v>
          </cell>
        </row>
      </sheetData>
      <sheetData sheetId="3692">
        <row r="5">
          <cell r="E5">
            <v>1</v>
          </cell>
        </row>
      </sheetData>
      <sheetData sheetId="3693">
        <row r="5">
          <cell r="E5">
            <v>1</v>
          </cell>
        </row>
      </sheetData>
      <sheetData sheetId="3694">
        <row r="5">
          <cell r="E5">
            <v>1</v>
          </cell>
        </row>
      </sheetData>
      <sheetData sheetId="3695">
        <row r="5">
          <cell r="E5">
            <v>1</v>
          </cell>
        </row>
      </sheetData>
      <sheetData sheetId="3696">
        <row r="5">
          <cell r="E5">
            <v>1</v>
          </cell>
        </row>
      </sheetData>
      <sheetData sheetId="3697">
        <row r="5">
          <cell r="E5">
            <v>1</v>
          </cell>
        </row>
      </sheetData>
      <sheetData sheetId="3698">
        <row r="5">
          <cell r="E5">
            <v>1</v>
          </cell>
        </row>
      </sheetData>
      <sheetData sheetId="3699">
        <row r="5">
          <cell r="E5">
            <v>1</v>
          </cell>
        </row>
      </sheetData>
      <sheetData sheetId="3700">
        <row r="5">
          <cell r="E5">
            <v>1</v>
          </cell>
        </row>
      </sheetData>
      <sheetData sheetId="3701">
        <row r="5">
          <cell r="E5">
            <v>1</v>
          </cell>
        </row>
      </sheetData>
      <sheetData sheetId="3702">
        <row r="5">
          <cell r="E5">
            <v>1</v>
          </cell>
        </row>
      </sheetData>
      <sheetData sheetId="3703">
        <row r="5">
          <cell r="E5">
            <v>1</v>
          </cell>
        </row>
      </sheetData>
      <sheetData sheetId="3704">
        <row r="5">
          <cell r="E5">
            <v>1</v>
          </cell>
        </row>
      </sheetData>
      <sheetData sheetId="3705">
        <row r="5">
          <cell r="E5">
            <v>1</v>
          </cell>
        </row>
      </sheetData>
      <sheetData sheetId="3706">
        <row r="5">
          <cell r="E5">
            <v>1</v>
          </cell>
        </row>
      </sheetData>
      <sheetData sheetId="3707">
        <row r="5">
          <cell r="E5">
            <v>1</v>
          </cell>
        </row>
      </sheetData>
      <sheetData sheetId="3708">
        <row r="5">
          <cell r="E5">
            <v>1</v>
          </cell>
        </row>
      </sheetData>
      <sheetData sheetId="3709">
        <row r="5">
          <cell r="E5">
            <v>1</v>
          </cell>
        </row>
      </sheetData>
      <sheetData sheetId="3710">
        <row r="5">
          <cell r="E5">
            <v>1</v>
          </cell>
        </row>
      </sheetData>
      <sheetData sheetId="3711">
        <row r="5">
          <cell r="E5">
            <v>1</v>
          </cell>
        </row>
      </sheetData>
      <sheetData sheetId="3712">
        <row r="5">
          <cell r="E5">
            <v>1</v>
          </cell>
        </row>
      </sheetData>
      <sheetData sheetId="3713">
        <row r="5">
          <cell r="E5">
            <v>1</v>
          </cell>
        </row>
      </sheetData>
      <sheetData sheetId="3714">
        <row r="5">
          <cell r="E5">
            <v>1</v>
          </cell>
        </row>
      </sheetData>
      <sheetData sheetId="3715">
        <row r="5">
          <cell r="E5">
            <v>1</v>
          </cell>
        </row>
      </sheetData>
      <sheetData sheetId="3716">
        <row r="5">
          <cell r="E5">
            <v>1</v>
          </cell>
        </row>
      </sheetData>
      <sheetData sheetId="3717">
        <row r="5">
          <cell r="E5">
            <v>1</v>
          </cell>
        </row>
      </sheetData>
      <sheetData sheetId="3718">
        <row r="5">
          <cell r="E5">
            <v>1</v>
          </cell>
        </row>
      </sheetData>
      <sheetData sheetId="3719">
        <row r="5">
          <cell r="E5">
            <v>1</v>
          </cell>
        </row>
      </sheetData>
      <sheetData sheetId="3720">
        <row r="5">
          <cell r="E5">
            <v>1</v>
          </cell>
        </row>
      </sheetData>
      <sheetData sheetId="3721">
        <row r="5">
          <cell r="E5">
            <v>1</v>
          </cell>
        </row>
      </sheetData>
      <sheetData sheetId="3722">
        <row r="5">
          <cell r="E5">
            <v>1</v>
          </cell>
        </row>
      </sheetData>
      <sheetData sheetId="3723">
        <row r="5">
          <cell r="E5">
            <v>1</v>
          </cell>
        </row>
      </sheetData>
      <sheetData sheetId="3724">
        <row r="5">
          <cell r="E5">
            <v>1</v>
          </cell>
        </row>
      </sheetData>
      <sheetData sheetId="3725">
        <row r="5">
          <cell r="E5">
            <v>1</v>
          </cell>
        </row>
      </sheetData>
      <sheetData sheetId="3726">
        <row r="5">
          <cell r="E5">
            <v>1</v>
          </cell>
        </row>
      </sheetData>
      <sheetData sheetId="3727">
        <row r="5">
          <cell r="E5">
            <v>1</v>
          </cell>
        </row>
      </sheetData>
      <sheetData sheetId="3728">
        <row r="5">
          <cell r="E5">
            <v>1</v>
          </cell>
        </row>
      </sheetData>
      <sheetData sheetId="3729">
        <row r="5">
          <cell r="E5">
            <v>1</v>
          </cell>
        </row>
      </sheetData>
      <sheetData sheetId="3730">
        <row r="5">
          <cell r="E5">
            <v>1</v>
          </cell>
        </row>
      </sheetData>
      <sheetData sheetId="3731">
        <row r="5">
          <cell r="E5">
            <v>1</v>
          </cell>
        </row>
      </sheetData>
      <sheetData sheetId="3732">
        <row r="5">
          <cell r="E5">
            <v>1</v>
          </cell>
        </row>
      </sheetData>
      <sheetData sheetId="3733">
        <row r="5">
          <cell r="E5">
            <v>1</v>
          </cell>
        </row>
      </sheetData>
      <sheetData sheetId="3734">
        <row r="5">
          <cell r="E5">
            <v>1</v>
          </cell>
        </row>
      </sheetData>
      <sheetData sheetId="3735">
        <row r="5">
          <cell r="E5">
            <v>1</v>
          </cell>
        </row>
      </sheetData>
      <sheetData sheetId="3736">
        <row r="5">
          <cell r="E5">
            <v>1</v>
          </cell>
        </row>
      </sheetData>
      <sheetData sheetId="3737">
        <row r="5">
          <cell r="E5">
            <v>1</v>
          </cell>
        </row>
      </sheetData>
      <sheetData sheetId="3738">
        <row r="5">
          <cell r="E5">
            <v>1</v>
          </cell>
        </row>
      </sheetData>
      <sheetData sheetId="3739">
        <row r="5">
          <cell r="E5">
            <v>1</v>
          </cell>
        </row>
      </sheetData>
      <sheetData sheetId="3740">
        <row r="5">
          <cell r="E5">
            <v>1</v>
          </cell>
        </row>
      </sheetData>
      <sheetData sheetId="3741">
        <row r="5">
          <cell r="E5">
            <v>1</v>
          </cell>
        </row>
      </sheetData>
      <sheetData sheetId="3742">
        <row r="5">
          <cell r="E5">
            <v>1</v>
          </cell>
        </row>
      </sheetData>
      <sheetData sheetId="3743">
        <row r="5">
          <cell r="E5">
            <v>1</v>
          </cell>
        </row>
      </sheetData>
      <sheetData sheetId="3744">
        <row r="5">
          <cell r="E5">
            <v>1</v>
          </cell>
        </row>
      </sheetData>
      <sheetData sheetId="3745">
        <row r="5">
          <cell r="E5">
            <v>1</v>
          </cell>
        </row>
      </sheetData>
      <sheetData sheetId="3746">
        <row r="5">
          <cell r="E5">
            <v>1</v>
          </cell>
        </row>
      </sheetData>
      <sheetData sheetId="3747">
        <row r="5">
          <cell r="E5">
            <v>1</v>
          </cell>
        </row>
      </sheetData>
      <sheetData sheetId="3748">
        <row r="5">
          <cell r="E5">
            <v>1</v>
          </cell>
        </row>
      </sheetData>
      <sheetData sheetId="3749">
        <row r="5">
          <cell r="E5">
            <v>1</v>
          </cell>
        </row>
      </sheetData>
      <sheetData sheetId="3750">
        <row r="5">
          <cell r="E5">
            <v>1</v>
          </cell>
        </row>
      </sheetData>
      <sheetData sheetId="3751">
        <row r="5">
          <cell r="E5">
            <v>1</v>
          </cell>
        </row>
      </sheetData>
      <sheetData sheetId="3752">
        <row r="5">
          <cell r="E5">
            <v>1</v>
          </cell>
        </row>
      </sheetData>
      <sheetData sheetId="3753">
        <row r="5">
          <cell r="E5">
            <v>1</v>
          </cell>
        </row>
      </sheetData>
      <sheetData sheetId="3754">
        <row r="5">
          <cell r="E5">
            <v>1</v>
          </cell>
        </row>
      </sheetData>
      <sheetData sheetId="3755">
        <row r="5">
          <cell r="E5">
            <v>1</v>
          </cell>
        </row>
      </sheetData>
      <sheetData sheetId="3756">
        <row r="5">
          <cell r="E5">
            <v>1</v>
          </cell>
        </row>
      </sheetData>
      <sheetData sheetId="3757">
        <row r="5">
          <cell r="E5">
            <v>1</v>
          </cell>
        </row>
      </sheetData>
      <sheetData sheetId="3758">
        <row r="5">
          <cell r="E5">
            <v>1</v>
          </cell>
        </row>
      </sheetData>
      <sheetData sheetId="3759">
        <row r="5">
          <cell r="E5">
            <v>1</v>
          </cell>
        </row>
      </sheetData>
      <sheetData sheetId="3760">
        <row r="5">
          <cell r="E5">
            <v>1</v>
          </cell>
        </row>
      </sheetData>
      <sheetData sheetId="3761">
        <row r="5">
          <cell r="E5">
            <v>1</v>
          </cell>
        </row>
      </sheetData>
      <sheetData sheetId="3762">
        <row r="5">
          <cell r="E5">
            <v>1</v>
          </cell>
        </row>
      </sheetData>
      <sheetData sheetId="3763">
        <row r="5">
          <cell r="E5">
            <v>1</v>
          </cell>
        </row>
      </sheetData>
      <sheetData sheetId="3764">
        <row r="5">
          <cell r="E5">
            <v>1</v>
          </cell>
        </row>
      </sheetData>
      <sheetData sheetId="3765">
        <row r="5">
          <cell r="E5">
            <v>1</v>
          </cell>
        </row>
      </sheetData>
      <sheetData sheetId="3766">
        <row r="5">
          <cell r="E5">
            <v>1</v>
          </cell>
        </row>
      </sheetData>
      <sheetData sheetId="3767">
        <row r="5">
          <cell r="E5">
            <v>1</v>
          </cell>
        </row>
      </sheetData>
      <sheetData sheetId="3768">
        <row r="5">
          <cell r="E5">
            <v>1</v>
          </cell>
        </row>
      </sheetData>
      <sheetData sheetId="3769">
        <row r="5">
          <cell r="E5">
            <v>1</v>
          </cell>
        </row>
      </sheetData>
      <sheetData sheetId="3770">
        <row r="5">
          <cell r="E5">
            <v>1</v>
          </cell>
        </row>
      </sheetData>
      <sheetData sheetId="3771">
        <row r="5">
          <cell r="E5">
            <v>1</v>
          </cell>
        </row>
      </sheetData>
      <sheetData sheetId="3772">
        <row r="5">
          <cell r="E5">
            <v>1</v>
          </cell>
        </row>
      </sheetData>
      <sheetData sheetId="3773">
        <row r="5">
          <cell r="E5">
            <v>1</v>
          </cell>
        </row>
      </sheetData>
      <sheetData sheetId="3774">
        <row r="5">
          <cell r="E5">
            <v>1</v>
          </cell>
        </row>
      </sheetData>
      <sheetData sheetId="3775">
        <row r="5">
          <cell r="E5">
            <v>1</v>
          </cell>
        </row>
      </sheetData>
      <sheetData sheetId="3776">
        <row r="5">
          <cell r="E5">
            <v>1</v>
          </cell>
        </row>
      </sheetData>
      <sheetData sheetId="3777">
        <row r="5">
          <cell r="E5">
            <v>1</v>
          </cell>
        </row>
      </sheetData>
      <sheetData sheetId="3778">
        <row r="5">
          <cell r="E5">
            <v>1</v>
          </cell>
        </row>
      </sheetData>
      <sheetData sheetId="3779">
        <row r="5">
          <cell r="E5">
            <v>1</v>
          </cell>
        </row>
      </sheetData>
      <sheetData sheetId="3780">
        <row r="5">
          <cell r="E5">
            <v>1</v>
          </cell>
        </row>
      </sheetData>
      <sheetData sheetId="3781">
        <row r="5">
          <cell r="E5">
            <v>1</v>
          </cell>
        </row>
      </sheetData>
      <sheetData sheetId="3782">
        <row r="5">
          <cell r="E5">
            <v>1</v>
          </cell>
        </row>
      </sheetData>
      <sheetData sheetId="3783">
        <row r="5">
          <cell r="E5">
            <v>1</v>
          </cell>
        </row>
      </sheetData>
      <sheetData sheetId="3784">
        <row r="5">
          <cell r="E5">
            <v>1</v>
          </cell>
        </row>
      </sheetData>
      <sheetData sheetId="3785">
        <row r="5">
          <cell r="E5">
            <v>1</v>
          </cell>
        </row>
      </sheetData>
      <sheetData sheetId="3786">
        <row r="5">
          <cell r="E5">
            <v>1</v>
          </cell>
        </row>
      </sheetData>
      <sheetData sheetId="3787">
        <row r="5">
          <cell r="E5">
            <v>1</v>
          </cell>
        </row>
      </sheetData>
      <sheetData sheetId="3788">
        <row r="5">
          <cell r="E5">
            <v>1</v>
          </cell>
        </row>
      </sheetData>
      <sheetData sheetId="3789">
        <row r="5">
          <cell r="E5">
            <v>1</v>
          </cell>
        </row>
      </sheetData>
      <sheetData sheetId="3790">
        <row r="5">
          <cell r="E5">
            <v>1</v>
          </cell>
        </row>
      </sheetData>
      <sheetData sheetId="3791">
        <row r="5">
          <cell r="E5">
            <v>1</v>
          </cell>
        </row>
      </sheetData>
      <sheetData sheetId="3792">
        <row r="5">
          <cell r="E5">
            <v>1</v>
          </cell>
        </row>
      </sheetData>
      <sheetData sheetId="3793">
        <row r="5">
          <cell r="E5">
            <v>1</v>
          </cell>
        </row>
      </sheetData>
      <sheetData sheetId="3794">
        <row r="5">
          <cell r="E5">
            <v>1</v>
          </cell>
        </row>
      </sheetData>
      <sheetData sheetId="3795">
        <row r="5">
          <cell r="E5">
            <v>1</v>
          </cell>
        </row>
      </sheetData>
      <sheetData sheetId="3796">
        <row r="5">
          <cell r="E5">
            <v>1</v>
          </cell>
        </row>
      </sheetData>
      <sheetData sheetId="3797">
        <row r="5">
          <cell r="E5">
            <v>1</v>
          </cell>
        </row>
      </sheetData>
      <sheetData sheetId="3798">
        <row r="5">
          <cell r="E5">
            <v>1</v>
          </cell>
        </row>
      </sheetData>
      <sheetData sheetId="3799">
        <row r="5">
          <cell r="E5">
            <v>1</v>
          </cell>
        </row>
      </sheetData>
      <sheetData sheetId="3800">
        <row r="5">
          <cell r="E5">
            <v>1</v>
          </cell>
        </row>
      </sheetData>
      <sheetData sheetId="3801">
        <row r="5">
          <cell r="E5">
            <v>1</v>
          </cell>
        </row>
      </sheetData>
      <sheetData sheetId="3802">
        <row r="5">
          <cell r="E5">
            <v>1</v>
          </cell>
        </row>
      </sheetData>
      <sheetData sheetId="3803">
        <row r="5">
          <cell r="E5">
            <v>1</v>
          </cell>
        </row>
      </sheetData>
      <sheetData sheetId="3804">
        <row r="5">
          <cell r="E5">
            <v>1</v>
          </cell>
        </row>
      </sheetData>
      <sheetData sheetId="3805">
        <row r="5">
          <cell r="E5">
            <v>1</v>
          </cell>
        </row>
      </sheetData>
      <sheetData sheetId="3806">
        <row r="5">
          <cell r="E5">
            <v>1</v>
          </cell>
        </row>
      </sheetData>
      <sheetData sheetId="3807">
        <row r="5">
          <cell r="E5">
            <v>1</v>
          </cell>
        </row>
      </sheetData>
      <sheetData sheetId="3808">
        <row r="5">
          <cell r="E5">
            <v>1</v>
          </cell>
        </row>
      </sheetData>
      <sheetData sheetId="3809">
        <row r="5">
          <cell r="E5">
            <v>1</v>
          </cell>
        </row>
      </sheetData>
      <sheetData sheetId="3810">
        <row r="5">
          <cell r="E5">
            <v>1</v>
          </cell>
        </row>
      </sheetData>
      <sheetData sheetId="3811">
        <row r="5">
          <cell r="E5">
            <v>1</v>
          </cell>
        </row>
      </sheetData>
      <sheetData sheetId="3812">
        <row r="5">
          <cell r="E5">
            <v>1</v>
          </cell>
        </row>
      </sheetData>
      <sheetData sheetId="3813">
        <row r="5">
          <cell r="E5">
            <v>1</v>
          </cell>
        </row>
      </sheetData>
      <sheetData sheetId="3814">
        <row r="5">
          <cell r="E5">
            <v>1</v>
          </cell>
        </row>
      </sheetData>
      <sheetData sheetId="3815">
        <row r="5">
          <cell r="E5">
            <v>1</v>
          </cell>
        </row>
      </sheetData>
      <sheetData sheetId="3816">
        <row r="5">
          <cell r="E5">
            <v>1</v>
          </cell>
        </row>
      </sheetData>
      <sheetData sheetId="3817">
        <row r="5">
          <cell r="E5">
            <v>1</v>
          </cell>
        </row>
      </sheetData>
      <sheetData sheetId="3818">
        <row r="5">
          <cell r="E5">
            <v>1</v>
          </cell>
        </row>
      </sheetData>
      <sheetData sheetId="3819">
        <row r="5">
          <cell r="E5">
            <v>1</v>
          </cell>
        </row>
      </sheetData>
      <sheetData sheetId="3820">
        <row r="5">
          <cell r="E5">
            <v>1</v>
          </cell>
        </row>
      </sheetData>
      <sheetData sheetId="3821">
        <row r="5">
          <cell r="E5">
            <v>1</v>
          </cell>
        </row>
      </sheetData>
      <sheetData sheetId="3822">
        <row r="5">
          <cell r="E5">
            <v>1</v>
          </cell>
        </row>
      </sheetData>
      <sheetData sheetId="3823">
        <row r="5">
          <cell r="E5">
            <v>1</v>
          </cell>
        </row>
      </sheetData>
      <sheetData sheetId="3824">
        <row r="5">
          <cell r="E5">
            <v>1</v>
          </cell>
        </row>
      </sheetData>
      <sheetData sheetId="3825">
        <row r="5">
          <cell r="E5">
            <v>1</v>
          </cell>
        </row>
      </sheetData>
      <sheetData sheetId="3826">
        <row r="5">
          <cell r="E5">
            <v>1</v>
          </cell>
        </row>
      </sheetData>
      <sheetData sheetId="3827">
        <row r="5">
          <cell r="E5">
            <v>1</v>
          </cell>
        </row>
      </sheetData>
      <sheetData sheetId="3828">
        <row r="5">
          <cell r="E5">
            <v>1</v>
          </cell>
        </row>
      </sheetData>
      <sheetData sheetId="3829">
        <row r="5">
          <cell r="E5">
            <v>1</v>
          </cell>
        </row>
      </sheetData>
      <sheetData sheetId="3830">
        <row r="5">
          <cell r="E5">
            <v>1</v>
          </cell>
        </row>
      </sheetData>
      <sheetData sheetId="3831">
        <row r="5">
          <cell r="E5">
            <v>1</v>
          </cell>
        </row>
      </sheetData>
      <sheetData sheetId="3832">
        <row r="5">
          <cell r="E5">
            <v>1</v>
          </cell>
        </row>
      </sheetData>
      <sheetData sheetId="3833">
        <row r="5">
          <cell r="E5">
            <v>1</v>
          </cell>
        </row>
      </sheetData>
      <sheetData sheetId="3834">
        <row r="5">
          <cell r="E5">
            <v>1</v>
          </cell>
        </row>
      </sheetData>
      <sheetData sheetId="3835">
        <row r="5">
          <cell r="E5">
            <v>1</v>
          </cell>
        </row>
      </sheetData>
      <sheetData sheetId="3836">
        <row r="5">
          <cell r="E5">
            <v>1</v>
          </cell>
        </row>
      </sheetData>
      <sheetData sheetId="3837">
        <row r="5">
          <cell r="E5">
            <v>1</v>
          </cell>
        </row>
      </sheetData>
      <sheetData sheetId="3838">
        <row r="5">
          <cell r="E5">
            <v>1</v>
          </cell>
        </row>
      </sheetData>
      <sheetData sheetId="3839">
        <row r="5">
          <cell r="E5">
            <v>1</v>
          </cell>
        </row>
      </sheetData>
      <sheetData sheetId="3840">
        <row r="5">
          <cell r="E5">
            <v>1</v>
          </cell>
        </row>
      </sheetData>
      <sheetData sheetId="3841">
        <row r="5">
          <cell r="E5">
            <v>1</v>
          </cell>
        </row>
      </sheetData>
      <sheetData sheetId="3842">
        <row r="5">
          <cell r="E5">
            <v>1</v>
          </cell>
        </row>
      </sheetData>
      <sheetData sheetId="3843">
        <row r="5">
          <cell r="E5">
            <v>1</v>
          </cell>
        </row>
      </sheetData>
      <sheetData sheetId="3844">
        <row r="5">
          <cell r="E5">
            <v>1</v>
          </cell>
        </row>
      </sheetData>
      <sheetData sheetId="3845">
        <row r="5">
          <cell r="E5">
            <v>1</v>
          </cell>
        </row>
      </sheetData>
      <sheetData sheetId="3846">
        <row r="5">
          <cell r="E5">
            <v>1</v>
          </cell>
        </row>
      </sheetData>
      <sheetData sheetId="3847">
        <row r="5">
          <cell r="E5">
            <v>1</v>
          </cell>
        </row>
      </sheetData>
      <sheetData sheetId="3848">
        <row r="5">
          <cell r="E5">
            <v>1</v>
          </cell>
        </row>
      </sheetData>
      <sheetData sheetId="3849">
        <row r="5">
          <cell r="E5">
            <v>1</v>
          </cell>
        </row>
      </sheetData>
      <sheetData sheetId="3850">
        <row r="5">
          <cell r="E5">
            <v>1</v>
          </cell>
        </row>
      </sheetData>
      <sheetData sheetId="3851">
        <row r="5">
          <cell r="E5">
            <v>1</v>
          </cell>
        </row>
      </sheetData>
      <sheetData sheetId="3852">
        <row r="5">
          <cell r="E5">
            <v>1</v>
          </cell>
        </row>
      </sheetData>
      <sheetData sheetId="3853">
        <row r="5">
          <cell r="E5">
            <v>1</v>
          </cell>
        </row>
      </sheetData>
      <sheetData sheetId="3854">
        <row r="5">
          <cell r="E5">
            <v>1</v>
          </cell>
        </row>
      </sheetData>
      <sheetData sheetId="3855">
        <row r="5">
          <cell r="E5">
            <v>1</v>
          </cell>
        </row>
      </sheetData>
      <sheetData sheetId="3856">
        <row r="5">
          <cell r="E5">
            <v>1</v>
          </cell>
        </row>
      </sheetData>
      <sheetData sheetId="3857">
        <row r="5">
          <cell r="E5">
            <v>1</v>
          </cell>
        </row>
      </sheetData>
      <sheetData sheetId="3858">
        <row r="5">
          <cell r="E5">
            <v>1</v>
          </cell>
        </row>
      </sheetData>
      <sheetData sheetId="3859">
        <row r="5">
          <cell r="E5">
            <v>1</v>
          </cell>
        </row>
      </sheetData>
      <sheetData sheetId="3860">
        <row r="5">
          <cell r="E5">
            <v>1</v>
          </cell>
        </row>
      </sheetData>
      <sheetData sheetId="3861">
        <row r="5">
          <cell r="E5">
            <v>1</v>
          </cell>
        </row>
      </sheetData>
      <sheetData sheetId="3862">
        <row r="5">
          <cell r="E5">
            <v>1</v>
          </cell>
        </row>
      </sheetData>
      <sheetData sheetId="3863">
        <row r="5">
          <cell r="E5">
            <v>1</v>
          </cell>
        </row>
      </sheetData>
      <sheetData sheetId="3864">
        <row r="5">
          <cell r="E5">
            <v>1</v>
          </cell>
        </row>
      </sheetData>
      <sheetData sheetId="3865">
        <row r="5">
          <cell r="E5">
            <v>1</v>
          </cell>
        </row>
      </sheetData>
      <sheetData sheetId="3866">
        <row r="5">
          <cell r="E5">
            <v>1</v>
          </cell>
        </row>
      </sheetData>
      <sheetData sheetId="3867">
        <row r="5">
          <cell r="E5">
            <v>1</v>
          </cell>
        </row>
      </sheetData>
      <sheetData sheetId="3868">
        <row r="5">
          <cell r="E5">
            <v>1</v>
          </cell>
        </row>
      </sheetData>
      <sheetData sheetId="3869">
        <row r="5">
          <cell r="E5">
            <v>1</v>
          </cell>
        </row>
      </sheetData>
      <sheetData sheetId="3870">
        <row r="5">
          <cell r="E5">
            <v>1</v>
          </cell>
        </row>
      </sheetData>
      <sheetData sheetId="3871">
        <row r="5">
          <cell r="E5">
            <v>1</v>
          </cell>
        </row>
      </sheetData>
      <sheetData sheetId="3872">
        <row r="5">
          <cell r="E5">
            <v>1</v>
          </cell>
        </row>
      </sheetData>
      <sheetData sheetId="3873">
        <row r="5">
          <cell r="E5">
            <v>1</v>
          </cell>
        </row>
      </sheetData>
      <sheetData sheetId="3874">
        <row r="5">
          <cell r="E5">
            <v>1</v>
          </cell>
        </row>
      </sheetData>
      <sheetData sheetId="3875">
        <row r="5">
          <cell r="E5">
            <v>1</v>
          </cell>
        </row>
      </sheetData>
      <sheetData sheetId="3876">
        <row r="5">
          <cell r="E5">
            <v>1</v>
          </cell>
        </row>
      </sheetData>
      <sheetData sheetId="3877">
        <row r="5">
          <cell r="E5">
            <v>1</v>
          </cell>
        </row>
      </sheetData>
      <sheetData sheetId="3878">
        <row r="5">
          <cell r="E5">
            <v>1</v>
          </cell>
        </row>
      </sheetData>
      <sheetData sheetId="3879">
        <row r="5">
          <cell r="E5">
            <v>1</v>
          </cell>
        </row>
      </sheetData>
      <sheetData sheetId="3880">
        <row r="5">
          <cell r="E5">
            <v>1</v>
          </cell>
        </row>
      </sheetData>
      <sheetData sheetId="3881">
        <row r="5">
          <cell r="E5">
            <v>1</v>
          </cell>
        </row>
      </sheetData>
      <sheetData sheetId="3882">
        <row r="5">
          <cell r="E5">
            <v>1</v>
          </cell>
        </row>
      </sheetData>
      <sheetData sheetId="3883">
        <row r="5">
          <cell r="E5">
            <v>1</v>
          </cell>
        </row>
      </sheetData>
      <sheetData sheetId="3884">
        <row r="5">
          <cell r="E5">
            <v>1</v>
          </cell>
        </row>
      </sheetData>
      <sheetData sheetId="3885">
        <row r="5">
          <cell r="E5">
            <v>1</v>
          </cell>
        </row>
      </sheetData>
      <sheetData sheetId="3886">
        <row r="5">
          <cell r="E5">
            <v>1</v>
          </cell>
        </row>
      </sheetData>
      <sheetData sheetId="3887">
        <row r="5">
          <cell r="E5">
            <v>1</v>
          </cell>
        </row>
      </sheetData>
      <sheetData sheetId="3888">
        <row r="5">
          <cell r="E5">
            <v>1</v>
          </cell>
        </row>
      </sheetData>
      <sheetData sheetId="3889">
        <row r="5">
          <cell r="E5">
            <v>1</v>
          </cell>
        </row>
      </sheetData>
      <sheetData sheetId="3890">
        <row r="5">
          <cell r="E5">
            <v>1</v>
          </cell>
        </row>
      </sheetData>
      <sheetData sheetId="3891">
        <row r="5">
          <cell r="E5">
            <v>1</v>
          </cell>
        </row>
      </sheetData>
      <sheetData sheetId="3892">
        <row r="5">
          <cell r="E5">
            <v>1</v>
          </cell>
        </row>
      </sheetData>
      <sheetData sheetId="3893">
        <row r="5">
          <cell r="E5">
            <v>1</v>
          </cell>
        </row>
      </sheetData>
      <sheetData sheetId="3894">
        <row r="5">
          <cell r="E5">
            <v>1</v>
          </cell>
        </row>
      </sheetData>
      <sheetData sheetId="3895">
        <row r="5">
          <cell r="E5">
            <v>1</v>
          </cell>
        </row>
      </sheetData>
      <sheetData sheetId="3896">
        <row r="5">
          <cell r="E5">
            <v>1</v>
          </cell>
        </row>
      </sheetData>
      <sheetData sheetId="3897">
        <row r="5">
          <cell r="E5">
            <v>1</v>
          </cell>
        </row>
      </sheetData>
      <sheetData sheetId="3898">
        <row r="5">
          <cell r="E5">
            <v>1</v>
          </cell>
        </row>
      </sheetData>
      <sheetData sheetId="3899">
        <row r="5">
          <cell r="E5">
            <v>1</v>
          </cell>
        </row>
      </sheetData>
      <sheetData sheetId="3900">
        <row r="5">
          <cell r="E5">
            <v>1</v>
          </cell>
        </row>
      </sheetData>
      <sheetData sheetId="3901">
        <row r="5">
          <cell r="E5">
            <v>1</v>
          </cell>
        </row>
      </sheetData>
      <sheetData sheetId="3902">
        <row r="5">
          <cell r="E5">
            <v>1</v>
          </cell>
        </row>
      </sheetData>
      <sheetData sheetId="3903">
        <row r="5">
          <cell r="E5">
            <v>1</v>
          </cell>
        </row>
      </sheetData>
      <sheetData sheetId="3904">
        <row r="5">
          <cell r="E5">
            <v>1</v>
          </cell>
        </row>
      </sheetData>
      <sheetData sheetId="3905">
        <row r="5">
          <cell r="E5">
            <v>1</v>
          </cell>
        </row>
      </sheetData>
      <sheetData sheetId="3906">
        <row r="5">
          <cell r="E5">
            <v>1</v>
          </cell>
        </row>
      </sheetData>
      <sheetData sheetId="3907">
        <row r="5">
          <cell r="E5">
            <v>1</v>
          </cell>
        </row>
      </sheetData>
      <sheetData sheetId="3908">
        <row r="5">
          <cell r="E5">
            <v>1</v>
          </cell>
        </row>
      </sheetData>
      <sheetData sheetId="3909">
        <row r="5">
          <cell r="E5">
            <v>1</v>
          </cell>
        </row>
      </sheetData>
      <sheetData sheetId="3910">
        <row r="5">
          <cell r="E5">
            <v>1</v>
          </cell>
        </row>
      </sheetData>
      <sheetData sheetId="3911">
        <row r="5">
          <cell r="E5">
            <v>1</v>
          </cell>
        </row>
      </sheetData>
      <sheetData sheetId="3912">
        <row r="5">
          <cell r="E5">
            <v>1</v>
          </cell>
        </row>
      </sheetData>
      <sheetData sheetId="3913">
        <row r="5">
          <cell r="E5">
            <v>1</v>
          </cell>
        </row>
      </sheetData>
      <sheetData sheetId="3914">
        <row r="5">
          <cell r="E5">
            <v>1</v>
          </cell>
        </row>
      </sheetData>
      <sheetData sheetId="3915">
        <row r="5">
          <cell r="E5">
            <v>1</v>
          </cell>
        </row>
      </sheetData>
      <sheetData sheetId="3916">
        <row r="5">
          <cell r="E5">
            <v>1</v>
          </cell>
        </row>
      </sheetData>
      <sheetData sheetId="3917">
        <row r="5">
          <cell r="E5">
            <v>1</v>
          </cell>
        </row>
      </sheetData>
      <sheetData sheetId="3918">
        <row r="5">
          <cell r="E5">
            <v>1</v>
          </cell>
        </row>
      </sheetData>
      <sheetData sheetId="3919">
        <row r="5">
          <cell r="E5">
            <v>1</v>
          </cell>
        </row>
      </sheetData>
      <sheetData sheetId="3920">
        <row r="5">
          <cell r="E5">
            <v>1</v>
          </cell>
        </row>
      </sheetData>
      <sheetData sheetId="3921">
        <row r="5">
          <cell r="E5">
            <v>1</v>
          </cell>
        </row>
      </sheetData>
      <sheetData sheetId="3922">
        <row r="5">
          <cell r="E5">
            <v>1</v>
          </cell>
        </row>
      </sheetData>
      <sheetData sheetId="3923">
        <row r="5">
          <cell r="E5">
            <v>1</v>
          </cell>
        </row>
      </sheetData>
      <sheetData sheetId="3924">
        <row r="5">
          <cell r="E5">
            <v>1</v>
          </cell>
        </row>
      </sheetData>
      <sheetData sheetId="3925">
        <row r="5">
          <cell r="E5">
            <v>1</v>
          </cell>
        </row>
      </sheetData>
      <sheetData sheetId="3926">
        <row r="5">
          <cell r="E5">
            <v>1</v>
          </cell>
        </row>
      </sheetData>
      <sheetData sheetId="3927">
        <row r="5">
          <cell r="E5">
            <v>1</v>
          </cell>
        </row>
      </sheetData>
      <sheetData sheetId="3928">
        <row r="5">
          <cell r="E5">
            <v>1</v>
          </cell>
        </row>
      </sheetData>
      <sheetData sheetId="3929">
        <row r="5">
          <cell r="E5">
            <v>1</v>
          </cell>
        </row>
      </sheetData>
      <sheetData sheetId="3930">
        <row r="5">
          <cell r="E5">
            <v>1</v>
          </cell>
        </row>
      </sheetData>
      <sheetData sheetId="3931">
        <row r="5">
          <cell r="E5">
            <v>1</v>
          </cell>
        </row>
      </sheetData>
      <sheetData sheetId="3932">
        <row r="5">
          <cell r="E5">
            <v>1</v>
          </cell>
        </row>
      </sheetData>
      <sheetData sheetId="3933">
        <row r="5">
          <cell r="E5">
            <v>1</v>
          </cell>
        </row>
      </sheetData>
      <sheetData sheetId="3934">
        <row r="5">
          <cell r="E5">
            <v>1</v>
          </cell>
        </row>
      </sheetData>
      <sheetData sheetId="3935">
        <row r="5">
          <cell r="E5">
            <v>1</v>
          </cell>
        </row>
      </sheetData>
      <sheetData sheetId="3936">
        <row r="5">
          <cell r="E5">
            <v>1</v>
          </cell>
        </row>
      </sheetData>
      <sheetData sheetId="3937">
        <row r="5">
          <cell r="E5">
            <v>1</v>
          </cell>
        </row>
      </sheetData>
      <sheetData sheetId="3938">
        <row r="5">
          <cell r="E5">
            <v>1</v>
          </cell>
        </row>
      </sheetData>
      <sheetData sheetId="3939">
        <row r="5">
          <cell r="E5">
            <v>1</v>
          </cell>
        </row>
      </sheetData>
      <sheetData sheetId="3940">
        <row r="5">
          <cell r="E5">
            <v>1</v>
          </cell>
        </row>
      </sheetData>
      <sheetData sheetId="3941">
        <row r="5">
          <cell r="E5">
            <v>1</v>
          </cell>
        </row>
      </sheetData>
      <sheetData sheetId="3942">
        <row r="5">
          <cell r="E5">
            <v>1</v>
          </cell>
        </row>
      </sheetData>
      <sheetData sheetId="3943">
        <row r="5">
          <cell r="E5">
            <v>1</v>
          </cell>
        </row>
      </sheetData>
      <sheetData sheetId="3944">
        <row r="5">
          <cell r="E5">
            <v>1</v>
          </cell>
        </row>
      </sheetData>
      <sheetData sheetId="3945">
        <row r="5">
          <cell r="E5">
            <v>1</v>
          </cell>
        </row>
      </sheetData>
      <sheetData sheetId="3946">
        <row r="5">
          <cell r="E5">
            <v>1</v>
          </cell>
        </row>
      </sheetData>
      <sheetData sheetId="3947">
        <row r="5">
          <cell r="E5">
            <v>1</v>
          </cell>
        </row>
      </sheetData>
      <sheetData sheetId="3948">
        <row r="5">
          <cell r="E5">
            <v>1</v>
          </cell>
        </row>
      </sheetData>
      <sheetData sheetId="3949">
        <row r="5">
          <cell r="E5">
            <v>1</v>
          </cell>
        </row>
      </sheetData>
      <sheetData sheetId="3950">
        <row r="5">
          <cell r="E5">
            <v>1</v>
          </cell>
        </row>
      </sheetData>
      <sheetData sheetId="3951">
        <row r="5">
          <cell r="E5">
            <v>1</v>
          </cell>
        </row>
      </sheetData>
      <sheetData sheetId="3952">
        <row r="5">
          <cell r="E5">
            <v>1</v>
          </cell>
        </row>
      </sheetData>
      <sheetData sheetId="3953">
        <row r="5">
          <cell r="E5">
            <v>1</v>
          </cell>
        </row>
      </sheetData>
      <sheetData sheetId="3954">
        <row r="5">
          <cell r="E5">
            <v>1</v>
          </cell>
        </row>
      </sheetData>
      <sheetData sheetId="3955">
        <row r="5">
          <cell r="E5">
            <v>1</v>
          </cell>
        </row>
      </sheetData>
      <sheetData sheetId="3956">
        <row r="5">
          <cell r="E5">
            <v>1</v>
          </cell>
        </row>
      </sheetData>
      <sheetData sheetId="3957">
        <row r="5">
          <cell r="E5">
            <v>1</v>
          </cell>
        </row>
      </sheetData>
      <sheetData sheetId="3958">
        <row r="5">
          <cell r="E5">
            <v>1</v>
          </cell>
        </row>
      </sheetData>
      <sheetData sheetId="3959">
        <row r="5">
          <cell r="E5">
            <v>1</v>
          </cell>
        </row>
      </sheetData>
      <sheetData sheetId="3960">
        <row r="5">
          <cell r="E5">
            <v>1</v>
          </cell>
        </row>
      </sheetData>
      <sheetData sheetId="3961">
        <row r="5">
          <cell r="E5">
            <v>1</v>
          </cell>
        </row>
      </sheetData>
      <sheetData sheetId="3962">
        <row r="5">
          <cell r="E5">
            <v>1</v>
          </cell>
        </row>
      </sheetData>
      <sheetData sheetId="3963">
        <row r="5">
          <cell r="E5">
            <v>1</v>
          </cell>
        </row>
      </sheetData>
      <sheetData sheetId="3964">
        <row r="5">
          <cell r="E5">
            <v>1</v>
          </cell>
        </row>
      </sheetData>
      <sheetData sheetId="3965">
        <row r="5">
          <cell r="E5">
            <v>1</v>
          </cell>
        </row>
      </sheetData>
      <sheetData sheetId="3966">
        <row r="5">
          <cell r="E5">
            <v>1</v>
          </cell>
        </row>
      </sheetData>
      <sheetData sheetId="3967">
        <row r="5">
          <cell r="E5">
            <v>1</v>
          </cell>
        </row>
      </sheetData>
      <sheetData sheetId="3968">
        <row r="5">
          <cell r="E5">
            <v>1</v>
          </cell>
        </row>
      </sheetData>
      <sheetData sheetId="3969">
        <row r="5">
          <cell r="E5">
            <v>1</v>
          </cell>
        </row>
      </sheetData>
      <sheetData sheetId="3970">
        <row r="5">
          <cell r="E5">
            <v>1</v>
          </cell>
        </row>
      </sheetData>
      <sheetData sheetId="3971">
        <row r="5">
          <cell r="E5">
            <v>1</v>
          </cell>
        </row>
      </sheetData>
      <sheetData sheetId="3972">
        <row r="5">
          <cell r="E5">
            <v>1</v>
          </cell>
        </row>
      </sheetData>
      <sheetData sheetId="3973">
        <row r="5">
          <cell r="E5">
            <v>1</v>
          </cell>
        </row>
      </sheetData>
      <sheetData sheetId="3974">
        <row r="5">
          <cell r="E5">
            <v>1</v>
          </cell>
        </row>
      </sheetData>
      <sheetData sheetId="3975">
        <row r="5">
          <cell r="E5">
            <v>1</v>
          </cell>
        </row>
      </sheetData>
      <sheetData sheetId="3976">
        <row r="5">
          <cell r="E5">
            <v>1</v>
          </cell>
        </row>
      </sheetData>
      <sheetData sheetId="3977">
        <row r="5">
          <cell r="E5">
            <v>1</v>
          </cell>
        </row>
      </sheetData>
      <sheetData sheetId="3978">
        <row r="5">
          <cell r="E5">
            <v>1</v>
          </cell>
        </row>
      </sheetData>
      <sheetData sheetId="3979">
        <row r="5">
          <cell r="E5">
            <v>1</v>
          </cell>
        </row>
      </sheetData>
      <sheetData sheetId="3980">
        <row r="5">
          <cell r="E5">
            <v>1</v>
          </cell>
        </row>
      </sheetData>
      <sheetData sheetId="3981">
        <row r="5">
          <cell r="E5">
            <v>1</v>
          </cell>
        </row>
      </sheetData>
      <sheetData sheetId="3982">
        <row r="5">
          <cell r="E5">
            <v>1</v>
          </cell>
        </row>
      </sheetData>
      <sheetData sheetId="3983">
        <row r="5">
          <cell r="E5">
            <v>1</v>
          </cell>
        </row>
      </sheetData>
      <sheetData sheetId="3984">
        <row r="5">
          <cell r="E5">
            <v>1</v>
          </cell>
        </row>
      </sheetData>
      <sheetData sheetId="3985">
        <row r="5">
          <cell r="E5">
            <v>1</v>
          </cell>
        </row>
      </sheetData>
      <sheetData sheetId="3986">
        <row r="5">
          <cell r="E5">
            <v>1</v>
          </cell>
        </row>
      </sheetData>
      <sheetData sheetId="3987">
        <row r="5">
          <cell r="E5">
            <v>1</v>
          </cell>
        </row>
      </sheetData>
      <sheetData sheetId="3988">
        <row r="5">
          <cell r="E5">
            <v>1</v>
          </cell>
        </row>
      </sheetData>
      <sheetData sheetId="3989">
        <row r="5">
          <cell r="E5">
            <v>1</v>
          </cell>
        </row>
      </sheetData>
      <sheetData sheetId="3990">
        <row r="5">
          <cell r="E5">
            <v>1</v>
          </cell>
        </row>
      </sheetData>
      <sheetData sheetId="3991">
        <row r="5">
          <cell r="E5">
            <v>1</v>
          </cell>
        </row>
      </sheetData>
      <sheetData sheetId="3992">
        <row r="5">
          <cell r="E5">
            <v>1</v>
          </cell>
        </row>
      </sheetData>
      <sheetData sheetId="3993">
        <row r="5">
          <cell r="E5">
            <v>1</v>
          </cell>
        </row>
      </sheetData>
      <sheetData sheetId="3994">
        <row r="5">
          <cell r="E5">
            <v>1</v>
          </cell>
        </row>
      </sheetData>
      <sheetData sheetId="3995">
        <row r="5">
          <cell r="E5">
            <v>1</v>
          </cell>
        </row>
      </sheetData>
      <sheetData sheetId="3996">
        <row r="5">
          <cell r="E5">
            <v>1</v>
          </cell>
        </row>
      </sheetData>
      <sheetData sheetId="3997">
        <row r="5">
          <cell r="E5">
            <v>1</v>
          </cell>
        </row>
      </sheetData>
      <sheetData sheetId="3998">
        <row r="5">
          <cell r="E5">
            <v>1</v>
          </cell>
        </row>
      </sheetData>
      <sheetData sheetId="3999">
        <row r="5">
          <cell r="E5">
            <v>1</v>
          </cell>
        </row>
      </sheetData>
      <sheetData sheetId="4000">
        <row r="5">
          <cell r="E5">
            <v>1</v>
          </cell>
        </row>
      </sheetData>
      <sheetData sheetId="4001">
        <row r="5">
          <cell r="E5">
            <v>1</v>
          </cell>
        </row>
      </sheetData>
      <sheetData sheetId="4002">
        <row r="5">
          <cell r="E5">
            <v>1</v>
          </cell>
        </row>
      </sheetData>
      <sheetData sheetId="4003">
        <row r="5">
          <cell r="E5">
            <v>1</v>
          </cell>
        </row>
      </sheetData>
      <sheetData sheetId="4004">
        <row r="5">
          <cell r="E5">
            <v>1</v>
          </cell>
        </row>
      </sheetData>
      <sheetData sheetId="4005">
        <row r="5">
          <cell r="E5">
            <v>1</v>
          </cell>
        </row>
      </sheetData>
      <sheetData sheetId="4006">
        <row r="5">
          <cell r="E5">
            <v>1</v>
          </cell>
        </row>
      </sheetData>
      <sheetData sheetId="4007">
        <row r="5">
          <cell r="E5">
            <v>1</v>
          </cell>
        </row>
      </sheetData>
      <sheetData sheetId="4008">
        <row r="5">
          <cell r="E5">
            <v>1</v>
          </cell>
        </row>
      </sheetData>
      <sheetData sheetId="4009">
        <row r="5">
          <cell r="E5">
            <v>1</v>
          </cell>
        </row>
      </sheetData>
      <sheetData sheetId="4010">
        <row r="5">
          <cell r="E5">
            <v>1</v>
          </cell>
        </row>
      </sheetData>
      <sheetData sheetId="4011">
        <row r="5">
          <cell r="E5">
            <v>1</v>
          </cell>
        </row>
      </sheetData>
      <sheetData sheetId="4012">
        <row r="5">
          <cell r="E5">
            <v>1</v>
          </cell>
        </row>
      </sheetData>
      <sheetData sheetId="4013">
        <row r="5">
          <cell r="E5">
            <v>1</v>
          </cell>
        </row>
      </sheetData>
      <sheetData sheetId="4014">
        <row r="5">
          <cell r="E5">
            <v>1</v>
          </cell>
        </row>
      </sheetData>
      <sheetData sheetId="4015">
        <row r="5">
          <cell r="E5">
            <v>1</v>
          </cell>
        </row>
      </sheetData>
      <sheetData sheetId="4016">
        <row r="5">
          <cell r="E5">
            <v>1</v>
          </cell>
        </row>
      </sheetData>
      <sheetData sheetId="4017">
        <row r="5">
          <cell r="E5">
            <v>1</v>
          </cell>
        </row>
      </sheetData>
      <sheetData sheetId="4018">
        <row r="5">
          <cell r="E5">
            <v>1</v>
          </cell>
        </row>
      </sheetData>
      <sheetData sheetId="4019">
        <row r="5">
          <cell r="E5">
            <v>1</v>
          </cell>
        </row>
      </sheetData>
      <sheetData sheetId="4020">
        <row r="5">
          <cell r="E5">
            <v>1</v>
          </cell>
        </row>
      </sheetData>
      <sheetData sheetId="4021">
        <row r="5">
          <cell r="E5">
            <v>1</v>
          </cell>
        </row>
      </sheetData>
      <sheetData sheetId="4022">
        <row r="5">
          <cell r="E5">
            <v>1</v>
          </cell>
        </row>
      </sheetData>
      <sheetData sheetId="4023">
        <row r="5">
          <cell r="E5">
            <v>1</v>
          </cell>
        </row>
      </sheetData>
      <sheetData sheetId="4024">
        <row r="5">
          <cell r="E5">
            <v>1</v>
          </cell>
        </row>
      </sheetData>
      <sheetData sheetId="4025">
        <row r="5">
          <cell r="E5">
            <v>1</v>
          </cell>
        </row>
      </sheetData>
      <sheetData sheetId="4026">
        <row r="5">
          <cell r="E5">
            <v>1</v>
          </cell>
        </row>
      </sheetData>
      <sheetData sheetId="4027">
        <row r="5">
          <cell r="E5">
            <v>1</v>
          </cell>
        </row>
      </sheetData>
      <sheetData sheetId="4028">
        <row r="5">
          <cell r="E5">
            <v>1</v>
          </cell>
        </row>
      </sheetData>
      <sheetData sheetId="4029">
        <row r="5">
          <cell r="E5">
            <v>1</v>
          </cell>
        </row>
      </sheetData>
      <sheetData sheetId="4030">
        <row r="5">
          <cell r="E5">
            <v>1</v>
          </cell>
        </row>
      </sheetData>
      <sheetData sheetId="4031">
        <row r="5">
          <cell r="E5">
            <v>1</v>
          </cell>
        </row>
      </sheetData>
      <sheetData sheetId="4032">
        <row r="5">
          <cell r="E5">
            <v>1</v>
          </cell>
        </row>
      </sheetData>
      <sheetData sheetId="4033">
        <row r="5">
          <cell r="E5">
            <v>1</v>
          </cell>
        </row>
      </sheetData>
      <sheetData sheetId="4034">
        <row r="5">
          <cell r="E5">
            <v>1</v>
          </cell>
        </row>
      </sheetData>
      <sheetData sheetId="4035">
        <row r="5">
          <cell r="E5">
            <v>1</v>
          </cell>
        </row>
      </sheetData>
      <sheetData sheetId="4036">
        <row r="5">
          <cell r="E5">
            <v>1</v>
          </cell>
        </row>
      </sheetData>
      <sheetData sheetId="4037">
        <row r="5">
          <cell r="E5">
            <v>1</v>
          </cell>
        </row>
      </sheetData>
      <sheetData sheetId="4038">
        <row r="5">
          <cell r="E5">
            <v>1</v>
          </cell>
        </row>
      </sheetData>
      <sheetData sheetId="4039">
        <row r="5">
          <cell r="E5">
            <v>1</v>
          </cell>
        </row>
      </sheetData>
      <sheetData sheetId="4040">
        <row r="5">
          <cell r="E5">
            <v>1</v>
          </cell>
        </row>
      </sheetData>
      <sheetData sheetId="4041">
        <row r="5">
          <cell r="E5">
            <v>1</v>
          </cell>
        </row>
      </sheetData>
      <sheetData sheetId="4042">
        <row r="5">
          <cell r="E5">
            <v>1</v>
          </cell>
        </row>
      </sheetData>
      <sheetData sheetId="4043">
        <row r="5">
          <cell r="E5">
            <v>1</v>
          </cell>
        </row>
      </sheetData>
      <sheetData sheetId="4044">
        <row r="5">
          <cell r="E5">
            <v>1</v>
          </cell>
        </row>
      </sheetData>
      <sheetData sheetId="4045">
        <row r="5">
          <cell r="E5">
            <v>1</v>
          </cell>
        </row>
      </sheetData>
      <sheetData sheetId="4046">
        <row r="5">
          <cell r="E5">
            <v>1</v>
          </cell>
        </row>
      </sheetData>
      <sheetData sheetId="4047">
        <row r="5">
          <cell r="E5">
            <v>1</v>
          </cell>
        </row>
      </sheetData>
      <sheetData sheetId="4048">
        <row r="5">
          <cell r="E5">
            <v>1</v>
          </cell>
        </row>
      </sheetData>
      <sheetData sheetId="4049">
        <row r="5">
          <cell r="E5">
            <v>1</v>
          </cell>
        </row>
      </sheetData>
      <sheetData sheetId="4050">
        <row r="5">
          <cell r="E5">
            <v>1</v>
          </cell>
        </row>
      </sheetData>
      <sheetData sheetId="4051">
        <row r="5">
          <cell r="E5">
            <v>1</v>
          </cell>
        </row>
      </sheetData>
      <sheetData sheetId="4052">
        <row r="5">
          <cell r="E5">
            <v>1</v>
          </cell>
        </row>
      </sheetData>
      <sheetData sheetId="4053">
        <row r="5">
          <cell r="E5">
            <v>1</v>
          </cell>
        </row>
      </sheetData>
      <sheetData sheetId="4054">
        <row r="5">
          <cell r="E5">
            <v>1</v>
          </cell>
        </row>
      </sheetData>
      <sheetData sheetId="4055">
        <row r="5">
          <cell r="E5">
            <v>1</v>
          </cell>
        </row>
      </sheetData>
      <sheetData sheetId="4056">
        <row r="5">
          <cell r="E5">
            <v>1</v>
          </cell>
        </row>
      </sheetData>
      <sheetData sheetId="4057">
        <row r="5">
          <cell r="E5">
            <v>1</v>
          </cell>
        </row>
      </sheetData>
      <sheetData sheetId="4058">
        <row r="5">
          <cell r="E5">
            <v>1</v>
          </cell>
        </row>
      </sheetData>
      <sheetData sheetId="4059">
        <row r="5">
          <cell r="E5">
            <v>1</v>
          </cell>
        </row>
      </sheetData>
      <sheetData sheetId="4060">
        <row r="5">
          <cell r="E5">
            <v>1</v>
          </cell>
        </row>
      </sheetData>
      <sheetData sheetId="4061">
        <row r="5">
          <cell r="E5">
            <v>1</v>
          </cell>
        </row>
      </sheetData>
      <sheetData sheetId="4062">
        <row r="5">
          <cell r="E5">
            <v>1</v>
          </cell>
        </row>
      </sheetData>
      <sheetData sheetId="4063">
        <row r="5">
          <cell r="E5">
            <v>1</v>
          </cell>
        </row>
      </sheetData>
      <sheetData sheetId="4064">
        <row r="5">
          <cell r="E5">
            <v>1</v>
          </cell>
        </row>
      </sheetData>
      <sheetData sheetId="4065">
        <row r="5">
          <cell r="E5">
            <v>1</v>
          </cell>
        </row>
      </sheetData>
      <sheetData sheetId="4066">
        <row r="5">
          <cell r="E5">
            <v>1</v>
          </cell>
        </row>
      </sheetData>
      <sheetData sheetId="4067">
        <row r="5">
          <cell r="E5">
            <v>1</v>
          </cell>
        </row>
      </sheetData>
      <sheetData sheetId="4068">
        <row r="5">
          <cell r="E5">
            <v>1</v>
          </cell>
        </row>
      </sheetData>
      <sheetData sheetId="4069">
        <row r="5">
          <cell r="E5">
            <v>1</v>
          </cell>
        </row>
      </sheetData>
      <sheetData sheetId="4070">
        <row r="5">
          <cell r="E5">
            <v>1</v>
          </cell>
        </row>
      </sheetData>
      <sheetData sheetId="4071">
        <row r="5">
          <cell r="E5">
            <v>1</v>
          </cell>
        </row>
      </sheetData>
      <sheetData sheetId="4072">
        <row r="5">
          <cell r="E5">
            <v>1</v>
          </cell>
        </row>
      </sheetData>
      <sheetData sheetId="4073">
        <row r="5">
          <cell r="E5">
            <v>1</v>
          </cell>
        </row>
      </sheetData>
      <sheetData sheetId="4074">
        <row r="5">
          <cell r="E5">
            <v>1</v>
          </cell>
        </row>
      </sheetData>
      <sheetData sheetId="4075">
        <row r="5">
          <cell r="E5">
            <v>1</v>
          </cell>
        </row>
      </sheetData>
      <sheetData sheetId="4076">
        <row r="5">
          <cell r="E5">
            <v>1</v>
          </cell>
        </row>
      </sheetData>
      <sheetData sheetId="4077">
        <row r="5">
          <cell r="E5">
            <v>1</v>
          </cell>
        </row>
      </sheetData>
      <sheetData sheetId="4078">
        <row r="5">
          <cell r="E5">
            <v>1</v>
          </cell>
        </row>
      </sheetData>
      <sheetData sheetId="4079">
        <row r="5">
          <cell r="E5">
            <v>1</v>
          </cell>
        </row>
      </sheetData>
      <sheetData sheetId="4080">
        <row r="5">
          <cell r="E5">
            <v>1</v>
          </cell>
        </row>
      </sheetData>
      <sheetData sheetId="4081">
        <row r="5">
          <cell r="E5">
            <v>1</v>
          </cell>
        </row>
      </sheetData>
      <sheetData sheetId="4082">
        <row r="5">
          <cell r="E5">
            <v>1</v>
          </cell>
        </row>
      </sheetData>
      <sheetData sheetId="4083">
        <row r="5">
          <cell r="E5">
            <v>1</v>
          </cell>
        </row>
      </sheetData>
      <sheetData sheetId="4084">
        <row r="5">
          <cell r="E5">
            <v>1</v>
          </cell>
        </row>
      </sheetData>
      <sheetData sheetId="4085">
        <row r="5">
          <cell r="E5">
            <v>1</v>
          </cell>
        </row>
      </sheetData>
      <sheetData sheetId="4086">
        <row r="5">
          <cell r="E5">
            <v>1</v>
          </cell>
        </row>
      </sheetData>
      <sheetData sheetId="4087">
        <row r="5">
          <cell r="E5">
            <v>1</v>
          </cell>
        </row>
      </sheetData>
      <sheetData sheetId="4088">
        <row r="5">
          <cell r="E5">
            <v>1</v>
          </cell>
        </row>
      </sheetData>
      <sheetData sheetId="4089">
        <row r="5">
          <cell r="E5">
            <v>1</v>
          </cell>
        </row>
      </sheetData>
      <sheetData sheetId="4090">
        <row r="5">
          <cell r="E5">
            <v>1</v>
          </cell>
        </row>
      </sheetData>
      <sheetData sheetId="4091">
        <row r="5">
          <cell r="E5">
            <v>1</v>
          </cell>
        </row>
      </sheetData>
      <sheetData sheetId="4092">
        <row r="5">
          <cell r="E5">
            <v>1</v>
          </cell>
        </row>
      </sheetData>
      <sheetData sheetId="4093">
        <row r="5">
          <cell r="E5">
            <v>1</v>
          </cell>
        </row>
      </sheetData>
      <sheetData sheetId="4094">
        <row r="5">
          <cell r="E5">
            <v>1</v>
          </cell>
        </row>
      </sheetData>
      <sheetData sheetId="4095">
        <row r="5">
          <cell r="E5">
            <v>1</v>
          </cell>
        </row>
      </sheetData>
      <sheetData sheetId="4096">
        <row r="5">
          <cell r="E5">
            <v>1</v>
          </cell>
        </row>
      </sheetData>
      <sheetData sheetId="4097">
        <row r="5">
          <cell r="E5">
            <v>1</v>
          </cell>
        </row>
      </sheetData>
      <sheetData sheetId="4098">
        <row r="5">
          <cell r="E5">
            <v>1</v>
          </cell>
        </row>
      </sheetData>
      <sheetData sheetId="4099">
        <row r="5">
          <cell r="E5">
            <v>1</v>
          </cell>
        </row>
      </sheetData>
      <sheetData sheetId="4100">
        <row r="5">
          <cell r="E5">
            <v>1</v>
          </cell>
        </row>
      </sheetData>
      <sheetData sheetId="4101">
        <row r="5">
          <cell r="E5">
            <v>1</v>
          </cell>
        </row>
      </sheetData>
      <sheetData sheetId="4102">
        <row r="5">
          <cell r="E5">
            <v>1</v>
          </cell>
        </row>
      </sheetData>
      <sheetData sheetId="4103">
        <row r="5">
          <cell r="E5">
            <v>1</v>
          </cell>
        </row>
      </sheetData>
      <sheetData sheetId="4104">
        <row r="5">
          <cell r="E5">
            <v>1</v>
          </cell>
        </row>
      </sheetData>
      <sheetData sheetId="4105">
        <row r="5">
          <cell r="E5">
            <v>1</v>
          </cell>
        </row>
      </sheetData>
      <sheetData sheetId="4106">
        <row r="5">
          <cell r="E5">
            <v>1</v>
          </cell>
        </row>
      </sheetData>
      <sheetData sheetId="4107">
        <row r="5">
          <cell r="E5">
            <v>1</v>
          </cell>
        </row>
      </sheetData>
      <sheetData sheetId="4108">
        <row r="5">
          <cell r="E5">
            <v>1</v>
          </cell>
        </row>
      </sheetData>
      <sheetData sheetId="4109">
        <row r="5">
          <cell r="E5">
            <v>1</v>
          </cell>
        </row>
      </sheetData>
      <sheetData sheetId="4110">
        <row r="5">
          <cell r="E5">
            <v>1</v>
          </cell>
        </row>
      </sheetData>
      <sheetData sheetId="4111">
        <row r="5">
          <cell r="E5">
            <v>1</v>
          </cell>
        </row>
      </sheetData>
      <sheetData sheetId="4112">
        <row r="5">
          <cell r="E5">
            <v>1</v>
          </cell>
        </row>
      </sheetData>
      <sheetData sheetId="4113">
        <row r="5">
          <cell r="E5">
            <v>1</v>
          </cell>
        </row>
      </sheetData>
      <sheetData sheetId="4114">
        <row r="5">
          <cell r="E5">
            <v>1</v>
          </cell>
        </row>
      </sheetData>
      <sheetData sheetId="4115">
        <row r="5">
          <cell r="E5">
            <v>1</v>
          </cell>
        </row>
      </sheetData>
      <sheetData sheetId="4116">
        <row r="5">
          <cell r="E5">
            <v>1</v>
          </cell>
        </row>
      </sheetData>
      <sheetData sheetId="4117">
        <row r="5">
          <cell r="E5">
            <v>1</v>
          </cell>
        </row>
      </sheetData>
      <sheetData sheetId="4118">
        <row r="5">
          <cell r="E5">
            <v>1</v>
          </cell>
        </row>
      </sheetData>
      <sheetData sheetId="4119">
        <row r="5">
          <cell r="E5">
            <v>1</v>
          </cell>
        </row>
      </sheetData>
      <sheetData sheetId="4120">
        <row r="5">
          <cell r="E5">
            <v>1</v>
          </cell>
        </row>
      </sheetData>
      <sheetData sheetId="4121">
        <row r="5">
          <cell r="E5">
            <v>1</v>
          </cell>
        </row>
      </sheetData>
      <sheetData sheetId="4122">
        <row r="5">
          <cell r="E5">
            <v>1</v>
          </cell>
        </row>
      </sheetData>
      <sheetData sheetId="4123">
        <row r="5">
          <cell r="E5">
            <v>1</v>
          </cell>
        </row>
      </sheetData>
      <sheetData sheetId="4124">
        <row r="5">
          <cell r="E5">
            <v>1</v>
          </cell>
        </row>
      </sheetData>
      <sheetData sheetId="4125">
        <row r="5">
          <cell r="E5">
            <v>1</v>
          </cell>
        </row>
      </sheetData>
      <sheetData sheetId="4126">
        <row r="5">
          <cell r="E5">
            <v>1</v>
          </cell>
        </row>
      </sheetData>
      <sheetData sheetId="4127">
        <row r="5">
          <cell r="E5">
            <v>1</v>
          </cell>
        </row>
      </sheetData>
      <sheetData sheetId="4128">
        <row r="5">
          <cell r="E5">
            <v>1</v>
          </cell>
        </row>
      </sheetData>
      <sheetData sheetId="4129">
        <row r="5">
          <cell r="E5">
            <v>1</v>
          </cell>
        </row>
      </sheetData>
      <sheetData sheetId="4130">
        <row r="5">
          <cell r="E5">
            <v>1</v>
          </cell>
        </row>
      </sheetData>
      <sheetData sheetId="4131">
        <row r="5">
          <cell r="E5">
            <v>1</v>
          </cell>
        </row>
      </sheetData>
      <sheetData sheetId="4132">
        <row r="5">
          <cell r="E5">
            <v>1</v>
          </cell>
        </row>
      </sheetData>
      <sheetData sheetId="4133">
        <row r="5">
          <cell r="E5">
            <v>1</v>
          </cell>
        </row>
      </sheetData>
      <sheetData sheetId="4134">
        <row r="5">
          <cell r="E5">
            <v>1</v>
          </cell>
        </row>
      </sheetData>
      <sheetData sheetId="4135">
        <row r="5">
          <cell r="E5">
            <v>1</v>
          </cell>
        </row>
      </sheetData>
      <sheetData sheetId="4136">
        <row r="5">
          <cell r="E5">
            <v>1</v>
          </cell>
        </row>
      </sheetData>
      <sheetData sheetId="4137">
        <row r="5">
          <cell r="E5">
            <v>1</v>
          </cell>
        </row>
      </sheetData>
      <sheetData sheetId="4138">
        <row r="5">
          <cell r="E5">
            <v>1</v>
          </cell>
        </row>
      </sheetData>
      <sheetData sheetId="4139">
        <row r="5">
          <cell r="E5">
            <v>1</v>
          </cell>
        </row>
      </sheetData>
      <sheetData sheetId="4140">
        <row r="5">
          <cell r="E5">
            <v>1</v>
          </cell>
        </row>
      </sheetData>
      <sheetData sheetId="4141">
        <row r="5">
          <cell r="E5">
            <v>1</v>
          </cell>
        </row>
      </sheetData>
      <sheetData sheetId="4142">
        <row r="5">
          <cell r="E5">
            <v>1</v>
          </cell>
        </row>
      </sheetData>
      <sheetData sheetId="4143">
        <row r="5">
          <cell r="E5">
            <v>1</v>
          </cell>
        </row>
      </sheetData>
      <sheetData sheetId="4144">
        <row r="5">
          <cell r="E5">
            <v>1</v>
          </cell>
        </row>
      </sheetData>
      <sheetData sheetId="4145">
        <row r="5">
          <cell r="E5">
            <v>1</v>
          </cell>
        </row>
      </sheetData>
      <sheetData sheetId="4146">
        <row r="5">
          <cell r="E5">
            <v>1</v>
          </cell>
        </row>
      </sheetData>
      <sheetData sheetId="4147">
        <row r="5">
          <cell r="E5">
            <v>1</v>
          </cell>
        </row>
      </sheetData>
      <sheetData sheetId="4148">
        <row r="5">
          <cell r="E5">
            <v>1</v>
          </cell>
        </row>
      </sheetData>
      <sheetData sheetId="4149">
        <row r="5">
          <cell r="E5">
            <v>1</v>
          </cell>
        </row>
      </sheetData>
      <sheetData sheetId="4150">
        <row r="5">
          <cell r="E5">
            <v>1</v>
          </cell>
        </row>
      </sheetData>
      <sheetData sheetId="4151">
        <row r="5">
          <cell r="E5">
            <v>1</v>
          </cell>
        </row>
      </sheetData>
      <sheetData sheetId="4152">
        <row r="5">
          <cell r="E5">
            <v>1</v>
          </cell>
        </row>
      </sheetData>
      <sheetData sheetId="4153">
        <row r="5">
          <cell r="E5">
            <v>1</v>
          </cell>
        </row>
      </sheetData>
      <sheetData sheetId="4154">
        <row r="5">
          <cell r="E5">
            <v>1</v>
          </cell>
        </row>
      </sheetData>
      <sheetData sheetId="4155">
        <row r="5">
          <cell r="E5">
            <v>1</v>
          </cell>
        </row>
      </sheetData>
      <sheetData sheetId="4156">
        <row r="5">
          <cell r="E5">
            <v>1</v>
          </cell>
        </row>
      </sheetData>
      <sheetData sheetId="4157">
        <row r="5">
          <cell r="E5">
            <v>1</v>
          </cell>
        </row>
      </sheetData>
      <sheetData sheetId="4158">
        <row r="5">
          <cell r="E5">
            <v>1</v>
          </cell>
        </row>
      </sheetData>
      <sheetData sheetId="4159">
        <row r="5">
          <cell r="E5">
            <v>1</v>
          </cell>
        </row>
      </sheetData>
      <sheetData sheetId="4160">
        <row r="5">
          <cell r="E5">
            <v>1</v>
          </cell>
        </row>
      </sheetData>
      <sheetData sheetId="4161">
        <row r="5">
          <cell r="E5">
            <v>1</v>
          </cell>
        </row>
      </sheetData>
      <sheetData sheetId="4162">
        <row r="5">
          <cell r="E5">
            <v>1</v>
          </cell>
        </row>
      </sheetData>
      <sheetData sheetId="4163">
        <row r="5">
          <cell r="E5">
            <v>1</v>
          </cell>
        </row>
      </sheetData>
      <sheetData sheetId="4164">
        <row r="5">
          <cell r="E5">
            <v>1</v>
          </cell>
        </row>
      </sheetData>
      <sheetData sheetId="4165">
        <row r="5">
          <cell r="E5">
            <v>1</v>
          </cell>
        </row>
      </sheetData>
      <sheetData sheetId="4166">
        <row r="5">
          <cell r="E5">
            <v>1</v>
          </cell>
        </row>
      </sheetData>
      <sheetData sheetId="4167">
        <row r="5">
          <cell r="E5">
            <v>1</v>
          </cell>
        </row>
      </sheetData>
      <sheetData sheetId="4168">
        <row r="5">
          <cell r="E5">
            <v>1</v>
          </cell>
        </row>
      </sheetData>
      <sheetData sheetId="4169">
        <row r="5">
          <cell r="E5">
            <v>1</v>
          </cell>
        </row>
      </sheetData>
      <sheetData sheetId="4170">
        <row r="5">
          <cell r="E5">
            <v>1</v>
          </cell>
        </row>
      </sheetData>
      <sheetData sheetId="4171">
        <row r="5">
          <cell r="E5">
            <v>1</v>
          </cell>
        </row>
      </sheetData>
      <sheetData sheetId="4172">
        <row r="5">
          <cell r="E5">
            <v>1</v>
          </cell>
        </row>
      </sheetData>
      <sheetData sheetId="4173">
        <row r="5">
          <cell r="E5">
            <v>1</v>
          </cell>
        </row>
      </sheetData>
      <sheetData sheetId="4174">
        <row r="5">
          <cell r="E5">
            <v>1</v>
          </cell>
        </row>
      </sheetData>
      <sheetData sheetId="4175">
        <row r="5">
          <cell r="E5">
            <v>1</v>
          </cell>
        </row>
      </sheetData>
      <sheetData sheetId="4176">
        <row r="5">
          <cell r="E5">
            <v>1</v>
          </cell>
        </row>
      </sheetData>
      <sheetData sheetId="4177">
        <row r="5">
          <cell r="E5">
            <v>1</v>
          </cell>
        </row>
      </sheetData>
      <sheetData sheetId="4178">
        <row r="5">
          <cell r="E5">
            <v>1</v>
          </cell>
        </row>
      </sheetData>
      <sheetData sheetId="4179">
        <row r="5">
          <cell r="E5">
            <v>1</v>
          </cell>
        </row>
      </sheetData>
      <sheetData sheetId="4180">
        <row r="5">
          <cell r="E5">
            <v>1</v>
          </cell>
        </row>
      </sheetData>
      <sheetData sheetId="4181">
        <row r="5">
          <cell r="E5">
            <v>1</v>
          </cell>
        </row>
      </sheetData>
      <sheetData sheetId="4182">
        <row r="5">
          <cell r="E5">
            <v>1</v>
          </cell>
        </row>
      </sheetData>
      <sheetData sheetId="4183">
        <row r="5">
          <cell r="E5">
            <v>1</v>
          </cell>
        </row>
      </sheetData>
      <sheetData sheetId="4184">
        <row r="5">
          <cell r="E5">
            <v>1</v>
          </cell>
        </row>
      </sheetData>
      <sheetData sheetId="4185">
        <row r="5">
          <cell r="E5">
            <v>1</v>
          </cell>
        </row>
      </sheetData>
      <sheetData sheetId="4186">
        <row r="5">
          <cell r="E5">
            <v>1</v>
          </cell>
        </row>
      </sheetData>
      <sheetData sheetId="4187">
        <row r="5">
          <cell r="E5">
            <v>1</v>
          </cell>
        </row>
      </sheetData>
      <sheetData sheetId="4188">
        <row r="5">
          <cell r="E5">
            <v>1</v>
          </cell>
        </row>
      </sheetData>
      <sheetData sheetId="4189">
        <row r="5">
          <cell r="E5">
            <v>1</v>
          </cell>
        </row>
      </sheetData>
      <sheetData sheetId="4190">
        <row r="5">
          <cell r="E5">
            <v>1</v>
          </cell>
        </row>
      </sheetData>
      <sheetData sheetId="4191">
        <row r="5">
          <cell r="E5">
            <v>1</v>
          </cell>
        </row>
      </sheetData>
      <sheetData sheetId="4192">
        <row r="5">
          <cell r="E5">
            <v>1</v>
          </cell>
        </row>
      </sheetData>
      <sheetData sheetId="4193">
        <row r="5">
          <cell r="E5">
            <v>1</v>
          </cell>
        </row>
      </sheetData>
      <sheetData sheetId="4194">
        <row r="5">
          <cell r="E5">
            <v>1</v>
          </cell>
        </row>
      </sheetData>
      <sheetData sheetId="4195">
        <row r="5">
          <cell r="E5">
            <v>1</v>
          </cell>
        </row>
      </sheetData>
      <sheetData sheetId="4196">
        <row r="5">
          <cell r="E5">
            <v>1</v>
          </cell>
        </row>
      </sheetData>
      <sheetData sheetId="4197">
        <row r="5">
          <cell r="E5">
            <v>1</v>
          </cell>
        </row>
      </sheetData>
      <sheetData sheetId="4198">
        <row r="5">
          <cell r="E5">
            <v>1</v>
          </cell>
        </row>
      </sheetData>
      <sheetData sheetId="4199">
        <row r="5">
          <cell r="E5">
            <v>1</v>
          </cell>
        </row>
      </sheetData>
      <sheetData sheetId="4200">
        <row r="5">
          <cell r="E5">
            <v>1</v>
          </cell>
        </row>
      </sheetData>
      <sheetData sheetId="4201">
        <row r="5">
          <cell r="E5">
            <v>1</v>
          </cell>
        </row>
      </sheetData>
      <sheetData sheetId="4202">
        <row r="5">
          <cell r="E5">
            <v>1</v>
          </cell>
        </row>
      </sheetData>
      <sheetData sheetId="4203">
        <row r="5">
          <cell r="E5">
            <v>1</v>
          </cell>
        </row>
      </sheetData>
      <sheetData sheetId="4204">
        <row r="5">
          <cell r="E5">
            <v>1</v>
          </cell>
        </row>
      </sheetData>
      <sheetData sheetId="4205">
        <row r="5">
          <cell r="E5">
            <v>1</v>
          </cell>
        </row>
      </sheetData>
      <sheetData sheetId="4206">
        <row r="5">
          <cell r="E5">
            <v>1</v>
          </cell>
        </row>
      </sheetData>
      <sheetData sheetId="4207">
        <row r="5">
          <cell r="E5">
            <v>1</v>
          </cell>
        </row>
      </sheetData>
      <sheetData sheetId="4208">
        <row r="5">
          <cell r="E5">
            <v>1</v>
          </cell>
        </row>
      </sheetData>
      <sheetData sheetId="4209">
        <row r="5">
          <cell r="E5">
            <v>1</v>
          </cell>
        </row>
      </sheetData>
      <sheetData sheetId="4210">
        <row r="5">
          <cell r="E5">
            <v>1</v>
          </cell>
        </row>
      </sheetData>
      <sheetData sheetId="4211">
        <row r="5">
          <cell r="E5">
            <v>1</v>
          </cell>
        </row>
      </sheetData>
      <sheetData sheetId="4212">
        <row r="5">
          <cell r="E5">
            <v>1</v>
          </cell>
        </row>
      </sheetData>
      <sheetData sheetId="4213">
        <row r="5">
          <cell r="E5">
            <v>1</v>
          </cell>
        </row>
      </sheetData>
      <sheetData sheetId="4214">
        <row r="5">
          <cell r="E5">
            <v>1</v>
          </cell>
        </row>
      </sheetData>
      <sheetData sheetId="4215">
        <row r="5">
          <cell r="E5">
            <v>1</v>
          </cell>
        </row>
      </sheetData>
      <sheetData sheetId="4216">
        <row r="5">
          <cell r="E5">
            <v>1</v>
          </cell>
        </row>
      </sheetData>
      <sheetData sheetId="4217">
        <row r="5">
          <cell r="E5">
            <v>1</v>
          </cell>
        </row>
      </sheetData>
      <sheetData sheetId="4218">
        <row r="5">
          <cell r="E5">
            <v>1</v>
          </cell>
        </row>
      </sheetData>
      <sheetData sheetId="4219">
        <row r="5">
          <cell r="E5">
            <v>1</v>
          </cell>
        </row>
      </sheetData>
      <sheetData sheetId="4220">
        <row r="5">
          <cell r="E5">
            <v>1</v>
          </cell>
        </row>
      </sheetData>
      <sheetData sheetId="4221">
        <row r="5">
          <cell r="E5">
            <v>1</v>
          </cell>
        </row>
      </sheetData>
      <sheetData sheetId="4222">
        <row r="5">
          <cell r="E5">
            <v>1</v>
          </cell>
        </row>
      </sheetData>
      <sheetData sheetId="4223">
        <row r="5">
          <cell r="E5">
            <v>1</v>
          </cell>
        </row>
      </sheetData>
      <sheetData sheetId="4224">
        <row r="5">
          <cell r="E5">
            <v>1</v>
          </cell>
        </row>
      </sheetData>
      <sheetData sheetId="4225">
        <row r="5">
          <cell r="E5">
            <v>1</v>
          </cell>
        </row>
      </sheetData>
      <sheetData sheetId="4226">
        <row r="5">
          <cell r="E5">
            <v>1</v>
          </cell>
        </row>
      </sheetData>
      <sheetData sheetId="4227">
        <row r="5">
          <cell r="E5">
            <v>1</v>
          </cell>
        </row>
      </sheetData>
      <sheetData sheetId="4228">
        <row r="5">
          <cell r="E5">
            <v>1</v>
          </cell>
        </row>
      </sheetData>
      <sheetData sheetId="4229">
        <row r="5">
          <cell r="E5">
            <v>1</v>
          </cell>
        </row>
      </sheetData>
      <sheetData sheetId="4230">
        <row r="5">
          <cell r="E5">
            <v>1</v>
          </cell>
        </row>
      </sheetData>
      <sheetData sheetId="4231">
        <row r="5">
          <cell r="E5">
            <v>1</v>
          </cell>
        </row>
      </sheetData>
      <sheetData sheetId="4232">
        <row r="5">
          <cell r="E5">
            <v>1</v>
          </cell>
        </row>
      </sheetData>
      <sheetData sheetId="4233">
        <row r="5">
          <cell r="E5">
            <v>1</v>
          </cell>
        </row>
      </sheetData>
      <sheetData sheetId="4234">
        <row r="5">
          <cell r="E5">
            <v>1</v>
          </cell>
        </row>
      </sheetData>
      <sheetData sheetId="4235">
        <row r="5">
          <cell r="E5">
            <v>1</v>
          </cell>
        </row>
      </sheetData>
      <sheetData sheetId="4236">
        <row r="5">
          <cell r="E5">
            <v>1</v>
          </cell>
        </row>
      </sheetData>
      <sheetData sheetId="4237">
        <row r="5">
          <cell r="E5">
            <v>1</v>
          </cell>
        </row>
      </sheetData>
      <sheetData sheetId="4238">
        <row r="5">
          <cell r="E5">
            <v>1</v>
          </cell>
        </row>
      </sheetData>
      <sheetData sheetId="4239">
        <row r="5">
          <cell r="E5">
            <v>1</v>
          </cell>
        </row>
      </sheetData>
      <sheetData sheetId="4240">
        <row r="5">
          <cell r="E5">
            <v>1</v>
          </cell>
        </row>
      </sheetData>
      <sheetData sheetId="4241">
        <row r="5">
          <cell r="E5">
            <v>1</v>
          </cell>
        </row>
      </sheetData>
      <sheetData sheetId="4242">
        <row r="5">
          <cell r="E5">
            <v>1</v>
          </cell>
        </row>
      </sheetData>
      <sheetData sheetId="4243">
        <row r="5">
          <cell r="E5">
            <v>1</v>
          </cell>
        </row>
      </sheetData>
      <sheetData sheetId="4244">
        <row r="5">
          <cell r="E5">
            <v>1</v>
          </cell>
        </row>
      </sheetData>
      <sheetData sheetId="4245">
        <row r="5">
          <cell r="E5">
            <v>1</v>
          </cell>
        </row>
      </sheetData>
      <sheetData sheetId="4246">
        <row r="5">
          <cell r="E5">
            <v>1</v>
          </cell>
        </row>
      </sheetData>
      <sheetData sheetId="4247">
        <row r="5">
          <cell r="E5">
            <v>1</v>
          </cell>
        </row>
      </sheetData>
      <sheetData sheetId="4248">
        <row r="5">
          <cell r="E5">
            <v>1</v>
          </cell>
        </row>
      </sheetData>
      <sheetData sheetId="4249">
        <row r="5">
          <cell r="E5">
            <v>1</v>
          </cell>
        </row>
      </sheetData>
      <sheetData sheetId="4250">
        <row r="5">
          <cell r="E5">
            <v>1</v>
          </cell>
        </row>
      </sheetData>
      <sheetData sheetId="4251">
        <row r="5">
          <cell r="E5">
            <v>1</v>
          </cell>
        </row>
      </sheetData>
      <sheetData sheetId="4252">
        <row r="5">
          <cell r="E5">
            <v>1</v>
          </cell>
        </row>
      </sheetData>
      <sheetData sheetId="4253">
        <row r="5">
          <cell r="E5">
            <v>1</v>
          </cell>
        </row>
      </sheetData>
      <sheetData sheetId="4254">
        <row r="5">
          <cell r="E5">
            <v>1</v>
          </cell>
        </row>
      </sheetData>
      <sheetData sheetId="4255">
        <row r="5">
          <cell r="E5">
            <v>1</v>
          </cell>
        </row>
      </sheetData>
      <sheetData sheetId="4256">
        <row r="5">
          <cell r="E5">
            <v>1</v>
          </cell>
        </row>
      </sheetData>
      <sheetData sheetId="4257">
        <row r="5">
          <cell r="E5">
            <v>1</v>
          </cell>
        </row>
      </sheetData>
      <sheetData sheetId="4258">
        <row r="5">
          <cell r="E5">
            <v>1</v>
          </cell>
        </row>
      </sheetData>
      <sheetData sheetId="4259">
        <row r="5">
          <cell r="E5">
            <v>1</v>
          </cell>
        </row>
      </sheetData>
      <sheetData sheetId="4260">
        <row r="5">
          <cell r="E5">
            <v>1</v>
          </cell>
        </row>
      </sheetData>
      <sheetData sheetId="4261">
        <row r="5">
          <cell r="E5">
            <v>1</v>
          </cell>
        </row>
      </sheetData>
      <sheetData sheetId="4262">
        <row r="5">
          <cell r="E5">
            <v>1</v>
          </cell>
        </row>
      </sheetData>
      <sheetData sheetId="4263">
        <row r="5">
          <cell r="E5">
            <v>1</v>
          </cell>
        </row>
      </sheetData>
      <sheetData sheetId="4264">
        <row r="5">
          <cell r="E5">
            <v>1</v>
          </cell>
        </row>
      </sheetData>
      <sheetData sheetId="4265">
        <row r="5">
          <cell r="E5">
            <v>1</v>
          </cell>
        </row>
      </sheetData>
      <sheetData sheetId="4266">
        <row r="5">
          <cell r="E5">
            <v>1</v>
          </cell>
        </row>
      </sheetData>
      <sheetData sheetId="4267">
        <row r="5">
          <cell r="E5">
            <v>1</v>
          </cell>
        </row>
      </sheetData>
      <sheetData sheetId="4268">
        <row r="5">
          <cell r="E5">
            <v>1</v>
          </cell>
        </row>
      </sheetData>
      <sheetData sheetId="4269">
        <row r="5">
          <cell r="E5">
            <v>1</v>
          </cell>
        </row>
      </sheetData>
      <sheetData sheetId="4270">
        <row r="5">
          <cell r="E5">
            <v>1</v>
          </cell>
        </row>
      </sheetData>
      <sheetData sheetId="4271">
        <row r="5">
          <cell r="E5">
            <v>1</v>
          </cell>
        </row>
      </sheetData>
      <sheetData sheetId="4272">
        <row r="5">
          <cell r="E5">
            <v>1</v>
          </cell>
        </row>
      </sheetData>
      <sheetData sheetId="4273">
        <row r="5">
          <cell r="E5">
            <v>1</v>
          </cell>
        </row>
      </sheetData>
      <sheetData sheetId="4274">
        <row r="5">
          <cell r="E5">
            <v>1</v>
          </cell>
        </row>
      </sheetData>
      <sheetData sheetId="4275">
        <row r="5">
          <cell r="E5">
            <v>1</v>
          </cell>
        </row>
      </sheetData>
      <sheetData sheetId="4276">
        <row r="5">
          <cell r="E5">
            <v>1</v>
          </cell>
        </row>
      </sheetData>
      <sheetData sheetId="4277">
        <row r="5">
          <cell r="E5">
            <v>1</v>
          </cell>
        </row>
      </sheetData>
      <sheetData sheetId="4278">
        <row r="5">
          <cell r="E5">
            <v>1</v>
          </cell>
        </row>
      </sheetData>
      <sheetData sheetId="4279">
        <row r="5">
          <cell r="E5">
            <v>1</v>
          </cell>
        </row>
      </sheetData>
      <sheetData sheetId="4280">
        <row r="5">
          <cell r="E5">
            <v>1</v>
          </cell>
        </row>
      </sheetData>
      <sheetData sheetId="4281">
        <row r="5">
          <cell r="E5">
            <v>1</v>
          </cell>
        </row>
      </sheetData>
      <sheetData sheetId="4282">
        <row r="5">
          <cell r="E5">
            <v>1</v>
          </cell>
        </row>
      </sheetData>
      <sheetData sheetId="4283">
        <row r="5">
          <cell r="E5">
            <v>1</v>
          </cell>
        </row>
      </sheetData>
      <sheetData sheetId="4284">
        <row r="5">
          <cell r="E5">
            <v>1</v>
          </cell>
        </row>
      </sheetData>
      <sheetData sheetId="4285">
        <row r="5">
          <cell r="E5">
            <v>1</v>
          </cell>
        </row>
      </sheetData>
      <sheetData sheetId="4286">
        <row r="5">
          <cell r="E5">
            <v>1</v>
          </cell>
        </row>
      </sheetData>
      <sheetData sheetId="4287">
        <row r="5">
          <cell r="E5">
            <v>1</v>
          </cell>
        </row>
      </sheetData>
      <sheetData sheetId="4288">
        <row r="5">
          <cell r="E5">
            <v>1</v>
          </cell>
        </row>
      </sheetData>
      <sheetData sheetId="4289">
        <row r="5">
          <cell r="E5">
            <v>1</v>
          </cell>
        </row>
      </sheetData>
      <sheetData sheetId="4290">
        <row r="5">
          <cell r="E5">
            <v>1</v>
          </cell>
        </row>
      </sheetData>
      <sheetData sheetId="4291">
        <row r="5">
          <cell r="E5">
            <v>1</v>
          </cell>
        </row>
      </sheetData>
      <sheetData sheetId="4292">
        <row r="5">
          <cell r="E5">
            <v>1</v>
          </cell>
        </row>
      </sheetData>
      <sheetData sheetId="4293">
        <row r="5">
          <cell r="E5">
            <v>1</v>
          </cell>
        </row>
      </sheetData>
      <sheetData sheetId="4294">
        <row r="5">
          <cell r="E5">
            <v>1</v>
          </cell>
        </row>
      </sheetData>
      <sheetData sheetId="4295">
        <row r="5">
          <cell r="E5">
            <v>1</v>
          </cell>
        </row>
      </sheetData>
      <sheetData sheetId="4296">
        <row r="5">
          <cell r="E5">
            <v>1</v>
          </cell>
        </row>
      </sheetData>
      <sheetData sheetId="4297">
        <row r="5">
          <cell r="E5">
            <v>1</v>
          </cell>
        </row>
      </sheetData>
      <sheetData sheetId="4298">
        <row r="5">
          <cell r="E5">
            <v>1</v>
          </cell>
        </row>
      </sheetData>
      <sheetData sheetId="4299">
        <row r="5">
          <cell r="E5">
            <v>1</v>
          </cell>
        </row>
      </sheetData>
      <sheetData sheetId="4300">
        <row r="5">
          <cell r="E5">
            <v>1</v>
          </cell>
        </row>
      </sheetData>
      <sheetData sheetId="4301">
        <row r="5">
          <cell r="E5">
            <v>1</v>
          </cell>
        </row>
      </sheetData>
      <sheetData sheetId="4302">
        <row r="5">
          <cell r="E5">
            <v>1</v>
          </cell>
        </row>
      </sheetData>
      <sheetData sheetId="4303">
        <row r="5">
          <cell r="E5">
            <v>1</v>
          </cell>
        </row>
      </sheetData>
      <sheetData sheetId="4304">
        <row r="5">
          <cell r="E5">
            <v>1</v>
          </cell>
        </row>
      </sheetData>
      <sheetData sheetId="4305">
        <row r="5">
          <cell r="E5">
            <v>1</v>
          </cell>
        </row>
      </sheetData>
      <sheetData sheetId="4306">
        <row r="5">
          <cell r="E5">
            <v>1</v>
          </cell>
        </row>
      </sheetData>
      <sheetData sheetId="4307">
        <row r="5">
          <cell r="E5">
            <v>1</v>
          </cell>
        </row>
      </sheetData>
      <sheetData sheetId="4308">
        <row r="5">
          <cell r="E5">
            <v>1</v>
          </cell>
        </row>
      </sheetData>
      <sheetData sheetId="4309">
        <row r="5">
          <cell r="E5">
            <v>1</v>
          </cell>
        </row>
      </sheetData>
      <sheetData sheetId="4310">
        <row r="5">
          <cell r="E5">
            <v>1</v>
          </cell>
        </row>
      </sheetData>
      <sheetData sheetId="4311">
        <row r="5">
          <cell r="E5">
            <v>1</v>
          </cell>
        </row>
      </sheetData>
      <sheetData sheetId="4312">
        <row r="5">
          <cell r="E5">
            <v>1</v>
          </cell>
        </row>
      </sheetData>
      <sheetData sheetId="4313">
        <row r="5">
          <cell r="E5">
            <v>1</v>
          </cell>
        </row>
      </sheetData>
      <sheetData sheetId="4314">
        <row r="5">
          <cell r="E5">
            <v>1</v>
          </cell>
        </row>
      </sheetData>
      <sheetData sheetId="4315">
        <row r="5">
          <cell r="E5">
            <v>1</v>
          </cell>
        </row>
      </sheetData>
      <sheetData sheetId="4316">
        <row r="5">
          <cell r="E5">
            <v>1</v>
          </cell>
        </row>
      </sheetData>
      <sheetData sheetId="4317">
        <row r="5">
          <cell r="E5">
            <v>1</v>
          </cell>
        </row>
      </sheetData>
      <sheetData sheetId="4318">
        <row r="5">
          <cell r="E5">
            <v>1</v>
          </cell>
        </row>
      </sheetData>
      <sheetData sheetId="4319">
        <row r="5">
          <cell r="E5">
            <v>1</v>
          </cell>
        </row>
      </sheetData>
      <sheetData sheetId="4320">
        <row r="5">
          <cell r="E5">
            <v>1</v>
          </cell>
        </row>
      </sheetData>
      <sheetData sheetId="4321">
        <row r="5">
          <cell r="E5">
            <v>1</v>
          </cell>
        </row>
      </sheetData>
      <sheetData sheetId="4322">
        <row r="5">
          <cell r="E5">
            <v>1</v>
          </cell>
        </row>
      </sheetData>
      <sheetData sheetId="4323">
        <row r="5">
          <cell r="E5">
            <v>1</v>
          </cell>
        </row>
      </sheetData>
      <sheetData sheetId="4324">
        <row r="5">
          <cell r="E5">
            <v>1</v>
          </cell>
        </row>
      </sheetData>
      <sheetData sheetId="4325">
        <row r="5">
          <cell r="E5">
            <v>1</v>
          </cell>
        </row>
      </sheetData>
      <sheetData sheetId="4326">
        <row r="5">
          <cell r="E5">
            <v>1</v>
          </cell>
        </row>
      </sheetData>
      <sheetData sheetId="4327">
        <row r="5">
          <cell r="E5">
            <v>1</v>
          </cell>
        </row>
      </sheetData>
      <sheetData sheetId="4328">
        <row r="5">
          <cell r="E5">
            <v>1</v>
          </cell>
        </row>
      </sheetData>
      <sheetData sheetId="4329">
        <row r="5">
          <cell r="E5">
            <v>1</v>
          </cell>
        </row>
      </sheetData>
      <sheetData sheetId="4330">
        <row r="5">
          <cell r="E5">
            <v>1</v>
          </cell>
        </row>
      </sheetData>
      <sheetData sheetId="4331">
        <row r="5">
          <cell r="E5">
            <v>1</v>
          </cell>
        </row>
      </sheetData>
      <sheetData sheetId="4332">
        <row r="5">
          <cell r="E5">
            <v>1</v>
          </cell>
        </row>
      </sheetData>
      <sheetData sheetId="4333">
        <row r="5">
          <cell r="E5">
            <v>1</v>
          </cell>
        </row>
      </sheetData>
      <sheetData sheetId="4334">
        <row r="5">
          <cell r="E5">
            <v>1</v>
          </cell>
        </row>
      </sheetData>
      <sheetData sheetId="4335">
        <row r="5">
          <cell r="E5">
            <v>1</v>
          </cell>
        </row>
      </sheetData>
      <sheetData sheetId="4336">
        <row r="5">
          <cell r="E5">
            <v>1</v>
          </cell>
        </row>
      </sheetData>
      <sheetData sheetId="4337">
        <row r="5">
          <cell r="E5">
            <v>1</v>
          </cell>
        </row>
      </sheetData>
      <sheetData sheetId="4338">
        <row r="5">
          <cell r="E5">
            <v>1</v>
          </cell>
        </row>
      </sheetData>
      <sheetData sheetId="4339">
        <row r="5">
          <cell r="E5">
            <v>1</v>
          </cell>
        </row>
      </sheetData>
      <sheetData sheetId="4340">
        <row r="5">
          <cell r="E5">
            <v>1</v>
          </cell>
        </row>
      </sheetData>
      <sheetData sheetId="4341">
        <row r="5">
          <cell r="E5">
            <v>1</v>
          </cell>
        </row>
      </sheetData>
      <sheetData sheetId="4342">
        <row r="5">
          <cell r="E5">
            <v>1</v>
          </cell>
        </row>
      </sheetData>
      <sheetData sheetId="4343">
        <row r="5">
          <cell r="E5">
            <v>1</v>
          </cell>
        </row>
      </sheetData>
      <sheetData sheetId="4344">
        <row r="5">
          <cell r="E5">
            <v>1</v>
          </cell>
        </row>
      </sheetData>
      <sheetData sheetId="4345">
        <row r="5">
          <cell r="E5">
            <v>1</v>
          </cell>
        </row>
      </sheetData>
      <sheetData sheetId="4346">
        <row r="5">
          <cell r="E5">
            <v>1</v>
          </cell>
        </row>
      </sheetData>
      <sheetData sheetId="4347">
        <row r="5">
          <cell r="E5">
            <v>1</v>
          </cell>
        </row>
      </sheetData>
      <sheetData sheetId="4348">
        <row r="5">
          <cell r="E5">
            <v>1</v>
          </cell>
        </row>
      </sheetData>
      <sheetData sheetId="4349">
        <row r="5">
          <cell r="E5">
            <v>1</v>
          </cell>
        </row>
      </sheetData>
      <sheetData sheetId="4350">
        <row r="5">
          <cell r="E5">
            <v>1</v>
          </cell>
        </row>
      </sheetData>
      <sheetData sheetId="4351">
        <row r="5">
          <cell r="E5">
            <v>1</v>
          </cell>
        </row>
      </sheetData>
      <sheetData sheetId="4352">
        <row r="5">
          <cell r="E5">
            <v>1</v>
          </cell>
        </row>
      </sheetData>
      <sheetData sheetId="4353">
        <row r="5">
          <cell r="E5">
            <v>1</v>
          </cell>
        </row>
      </sheetData>
      <sheetData sheetId="4354">
        <row r="5">
          <cell r="E5">
            <v>1</v>
          </cell>
        </row>
      </sheetData>
      <sheetData sheetId="4355">
        <row r="5">
          <cell r="E5">
            <v>1</v>
          </cell>
        </row>
      </sheetData>
      <sheetData sheetId="4356">
        <row r="5">
          <cell r="E5">
            <v>1</v>
          </cell>
        </row>
      </sheetData>
      <sheetData sheetId="4357">
        <row r="5">
          <cell r="E5">
            <v>1</v>
          </cell>
        </row>
      </sheetData>
      <sheetData sheetId="4358">
        <row r="5">
          <cell r="E5">
            <v>1</v>
          </cell>
        </row>
      </sheetData>
      <sheetData sheetId="4359">
        <row r="5">
          <cell r="E5">
            <v>1</v>
          </cell>
        </row>
      </sheetData>
      <sheetData sheetId="4360">
        <row r="5">
          <cell r="E5">
            <v>1</v>
          </cell>
        </row>
      </sheetData>
      <sheetData sheetId="4361">
        <row r="5">
          <cell r="E5">
            <v>1</v>
          </cell>
        </row>
      </sheetData>
      <sheetData sheetId="4362">
        <row r="5">
          <cell r="E5">
            <v>1</v>
          </cell>
        </row>
      </sheetData>
      <sheetData sheetId="4363">
        <row r="5">
          <cell r="E5">
            <v>1</v>
          </cell>
        </row>
      </sheetData>
      <sheetData sheetId="4364">
        <row r="5">
          <cell r="E5">
            <v>1</v>
          </cell>
        </row>
      </sheetData>
      <sheetData sheetId="4365">
        <row r="5">
          <cell r="E5">
            <v>1</v>
          </cell>
        </row>
      </sheetData>
      <sheetData sheetId="4366">
        <row r="5">
          <cell r="E5">
            <v>1</v>
          </cell>
        </row>
      </sheetData>
      <sheetData sheetId="4367">
        <row r="5">
          <cell r="E5">
            <v>1</v>
          </cell>
        </row>
      </sheetData>
      <sheetData sheetId="4368">
        <row r="5">
          <cell r="E5">
            <v>1</v>
          </cell>
        </row>
      </sheetData>
      <sheetData sheetId="4369">
        <row r="5">
          <cell r="E5">
            <v>1</v>
          </cell>
        </row>
      </sheetData>
      <sheetData sheetId="4370">
        <row r="5">
          <cell r="E5">
            <v>1</v>
          </cell>
        </row>
      </sheetData>
      <sheetData sheetId="4371">
        <row r="5">
          <cell r="E5">
            <v>1</v>
          </cell>
        </row>
      </sheetData>
      <sheetData sheetId="4372">
        <row r="5">
          <cell r="E5">
            <v>1</v>
          </cell>
        </row>
      </sheetData>
      <sheetData sheetId="4373">
        <row r="5">
          <cell r="E5">
            <v>1</v>
          </cell>
        </row>
      </sheetData>
      <sheetData sheetId="4374">
        <row r="5">
          <cell r="E5">
            <v>1</v>
          </cell>
        </row>
      </sheetData>
      <sheetData sheetId="4375">
        <row r="5">
          <cell r="E5">
            <v>1</v>
          </cell>
        </row>
      </sheetData>
      <sheetData sheetId="4376">
        <row r="5">
          <cell r="E5">
            <v>1</v>
          </cell>
        </row>
      </sheetData>
      <sheetData sheetId="4377">
        <row r="5">
          <cell r="E5">
            <v>1</v>
          </cell>
        </row>
      </sheetData>
      <sheetData sheetId="4378">
        <row r="5">
          <cell r="E5">
            <v>1</v>
          </cell>
        </row>
      </sheetData>
      <sheetData sheetId="4379">
        <row r="5">
          <cell r="E5">
            <v>1</v>
          </cell>
        </row>
      </sheetData>
      <sheetData sheetId="4380">
        <row r="5">
          <cell r="E5">
            <v>1</v>
          </cell>
        </row>
      </sheetData>
      <sheetData sheetId="4381">
        <row r="5">
          <cell r="E5">
            <v>1</v>
          </cell>
        </row>
      </sheetData>
      <sheetData sheetId="4382">
        <row r="5">
          <cell r="E5">
            <v>1</v>
          </cell>
        </row>
      </sheetData>
      <sheetData sheetId="4383">
        <row r="5">
          <cell r="E5">
            <v>1</v>
          </cell>
        </row>
      </sheetData>
      <sheetData sheetId="4384">
        <row r="5">
          <cell r="E5">
            <v>1</v>
          </cell>
        </row>
      </sheetData>
      <sheetData sheetId="4385">
        <row r="5">
          <cell r="E5">
            <v>1</v>
          </cell>
        </row>
      </sheetData>
      <sheetData sheetId="4386">
        <row r="5">
          <cell r="E5">
            <v>1</v>
          </cell>
        </row>
      </sheetData>
      <sheetData sheetId="4387">
        <row r="5">
          <cell r="E5">
            <v>1</v>
          </cell>
        </row>
      </sheetData>
      <sheetData sheetId="4388">
        <row r="5">
          <cell r="E5">
            <v>1</v>
          </cell>
        </row>
      </sheetData>
      <sheetData sheetId="4389">
        <row r="5">
          <cell r="E5">
            <v>1</v>
          </cell>
        </row>
      </sheetData>
      <sheetData sheetId="4390">
        <row r="5">
          <cell r="E5">
            <v>1</v>
          </cell>
        </row>
      </sheetData>
      <sheetData sheetId="4391">
        <row r="5">
          <cell r="E5">
            <v>1</v>
          </cell>
        </row>
      </sheetData>
      <sheetData sheetId="4392">
        <row r="5">
          <cell r="E5">
            <v>1</v>
          </cell>
        </row>
      </sheetData>
      <sheetData sheetId="4393">
        <row r="5">
          <cell r="E5">
            <v>1</v>
          </cell>
        </row>
      </sheetData>
      <sheetData sheetId="4394">
        <row r="5">
          <cell r="E5">
            <v>1</v>
          </cell>
        </row>
      </sheetData>
      <sheetData sheetId="4395">
        <row r="5">
          <cell r="E5">
            <v>1</v>
          </cell>
        </row>
      </sheetData>
      <sheetData sheetId="4396">
        <row r="5">
          <cell r="E5">
            <v>1</v>
          </cell>
        </row>
      </sheetData>
      <sheetData sheetId="4397">
        <row r="5">
          <cell r="E5">
            <v>1</v>
          </cell>
        </row>
      </sheetData>
      <sheetData sheetId="4398">
        <row r="5">
          <cell r="E5">
            <v>1</v>
          </cell>
        </row>
      </sheetData>
      <sheetData sheetId="4399">
        <row r="5">
          <cell r="E5">
            <v>1</v>
          </cell>
        </row>
      </sheetData>
      <sheetData sheetId="4400">
        <row r="5">
          <cell r="E5">
            <v>1</v>
          </cell>
        </row>
      </sheetData>
      <sheetData sheetId="4401">
        <row r="5">
          <cell r="E5">
            <v>1</v>
          </cell>
        </row>
      </sheetData>
      <sheetData sheetId="4402">
        <row r="5">
          <cell r="E5">
            <v>1</v>
          </cell>
        </row>
      </sheetData>
      <sheetData sheetId="4403">
        <row r="5">
          <cell r="E5">
            <v>1</v>
          </cell>
        </row>
      </sheetData>
      <sheetData sheetId="4404">
        <row r="5">
          <cell r="E5">
            <v>1</v>
          </cell>
        </row>
      </sheetData>
      <sheetData sheetId="4405">
        <row r="5">
          <cell r="E5">
            <v>1</v>
          </cell>
        </row>
      </sheetData>
      <sheetData sheetId="4406">
        <row r="5">
          <cell r="E5">
            <v>1</v>
          </cell>
        </row>
      </sheetData>
      <sheetData sheetId="4407">
        <row r="5">
          <cell r="E5">
            <v>1</v>
          </cell>
        </row>
      </sheetData>
      <sheetData sheetId="4408">
        <row r="5">
          <cell r="E5">
            <v>1</v>
          </cell>
        </row>
      </sheetData>
      <sheetData sheetId="4409">
        <row r="5">
          <cell r="E5">
            <v>1</v>
          </cell>
        </row>
      </sheetData>
      <sheetData sheetId="4410">
        <row r="5">
          <cell r="E5">
            <v>1</v>
          </cell>
        </row>
      </sheetData>
      <sheetData sheetId="4411">
        <row r="5">
          <cell r="E5">
            <v>1</v>
          </cell>
        </row>
      </sheetData>
      <sheetData sheetId="4412">
        <row r="5">
          <cell r="E5">
            <v>1</v>
          </cell>
        </row>
      </sheetData>
      <sheetData sheetId="4413">
        <row r="5">
          <cell r="E5">
            <v>1</v>
          </cell>
        </row>
      </sheetData>
      <sheetData sheetId="4414">
        <row r="5">
          <cell r="E5">
            <v>1</v>
          </cell>
        </row>
      </sheetData>
      <sheetData sheetId="4415">
        <row r="5">
          <cell r="E5">
            <v>1</v>
          </cell>
        </row>
      </sheetData>
      <sheetData sheetId="4416">
        <row r="5">
          <cell r="E5">
            <v>1</v>
          </cell>
        </row>
      </sheetData>
      <sheetData sheetId="4417">
        <row r="5">
          <cell r="E5">
            <v>1</v>
          </cell>
        </row>
      </sheetData>
      <sheetData sheetId="4418">
        <row r="5">
          <cell r="E5">
            <v>1</v>
          </cell>
        </row>
      </sheetData>
      <sheetData sheetId="4419">
        <row r="5">
          <cell r="E5">
            <v>1</v>
          </cell>
        </row>
      </sheetData>
      <sheetData sheetId="4420">
        <row r="5">
          <cell r="E5">
            <v>1</v>
          </cell>
        </row>
      </sheetData>
      <sheetData sheetId="4421">
        <row r="5">
          <cell r="E5">
            <v>1</v>
          </cell>
        </row>
      </sheetData>
      <sheetData sheetId="4422">
        <row r="5">
          <cell r="E5">
            <v>1</v>
          </cell>
        </row>
      </sheetData>
      <sheetData sheetId="4423">
        <row r="5">
          <cell r="E5">
            <v>1</v>
          </cell>
        </row>
      </sheetData>
      <sheetData sheetId="4424">
        <row r="5">
          <cell r="E5">
            <v>1</v>
          </cell>
        </row>
      </sheetData>
      <sheetData sheetId="4425">
        <row r="5">
          <cell r="E5">
            <v>1</v>
          </cell>
        </row>
      </sheetData>
      <sheetData sheetId="4426">
        <row r="5">
          <cell r="E5">
            <v>1</v>
          </cell>
        </row>
      </sheetData>
      <sheetData sheetId="4427">
        <row r="5">
          <cell r="E5">
            <v>1</v>
          </cell>
        </row>
      </sheetData>
      <sheetData sheetId="4428">
        <row r="5">
          <cell r="E5">
            <v>1</v>
          </cell>
        </row>
      </sheetData>
      <sheetData sheetId="4429">
        <row r="5">
          <cell r="E5">
            <v>1</v>
          </cell>
        </row>
      </sheetData>
      <sheetData sheetId="4430">
        <row r="5">
          <cell r="E5">
            <v>1</v>
          </cell>
        </row>
      </sheetData>
      <sheetData sheetId="4431">
        <row r="5">
          <cell r="E5">
            <v>1</v>
          </cell>
        </row>
      </sheetData>
      <sheetData sheetId="4432">
        <row r="5">
          <cell r="E5">
            <v>1</v>
          </cell>
        </row>
      </sheetData>
      <sheetData sheetId="4433">
        <row r="5">
          <cell r="E5">
            <v>1</v>
          </cell>
        </row>
      </sheetData>
      <sheetData sheetId="4434">
        <row r="5">
          <cell r="E5">
            <v>1</v>
          </cell>
        </row>
      </sheetData>
      <sheetData sheetId="4435">
        <row r="5">
          <cell r="E5">
            <v>1</v>
          </cell>
        </row>
      </sheetData>
      <sheetData sheetId="4436">
        <row r="5">
          <cell r="E5">
            <v>1</v>
          </cell>
        </row>
      </sheetData>
      <sheetData sheetId="4437">
        <row r="5">
          <cell r="E5">
            <v>1</v>
          </cell>
        </row>
      </sheetData>
      <sheetData sheetId="4438">
        <row r="5">
          <cell r="E5">
            <v>1</v>
          </cell>
        </row>
      </sheetData>
      <sheetData sheetId="4439">
        <row r="5">
          <cell r="E5">
            <v>1</v>
          </cell>
        </row>
      </sheetData>
      <sheetData sheetId="4440">
        <row r="5">
          <cell r="E5">
            <v>1</v>
          </cell>
        </row>
      </sheetData>
      <sheetData sheetId="4441">
        <row r="5">
          <cell r="E5">
            <v>1</v>
          </cell>
        </row>
      </sheetData>
      <sheetData sheetId="4442">
        <row r="5">
          <cell r="E5">
            <v>1</v>
          </cell>
        </row>
      </sheetData>
      <sheetData sheetId="4443">
        <row r="5">
          <cell r="E5">
            <v>1</v>
          </cell>
        </row>
      </sheetData>
      <sheetData sheetId="4444">
        <row r="5">
          <cell r="E5">
            <v>1</v>
          </cell>
        </row>
      </sheetData>
      <sheetData sheetId="4445">
        <row r="5">
          <cell r="E5">
            <v>1</v>
          </cell>
        </row>
      </sheetData>
      <sheetData sheetId="4446">
        <row r="5">
          <cell r="E5">
            <v>1</v>
          </cell>
        </row>
      </sheetData>
      <sheetData sheetId="4447">
        <row r="5">
          <cell r="E5">
            <v>1</v>
          </cell>
        </row>
      </sheetData>
      <sheetData sheetId="4448">
        <row r="5">
          <cell r="E5">
            <v>1</v>
          </cell>
        </row>
      </sheetData>
      <sheetData sheetId="4449">
        <row r="5">
          <cell r="E5">
            <v>1</v>
          </cell>
        </row>
      </sheetData>
      <sheetData sheetId="4450">
        <row r="5">
          <cell r="E5">
            <v>1</v>
          </cell>
        </row>
      </sheetData>
      <sheetData sheetId="4451">
        <row r="5">
          <cell r="E5">
            <v>1</v>
          </cell>
        </row>
      </sheetData>
      <sheetData sheetId="4452">
        <row r="5">
          <cell r="E5">
            <v>1</v>
          </cell>
        </row>
      </sheetData>
      <sheetData sheetId="4453">
        <row r="5">
          <cell r="E5">
            <v>1</v>
          </cell>
        </row>
      </sheetData>
      <sheetData sheetId="4454">
        <row r="5">
          <cell r="E5">
            <v>1</v>
          </cell>
        </row>
      </sheetData>
      <sheetData sheetId="4455">
        <row r="5">
          <cell r="E5">
            <v>1</v>
          </cell>
        </row>
      </sheetData>
      <sheetData sheetId="4456">
        <row r="5">
          <cell r="E5">
            <v>1</v>
          </cell>
        </row>
      </sheetData>
      <sheetData sheetId="4457">
        <row r="5">
          <cell r="E5">
            <v>1</v>
          </cell>
        </row>
      </sheetData>
      <sheetData sheetId="4458">
        <row r="5">
          <cell r="E5">
            <v>1</v>
          </cell>
        </row>
      </sheetData>
      <sheetData sheetId="4459">
        <row r="5">
          <cell r="E5">
            <v>1</v>
          </cell>
        </row>
      </sheetData>
      <sheetData sheetId="4460">
        <row r="5">
          <cell r="E5">
            <v>1</v>
          </cell>
        </row>
      </sheetData>
      <sheetData sheetId="4461">
        <row r="5">
          <cell r="E5">
            <v>1</v>
          </cell>
        </row>
      </sheetData>
      <sheetData sheetId="4462">
        <row r="5">
          <cell r="E5">
            <v>1</v>
          </cell>
        </row>
      </sheetData>
      <sheetData sheetId="4463">
        <row r="5">
          <cell r="E5">
            <v>1</v>
          </cell>
        </row>
      </sheetData>
      <sheetData sheetId="4464">
        <row r="5">
          <cell r="E5">
            <v>1</v>
          </cell>
        </row>
      </sheetData>
      <sheetData sheetId="4465">
        <row r="5">
          <cell r="E5">
            <v>1</v>
          </cell>
        </row>
      </sheetData>
      <sheetData sheetId="4466">
        <row r="5">
          <cell r="E5">
            <v>1</v>
          </cell>
        </row>
      </sheetData>
      <sheetData sheetId="4467">
        <row r="5">
          <cell r="E5">
            <v>1</v>
          </cell>
        </row>
      </sheetData>
      <sheetData sheetId="4468">
        <row r="5">
          <cell r="E5">
            <v>1</v>
          </cell>
        </row>
      </sheetData>
      <sheetData sheetId="4469">
        <row r="5">
          <cell r="E5">
            <v>1</v>
          </cell>
        </row>
      </sheetData>
      <sheetData sheetId="4470">
        <row r="5">
          <cell r="E5">
            <v>1</v>
          </cell>
        </row>
      </sheetData>
      <sheetData sheetId="4471">
        <row r="5">
          <cell r="E5">
            <v>1</v>
          </cell>
        </row>
      </sheetData>
      <sheetData sheetId="4472">
        <row r="5">
          <cell r="E5">
            <v>1</v>
          </cell>
        </row>
      </sheetData>
      <sheetData sheetId="4473">
        <row r="5">
          <cell r="E5">
            <v>1</v>
          </cell>
        </row>
      </sheetData>
      <sheetData sheetId="4474">
        <row r="5">
          <cell r="E5">
            <v>1</v>
          </cell>
        </row>
      </sheetData>
      <sheetData sheetId="4475">
        <row r="5">
          <cell r="E5">
            <v>1</v>
          </cell>
        </row>
      </sheetData>
      <sheetData sheetId="4476">
        <row r="5">
          <cell r="E5">
            <v>1</v>
          </cell>
        </row>
      </sheetData>
      <sheetData sheetId="4477">
        <row r="5">
          <cell r="E5">
            <v>1</v>
          </cell>
        </row>
      </sheetData>
      <sheetData sheetId="4478">
        <row r="5">
          <cell r="E5">
            <v>1</v>
          </cell>
        </row>
      </sheetData>
      <sheetData sheetId="4479">
        <row r="5">
          <cell r="E5">
            <v>1</v>
          </cell>
        </row>
      </sheetData>
      <sheetData sheetId="4480">
        <row r="5">
          <cell r="E5">
            <v>1</v>
          </cell>
        </row>
      </sheetData>
      <sheetData sheetId="4481">
        <row r="5">
          <cell r="E5">
            <v>1</v>
          </cell>
        </row>
      </sheetData>
      <sheetData sheetId="4482">
        <row r="5">
          <cell r="E5">
            <v>1</v>
          </cell>
        </row>
      </sheetData>
      <sheetData sheetId="4483">
        <row r="5">
          <cell r="E5">
            <v>1</v>
          </cell>
        </row>
      </sheetData>
      <sheetData sheetId="4484">
        <row r="5">
          <cell r="E5">
            <v>1</v>
          </cell>
        </row>
      </sheetData>
      <sheetData sheetId="4485">
        <row r="5">
          <cell r="E5">
            <v>1</v>
          </cell>
        </row>
      </sheetData>
      <sheetData sheetId="4486">
        <row r="5">
          <cell r="E5">
            <v>1</v>
          </cell>
        </row>
      </sheetData>
      <sheetData sheetId="4487">
        <row r="5">
          <cell r="E5">
            <v>1</v>
          </cell>
        </row>
      </sheetData>
      <sheetData sheetId="4488">
        <row r="5">
          <cell r="E5">
            <v>1</v>
          </cell>
        </row>
      </sheetData>
      <sheetData sheetId="4489">
        <row r="5">
          <cell r="E5">
            <v>1</v>
          </cell>
        </row>
      </sheetData>
      <sheetData sheetId="4490">
        <row r="5">
          <cell r="E5">
            <v>1</v>
          </cell>
        </row>
      </sheetData>
      <sheetData sheetId="4491">
        <row r="5">
          <cell r="E5">
            <v>1</v>
          </cell>
        </row>
      </sheetData>
      <sheetData sheetId="4492">
        <row r="5">
          <cell r="E5">
            <v>1</v>
          </cell>
        </row>
      </sheetData>
      <sheetData sheetId="4493">
        <row r="5">
          <cell r="E5">
            <v>1</v>
          </cell>
        </row>
      </sheetData>
      <sheetData sheetId="4494">
        <row r="5">
          <cell r="E5">
            <v>1</v>
          </cell>
        </row>
      </sheetData>
      <sheetData sheetId="4495">
        <row r="5">
          <cell r="E5">
            <v>1</v>
          </cell>
        </row>
      </sheetData>
      <sheetData sheetId="4496">
        <row r="5">
          <cell r="E5">
            <v>1</v>
          </cell>
        </row>
      </sheetData>
      <sheetData sheetId="4497">
        <row r="5">
          <cell r="E5">
            <v>1</v>
          </cell>
        </row>
      </sheetData>
      <sheetData sheetId="4498">
        <row r="5">
          <cell r="E5">
            <v>1</v>
          </cell>
        </row>
      </sheetData>
      <sheetData sheetId="4499">
        <row r="5">
          <cell r="E5">
            <v>1</v>
          </cell>
        </row>
      </sheetData>
      <sheetData sheetId="4500">
        <row r="5">
          <cell r="E5">
            <v>1</v>
          </cell>
        </row>
      </sheetData>
      <sheetData sheetId="4501">
        <row r="5">
          <cell r="E5">
            <v>1</v>
          </cell>
        </row>
      </sheetData>
      <sheetData sheetId="4502">
        <row r="5">
          <cell r="E5">
            <v>1</v>
          </cell>
        </row>
      </sheetData>
      <sheetData sheetId="4503">
        <row r="5">
          <cell r="E5">
            <v>1</v>
          </cell>
        </row>
      </sheetData>
      <sheetData sheetId="4504">
        <row r="5">
          <cell r="E5">
            <v>1</v>
          </cell>
        </row>
      </sheetData>
      <sheetData sheetId="4505">
        <row r="5">
          <cell r="E5">
            <v>1</v>
          </cell>
        </row>
      </sheetData>
      <sheetData sheetId="4506">
        <row r="5">
          <cell r="E5">
            <v>1</v>
          </cell>
        </row>
      </sheetData>
      <sheetData sheetId="4507">
        <row r="5">
          <cell r="E5">
            <v>1</v>
          </cell>
        </row>
      </sheetData>
      <sheetData sheetId="4508">
        <row r="5">
          <cell r="E5">
            <v>1</v>
          </cell>
        </row>
      </sheetData>
      <sheetData sheetId="4509">
        <row r="5">
          <cell r="E5">
            <v>1</v>
          </cell>
        </row>
      </sheetData>
      <sheetData sheetId="4510">
        <row r="5">
          <cell r="E5">
            <v>1</v>
          </cell>
        </row>
      </sheetData>
      <sheetData sheetId="4511">
        <row r="5">
          <cell r="E5">
            <v>1</v>
          </cell>
        </row>
      </sheetData>
      <sheetData sheetId="4512">
        <row r="5">
          <cell r="E5">
            <v>1</v>
          </cell>
        </row>
      </sheetData>
      <sheetData sheetId="4513">
        <row r="5">
          <cell r="E5">
            <v>1</v>
          </cell>
        </row>
      </sheetData>
      <sheetData sheetId="4514">
        <row r="5">
          <cell r="E5">
            <v>1</v>
          </cell>
        </row>
      </sheetData>
      <sheetData sheetId="4515">
        <row r="5">
          <cell r="E5">
            <v>1</v>
          </cell>
        </row>
      </sheetData>
      <sheetData sheetId="4516">
        <row r="5">
          <cell r="E5">
            <v>1</v>
          </cell>
        </row>
      </sheetData>
      <sheetData sheetId="4517">
        <row r="5">
          <cell r="E5">
            <v>1</v>
          </cell>
        </row>
      </sheetData>
      <sheetData sheetId="4518">
        <row r="5">
          <cell r="E5">
            <v>1</v>
          </cell>
        </row>
      </sheetData>
      <sheetData sheetId="4519">
        <row r="5">
          <cell r="E5">
            <v>1</v>
          </cell>
        </row>
      </sheetData>
      <sheetData sheetId="4520">
        <row r="5">
          <cell r="E5">
            <v>1</v>
          </cell>
        </row>
      </sheetData>
      <sheetData sheetId="4521">
        <row r="5">
          <cell r="E5">
            <v>1</v>
          </cell>
        </row>
      </sheetData>
      <sheetData sheetId="4522">
        <row r="5">
          <cell r="E5">
            <v>1</v>
          </cell>
        </row>
      </sheetData>
      <sheetData sheetId="4523">
        <row r="5">
          <cell r="E5">
            <v>1</v>
          </cell>
        </row>
      </sheetData>
      <sheetData sheetId="4524">
        <row r="5">
          <cell r="E5">
            <v>1</v>
          </cell>
        </row>
      </sheetData>
      <sheetData sheetId="4525">
        <row r="5">
          <cell r="E5">
            <v>1</v>
          </cell>
        </row>
      </sheetData>
      <sheetData sheetId="4526">
        <row r="5">
          <cell r="E5">
            <v>1</v>
          </cell>
        </row>
      </sheetData>
      <sheetData sheetId="4527">
        <row r="5">
          <cell r="E5">
            <v>1</v>
          </cell>
        </row>
      </sheetData>
      <sheetData sheetId="4528">
        <row r="5">
          <cell r="E5">
            <v>1</v>
          </cell>
        </row>
      </sheetData>
      <sheetData sheetId="4529">
        <row r="5">
          <cell r="E5">
            <v>1</v>
          </cell>
        </row>
      </sheetData>
      <sheetData sheetId="4530">
        <row r="5">
          <cell r="E5">
            <v>1</v>
          </cell>
        </row>
      </sheetData>
      <sheetData sheetId="4531">
        <row r="5">
          <cell r="E5">
            <v>1</v>
          </cell>
        </row>
      </sheetData>
      <sheetData sheetId="4532">
        <row r="5">
          <cell r="E5">
            <v>1</v>
          </cell>
        </row>
      </sheetData>
      <sheetData sheetId="4533">
        <row r="5">
          <cell r="E5">
            <v>1</v>
          </cell>
        </row>
      </sheetData>
      <sheetData sheetId="4534">
        <row r="5">
          <cell r="E5">
            <v>1</v>
          </cell>
        </row>
      </sheetData>
      <sheetData sheetId="4535">
        <row r="5">
          <cell r="E5">
            <v>1</v>
          </cell>
        </row>
      </sheetData>
      <sheetData sheetId="4536">
        <row r="5">
          <cell r="E5">
            <v>1</v>
          </cell>
        </row>
      </sheetData>
      <sheetData sheetId="4537">
        <row r="5">
          <cell r="E5">
            <v>1</v>
          </cell>
        </row>
      </sheetData>
      <sheetData sheetId="4538">
        <row r="5">
          <cell r="E5">
            <v>1</v>
          </cell>
        </row>
      </sheetData>
      <sheetData sheetId="4539">
        <row r="5">
          <cell r="E5">
            <v>1</v>
          </cell>
        </row>
      </sheetData>
      <sheetData sheetId="4540">
        <row r="5">
          <cell r="E5">
            <v>1</v>
          </cell>
        </row>
      </sheetData>
      <sheetData sheetId="4541">
        <row r="5">
          <cell r="E5">
            <v>1</v>
          </cell>
        </row>
      </sheetData>
      <sheetData sheetId="4542">
        <row r="5">
          <cell r="E5">
            <v>1</v>
          </cell>
        </row>
      </sheetData>
      <sheetData sheetId="4543">
        <row r="5">
          <cell r="E5">
            <v>1</v>
          </cell>
        </row>
      </sheetData>
      <sheetData sheetId="4544">
        <row r="5">
          <cell r="E5">
            <v>1</v>
          </cell>
        </row>
      </sheetData>
      <sheetData sheetId="4545">
        <row r="5">
          <cell r="E5">
            <v>1</v>
          </cell>
        </row>
      </sheetData>
      <sheetData sheetId="4546">
        <row r="5">
          <cell r="E5">
            <v>1</v>
          </cell>
        </row>
      </sheetData>
      <sheetData sheetId="4547">
        <row r="5">
          <cell r="E5">
            <v>1</v>
          </cell>
        </row>
      </sheetData>
      <sheetData sheetId="4548">
        <row r="5">
          <cell r="E5">
            <v>1</v>
          </cell>
        </row>
      </sheetData>
      <sheetData sheetId="4549">
        <row r="5">
          <cell r="E5">
            <v>1</v>
          </cell>
        </row>
      </sheetData>
      <sheetData sheetId="4550">
        <row r="5">
          <cell r="E5">
            <v>1</v>
          </cell>
        </row>
      </sheetData>
      <sheetData sheetId="4551">
        <row r="5">
          <cell r="E5">
            <v>1</v>
          </cell>
        </row>
      </sheetData>
      <sheetData sheetId="4552">
        <row r="5">
          <cell r="E5">
            <v>1</v>
          </cell>
        </row>
      </sheetData>
      <sheetData sheetId="4553">
        <row r="5">
          <cell r="E5">
            <v>1</v>
          </cell>
        </row>
      </sheetData>
      <sheetData sheetId="4554">
        <row r="5">
          <cell r="E5">
            <v>1</v>
          </cell>
        </row>
      </sheetData>
      <sheetData sheetId="4555">
        <row r="5">
          <cell r="E5">
            <v>1</v>
          </cell>
        </row>
      </sheetData>
      <sheetData sheetId="4556">
        <row r="5">
          <cell r="E5">
            <v>1</v>
          </cell>
        </row>
      </sheetData>
      <sheetData sheetId="4557">
        <row r="5">
          <cell r="E5">
            <v>1</v>
          </cell>
        </row>
      </sheetData>
      <sheetData sheetId="4558">
        <row r="5">
          <cell r="E5">
            <v>1</v>
          </cell>
        </row>
      </sheetData>
      <sheetData sheetId="4559">
        <row r="5">
          <cell r="E5">
            <v>1</v>
          </cell>
        </row>
      </sheetData>
      <sheetData sheetId="4560">
        <row r="5">
          <cell r="E5">
            <v>1</v>
          </cell>
        </row>
      </sheetData>
      <sheetData sheetId="4561">
        <row r="5">
          <cell r="E5">
            <v>1</v>
          </cell>
        </row>
      </sheetData>
      <sheetData sheetId="4562">
        <row r="5">
          <cell r="E5">
            <v>1</v>
          </cell>
        </row>
      </sheetData>
      <sheetData sheetId="4563">
        <row r="5">
          <cell r="E5">
            <v>1</v>
          </cell>
        </row>
      </sheetData>
      <sheetData sheetId="4564">
        <row r="5">
          <cell r="E5">
            <v>1</v>
          </cell>
        </row>
      </sheetData>
      <sheetData sheetId="4565">
        <row r="5">
          <cell r="E5">
            <v>1</v>
          </cell>
        </row>
      </sheetData>
      <sheetData sheetId="4566">
        <row r="5">
          <cell r="E5">
            <v>1</v>
          </cell>
        </row>
      </sheetData>
      <sheetData sheetId="4567">
        <row r="5">
          <cell r="E5">
            <v>1</v>
          </cell>
        </row>
      </sheetData>
      <sheetData sheetId="4568">
        <row r="5">
          <cell r="E5">
            <v>1</v>
          </cell>
        </row>
      </sheetData>
      <sheetData sheetId="4569">
        <row r="5">
          <cell r="E5">
            <v>1</v>
          </cell>
        </row>
      </sheetData>
      <sheetData sheetId="4570">
        <row r="5">
          <cell r="E5">
            <v>1</v>
          </cell>
        </row>
      </sheetData>
      <sheetData sheetId="4571">
        <row r="5">
          <cell r="E5">
            <v>1</v>
          </cell>
        </row>
      </sheetData>
      <sheetData sheetId="4572">
        <row r="5">
          <cell r="E5">
            <v>1</v>
          </cell>
        </row>
      </sheetData>
      <sheetData sheetId="4573">
        <row r="5">
          <cell r="E5">
            <v>1</v>
          </cell>
        </row>
      </sheetData>
      <sheetData sheetId="4574">
        <row r="5">
          <cell r="E5">
            <v>1</v>
          </cell>
        </row>
      </sheetData>
      <sheetData sheetId="4575">
        <row r="5">
          <cell r="E5">
            <v>1</v>
          </cell>
        </row>
      </sheetData>
      <sheetData sheetId="4576">
        <row r="5">
          <cell r="E5">
            <v>1</v>
          </cell>
        </row>
      </sheetData>
      <sheetData sheetId="4577">
        <row r="5">
          <cell r="E5">
            <v>1</v>
          </cell>
        </row>
      </sheetData>
      <sheetData sheetId="4578">
        <row r="5">
          <cell r="E5">
            <v>1</v>
          </cell>
        </row>
      </sheetData>
      <sheetData sheetId="4579">
        <row r="5">
          <cell r="E5">
            <v>1</v>
          </cell>
        </row>
      </sheetData>
      <sheetData sheetId="4580">
        <row r="5">
          <cell r="E5">
            <v>1</v>
          </cell>
        </row>
      </sheetData>
      <sheetData sheetId="4581">
        <row r="5">
          <cell r="E5">
            <v>1</v>
          </cell>
        </row>
      </sheetData>
      <sheetData sheetId="4582">
        <row r="5">
          <cell r="E5">
            <v>1</v>
          </cell>
        </row>
      </sheetData>
      <sheetData sheetId="4583">
        <row r="5">
          <cell r="E5">
            <v>1</v>
          </cell>
        </row>
      </sheetData>
      <sheetData sheetId="4584">
        <row r="5">
          <cell r="E5">
            <v>1</v>
          </cell>
        </row>
      </sheetData>
      <sheetData sheetId="4585">
        <row r="5">
          <cell r="E5">
            <v>1</v>
          </cell>
        </row>
      </sheetData>
      <sheetData sheetId="4586">
        <row r="5">
          <cell r="E5">
            <v>1</v>
          </cell>
        </row>
      </sheetData>
      <sheetData sheetId="4587">
        <row r="5">
          <cell r="E5">
            <v>1</v>
          </cell>
        </row>
      </sheetData>
      <sheetData sheetId="4588">
        <row r="5">
          <cell r="E5">
            <v>1</v>
          </cell>
        </row>
      </sheetData>
      <sheetData sheetId="4589">
        <row r="5">
          <cell r="E5">
            <v>1</v>
          </cell>
        </row>
      </sheetData>
      <sheetData sheetId="4590">
        <row r="5">
          <cell r="E5">
            <v>1</v>
          </cell>
        </row>
      </sheetData>
      <sheetData sheetId="4591">
        <row r="5">
          <cell r="E5">
            <v>1</v>
          </cell>
        </row>
      </sheetData>
      <sheetData sheetId="4592">
        <row r="5">
          <cell r="E5">
            <v>1</v>
          </cell>
        </row>
      </sheetData>
      <sheetData sheetId="4593">
        <row r="5">
          <cell r="E5">
            <v>1</v>
          </cell>
        </row>
      </sheetData>
      <sheetData sheetId="4594">
        <row r="5">
          <cell r="E5">
            <v>1</v>
          </cell>
        </row>
      </sheetData>
      <sheetData sheetId="4595">
        <row r="5">
          <cell r="E5">
            <v>1</v>
          </cell>
        </row>
      </sheetData>
      <sheetData sheetId="4596">
        <row r="5">
          <cell r="E5">
            <v>1</v>
          </cell>
        </row>
      </sheetData>
      <sheetData sheetId="4597">
        <row r="5">
          <cell r="E5">
            <v>1</v>
          </cell>
        </row>
      </sheetData>
      <sheetData sheetId="4598">
        <row r="5">
          <cell r="E5">
            <v>1</v>
          </cell>
        </row>
      </sheetData>
      <sheetData sheetId="4599">
        <row r="5">
          <cell r="E5">
            <v>1</v>
          </cell>
        </row>
      </sheetData>
      <sheetData sheetId="4600">
        <row r="5">
          <cell r="E5">
            <v>1</v>
          </cell>
        </row>
      </sheetData>
      <sheetData sheetId="4601">
        <row r="5">
          <cell r="E5">
            <v>1</v>
          </cell>
        </row>
      </sheetData>
      <sheetData sheetId="4602">
        <row r="5">
          <cell r="E5">
            <v>1</v>
          </cell>
        </row>
      </sheetData>
      <sheetData sheetId="4603">
        <row r="5">
          <cell r="E5">
            <v>1</v>
          </cell>
        </row>
      </sheetData>
      <sheetData sheetId="4604">
        <row r="5">
          <cell r="E5">
            <v>1</v>
          </cell>
        </row>
      </sheetData>
      <sheetData sheetId="4605">
        <row r="5">
          <cell r="E5">
            <v>1</v>
          </cell>
        </row>
      </sheetData>
      <sheetData sheetId="4606">
        <row r="5">
          <cell r="E5">
            <v>1</v>
          </cell>
        </row>
      </sheetData>
      <sheetData sheetId="4607">
        <row r="5">
          <cell r="E5">
            <v>1</v>
          </cell>
        </row>
      </sheetData>
      <sheetData sheetId="4608">
        <row r="5">
          <cell r="E5">
            <v>1</v>
          </cell>
        </row>
      </sheetData>
      <sheetData sheetId="4609">
        <row r="5">
          <cell r="E5">
            <v>1</v>
          </cell>
        </row>
      </sheetData>
      <sheetData sheetId="4610">
        <row r="5">
          <cell r="E5">
            <v>1</v>
          </cell>
        </row>
      </sheetData>
      <sheetData sheetId="4611">
        <row r="5">
          <cell r="E5">
            <v>1</v>
          </cell>
        </row>
      </sheetData>
      <sheetData sheetId="4612">
        <row r="5">
          <cell r="E5">
            <v>1</v>
          </cell>
        </row>
      </sheetData>
      <sheetData sheetId="4613">
        <row r="5">
          <cell r="E5">
            <v>1</v>
          </cell>
        </row>
      </sheetData>
      <sheetData sheetId="4614">
        <row r="5">
          <cell r="E5">
            <v>1</v>
          </cell>
        </row>
      </sheetData>
      <sheetData sheetId="4615">
        <row r="5">
          <cell r="E5">
            <v>1</v>
          </cell>
        </row>
      </sheetData>
      <sheetData sheetId="4616">
        <row r="5">
          <cell r="E5">
            <v>1</v>
          </cell>
        </row>
      </sheetData>
      <sheetData sheetId="4617">
        <row r="5">
          <cell r="E5">
            <v>1</v>
          </cell>
        </row>
      </sheetData>
      <sheetData sheetId="4618">
        <row r="5">
          <cell r="E5">
            <v>1</v>
          </cell>
        </row>
      </sheetData>
      <sheetData sheetId="4619">
        <row r="5">
          <cell r="E5">
            <v>1</v>
          </cell>
        </row>
      </sheetData>
      <sheetData sheetId="4620">
        <row r="5">
          <cell r="E5">
            <v>1</v>
          </cell>
        </row>
      </sheetData>
      <sheetData sheetId="4621">
        <row r="5">
          <cell r="E5">
            <v>1</v>
          </cell>
        </row>
      </sheetData>
      <sheetData sheetId="4622">
        <row r="5">
          <cell r="E5">
            <v>1</v>
          </cell>
        </row>
      </sheetData>
      <sheetData sheetId="4623">
        <row r="5">
          <cell r="E5">
            <v>1</v>
          </cell>
        </row>
      </sheetData>
      <sheetData sheetId="4624">
        <row r="5">
          <cell r="E5">
            <v>1</v>
          </cell>
        </row>
      </sheetData>
      <sheetData sheetId="4625">
        <row r="5">
          <cell r="E5">
            <v>1</v>
          </cell>
        </row>
      </sheetData>
      <sheetData sheetId="4626">
        <row r="5">
          <cell r="E5">
            <v>1</v>
          </cell>
        </row>
      </sheetData>
      <sheetData sheetId="4627">
        <row r="5">
          <cell r="E5">
            <v>1</v>
          </cell>
        </row>
      </sheetData>
      <sheetData sheetId="4628">
        <row r="5">
          <cell r="E5">
            <v>1</v>
          </cell>
        </row>
      </sheetData>
      <sheetData sheetId="4629">
        <row r="5">
          <cell r="E5">
            <v>1</v>
          </cell>
        </row>
      </sheetData>
      <sheetData sheetId="4630">
        <row r="5">
          <cell r="E5">
            <v>1</v>
          </cell>
        </row>
      </sheetData>
      <sheetData sheetId="4631">
        <row r="5">
          <cell r="E5">
            <v>1</v>
          </cell>
        </row>
      </sheetData>
      <sheetData sheetId="4632">
        <row r="5">
          <cell r="E5">
            <v>1</v>
          </cell>
        </row>
      </sheetData>
      <sheetData sheetId="4633">
        <row r="5">
          <cell r="E5">
            <v>1</v>
          </cell>
        </row>
      </sheetData>
      <sheetData sheetId="4634">
        <row r="5">
          <cell r="E5">
            <v>1</v>
          </cell>
        </row>
      </sheetData>
      <sheetData sheetId="4635">
        <row r="5">
          <cell r="E5">
            <v>1</v>
          </cell>
        </row>
      </sheetData>
      <sheetData sheetId="4636">
        <row r="5">
          <cell r="E5">
            <v>1</v>
          </cell>
        </row>
      </sheetData>
      <sheetData sheetId="4637">
        <row r="5">
          <cell r="E5">
            <v>1</v>
          </cell>
        </row>
      </sheetData>
      <sheetData sheetId="4638">
        <row r="5">
          <cell r="E5">
            <v>1</v>
          </cell>
        </row>
      </sheetData>
      <sheetData sheetId="4639">
        <row r="5">
          <cell r="E5">
            <v>1</v>
          </cell>
        </row>
      </sheetData>
      <sheetData sheetId="4640">
        <row r="5">
          <cell r="E5">
            <v>1</v>
          </cell>
        </row>
      </sheetData>
      <sheetData sheetId="4641">
        <row r="5">
          <cell r="E5">
            <v>1</v>
          </cell>
        </row>
      </sheetData>
      <sheetData sheetId="4642">
        <row r="5">
          <cell r="E5">
            <v>1</v>
          </cell>
        </row>
      </sheetData>
      <sheetData sheetId="4643">
        <row r="5">
          <cell r="E5">
            <v>1</v>
          </cell>
        </row>
      </sheetData>
      <sheetData sheetId="4644">
        <row r="5">
          <cell r="E5">
            <v>1</v>
          </cell>
        </row>
      </sheetData>
      <sheetData sheetId="4645">
        <row r="5">
          <cell r="E5">
            <v>1</v>
          </cell>
        </row>
      </sheetData>
      <sheetData sheetId="4646">
        <row r="5">
          <cell r="E5">
            <v>1</v>
          </cell>
        </row>
      </sheetData>
      <sheetData sheetId="4647">
        <row r="5">
          <cell r="E5">
            <v>1</v>
          </cell>
        </row>
      </sheetData>
      <sheetData sheetId="4648">
        <row r="5">
          <cell r="E5">
            <v>1</v>
          </cell>
        </row>
      </sheetData>
      <sheetData sheetId="4649">
        <row r="5">
          <cell r="E5">
            <v>1</v>
          </cell>
        </row>
      </sheetData>
      <sheetData sheetId="4650">
        <row r="5">
          <cell r="E5">
            <v>1</v>
          </cell>
        </row>
      </sheetData>
      <sheetData sheetId="4651">
        <row r="5">
          <cell r="E5">
            <v>1</v>
          </cell>
        </row>
      </sheetData>
      <sheetData sheetId="4652">
        <row r="5">
          <cell r="E5">
            <v>1</v>
          </cell>
        </row>
      </sheetData>
      <sheetData sheetId="4653">
        <row r="5">
          <cell r="E5">
            <v>1</v>
          </cell>
        </row>
      </sheetData>
      <sheetData sheetId="4654">
        <row r="5">
          <cell r="E5">
            <v>1</v>
          </cell>
        </row>
      </sheetData>
      <sheetData sheetId="4655">
        <row r="5">
          <cell r="E5">
            <v>1</v>
          </cell>
        </row>
      </sheetData>
      <sheetData sheetId="4656">
        <row r="5">
          <cell r="E5">
            <v>1</v>
          </cell>
        </row>
      </sheetData>
      <sheetData sheetId="4657">
        <row r="5">
          <cell r="E5">
            <v>1</v>
          </cell>
        </row>
      </sheetData>
      <sheetData sheetId="4658">
        <row r="5">
          <cell r="E5">
            <v>1</v>
          </cell>
        </row>
      </sheetData>
      <sheetData sheetId="4659">
        <row r="5">
          <cell r="E5">
            <v>1</v>
          </cell>
        </row>
      </sheetData>
      <sheetData sheetId="4660">
        <row r="5">
          <cell r="E5">
            <v>1</v>
          </cell>
        </row>
      </sheetData>
      <sheetData sheetId="4661">
        <row r="5">
          <cell r="E5">
            <v>1</v>
          </cell>
        </row>
      </sheetData>
      <sheetData sheetId="4662">
        <row r="5">
          <cell r="E5">
            <v>1</v>
          </cell>
        </row>
      </sheetData>
      <sheetData sheetId="4663">
        <row r="5">
          <cell r="E5">
            <v>1</v>
          </cell>
        </row>
      </sheetData>
      <sheetData sheetId="4664">
        <row r="5">
          <cell r="E5">
            <v>1</v>
          </cell>
        </row>
      </sheetData>
      <sheetData sheetId="4665">
        <row r="5">
          <cell r="E5">
            <v>1</v>
          </cell>
        </row>
      </sheetData>
      <sheetData sheetId="4666">
        <row r="5">
          <cell r="E5">
            <v>1</v>
          </cell>
        </row>
      </sheetData>
      <sheetData sheetId="4667">
        <row r="5">
          <cell r="E5">
            <v>1</v>
          </cell>
        </row>
      </sheetData>
      <sheetData sheetId="4668">
        <row r="5">
          <cell r="E5">
            <v>1</v>
          </cell>
        </row>
      </sheetData>
      <sheetData sheetId="4669">
        <row r="5">
          <cell r="E5">
            <v>1</v>
          </cell>
        </row>
      </sheetData>
      <sheetData sheetId="4670">
        <row r="5">
          <cell r="E5">
            <v>1</v>
          </cell>
        </row>
      </sheetData>
      <sheetData sheetId="4671">
        <row r="5">
          <cell r="E5">
            <v>1</v>
          </cell>
        </row>
      </sheetData>
      <sheetData sheetId="4672">
        <row r="5">
          <cell r="E5">
            <v>1</v>
          </cell>
        </row>
      </sheetData>
      <sheetData sheetId="4673">
        <row r="5">
          <cell r="E5">
            <v>1</v>
          </cell>
        </row>
      </sheetData>
      <sheetData sheetId="4674">
        <row r="5">
          <cell r="E5">
            <v>1</v>
          </cell>
        </row>
      </sheetData>
      <sheetData sheetId="4675">
        <row r="5">
          <cell r="E5">
            <v>1</v>
          </cell>
        </row>
      </sheetData>
      <sheetData sheetId="4676">
        <row r="5">
          <cell r="E5">
            <v>1</v>
          </cell>
        </row>
      </sheetData>
      <sheetData sheetId="4677">
        <row r="5">
          <cell r="E5">
            <v>1</v>
          </cell>
        </row>
      </sheetData>
      <sheetData sheetId="4678">
        <row r="5">
          <cell r="E5">
            <v>1</v>
          </cell>
        </row>
      </sheetData>
      <sheetData sheetId="4679">
        <row r="5">
          <cell r="E5">
            <v>1</v>
          </cell>
        </row>
      </sheetData>
      <sheetData sheetId="4680">
        <row r="5">
          <cell r="E5">
            <v>1</v>
          </cell>
        </row>
      </sheetData>
      <sheetData sheetId="4681">
        <row r="5">
          <cell r="E5">
            <v>1</v>
          </cell>
        </row>
      </sheetData>
      <sheetData sheetId="4682">
        <row r="5">
          <cell r="E5">
            <v>1</v>
          </cell>
        </row>
      </sheetData>
      <sheetData sheetId="4683">
        <row r="5">
          <cell r="E5">
            <v>1</v>
          </cell>
        </row>
      </sheetData>
      <sheetData sheetId="4684">
        <row r="5">
          <cell r="E5">
            <v>1</v>
          </cell>
        </row>
      </sheetData>
      <sheetData sheetId="4685">
        <row r="5">
          <cell r="E5">
            <v>1</v>
          </cell>
        </row>
      </sheetData>
      <sheetData sheetId="4686">
        <row r="5">
          <cell r="E5">
            <v>1</v>
          </cell>
        </row>
      </sheetData>
      <sheetData sheetId="4687">
        <row r="5">
          <cell r="E5">
            <v>1</v>
          </cell>
        </row>
      </sheetData>
      <sheetData sheetId="4688">
        <row r="5">
          <cell r="E5">
            <v>1</v>
          </cell>
        </row>
      </sheetData>
      <sheetData sheetId="4689">
        <row r="5">
          <cell r="E5">
            <v>1</v>
          </cell>
        </row>
      </sheetData>
      <sheetData sheetId="4690">
        <row r="5">
          <cell r="E5">
            <v>1</v>
          </cell>
        </row>
      </sheetData>
      <sheetData sheetId="4691">
        <row r="5">
          <cell r="E5">
            <v>1</v>
          </cell>
        </row>
      </sheetData>
      <sheetData sheetId="4692">
        <row r="5">
          <cell r="E5">
            <v>1</v>
          </cell>
        </row>
      </sheetData>
      <sheetData sheetId="4693">
        <row r="5">
          <cell r="E5">
            <v>1</v>
          </cell>
        </row>
      </sheetData>
      <sheetData sheetId="4694">
        <row r="5">
          <cell r="E5">
            <v>1</v>
          </cell>
        </row>
      </sheetData>
      <sheetData sheetId="4695">
        <row r="5">
          <cell r="E5">
            <v>1</v>
          </cell>
        </row>
      </sheetData>
      <sheetData sheetId="4696">
        <row r="5">
          <cell r="E5">
            <v>1</v>
          </cell>
        </row>
      </sheetData>
      <sheetData sheetId="4697">
        <row r="5">
          <cell r="E5">
            <v>1</v>
          </cell>
        </row>
      </sheetData>
      <sheetData sheetId="4698">
        <row r="5">
          <cell r="E5">
            <v>1</v>
          </cell>
        </row>
      </sheetData>
      <sheetData sheetId="4699">
        <row r="5">
          <cell r="E5">
            <v>1</v>
          </cell>
        </row>
      </sheetData>
      <sheetData sheetId="4700">
        <row r="5">
          <cell r="E5">
            <v>1</v>
          </cell>
        </row>
      </sheetData>
      <sheetData sheetId="4701">
        <row r="5">
          <cell r="E5">
            <v>1</v>
          </cell>
        </row>
      </sheetData>
      <sheetData sheetId="4702">
        <row r="5">
          <cell r="E5">
            <v>1</v>
          </cell>
        </row>
      </sheetData>
      <sheetData sheetId="4703">
        <row r="5">
          <cell r="E5">
            <v>1</v>
          </cell>
        </row>
      </sheetData>
      <sheetData sheetId="4704">
        <row r="5">
          <cell r="E5">
            <v>1</v>
          </cell>
        </row>
      </sheetData>
      <sheetData sheetId="4705">
        <row r="5">
          <cell r="E5">
            <v>1</v>
          </cell>
        </row>
      </sheetData>
      <sheetData sheetId="4706">
        <row r="5">
          <cell r="E5">
            <v>1</v>
          </cell>
        </row>
      </sheetData>
      <sheetData sheetId="4707">
        <row r="5">
          <cell r="E5">
            <v>1</v>
          </cell>
        </row>
      </sheetData>
      <sheetData sheetId="4708">
        <row r="5">
          <cell r="E5">
            <v>1</v>
          </cell>
        </row>
      </sheetData>
      <sheetData sheetId="4709">
        <row r="5">
          <cell r="E5">
            <v>1</v>
          </cell>
        </row>
      </sheetData>
      <sheetData sheetId="4710">
        <row r="5">
          <cell r="E5">
            <v>1</v>
          </cell>
        </row>
      </sheetData>
      <sheetData sheetId="4711">
        <row r="5">
          <cell r="E5">
            <v>1</v>
          </cell>
        </row>
      </sheetData>
      <sheetData sheetId="4712">
        <row r="5">
          <cell r="E5">
            <v>1</v>
          </cell>
        </row>
      </sheetData>
      <sheetData sheetId="4713">
        <row r="5">
          <cell r="E5">
            <v>1</v>
          </cell>
        </row>
      </sheetData>
      <sheetData sheetId="4714">
        <row r="5">
          <cell r="E5">
            <v>1</v>
          </cell>
        </row>
      </sheetData>
      <sheetData sheetId="4715">
        <row r="5">
          <cell r="E5">
            <v>1</v>
          </cell>
        </row>
      </sheetData>
      <sheetData sheetId="4716">
        <row r="5">
          <cell r="E5">
            <v>1</v>
          </cell>
        </row>
      </sheetData>
      <sheetData sheetId="4717">
        <row r="5">
          <cell r="E5">
            <v>1</v>
          </cell>
        </row>
      </sheetData>
      <sheetData sheetId="4718">
        <row r="5">
          <cell r="E5">
            <v>1</v>
          </cell>
        </row>
      </sheetData>
      <sheetData sheetId="4719">
        <row r="5">
          <cell r="E5">
            <v>1</v>
          </cell>
        </row>
      </sheetData>
      <sheetData sheetId="4720">
        <row r="5">
          <cell r="E5">
            <v>1</v>
          </cell>
        </row>
      </sheetData>
      <sheetData sheetId="4721">
        <row r="5">
          <cell r="E5">
            <v>1</v>
          </cell>
        </row>
      </sheetData>
      <sheetData sheetId="4722">
        <row r="5">
          <cell r="E5">
            <v>1</v>
          </cell>
        </row>
      </sheetData>
      <sheetData sheetId="4723">
        <row r="5">
          <cell r="E5">
            <v>1</v>
          </cell>
        </row>
      </sheetData>
      <sheetData sheetId="4724">
        <row r="5">
          <cell r="E5">
            <v>1</v>
          </cell>
        </row>
      </sheetData>
      <sheetData sheetId="4725">
        <row r="5">
          <cell r="E5">
            <v>1</v>
          </cell>
        </row>
      </sheetData>
      <sheetData sheetId="4726">
        <row r="5">
          <cell r="E5">
            <v>1</v>
          </cell>
        </row>
      </sheetData>
      <sheetData sheetId="4727">
        <row r="5">
          <cell r="E5">
            <v>1</v>
          </cell>
        </row>
      </sheetData>
      <sheetData sheetId="4728">
        <row r="5">
          <cell r="E5">
            <v>1</v>
          </cell>
        </row>
      </sheetData>
      <sheetData sheetId="4729">
        <row r="5">
          <cell r="E5">
            <v>1</v>
          </cell>
        </row>
      </sheetData>
      <sheetData sheetId="4730">
        <row r="5">
          <cell r="E5">
            <v>1</v>
          </cell>
        </row>
      </sheetData>
      <sheetData sheetId="4731">
        <row r="5">
          <cell r="E5">
            <v>1</v>
          </cell>
        </row>
      </sheetData>
      <sheetData sheetId="4732">
        <row r="5">
          <cell r="E5">
            <v>1</v>
          </cell>
        </row>
      </sheetData>
      <sheetData sheetId="4733">
        <row r="5">
          <cell r="E5">
            <v>1</v>
          </cell>
        </row>
      </sheetData>
      <sheetData sheetId="4734">
        <row r="5">
          <cell r="E5">
            <v>1</v>
          </cell>
        </row>
      </sheetData>
      <sheetData sheetId="4735">
        <row r="5">
          <cell r="E5">
            <v>1</v>
          </cell>
        </row>
      </sheetData>
      <sheetData sheetId="4736">
        <row r="5">
          <cell r="E5">
            <v>1</v>
          </cell>
        </row>
      </sheetData>
      <sheetData sheetId="4737">
        <row r="5">
          <cell r="E5">
            <v>1</v>
          </cell>
        </row>
      </sheetData>
      <sheetData sheetId="4738">
        <row r="5">
          <cell r="E5">
            <v>1</v>
          </cell>
        </row>
      </sheetData>
      <sheetData sheetId="4739">
        <row r="5">
          <cell r="E5">
            <v>1</v>
          </cell>
        </row>
      </sheetData>
      <sheetData sheetId="4740">
        <row r="5">
          <cell r="E5">
            <v>1</v>
          </cell>
        </row>
      </sheetData>
      <sheetData sheetId="4741">
        <row r="5">
          <cell r="E5">
            <v>1</v>
          </cell>
        </row>
      </sheetData>
      <sheetData sheetId="4742">
        <row r="5">
          <cell r="E5">
            <v>1</v>
          </cell>
        </row>
      </sheetData>
      <sheetData sheetId="4743">
        <row r="5">
          <cell r="E5">
            <v>1</v>
          </cell>
        </row>
      </sheetData>
      <sheetData sheetId="4744">
        <row r="5">
          <cell r="E5">
            <v>1</v>
          </cell>
        </row>
      </sheetData>
      <sheetData sheetId="4745">
        <row r="5">
          <cell r="E5">
            <v>1</v>
          </cell>
        </row>
      </sheetData>
      <sheetData sheetId="4746">
        <row r="5">
          <cell r="E5">
            <v>1</v>
          </cell>
        </row>
      </sheetData>
      <sheetData sheetId="4747">
        <row r="5">
          <cell r="E5">
            <v>1</v>
          </cell>
        </row>
      </sheetData>
      <sheetData sheetId="4748">
        <row r="5">
          <cell r="E5">
            <v>1</v>
          </cell>
        </row>
      </sheetData>
      <sheetData sheetId="4749">
        <row r="5">
          <cell r="E5">
            <v>1</v>
          </cell>
        </row>
      </sheetData>
      <sheetData sheetId="4750">
        <row r="5">
          <cell r="E5">
            <v>1</v>
          </cell>
        </row>
      </sheetData>
      <sheetData sheetId="4751">
        <row r="5">
          <cell r="E5">
            <v>1</v>
          </cell>
        </row>
      </sheetData>
      <sheetData sheetId="4752">
        <row r="5">
          <cell r="E5">
            <v>1</v>
          </cell>
        </row>
      </sheetData>
      <sheetData sheetId="4753">
        <row r="5">
          <cell r="E5">
            <v>1</v>
          </cell>
        </row>
      </sheetData>
      <sheetData sheetId="4754">
        <row r="5">
          <cell r="E5">
            <v>1</v>
          </cell>
        </row>
      </sheetData>
      <sheetData sheetId="4755">
        <row r="5">
          <cell r="E5">
            <v>1</v>
          </cell>
        </row>
      </sheetData>
      <sheetData sheetId="4756">
        <row r="5">
          <cell r="E5">
            <v>1</v>
          </cell>
        </row>
      </sheetData>
      <sheetData sheetId="4757">
        <row r="5">
          <cell r="E5">
            <v>1</v>
          </cell>
        </row>
      </sheetData>
      <sheetData sheetId="4758">
        <row r="5">
          <cell r="E5">
            <v>1</v>
          </cell>
        </row>
      </sheetData>
      <sheetData sheetId="4759">
        <row r="5">
          <cell r="E5">
            <v>1</v>
          </cell>
        </row>
      </sheetData>
      <sheetData sheetId="4760">
        <row r="5">
          <cell r="E5">
            <v>1</v>
          </cell>
        </row>
      </sheetData>
      <sheetData sheetId="4761">
        <row r="5">
          <cell r="E5">
            <v>1</v>
          </cell>
        </row>
      </sheetData>
      <sheetData sheetId="4762">
        <row r="5">
          <cell r="E5">
            <v>1</v>
          </cell>
        </row>
      </sheetData>
      <sheetData sheetId="4763">
        <row r="5">
          <cell r="E5">
            <v>1</v>
          </cell>
        </row>
      </sheetData>
      <sheetData sheetId="4764">
        <row r="5">
          <cell r="E5">
            <v>1</v>
          </cell>
        </row>
      </sheetData>
      <sheetData sheetId="4765">
        <row r="5">
          <cell r="E5">
            <v>1</v>
          </cell>
        </row>
      </sheetData>
      <sheetData sheetId="4766">
        <row r="5">
          <cell r="E5">
            <v>1</v>
          </cell>
        </row>
      </sheetData>
      <sheetData sheetId="4767">
        <row r="5">
          <cell r="E5">
            <v>1</v>
          </cell>
        </row>
      </sheetData>
      <sheetData sheetId="4768">
        <row r="5">
          <cell r="E5">
            <v>1</v>
          </cell>
        </row>
      </sheetData>
      <sheetData sheetId="4769">
        <row r="5">
          <cell r="E5">
            <v>1</v>
          </cell>
        </row>
      </sheetData>
      <sheetData sheetId="4770">
        <row r="5">
          <cell r="E5">
            <v>1</v>
          </cell>
        </row>
      </sheetData>
      <sheetData sheetId="4771">
        <row r="5">
          <cell r="E5">
            <v>1</v>
          </cell>
        </row>
      </sheetData>
      <sheetData sheetId="4772">
        <row r="5">
          <cell r="E5">
            <v>1</v>
          </cell>
        </row>
      </sheetData>
      <sheetData sheetId="4773">
        <row r="5">
          <cell r="E5">
            <v>1</v>
          </cell>
        </row>
      </sheetData>
      <sheetData sheetId="4774">
        <row r="5">
          <cell r="E5">
            <v>1</v>
          </cell>
        </row>
      </sheetData>
      <sheetData sheetId="4775">
        <row r="5">
          <cell r="E5">
            <v>1</v>
          </cell>
        </row>
      </sheetData>
      <sheetData sheetId="4776">
        <row r="5">
          <cell r="E5">
            <v>1</v>
          </cell>
        </row>
      </sheetData>
      <sheetData sheetId="4777">
        <row r="5">
          <cell r="E5">
            <v>1</v>
          </cell>
        </row>
      </sheetData>
      <sheetData sheetId="4778">
        <row r="5">
          <cell r="E5">
            <v>1</v>
          </cell>
        </row>
      </sheetData>
      <sheetData sheetId="4779">
        <row r="5">
          <cell r="E5">
            <v>1</v>
          </cell>
        </row>
      </sheetData>
      <sheetData sheetId="4780">
        <row r="5">
          <cell r="E5">
            <v>1</v>
          </cell>
        </row>
      </sheetData>
      <sheetData sheetId="4781">
        <row r="5">
          <cell r="E5">
            <v>1</v>
          </cell>
        </row>
      </sheetData>
      <sheetData sheetId="4782">
        <row r="5">
          <cell r="E5">
            <v>1</v>
          </cell>
        </row>
      </sheetData>
      <sheetData sheetId="4783">
        <row r="5">
          <cell r="E5">
            <v>1</v>
          </cell>
        </row>
      </sheetData>
      <sheetData sheetId="4784">
        <row r="5">
          <cell r="E5">
            <v>1</v>
          </cell>
        </row>
      </sheetData>
      <sheetData sheetId="4785">
        <row r="5">
          <cell r="E5">
            <v>1</v>
          </cell>
        </row>
      </sheetData>
      <sheetData sheetId="4786">
        <row r="5">
          <cell r="E5">
            <v>1</v>
          </cell>
        </row>
      </sheetData>
      <sheetData sheetId="4787">
        <row r="5">
          <cell r="E5">
            <v>1</v>
          </cell>
        </row>
      </sheetData>
      <sheetData sheetId="4788">
        <row r="5">
          <cell r="E5">
            <v>1</v>
          </cell>
        </row>
      </sheetData>
      <sheetData sheetId="4789">
        <row r="5">
          <cell r="E5">
            <v>1</v>
          </cell>
        </row>
      </sheetData>
      <sheetData sheetId="4790">
        <row r="5">
          <cell r="E5">
            <v>1</v>
          </cell>
        </row>
      </sheetData>
      <sheetData sheetId="4791">
        <row r="5">
          <cell r="E5">
            <v>1</v>
          </cell>
        </row>
      </sheetData>
      <sheetData sheetId="4792">
        <row r="5">
          <cell r="E5">
            <v>1</v>
          </cell>
        </row>
      </sheetData>
      <sheetData sheetId="4793">
        <row r="5">
          <cell r="E5">
            <v>1</v>
          </cell>
        </row>
      </sheetData>
      <sheetData sheetId="4794">
        <row r="5">
          <cell r="E5">
            <v>1</v>
          </cell>
        </row>
      </sheetData>
      <sheetData sheetId="4795">
        <row r="5">
          <cell r="E5">
            <v>1</v>
          </cell>
        </row>
      </sheetData>
      <sheetData sheetId="4796">
        <row r="5">
          <cell r="E5">
            <v>1</v>
          </cell>
        </row>
      </sheetData>
      <sheetData sheetId="4797">
        <row r="5">
          <cell r="E5">
            <v>1</v>
          </cell>
        </row>
      </sheetData>
      <sheetData sheetId="4798">
        <row r="5">
          <cell r="E5">
            <v>1</v>
          </cell>
        </row>
      </sheetData>
      <sheetData sheetId="4799">
        <row r="5">
          <cell r="E5">
            <v>1</v>
          </cell>
        </row>
      </sheetData>
      <sheetData sheetId="4800">
        <row r="5">
          <cell r="E5">
            <v>1</v>
          </cell>
        </row>
      </sheetData>
      <sheetData sheetId="4801">
        <row r="5">
          <cell r="E5">
            <v>1</v>
          </cell>
        </row>
      </sheetData>
      <sheetData sheetId="4802">
        <row r="5">
          <cell r="E5">
            <v>1</v>
          </cell>
        </row>
      </sheetData>
      <sheetData sheetId="4803">
        <row r="5">
          <cell r="E5">
            <v>1</v>
          </cell>
        </row>
      </sheetData>
      <sheetData sheetId="4804">
        <row r="5">
          <cell r="E5">
            <v>1</v>
          </cell>
        </row>
      </sheetData>
      <sheetData sheetId="4805">
        <row r="5">
          <cell r="E5">
            <v>1</v>
          </cell>
        </row>
      </sheetData>
      <sheetData sheetId="4806">
        <row r="5">
          <cell r="E5">
            <v>1</v>
          </cell>
        </row>
      </sheetData>
      <sheetData sheetId="4807">
        <row r="5">
          <cell r="E5">
            <v>1</v>
          </cell>
        </row>
      </sheetData>
      <sheetData sheetId="4808">
        <row r="5">
          <cell r="E5">
            <v>1</v>
          </cell>
        </row>
      </sheetData>
      <sheetData sheetId="4809">
        <row r="5">
          <cell r="E5">
            <v>1</v>
          </cell>
        </row>
      </sheetData>
      <sheetData sheetId="4810">
        <row r="5">
          <cell r="E5">
            <v>1</v>
          </cell>
        </row>
      </sheetData>
      <sheetData sheetId="4811">
        <row r="5">
          <cell r="E5">
            <v>1</v>
          </cell>
        </row>
      </sheetData>
      <sheetData sheetId="4812">
        <row r="5">
          <cell r="E5">
            <v>1</v>
          </cell>
        </row>
      </sheetData>
      <sheetData sheetId="4813">
        <row r="5">
          <cell r="E5">
            <v>1</v>
          </cell>
        </row>
      </sheetData>
      <sheetData sheetId="4814">
        <row r="5">
          <cell r="E5">
            <v>1</v>
          </cell>
        </row>
      </sheetData>
      <sheetData sheetId="4815">
        <row r="5">
          <cell r="E5">
            <v>1</v>
          </cell>
        </row>
      </sheetData>
      <sheetData sheetId="4816">
        <row r="5">
          <cell r="E5">
            <v>1</v>
          </cell>
        </row>
      </sheetData>
      <sheetData sheetId="4817">
        <row r="5">
          <cell r="E5">
            <v>1</v>
          </cell>
        </row>
      </sheetData>
      <sheetData sheetId="4818">
        <row r="5">
          <cell r="E5">
            <v>1</v>
          </cell>
        </row>
      </sheetData>
      <sheetData sheetId="4819">
        <row r="5">
          <cell r="E5">
            <v>1</v>
          </cell>
        </row>
      </sheetData>
      <sheetData sheetId="4820">
        <row r="5">
          <cell r="E5">
            <v>1</v>
          </cell>
        </row>
      </sheetData>
      <sheetData sheetId="4821">
        <row r="5">
          <cell r="E5">
            <v>1</v>
          </cell>
        </row>
      </sheetData>
      <sheetData sheetId="4822">
        <row r="5">
          <cell r="E5">
            <v>1</v>
          </cell>
        </row>
      </sheetData>
      <sheetData sheetId="4823">
        <row r="5">
          <cell r="E5">
            <v>1</v>
          </cell>
        </row>
      </sheetData>
      <sheetData sheetId="4824">
        <row r="5">
          <cell r="E5">
            <v>1</v>
          </cell>
        </row>
      </sheetData>
      <sheetData sheetId="4825">
        <row r="5">
          <cell r="E5">
            <v>1</v>
          </cell>
        </row>
      </sheetData>
      <sheetData sheetId="4826">
        <row r="5">
          <cell r="E5">
            <v>1</v>
          </cell>
        </row>
      </sheetData>
      <sheetData sheetId="4827">
        <row r="5">
          <cell r="E5">
            <v>1</v>
          </cell>
        </row>
      </sheetData>
      <sheetData sheetId="4828">
        <row r="5">
          <cell r="E5">
            <v>1</v>
          </cell>
        </row>
      </sheetData>
      <sheetData sheetId="4829">
        <row r="5">
          <cell r="E5">
            <v>1</v>
          </cell>
        </row>
      </sheetData>
      <sheetData sheetId="4830">
        <row r="5">
          <cell r="E5">
            <v>1</v>
          </cell>
        </row>
      </sheetData>
      <sheetData sheetId="4831">
        <row r="5">
          <cell r="E5">
            <v>1</v>
          </cell>
        </row>
      </sheetData>
      <sheetData sheetId="4832">
        <row r="5">
          <cell r="E5">
            <v>1</v>
          </cell>
        </row>
      </sheetData>
      <sheetData sheetId="4833">
        <row r="5">
          <cell r="E5">
            <v>1</v>
          </cell>
        </row>
      </sheetData>
      <sheetData sheetId="4834">
        <row r="5">
          <cell r="E5">
            <v>1</v>
          </cell>
        </row>
      </sheetData>
      <sheetData sheetId="4835">
        <row r="5">
          <cell r="E5">
            <v>1</v>
          </cell>
        </row>
      </sheetData>
      <sheetData sheetId="4836">
        <row r="5">
          <cell r="E5">
            <v>1</v>
          </cell>
        </row>
      </sheetData>
      <sheetData sheetId="4837">
        <row r="5">
          <cell r="E5">
            <v>1</v>
          </cell>
        </row>
      </sheetData>
      <sheetData sheetId="4838">
        <row r="5">
          <cell r="E5">
            <v>1</v>
          </cell>
        </row>
      </sheetData>
      <sheetData sheetId="4839">
        <row r="5">
          <cell r="E5">
            <v>1</v>
          </cell>
        </row>
      </sheetData>
      <sheetData sheetId="4840">
        <row r="5">
          <cell r="E5">
            <v>1</v>
          </cell>
        </row>
      </sheetData>
      <sheetData sheetId="4841">
        <row r="5">
          <cell r="E5">
            <v>1</v>
          </cell>
        </row>
      </sheetData>
      <sheetData sheetId="4842">
        <row r="5">
          <cell r="E5">
            <v>1</v>
          </cell>
        </row>
      </sheetData>
      <sheetData sheetId="4843">
        <row r="5">
          <cell r="E5">
            <v>1</v>
          </cell>
        </row>
      </sheetData>
      <sheetData sheetId="4844">
        <row r="5">
          <cell r="E5">
            <v>1</v>
          </cell>
        </row>
      </sheetData>
      <sheetData sheetId="4845">
        <row r="5">
          <cell r="E5">
            <v>1</v>
          </cell>
        </row>
      </sheetData>
      <sheetData sheetId="4846">
        <row r="5">
          <cell r="E5">
            <v>1</v>
          </cell>
        </row>
      </sheetData>
      <sheetData sheetId="4847">
        <row r="5">
          <cell r="E5">
            <v>1</v>
          </cell>
        </row>
      </sheetData>
      <sheetData sheetId="4848">
        <row r="5">
          <cell r="E5">
            <v>1</v>
          </cell>
        </row>
      </sheetData>
      <sheetData sheetId="4849">
        <row r="5">
          <cell r="E5">
            <v>1</v>
          </cell>
        </row>
      </sheetData>
      <sheetData sheetId="4850">
        <row r="5">
          <cell r="E5">
            <v>1</v>
          </cell>
        </row>
      </sheetData>
      <sheetData sheetId="4851">
        <row r="5">
          <cell r="E5">
            <v>1</v>
          </cell>
        </row>
      </sheetData>
      <sheetData sheetId="4852">
        <row r="5">
          <cell r="E5">
            <v>1</v>
          </cell>
        </row>
      </sheetData>
      <sheetData sheetId="4853">
        <row r="5">
          <cell r="E5">
            <v>1</v>
          </cell>
        </row>
      </sheetData>
      <sheetData sheetId="4854">
        <row r="5">
          <cell r="E5">
            <v>1</v>
          </cell>
        </row>
      </sheetData>
      <sheetData sheetId="4855">
        <row r="5">
          <cell r="E5">
            <v>1</v>
          </cell>
        </row>
      </sheetData>
      <sheetData sheetId="4856">
        <row r="5">
          <cell r="E5">
            <v>1</v>
          </cell>
        </row>
      </sheetData>
      <sheetData sheetId="4857">
        <row r="5">
          <cell r="E5">
            <v>1</v>
          </cell>
        </row>
      </sheetData>
      <sheetData sheetId="4858">
        <row r="5">
          <cell r="E5">
            <v>1</v>
          </cell>
        </row>
      </sheetData>
      <sheetData sheetId="4859">
        <row r="5">
          <cell r="E5">
            <v>1</v>
          </cell>
        </row>
      </sheetData>
      <sheetData sheetId="4860">
        <row r="5">
          <cell r="E5">
            <v>1</v>
          </cell>
        </row>
      </sheetData>
      <sheetData sheetId="4861">
        <row r="5">
          <cell r="E5">
            <v>1</v>
          </cell>
        </row>
      </sheetData>
      <sheetData sheetId="4862">
        <row r="5">
          <cell r="E5">
            <v>1</v>
          </cell>
        </row>
      </sheetData>
      <sheetData sheetId="4863">
        <row r="5">
          <cell r="E5">
            <v>1</v>
          </cell>
        </row>
      </sheetData>
      <sheetData sheetId="4864">
        <row r="5">
          <cell r="E5">
            <v>1</v>
          </cell>
        </row>
      </sheetData>
      <sheetData sheetId="4865">
        <row r="5">
          <cell r="E5">
            <v>1</v>
          </cell>
        </row>
      </sheetData>
      <sheetData sheetId="4866">
        <row r="5">
          <cell r="E5">
            <v>1</v>
          </cell>
        </row>
      </sheetData>
      <sheetData sheetId="4867">
        <row r="5">
          <cell r="E5">
            <v>1</v>
          </cell>
        </row>
      </sheetData>
      <sheetData sheetId="4868">
        <row r="5">
          <cell r="E5">
            <v>1</v>
          </cell>
        </row>
      </sheetData>
      <sheetData sheetId="4869">
        <row r="5">
          <cell r="E5">
            <v>1</v>
          </cell>
        </row>
      </sheetData>
      <sheetData sheetId="4870">
        <row r="5">
          <cell r="E5">
            <v>1</v>
          </cell>
        </row>
      </sheetData>
      <sheetData sheetId="4871">
        <row r="5">
          <cell r="E5">
            <v>1</v>
          </cell>
        </row>
      </sheetData>
      <sheetData sheetId="4872">
        <row r="5">
          <cell r="E5">
            <v>1</v>
          </cell>
        </row>
      </sheetData>
      <sheetData sheetId="4873">
        <row r="5">
          <cell r="E5">
            <v>1</v>
          </cell>
        </row>
      </sheetData>
      <sheetData sheetId="4874">
        <row r="5">
          <cell r="E5">
            <v>1</v>
          </cell>
        </row>
      </sheetData>
      <sheetData sheetId="4875">
        <row r="5">
          <cell r="E5">
            <v>1</v>
          </cell>
        </row>
      </sheetData>
      <sheetData sheetId="4876">
        <row r="5">
          <cell r="E5">
            <v>1</v>
          </cell>
        </row>
      </sheetData>
      <sheetData sheetId="4877">
        <row r="5">
          <cell r="E5">
            <v>1</v>
          </cell>
        </row>
      </sheetData>
      <sheetData sheetId="4878">
        <row r="5">
          <cell r="E5">
            <v>1</v>
          </cell>
        </row>
      </sheetData>
      <sheetData sheetId="4879">
        <row r="5">
          <cell r="E5">
            <v>1</v>
          </cell>
        </row>
      </sheetData>
      <sheetData sheetId="4880">
        <row r="5">
          <cell r="E5">
            <v>1</v>
          </cell>
        </row>
      </sheetData>
      <sheetData sheetId="4881">
        <row r="5">
          <cell r="E5">
            <v>1</v>
          </cell>
        </row>
      </sheetData>
      <sheetData sheetId="4882">
        <row r="5">
          <cell r="E5">
            <v>1</v>
          </cell>
        </row>
      </sheetData>
      <sheetData sheetId="4883">
        <row r="5">
          <cell r="E5">
            <v>1</v>
          </cell>
        </row>
      </sheetData>
      <sheetData sheetId="4884">
        <row r="5">
          <cell r="E5">
            <v>1</v>
          </cell>
        </row>
      </sheetData>
      <sheetData sheetId="4885">
        <row r="5">
          <cell r="E5">
            <v>1</v>
          </cell>
        </row>
      </sheetData>
      <sheetData sheetId="4886">
        <row r="5">
          <cell r="E5">
            <v>1</v>
          </cell>
        </row>
      </sheetData>
      <sheetData sheetId="4887">
        <row r="5">
          <cell r="E5">
            <v>1</v>
          </cell>
        </row>
      </sheetData>
      <sheetData sheetId="4888">
        <row r="5">
          <cell r="E5">
            <v>1</v>
          </cell>
        </row>
      </sheetData>
      <sheetData sheetId="4889">
        <row r="5">
          <cell r="E5">
            <v>1</v>
          </cell>
        </row>
      </sheetData>
      <sheetData sheetId="4890">
        <row r="5">
          <cell r="E5">
            <v>1</v>
          </cell>
        </row>
      </sheetData>
      <sheetData sheetId="4891">
        <row r="5">
          <cell r="E5">
            <v>1</v>
          </cell>
        </row>
      </sheetData>
      <sheetData sheetId="4892">
        <row r="5">
          <cell r="E5">
            <v>1</v>
          </cell>
        </row>
      </sheetData>
      <sheetData sheetId="4893">
        <row r="5">
          <cell r="E5">
            <v>1</v>
          </cell>
        </row>
      </sheetData>
      <sheetData sheetId="4894">
        <row r="5">
          <cell r="E5">
            <v>1</v>
          </cell>
        </row>
      </sheetData>
      <sheetData sheetId="4895">
        <row r="5">
          <cell r="E5">
            <v>1</v>
          </cell>
        </row>
      </sheetData>
      <sheetData sheetId="4896">
        <row r="5">
          <cell r="E5">
            <v>1</v>
          </cell>
        </row>
      </sheetData>
      <sheetData sheetId="4897">
        <row r="5">
          <cell r="E5">
            <v>1</v>
          </cell>
        </row>
      </sheetData>
      <sheetData sheetId="4898">
        <row r="5">
          <cell r="E5">
            <v>1</v>
          </cell>
        </row>
      </sheetData>
      <sheetData sheetId="4899">
        <row r="5">
          <cell r="E5">
            <v>1</v>
          </cell>
        </row>
      </sheetData>
      <sheetData sheetId="4900">
        <row r="5">
          <cell r="E5">
            <v>1</v>
          </cell>
        </row>
      </sheetData>
      <sheetData sheetId="4901">
        <row r="5">
          <cell r="E5">
            <v>1</v>
          </cell>
        </row>
      </sheetData>
      <sheetData sheetId="4902">
        <row r="5">
          <cell r="E5">
            <v>1</v>
          </cell>
        </row>
      </sheetData>
      <sheetData sheetId="4903">
        <row r="5">
          <cell r="E5">
            <v>1</v>
          </cell>
        </row>
      </sheetData>
      <sheetData sheetId="4904">
        <row r="5">
          <cell r="E5">
            <v>1</v>
          </cell>
        </row>
      </sheetData>
      <sheetData sheetId="4905">
        <row r="5">
          <cell r="E5">
            <v>1</v>
          </cell>
        </row>
      </sheetData>
      <sheetData sheetId="4906">
        <row r="5">
          <cell r="E5">
            <v>1</v>
          </cell>
        </row>
      </sheetData>
      <sheetData sheetId="4907">
        <row r="5">
          <cell r="E5">
            <v>1</v>
          </cell>
        </row>
      </sheetData>
      <sheetData sheetId="4908">
        <row r="5">
          <cell r="E5">
            <v>1</v>
          </cell>
        </row>
      </sheetData>
      <sheetData sheetId="4909">
        <row r="5">
          <cell r="E5">
            <v>1</v>
          </cell>
        </row>
      </sheetData>
      <sheetData sheetId="4910">
        <row r="5">
          <cell r="E5">
            <v>1</v>
          </cell>
        </row>
      </sheetData>
      <sheetData sheetId="4911">
        <row r="5">
          <cell r="E5">
            <v>1</v>
          </cell>
        </row>
      </sheetData>
      <sheetData sheetId="4912">
        <row r="5">
          <cell r="E5">
            <v>1</v>
          </cell>
        </row>
      </sheetData>
      <sheetData sheetId="4913">
        <row r="5">
          <cell r="E5">
            <v>1</v>
          </cell>
        </row>
      </sheetData>
      <sheetData sheetId="4914">
        <row r="5">
          <cell r="E5">
            <v>1</v>
          </cell>
        </row>
      </sheetData>
      <sheetData sheetId="4915">
        <row r="5">
          <cell r="E5">
            <v>1</v>
          </cell>
        </row>
      </sheetData>
      <sheetData sheetId="4916">
        <row r="5">
          <cell r="E5">
            <v>1</v>
          </cell>
        </row>
      </sheetData>
      <sheetData sheetId="4917">
        <row r="5">
          <cell r="E5">
            <v>1</v>
          </cell>
        </row>
      </sheetData>
      <sheetData sheetId="4918">
        <row r="5">
          <cell r="E5">
            <v>1</v>
          </cell>
        </row>
      </sheetData>
      <sheetData sheetId="4919">
        <row r="5">
          <cell r="E5">
            <v>1</v>
          </cell>
        </row>
      </sheetData>
      <sheetData sheetId="4920">
        <row r="5">
          <cell r="E5">
            <v>1</v>
          </cell>
        </row>
      </sheetData>
      <sheetData sheetId="4921">
        <row r="5">
          <cell r="E5">
            <v>1</v>
          </cell>
        </row>
      </sheetData>
      <sheetData sheetId="4922">
        <row r="5">
          <cell r="E5">
            <v>1</v>
          </cell>
        </row>
      </sheetData>
      <sheetData sheetId="4923">
        <row r="5">
          <cell r="E5">
            <v>1</v>
          </cell>
        </row>
      </sheetData>
      <sheetData sheetId="4924">
        <row r="5">
          <cell r="E5">
            <v>1</v>
          </cell>
        </row>
      </sheetData>
      <sheetData sheetId="4925">
        <row r="5">
          <cell r="E5">
            <v>1</v>
          </cell>
        </row>
      </sheetData>
      <sheetData sheetId="4926">
        <row r="5">
          <cell r="E5">
            <v>1</v>
          </cell>
        </row>
      </sheetData>
      <sheetData sheetId="4927">
        <row r="5">
          <cell r="E5">
            <v>1</v>
          </cell>
        </row>
      </sheetData>
      <sheetData sheetId="4928">
        <row r="5">
          <cell r="E5">
            <v>1</v>
          </cell>
        </row>
      </sheetData>
      <sheetData sheetId="4929">
        <row r="5">
          <cell r="E5">
            <v>1</v>
          </cell>
        </row>
      </sheetData>
      <sheetData sheetId="4930">
        <row r="5">
          <cell r="E5">
            <v>1</v>
          </cell>
        </row>
      </sheetData>
      <sheetData sheetId="4931">
        <row r="5">
          <cell r="E5">
            <v>1</v>
          </cell>
        </row>
      </sheetData>
      <sheetData sheetId="4932">
        <row r="5">
          <cell r="E5">
            <v>1</v>
          </cell>
        </row>
      </sheetData>
      <sheetData sheetId="4933">
        <row r="5">
          <cell r="E5">
            <v>1</v>
          </cell>
        </row>
      </sheetData>
      <sheetData sheetId="4934">
        <row r="5">
          <cell r="E5">
            <v>1</v>
          </cell>
        </row>
      </sheetData>
      <sheetData sheetId="4935">
        <row r="5">
          <cell r="E5">
            <v>1</v>
          </cell>
        </row>
      </sheetData>
      <sheetData sheetId="4936">
        <row r="5">
          <cell r="E5">
            <v>1</v>
          </cell>
        </row>
      </sheetData>
      <sheetData sheetId="4937">
        <row r="5">
          <cell r="E5">
            <v>1</v>
          </cell>
        </row>
      </sheetData>
      <sheetData sheetId="4938">
        <row r="5">
          <cell r="E5">
            <v>1</v>
          </cell>
        </row>
      </sheetData>
      <sheetData sheetId="4939">
        <row r="5">
          <cell r="E5">
            <v>1</v>
          </cell>
        </row>
      </sheetData>
      <sheetData sheetId="4940">
        <row r="5">
          <cell r="E5">
            <v>1</v>
          </cell>
        </row>
      </sheetData>
      <sheetData sheetId="4941">
        <row r="5">
          <cell r="E5">
            <v>1</v>
          </cell>
        </row>
      </sheetData>
      <sheetData sheetId="4942">
        <row r="5">
          <cell r="E5">
            <v>1</v>
          </cell>
        </row>
      </sheetData>
      <sheetData sheetId="4943">
        <row r="5">
          <cell r="E5">
            <v>1</v>
          </cell>
        </row>
      </sheetData>
      <sheetData sheetId="4944">
        <row r="5">
          <cell r="E5">
            <v>1</v>
          </cell>
        </row>
      </sheetData>
      <sheetData sheetId="4945">
        <row r="5">
          <cell r="E5">
            <v>1</v>
          </cell>
        </row>
      </sheetData>
      <sheetData sheetId="4946">
        <row r="5">
          <cell r="E5">
            <v>1</v>
          </cell>
        </row>
      </sheetData>
      <sheetData sheetId="4947">
        <row r="5">
          <cell r="E5">
            <v>1</v>
          </cell>
        </row>
      </sheetData>
      <sheetData sheetId="4948">
        <row r="5">
          <cell r="E5">
            <v>1</v>
          </cell>
        </row>
      </sheetData>
      <sheetData sheetId="4949">
        <row r="5">
          <cell r="E5">
            <v>1</v>
          </cell>
        </row>
      </sheetData>
      <sheetData sheetId="4950">
        <row r="5">
          <cell r="E5">
            <v>1</v>
          </cell>
        </row>
      </sheetData>
      <sheetData sheetId="4951">
        <row r="5">
          <cell r="E5">
            <v>1</v>
          </cell>
        </row>
      </sheetData>
      <sheetData sheetId="4952">
        <row r="5">
          <cell r="E5">
            <v>1</v>
          </cell>
        </row>
      </sheetData>
      <sheetData sheetId="4953">
        <row r="5">
          <cell r="E5">
            <v>1</v>
          </cell>
        </row>
      </sheetData>
      <sheetData sheetId="4954">
        <row r="5">
          <cell r="E5">
            <v>1</v>
          </cell>
        </row>
      </sheetData>
      <sheetData sheetId="4955">
        <row r="5">
          <cell r="E5">
            <v>1</v>
          </cell>
        </row>
      </sheetData>
      <sheetData sheetId="4956">
        <row r="5">
          <cell r="E5">
            <v>1</v>
          </cell>
        </row>
      </sheetData>
      <sheetData sheetId="4957">
        <row r="5">
          <cell r="E5">
            <v>1</v>
          </cell>
        </row>
      </sheetData>
      <sheetData sheetId="4958">
        <row r="5">
          <cell r="E5">
            <v>1</v>
          </cell>
        </row>
      </sheetData>
      <sheetData sheetId="4959">
        <row r="5">
          <cell r="E5">
            <v>1</v>
          </cell>
        </row>
      </sheetData>
      <sheetData sheetId="4960">
        <row r="5">
          <cell r="E5">
            <v>1</v>
          </cell>
        </row>
      </sheetData>
      <sheetData sheetId="4961">
        <row r="5">
          <cell r="E5">
            <v>1</v>
          </cell>
        </row>
      </sheetData>
      <sheetData sheetId="4962">
        <row r="5">
          <cell r="E5">
            <v>1</v>
          </cell>
        </row>
      </sheetData>
      <sheetData sheetId="4963">
        <row r="5">
          <cell r="E5">
            <v>1</v>
          </cell>
        </row>
      </sheetData>
      <sheetData sheetId="4964">
        <row r="5">
          <cell r="E5">
            <v>1</v>
          </cell>
        </row>
      </sheetData>
      <sheetData sheetId="4965">
        <row r="5">
          <cell r="E5">
            <v>1</v>
          </cell>
        </row>
      </sheetData>
      <sheetData sheetId="4966">
        <row r="5">
          <cell r="E5">
            <v>1</v>
          </cell>
        </row>
      </sheetData>
      <sheetData sheetId="4967">
        <row r="5">
          <cell r="E5">
            <v>1</v>
          </cell>
        </row>
      </sheetData>
      <sheetData sheetId="4968">
        <row r="5">
          <cell r="E5">
            <v>1</v>
          </cell>
        </row>
      </sheetData>
      <sheetData sheetId="4969">
        <row r="5">
          <cell r="E5">
            <v>1</v>
          </cell>
        </row>
      </sheetData>
      <sheetData sheetId="4970">
        <row r="5">
          <cell r="E5">
            <v>1</v>
          </cell>
        </row>
      </sheetData>
      <sheetData sheetId="4971">
        <row r="5">
          <cell r="E5">
            <v>1</v>
          </cell>
        </row>
      </sheetData>
      <sheetData sheetId="4972">
        <row r="5">
          <cell r="E5">
            <v>1</v>
          </cell>
        </row>
      </sheetData>
      <sheetData sheetId="4973">
        <row r="5">
          <cell r="E5">
            <v>1</v>
          </cell>
        </row>
      </sheetData>
      <sheetData sheetId="4974">
        <row r="5">
          <cell r="E5">
            <v>1</v>
          </cell>
        </row>
      </sheetData>
      <sheetData sheetId="4975">
        <row r="5">
          <cell r="E5">
            <v>1</v>
          </cell>
        </row>
      </sheetData>
      <sheetData sheetId="4976">
        <row r="5">
          <cell r="E5">
            <v>1</v>
          </cell>
        </row>
      </sheetData>
      <sheetData sheetId="4977">
        <row r="5">
          <cell r="E5">
            <v>1</v>
          </cell>
        </row>
      </sheetData>
      <sheetData sheetId="4978">
        <row r="5">
          <cell r="E5">
            <v>1</v>
          </cell>
        </row>
      </sheetData>
      <sheetData sheetId="4979">
        <row r="5">
          <cell r="E5">
            <v>1</v>
          </cell>
        </row>
      </sheetData>
      <sheetData sheetId="4980">
        <row r="5">
          <cell r="E5">
            <v>1</v>
          </cell>
        </row>
      </sheetData>
      <sheetData sheetId="4981">
        <row r="5">
          <cell r="E5">
            <v>1</v>
          </cell>
        </row>
      </sheetData>
      <sheetData sheetId="4982">
        <row r="5">
          <cell r="E5">
            <v>1</v>
          </cell>
        </row>
      </sheetData>
      <sheetData sheetId="4983">
        <row r="5">
          <cell r="E5">
            <v>1</v>
          </cell>
        </row>
      </sheetData>
      <sheetData sheetId="4984">
        <row r="5">
          <cell r="E5">
            <v>1</v>
          </cell>
        </row>
      </sheetData>
      <sheetData sheetId="4985">
        <row r="5">
          <cell r="E5">
            <v>1</v>
          </cell>
        </row>
      </sheetData>
      <sheetData sheetId="4986">
        <row r="5">
          <cell r="E5">
            <v>1</v>
          </cell>
        </row>
      </sheetData>
      <sheetData sheetId="4987">
        <row r="5">
          <cell r="E5">
            <v>1</v>
          </cell>
        </row>
      </sheetData>
      <sheetData sheetId="4988">
        <row r="5">
          <cell r="E5">
            <v>1</v>
          </cell>
        </row>
      </sheetData>
      <sheetData sheetId="4989">
        <row r="5">
          <cell r="E5">
            <v>1</v>
          </cell>
        </row>
      </sheetData>
      <sheetData sheetId="4990">
        <row r="5">
          <cell r="E5">
            <v>1</v>
          </cell>
        </row>
      </sheetData>
      <sheetData sheetId="4991">
        <row r="5">
          <cell r="E5">
            <v>1</v>
          </cell>
        </row>
      </sheetData>
      <sheetData sheetId="4992">
        <row r="5">
          <cell r="E5">
            <v>1</v>
          </cell>
        </row>
      </sheetData>
      <sheetData sheetId="4993">
        <row r="5">
          <cell r="E5">
            <v>1</v>
          </cell>
        </row>
      </sheetData>
      <sheetData sheetId="4994">
        <row r="5">
          <cell r="E5">
            <v>1</v>
          </cell>
        </row>
      </sheetData>
      <sheetData sheetId="4995">
        <row r="5">
          <cell r="E5">
            <v>1</v>
          </cell>
        </row>
      </sheetData>
      <sheetData sheetId="4996">
        <row r="5">
          <cell r="E5">
            <v>1</v>
          </cell>
        </row>
      </sheetData>
      <sheetData sheetId="4997">
        <row r="5">
          <cell r="E5">
            <v>1</v>
          </cell>
        </row>
      </sheetData>
      <sheetData sheetId="4998">
        <row r="5">
          <cell r="E5">
            <v>1</v>
          </cell>
        </row>
      </sheetData>
      <sheetData sheetId="4999">
        <row r="5">
          <cell r="E5">
            <v>1</v>
          </cell>
        </row>
      </sheetData>
      <sheetData sheetId="5000">
        <row r="5">
          <cell r="E5">
            <v>1</v>
          </cell>
        </row>
      </sheetData>
      <sheetData sheetId="5001">
        <row r="5">
          <cell r="E5">
            <v>1</v>
          </cell>
        </row>
      </sheetData>
      <sheetData sheetId="5002">
        <row r="5">
          <cell r="E5">
            <v>1</v>
          </cell>
        </row>
      </sheetData>
      <sheetData sheetId="5003">
        <row r="5">
          <cell r="E5">
            <v>1</v>
          </cell>
        </row>
      </sheetData>
      <sheetData sheetId="5004">
        <row r="5">
          <cell r="E5">
            <v>1</v>
          </cell>
        </row>
      </sheetData>
      <sheetData sheetId="5005">
        <row r="5">
          <cell r="E5">
            <v>1</v>
          </cell>
        </row>
      </sheetData>
      <sheetData sheetId="5006">
        <row r="5">
          <cell r="E5">
            <v>1</v>
          </cell>
        </row>
      </sheetData>
      <sheetData sheetId="5007">
        <row r="5">
          <cell r="E5">
            <v>1</v>
          </cell>
        </row>
      </sheetData>
      <sheetData sheetId="5008">
        <row r="5">
          <cell r="E5">
            <v>1</v>
          </cell>
        </row>
      </sheetData>
      <sheetData sheetId="5009">
        <row r="5">
          <cell r="E5">
            <v>1</v>
          </cell>
        </row>
      </sheetData>
      <sheetData sheetId="5010">
        <row r="5">
          <cell r="E5">
            <v>1</v>
          </cell>
        </row>
      </sheetData>
      <sheetData sheetId="5011">
        <row r="5">
          <cell r="E5">
            <v>1</v>
          </cell>
        </row>
      </sheetData>
      <sheetData sheetId="5012">
        <row r="5">
          <cell r="E5">
            <v>1</v>
          </cell>
        </row>
      </sheetData>
      <sheetData sheetId="5013">
        <row r="5">
          <cell r="E5">
            <v>1</v>
          </cell>
        </row>
      </sheetData>
      <sheetData sheetId="5014">
        <row r="5">
          <cell r="E5">
            <v>1</v>
          </cell>
        </row>
      </sheetData>
      <sheetData sheetId="5015">
        <row r="5">
          <cell r="E5">
            <v>1</v>
          </cell>
        </row>
      </sheetData>
      <sheetData sheetId="5016">
        <row r="5">
          <cell r="E5">
            <v>1</v>
          </cell>
        </row>
      </sheetData>
      <sheetData sheetId="5017">
        <row r="5">
          <cell r="E5">
            <v>1</v>
          </cell>
        </row>
      </sheetData>
      <sheetData sheetId="5018">
        <row r="5">
          <cell r="E5">
            <v>1</v>
          </cell>
        </row>
      </sheetData>
      <sheetData sheetId="5019">
        <row r="5">
          <cell r="E5">
            <v>1</v>
          </cell>
        </row>
      </sheetData>
      <sheetData sheetId="5020">
        <row r="5">
          <cell r="E5">
            <v>1</v>
          </cell>
        </row>
      </sheetData>
      <sheetData sheetId="5021">
        <row r="5">
          <cell r="E5">
            <v>1</v>
          </cell>
        </row>
      </sheetData>
      <sheetData sheetId="5022">
        <row r="5">
          <cell r="E5">
            <v>1</v>
          </cell>
        </row>
      </sheetData>
      <sheetData sheetId="5023">
        <row r="5">
          <cell r="E5">
            <v>1</v>
          </cell>
        </row>
      </sheetData>
      <sheetData sheetId="5024">
        <row r="5">
          <cell r="E5">
            <v>1</v>
          </cell>
        </row>
      </sheetData>
      <sheetData sheetId="5025">
        <row r="5">
          <cell r="E5">
            <v>1</v>
          </cell>
        </row>
      </sheetData>
      <sheetData sheetId="5026">
        <row r="5">
          <cell r="E5">
            <v>1</v>
          </cell>
        </row>
      </sheetData>
      <sheetData sheetId="5027">
        <row r="5">
          <cell r="E5">
            <v>1</v>
          </cell>
        </row>
      </sheetData>
      <sheetData sheetId="5028">
        <row r="5">
          <cell r="E5">
            <v>1</v>
          </cell>
        </row>
      </sheetData>
      <sheetData sheetId="5029">
        <row r="5">
          <cell r="E5">
            <v>1</v>
          </cell>
        </row>
      </sheetData>
      <sheetData sheetId="5030">
        <row r="5">
          <cell r="E5">
            <v>1</v>
          </cell>
        </row>
      </sheetData>
      <sheetData sheetId="5031">
        <row r="5">
          <cell r="E5">
            <v>1</v>
          </cell>
        </row>
      </sheetData>
      <sheetData sheetId="5032">
        <row r="5">
          <cell r="E5">
            <v>1</v>
          </cell>
        </row>
      </sheetData>
      <sheetData sheetId="5033">
        <row r="5">
          <cell r="E5">
            <v>1</v>
          </cell>
        </row>
      </sheetData>
      <sheetData sheetId="5034">
        <row r="5">
          <cell r="E5">
            <v>1</v>
          </cell>
        </row>
      </sheetData>
      <sheetData sheetId="5035">
        <row r="5">
          <cell r="E5">
            <v>1</v>
          </cell>
        </row>
      </sheetData>
      <sheetData sheetId="5036">
        <row r="5">
          <cell r="E5">
            <v>1</v>
          </cell>
        </row>
      </sheetData>
      <sheetData sheetId="5037">
        <row r="5">
          <cell r="E5">
            <v>1</v>
          </cell>
        </row>
      </sheetData>
      <sheetData sheetId="5038">
        <row r="5">
          <cell r="E5">
            <v>1</v>
          </cell>
        </row>
      </sheetData>
      <sheetData sheetId="5039">
        <row r="5">
          <cell r="E5">
            <v>1</v>
          </cell>
        </row>
      </sheetData>
      <sheetData sheetId="5040">
        <row r="5">
          <cell r="E5">
            <v>1</v>
          </cell>
        </row>
      </sheetData>
      <sheetData sheetId="5041">
        <row r="5">
          <cell r="E5">
            <v>1</v>
          </cell>
        </row>
      </sheetData>
      <sheetData sheetId="5042">
        <row r="5">
          <cell r="E5">
            <v>1</v>
          </cell>
        </row>
      </sheetData>
      <sheetData sheetId="5043">
        <row r="5">
          <cell r="E5">
            <v>1</v>
          </cell>
        </row>
      </sheetData>
      <sheetData sheetId="5044">
        <row r="5">
          <cell r="E5">
            <v>1</v>
          </cell>
        </row>
      </sheetData>
      <sheetData sheetId="5045">
        <row r="5">
          <cell r="E5">
            <v>1</v>
          </cell>
        </row>
      </sheetData>
      <sheetData sheetId="5046">
        <row r="5">
          <cell r="E5">
            <v>1</v>
          </cell>
        </row>
      </sheetData>
      <sheetData sheetId="5047">
        <row r="5">
          <cell r="E5">
            <v>1</v>
          </cell>
        </row>
      </sheetData>
      <sheetData sheetId="5048">
        <row r="5">
          <cell r="E5">
            <v>1</v>
          </cell>
        </row>
      </sheetData>
      <sheetData sheetId="5049">
        <row r="5">
          <cell r="E5">
            <v>1</v>
          </cell>
        </row>
      </sheetData>
      <sheetData sheetId="5050">
        <row r="5">
          <cell r="E5">
            <v>1</v>
          </cell>
        </row>
      </sheetData>
      <sheetData sheetId="5051">
        <row r="5">
          <cell r="E5">
            <v>1</v>
          </cell>
        </row>
      </sheetData>
      <sheetData sheetId="5052">
        <row r="5">
          <cell r="E5">
            <v>1</v>
          </cell>
        </row>
      </sheetData>
      <sheetData sheetId="5053">
        <row r="5">
          <cell r="E5">
            <v>1</v>
          </cell>
        </row>
      </sheetData>
      <sheetData sheetId="5054">
        <row r="5">
          <cell r="E5">
            <v>1</v>
          </cell>
        </row>
      </sheetData>
      <sheetData sheetId="5055">
        <row r="5">
          <cell r="E5">
            <v>1</v>
          </cell>
        </row>
      </sheetData>
      <sheetData sheetId="5056">
        <row r="5">
          <cell r="E5">
            <v>1</v>
          </cell>
        </row>
      </sheetData>
      <sheetData sheetId="5057">
        <row r="5">
          <cell r="E5">
            <v>1</v>
          </cell>
        </row>
      </sheetData>
      <sheetData sheetId="5058">
        <row r="5">
          <cell r="E5">
            <v>1</v>
          </cell>
        </row>
      </sheetData>
      <sheetData sheetId="5059">
        <row r="5">
          <cell r="E5">
            <v>1</v>
          </cell>
        </row>
      </sheetData>
      <sheetData sheetId="5060">
        <row r="5">
          <cell r="E5">
            <v>1</v>
          </cell>
        </row>
      </sheetData>
      <sheetData sheetId="5061">
        <row r="5">
          <cell r="E5">
            <v>1</v>
          </cell>
        </row>
      </sheetData>
      <sheetData sheetId="5062">
        <row r="5">
          <cell r="E5">
            <v>1</v>
          </cell>
        </row>
      </sheetData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>
        <row r="5">
          <cell r="E5">
            <v>1</v>
          </cell>
        </row>
      </sheetData>
      <sheetData sheetId="5266">
        <row r="5">
          <cell r="E5">
            <v>1</v>
          </cell>
        </row>
      </sheetData>
      <sheetData sheetId="5267">
        <row r="5">
          <cell r="E5">
            <v>1</v>
          </cell>
        </row>
      </sheetData>
      <sheetData sheetId="5268">
        <row r="5">
          <cell r="E5">
            <v>1</v>
          </cell>
        </row>
      </sheetData>
      <sheetData sheetId="5269">
        <row r="5">
          <cell r="E5">
            <v>1</v>
          </cell>
        </row>
      </sheetData>
      <sheetData sheetId="5270">
        <row r="5">
          <cell r="E5">
            <v>1</v>
          </cell>
        </row>
      </sheetData>
      <sheetData sheetId="5271">
        <row r="5">
          <cell r="E5">
            <v>1</v>
          </cell>
        </row>
      </sheetData>
      <sheetData sheetId="5272">
        <row r="5">
          <cell r="E5">
            <v>1</v>
          </cell>
        </row>
      </sheetData>
      <sheetData sheetId="5273">
        <row r="5">
          <cell r="E5">
            <v>1</v>
          </cell>
        </row>
      </sheetData>
      <sheetData sheetId="5274">
        <row r="5">
          <cell r="E5">
            <v>1</v>
          </cell>
        </row>
      </sheetData>
      <sheetData sheetId="5275">
        <row r="5">
          <cell r="E5">
            <v>1</v>
          </cell>
        </row>
      </sheetData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>
        <row r="5">
          <cell r="E5">
            <v>1</v>
          </cell>
        </row>
      </sheetData>
      <sheetData sheetId="5291">
        <row r="5">
          <cell r="E5">
            <v>1</v>
          </cell>
        </row>
      </sheetData>
      <sheetData sheetId="5292">
        <row r="5">
          <cell r="E5">
            <v>1</v>
          </cell>
        </row>
      </sheetData>
      <sheetData sheetId="5293">
        <row r="5">
          <cell r="E5">
            <v>1</v>
          </cell>
        </row>
      </sheetData>
      <sheetData sheetId="5294">
        <row r="5">
          <cell r="E5">
            <v>1</v>
          </cell>
        </row>
      </sheetData>
      <sheetData sheetId="5295">
        <row r="5">
          <cell r="E5">
            <v>1</v>
          </cell>
        </row>
      </sheetData>
      <sheetData sheetId="5296">
        <row r="5">
          <cell r="E5">
            <v>1</v>
          </cell>
        </row>
      </sheetData>
      <sheetData sheetId="5297">
        <row r="5">
          <cell r="E5">
            <v>1</v>
          </cell>
        </row>
      </sheetData>
      <sheetData sheetId="5298">
        <row r="5">
          <cell r="E5">
            <v>1</v>
          </cell>
        </row>
      </sheetData>
      <sheetData sheetId="5299">
        <row r="5">
          <cell r="E5">
            <v>1</v>
          </cell>
        </row>
      </sheetData>
      <sheetData sheetId="5300">
        <row r="5">
          <cell r="E5">
            <v>1</v>
          </cell>
        </row>
      </sheetData>
      <sheetData sheetId="5301">
        <row r="5">
          <cell r="E5">
            <v>1</v>
          </cell>
        </row>
      </sheetData>
      <sheetData sheetId="5302">
        <row r="5">
          <cell r="E5">
            <v>1</v>
          </cell>
        </row>
      </sheetData>
      <sheetData sheetId="5303">
        <row r="5">
          <cell r="E5">
            <v>1</v>
          </cell>
        </row>
      </sheetData>
      <sheetData sheetId="5304">
        <row r="5">
          <cell r="E5">
            <v>1</v>
          </cell>
        </row>
      </sheetData>
      <sheetData sheetId="5305">
        <row r="5">
          <cell r="E5">
            <v>1</v>
          </cell>
        </row>
      </sheetData>
      <sheetData sheetId="5306">
        <row r="5">
          <cell r="E5">
            <v>1</v>
          </cell>
        </row>
      </sheetData>
      <sheetData sheetId="5307">
        <row r="5">
          <cell r="E5">
            <v>1</v>
          </cell>
        </row>
      </sheetData>
      <sheetData sheetId="5308">
        <row r="5">
          <cell r="E5">
            <v>1</v>
          </cell>
        </row>
      </sheetData>
      <sheetData sheetId="5309">
        <row r="5">
          <cell r="E5">
            <v>1</v>
          </cell>
        </row>
      </sheetData>
      <sheetData sheetId="5310">
        <row r="5">
          <cell r="E5">
            <v>1</v>
          </cell>
        </row>
      </sheetData>
      <sheetData sheetId="5311">
        <row r="5">
          <cell r="E5">
            <v>1</v>
          </cell>
        </row>
      </sheetData>
      <sheetData sheetId="5312">
        <row r="5">
          <cell r="E5">
            <v>1</v>
          </cell>
        </row>
      </sheetData>
      <sheetData sheetId="5313">
        <row r="5">
          <cell r="E5">
            <v>1</v>
          </cell>
        </row>
      </sheetData>
      <sheetData sheetId="5314">
        <row r="5">
          <cell r="E5">
            <v>1</v>
          </cell>
        </row>
      </sheetData>
      <sheetData sheetId="5315">
        <row r="5">
          <cell r="E5">
            <v>1</v>
          </cell>
        </row>
      </sheetData>
      <sheetData sheetId="5316">
        <row r="5">
          <cell r="E5">
            <v>1</v>
          </cell>
        </row>
      </sheetData>
      <sheetData sheetId="5317">
        <row r="5">
          <cell r="E5">
            <v>1</v>
          </cell>
        </row>
      </sheetData>
      <sheetData sheetId="5318">
        <row r="5">
          <cell r="E5">
            <v>1</v>
          </cell>
        </row>
      </sheetData>
      <sheetData sheetId="5319">
        <row r="5">
          <cell r="E5">
            <v>1</v>
          </cell>
        </row>
      </sheetData>
      <sheetData sheetId="5320">
        <row r="5">
          <cell r="E5">
            <v>1</v>
          </cell>
        </row>
      </sheetData>
      <sheetData sheetId="5321">
        <row r="5">
          <cell r="E5">
            <v>1</v>
          </cell>
        </row>
      </sheetData>
      <sheetData sheetId="5322">
        <row r="5">
          <cell r="E5">
            <v>1</v>
          </cell>
        </row>
      </sheetData>
      <sheetData sheetId="5323">
        <row r="5">
          <cell r="E5">
            <v>1</v>
          </cell>
        </row>
      </sheetData>
      <sheetData sheetId="5324">
        <row r="5">
          <cell r="E5">
            <v>1</v>
          </cell>
        </row>
      </sheetData>
      <sheetData sheetId="5325">
        <row r="5">
          <cell r="E5">
            <v>1</v>
          </cell>
        </row>
      </sheetData>
      <sheetData sheetId="5326">
        <row r="5">
          <cell r="E5">
            <v>1</v>
          </cell>
        </row>
      </sheetData>
      <sheetData sheetId="5327">
        <row r="5">
          <cell r="E5">
            <v>1</v>
          </cell>
        </row>
      </sheetData>
      <sheetData sheetId="5328">
        <row r="5">
          <cell r="E5">
            <v>1</v>
          </cell>
        </row>
      </sheetData>
      <sheetData sheetId="5329">
        <row r="5">
          <cell r="E5">
            <v>1</v>
          </cell>
        </row>
      </sheetData>
      <sheetData sheetId="5330">
        <row r="5">
          <cell r="E5">
            <v>1</v>
          </cell>
        </row>
      </sheetData>
      <sheetData sheetId="5331">
        <row r="5">
          <cell r="E5">
            <v>1</v>
          </cell>
        </row>
      </sheetData>
      <sheetData sheetId="5332">
        <row r="5">
          <cell r="E5">
            <v>1</v>
          </cell>
        </row>
      </sheetData>
      <sheetData sheetId="5333">
        <row r="5">
          <cell r="E5">
            <v>1</v>
          </cell>
        </row>
      </sheetData>
      <sheetData sheetId="5334">
        <row r="5">
          <cell r="E5">
            <v>1</v>
          </cell>
        </row>
      </sheetData>
      <sheetData sheetId="5335">
        <row r="5">
          <cell r="E5">
            <v>1</v>
          </cell>
        </row>
      </sheetData>
      <sheetData sheetId="5336">
        <row r="5">
          <cell r="E5">
            <v>1</v>
          </cell>
        </row>
      </sheetData>
      <sheetData sheetId="5337">
        <row r="5">
          <cell r="E5">
            <v>1</v>
          </cell>
        </row>
      </sheetData>
      <sheetData sheetId="5338">
        <row r="5">
          <cell r="E5">
            <v>1</v>
          </cell>
        </row>
      </sheetData>
      <sheetData sheetId="5339">
        <row r="5">
          <cell r="E5">
            <v>1</v>
          </cell>
        </row>
      </sheetData>
      <sheetData sheetId="5340">
        <row r="5">
          <cell r="E5">
            <v>1</v>
          </cell>
        </row>
      </sheetData>
      <sheetData sheetId="5341">
        <row r="5">
          <cell r="E5">
            <v>1</v>
          </cell>
        </row>
      </sheetData>
      <sheetData sheetId="5342">
        <row r="5">
          <cell r="E5">
            <v>1</v>
          </cell>
        </row>
      </sheetData>
      <sheetData sheetId="5343">
        <row r="5">
          <cell r="E5">
            <v>1</v>
          </cell>
        </row>
      </sheetData>
      <sheetData sheetId="5344">
        <row r="5">
          <cell r="E5">
            <v>1</v>
          </cell>
        </row>
      </sheetData>
      <sheetData sheetId="5345">
        <row r="5">
          <cell r="E5">
            <v>1</v>
          </cell>
        </row>
      </sheetData>
      <sheetData sheetId="5346">
        <row r="5">
          <cell r="E5">
            <v>1</v>
          </cell>
        </row>
      </sheetData>
      <sheetData sheetId="5347">
        <row r="5">
          <cell r="E5">
            <v>1</v>
          </cell>
        </row>
      </sheetData>
      <sheetData sheetId="5348">
        <row r="5">
          <cell r="E5">
            <v>1</v>
          </cell>
        </row>
      </sheetData>
      <sheetData sheetId="5349">
        <row r="5">
          <cell r="E5">
            <v>1</v>
          </cell>
        </row>
      </sheetData>
      <sheetData sheetId="5350">
        <row r="5">
          <cell r="E5">
            <v>1</v>
          </cell>
        </row>
      </sheetData>
      <sheetData sheetId="5351">
        <row r="5">
          <cell r="E5">
            <v>1</v>
          </cell>
        </row>
      </sheetData>
      <sheetData sheetId="5352">
        <row r="5">
          <cell r="E5">
            <v>1</v>
          </cell>
        </row>
      </sheetData>
      <sheetData sheetId="5353">
        <row r="5">
          <cell r="E5">
            <v>1</v>
          </cell>
        </row>
      </sheetData>
      <sheetData sheetId="5354">
        <row r="5">
          <cell r="E5">
            <v>1</v>
          </cell>
        </row>
      </sheetData>
      <sheetData sheetId="5355">
        <row r="5">
          <cell r="E5">
            <v>1</v>
          </cell>
        </row>
      </sheetData>
      <sheetData sheetId="5356">
        <row r="5">
          <cell r="E5">
            <v>1</v>
          </cell>
        </row>
      </sheetData>
      <sheetData sheetId="5357">
        <row r="5">
          <cell r="E5">
            <v>1</v>
          </cell>
        </row>
      </sheetData>
      <sheetData sheetId="5358">
        <row r="5">
          <cell r="E5">
            <v>1</v>
          </cell>
        </row>
      </sheetData>
      <sheetData sheetId="5359">
        <row r="5">
          <cell r="E5">
            <v>1</v>
          </cell>
        </row>
      </sheetData>
      <sheetData sheetId="5360">
        <row r="5">
          <cell r="E5">
            <v>1</v>
          </cell>
        </row>
      </sheetData>
      <sheetData sheetId="5361">
        <row r="5">
          <cell r="E5">
            <v>1</v>
          </cell>
        </row>
      </sheetData>
      <sheetData sheetId="5362">
        <row r="5">
          <cell r="E5">
            <v>1</v>
          </cell>
        </row>
      </sheetData>
      <sheetData sheetId="5363">
        <row r="5">
          <cell r="E5">
            <v>1</v>
          </cell>
        </row>
      </sheetData>
      <sheetData sheetId="5364">
        <row r="5">
          <cell r="E5">
            <v>1</v>
          </cell>
        </row>
      </sheetData>
      <sheetData sheetId="5365">
        <row r="5">
          <cell r="E5">
            <v>1</v>
          </cell>
        </row>
      </sheetData>
      <sheetData sheetId="5366">
        <row r="5">
          <cell r="E5">
            <v>1</v>
          </cell>
        </row>
      </sheetData>
      <sheetData sheetId="5367">
        <row r="5">
          <cell r="E5">
            <v>1</v>
          </cell>
        </row>
      </sheetData>
      <sheetData sheetId="5368">
        <row r="5">
          <cell r="E5">
            <v>1</v>
          </cell>
        </row>
      </sheetData>
      <sheetData sheetId="5369">
        <row r="5">
          <cell r="E5">
            <v>1</v>
          </cell>
        </row>
      </sheetData>
      <sheetData sheetId="5370">
        <row r="5">
          <cell r="E5">
            <v>1</v>
          </cell>
        </row>
      </sheetData>
      <sheetData sheetId="5371">
        <row r="5">
          <cell r="E5">
            <v>1</v>
          </cell>
        </row>
      </sheetData>
      <sheetData sheetId="5372">
        <row r="5">
          <cell r="E5">
            <v>1</v>
          </cell>
        </row>
      </sheetData>
      <sheetData sheetId="5373">
        <row r="5">
          <cell r="E5">
            <v>1</v>
          </cell>
        </row>
      </sheetData>
      <sheetData sheetId="5374">
        <row r="5">
          <cell r="E5">
            <v>1</v>
          </cell>
        </row>
      </sheetData>
      <sheetData sheetId="5375">
        <row r="5">
          <cell r="E5">
            <v>1</v>
          </cell>
        </row>
      </sheetData>
      <sheetData sheetId="5376">
        <row r="5">
          <cell r="E5">
            <v>1</v>
          </cell>
        </row>
      </sheetData>
      <sheetData sheetId="5377">
        <row r="5">
          <cell r="E5">
            <v>1</v>
          </cell>
        </row>
      </sheetData>
      <sheetData sheetId="5378">
        <row r="5">
          <cell r="E5">
            <v>1</v>
          </cell>
        </row>
      </sheetData>
      <sheetData sheetId="5379">
        <row r="5">
          <cell r="E5">
            <v>1</v>
          </cell>
        </row>
      </sheetData>
      <sheetData sheetId="5380">
        <row r="5">
          <cell r="E5">
            <v>1</v>
          </cell>
        </row>
      </sheetData>
      <sheetData sheetId="5381">
        <row r="5">
          <cell r="E5">
            <v>1</v>
          </cell>
        </row>
      </sheetData>
      <sheetData sheetId="5382">
        <row r="5">
          <cell r="E5">
            <v>1</v>
          </cell>
        </row>
      </sheetData>
      <sheetData sheetId="5383">
        <row r="5">
          <cell r="E5">
            <v>1</v>
          </cell>
        </row>
      </sheetData>
      <sheetData sheetId="5384">
        <row r="5">
          <cell r="E5">
            <v>1</v>
          </cell>
        </row>
      </sheetData>
      <sheetData sheetId="5385">
        <row r="5">
          <cell r="E5">
            <v>1</v>
          </cell>
        </row>
      </sheetData>
      <sheetData sheetId="5386">
        <row r="5">
          <cell r="E5">
            <v>1</v>
          </cell>
        </row>
      </sheetData>
      <sheetData sheetId="5387">
        <row r="5">
          <cell r="E5">
            <v>1</v>
          </cell>
        </row>
      </sheetData>
      <sheetData sheetId="5388">
        <row r="5">
          <cell r="E5">
            <v>1</v>
          </cell>
        </row>
      </sheetData>
      <sheetData sheetId="5389">
        <row r="5">
          <cell r="E5">
            <v>1</v>
          </cell>
        </row>
      </sheetData>
      <sheetData sheetId="5390">
        <row r="5">
          <cell r="E5">
            <v>1</v>
          </cell>
        </row>
      </sheetData>
      <sheetData sheetId="5391">
        <row r="5">
          <cell r="E5">
            <v>1</v>
          </cell>
        </row>
      </sheetData>
      <sheetData sheetId="5392">
        <row r="5">
          <cell r="E5">
            <v>1</v>
          </cell>
        </row>
      </sheetData>
      <sheetData sheetId="5393">
        <row r="5">
          <cell r="E5">
            <v>1</v>
          </cell>
        </row>
      </sheetData>
      <sheetData sheetId="5394">
        <row r="5">
          <cell r="E5">
            <v>1</v>
          </cell>
        </row>
      </sheetData>
      <sheetData sheetId="5395">
        <row r="5">
          <cell r="E5">
            <v>1</v>
          </cell>
        </row>
      </sheetData>
      <sheetData sheetId="5396">
        <row r="5">
          <cell r="E5">
            <v>1</v>
          </cell>
        </row>
      </sheetData>
      <sheetData sheetId="5397">
        <row r="5">
          <cell r="E5">
            <v>1</v>
          </cell>
        </row>
      </sheetData>
      <sheetData sheetId="5398">
        <row r="5">
          <cell r="E5">
            <v>1</v>
          </cell>
        </row>
      </sheetData>
      <sheetData sheetId="5399">
        <row r="5">
          <cell r="E5">
            <v>1</v>
          </cell>
        </row>
      </sheetData>
      <sheetData sheetId="5400">
        <row r="5">
          <cell r="E5">
            <v>1</v>
          </cell>
        </row>
      </sheetData>
      <sheetData sheetId="5401">
        <row r="5">
          <cell r="E5">
            <v>1</v>
          </cell>
        </row>
      </sheetData>
      <sheetData sheetId="5402">
        <row r="5">
          <cell r="E5">
            <v>1</v>
          </cell>
        </row>
      </sheetData>
      <sheetData sheetId="5403">
        <row r="5">
          <cell r="E5">
            <v>1</v>
          </cell>
        </row>
      </sheetData>
      <sheetData sheetId="5404">
        <row r="5">
          <cell r="E5">
            <v>1</v>
          </cell>
        </row>
      </sheetData>
      <sheetData sheetId="5405">
        <row r="5">
          <cell r="E5">
            <v>1</v>
          </cell>
        </row>
      </sheetData>
      <sheetData sheetId="5406">
        <row r="5">
          <cell r="E5">
            <v>1</v>
          </cell>
        </row>
      </sheetData>
      <sheetData sheetId="5407">
        <row r="5">
          <cell r="E5">
            <v>1</v>
          </cell>
        </row>
      </sheetData>
      <sheetData sheetId="5408">
        <row r="5">
          <cell r="E5">
            <v>1</v>
          </cell>
        </row>
      </sheetData>
      <sheetData sheetId="5409">
        <row r="5">
          <cell r="E5">
            <v>1</v>
          </cell>
        </row>
      </sheetData>
      <sheetData sheetId="5410">
        <row r="5">
          <cell r="E5">
            <v>1</v>
          </cell>
        </row>
      </sheetData>
      <sheetData sheetId="5411">
        <row r="5">
          <cell r="E5">
            <v>1</v>
          </cell>
        </row>
      </sheetData>
      <sheetData sheetId="5412">
        <row r="5">
          <cell r="E5">
            <v>1</v>
          </cell>
        </row>
      </sheetData>
      <sheetData sheetId="5413">
        <row r="5">
          <cell r="E5">
            <v>1</v>
          </cell>
        </row>
      </sheetData>
      <sheetData sheetId="5414">
        <row r="5">
          <cell r="E5">
            <v>1</v>
          </cell>
        </row>
      </sheetData>
      <sheetData sheetId="5415">
        <row r="5">
          <cell r="E5">
            <v>1</v>
          </cell>
        </row>
      </sheetData>
      <sheetData sheetId="5416">
        <row r="5">
          <cell r="E5">
            <v>1</v>
          </cell>
        </row>
      </sheetData>
      <sheetData sheetId="5417">
        <row r="5">
          <cell r="E5">
            <v>1</v>
          </cell>
        </row>
      </sheetData>
      <sheetData sheetId="5418">
        <row r="5">
          <cell r="E5">
            <v>1</v>
          </cell>
        </row>
      </sheetData>
      <sheetData sheetId="5419">
        <row r="5">
          <cell r="E5">
            <v>1</v>
          </cell>
        </row>
      </sheetData>
      <sheetData sheetId="5420">
        <row r="5">
          <cell r="E5">
            <v>1</v>
          </cell>
        </row>
      </sheetData>
      <sheetData sheetId="5421">
        <row r="5">
          <cell r="E5">
            <v>1</v>
          </cell>
        </row>
      </sheetData>
      <sheetData sheetId="5422">
        <row r="5">
          <cell r="E5">
            <v>1</v>
          </cell>
        </row>
      </sheetData>
      <sheetData sheetId="5423">
        <row r="5">
          <cell r="E5">
            <v>1</v>
          </cell>
        </row>
      </sheetData>
      <sheetData sheetId="5424">
        <row r="5">
          <cell r="E5">
            <v>1</v>
          </cell>
        </row>
      </sheetData>
      <sheetData sheetId="5425">
        <row r="5">
          <cell r="E5">
            <v>1</v>
          </cell>
        </row>
      </sheetData>
      <sheetData sheetId="5426">
        <row r="5">
          <cell r="E5">
            <v>1</v>
          </cell>
        </row>
      </sheetData>
      <sheetData sheetId="5427">
        <row r="5">
          <cell r="E5">
            <v>1</v>
          </cell>
        </row>
      </sheetData>
      <sheetData sheetId="5428">
        <row r="5">
          <cell r="E5">
            <v>1</v>
          </cell>
        </row>
      </sheetData>
      <sheetData sheetId="5429">
        <row r="5">
          <cell r="E5">
            <v>1</v>
          </cell>
        </row>
      </sheetData>
      <sheetData sheetId="5430">
        <row r="5">
          <cell r="E5">
            <v>1</v>
          </cell>
        </row>
      </sheetData>
      <sheetData sheetId="5431">
        <row r="5">
          <cell r="E5">
            <v>1</v>
          </cell>
        </row>
      </sheetData>
      <sheetData sheetId="5432">
        <row r="5">
          <cell r="E5">
            <v>1</v>
          </cell>
        </row>
      </sheetData>
      <sheetData sheetId="5433">
        <row r="5">
          <cell r="E5">
            <v>1</v>
          </cell>
        </row>
      </sheetData>
      <sheetData sheetId="5434">
        <row r="5">
          <cell r="E5">
            <v>1</v>
          </cell>
        </row>
      </sheetData>
      <sheetData sheetId="5435">
        <row r="5">
          <cell r="E5">
            <v>1</v>
          </cell>
        </row>
      </sheetData>
      <sheetData sheetId="5436">
        <row r="5">
          <cell r="E5">
            <v>1</v>
          </cell>
        </row>
      </sheetData>
      <sheetData sheetId="5437">
        <row r="5">
          <cell r="E5">
            <v>1</v>
          </cell>
        </row>
      </sheetData>
      <sheetData sheetId="5438">
        <row r="5">
          <cell r="E5">
            <v>1</v>
          </cell>
        </row>
      </sheetData>
      <sheetData sheetId="5439">
        <row r="5">
          <cell r="E5">
            <v>1</v>
          </cell>
        </row>
      </sheetData>
      <sheetData sheetId="5440">
        <row r="5">
          <cell r="E5">
            <v>1</v>
          </cell>
        </row>
      </sheetData>
      <sheetData sheetId="5441">
        <row r="5">
          <cell r="E5">
            <v>1</v>
          </cell>
        </row>
      </sheetData>
      <sheetData sheetId="5442">
        <row r="5">
          <cell r="E5">
            <v>1</v>
          </cell>
        </row>
      </sheetData>
      <sheetData sheetId="5443">
        <row r="5">
          <cell r="E5">
            <v>1</v>
          </cell>
        </row>
      </sheetData>
      <sheetData sheetId="5444">
        <row r="5">
          <cell r="E5">
            <v>1</v>
          </cell>
        </row>
      </sheetData>
      <sheetData sheetId="5445">
        <row r="5">
          <cell r="E5">
            <v>1</v>
          </cell>
        </row>
      </sheetData>
      <sheetData sheetId="5446">
        <row r="5">
          <cell r="E5">
            <v>1</v>
          </cell>
        </row>
      </sheetData>
      <sheetData sheetId="5447">
        <row r="5">
          <cell r="E5">
            <v>1</v>
          </cell>
        </row>
      </sheetData>
      <sheetData sheetId="5448">
        <row r="5">
          <cell r="E5">
            <v>1</v>
          </cell>
        </row>
      </sheetData>
      <sheetData sheetId="5449">
        <row r="5">
          <cell r="E5">
            <v>1</v>
          </cell>
        </row>
      </sheetData>
      <sheetData sheetId="5450">
        <row r="5">
          <cell r="E5">
            <v>1</v>
          </cell>
        </row>
      </sheetData>
      <sheetData sheetId="5451">
        <row r="5">
          <cell r="E5">
            <v>1</v>
          </cell>
        </row>
      </sheetData>
      <sheetData sheetId="5452">
        <row r="5">
          <cell r="E5">
            <v>1</v>
          </cell>
        </row>
      </sheetData>
      <sheetData sheetId="5453">
        <row r="5">
          <cell r="E5">
            <v>1</v>
          </cell>
        </row>
      </sheetData>
      <sheetData sheetId="5454">
        <row r="5">
          <cell r="E5">
            <v>1</v>
          </cell>
        </row>
      </sheetData>
      <sheetData sheetId="5455">
        <row r="5">
          <cell r="E5">
            <v>1</v>
          </cell>
        </row>
      </sheetData>
      <sheetData sheetId="5456">
        <row r="5">
          <cell r="E5">
            <v>1</v>
          </cell>
        </row>
      </sheetData>
      <sheetData sheetId="5457">
        <row r="5">
          <cell r="E5">
            <v>1</v>
          </cell>
        </row>
      </sheetData>
      <sheetData sheetId="5458">
        <row r="5">
          <cell r="E5">
            <v>1</v>
          </cell>
        </row>
      </sheetData>
      <sheetData sheetId="5459">
        <row r="5">
          <cell r="E5">
            <v>1</v>
          </cell>
        </row>
      </sheetData>
      <sheetData sheetId="5460">
        <row r="5">
          <cell r="E5">
            <v>1</v>
          </cell>
        </row>
      </sheetData>
      <sheetData sheetId="5461">
        <row r="5">
          <cell r="E5">
            <v>1</v>
          </cell>
        </row>
      </sheetData>
      <sheetData sheetId="5462">
        <row r="5">
          <cell r="E5">
            <v>1</v>
          </cell>
        </row>
      </sheetData>
      <sheetData sheetId="5463">
        <row r="5">
          <cell r="E5">
            <v>1</v>
          </cell>
        </row>
      </sheetData>
      <sheetData sheetId="5464">
        <row r="5">
          <cell r="E5">
            <v>1</v>
          </cell>
        </row>
      </sheetData>
      <sheetData sheetId="5465">
        <row r="5">
          <cell r="E5">
            <v>1</v>
          </cell>
        </row>
      </sheetData>
      <sheetData sheetId="5466">
        <row r="5">
          <cell r="E5">
            <v>1</v>
          </cell>
        </row>
      </sheetData>
      <sheetData sheetId="5467">
        <row r="5">
          <cell r="E5">
            <v>1</v>
          </cell>
        </row>
      </sheetData>
      <sheetData sheetId="5468">
        <row r="5">
          <cell r="E5">
            <v>1</v>
          </cell>
        </row>
      </sheetData>
      <sheetData sheetId="5469">
        <row r="5">
          <cell r="E5">
            <v>1</v>
          </cell>
        </row>
      </sheetData>
      <sheetData sheetId="5470">
        <row r="5">
          <cell r="E5">
            <v>1</v>
          </cell>
        </row>
      </sheetData>
      <sheetData sheetId="5471">
        <row r="5">
          <cell r="E5">
            <v>1</v>
          </cell>
        </row>
      </sheetData>
      <sheetData sheetId="5472">
        <row r="5">
          <cell r="E5">
            <v>1</v>
          </cell>
        </row>
      </sheetData>
      <sheetData sheetId="5473">
        <row r="5">
          <cell r="E5">
            <v>1</v>
          </cell>
        </row>
      </sheetData>
      <sheetData sheetId="5474">
        <row r="5">
          <cell r="E5">
            <v>1</v>
          </cell>
        </row>
      </sheetData>
      <sheetData sheetId="5475">
        <row r="5">
          <cell r="E5">
            <v>1</v>
          </cell>
        </row>
      </sheetData>
      <sheetData sheetId="5476">
        <row r="5">
          <cell r="E5">
            <v>1</v>
          </cell>
        </row>
      </sheetData>
      <sheetData sheetId="5477">
        <row r="5">
          <cell r="E5">
            <v>1</v>
          </cell>
        </row>
      </sheetData>
      <sheetData sheetId="5478">
        <row r="5">
          <cell r="E5">
            <v>1</v>
          </cell>
        </row>
      </sheetData>
      <sheetData sheetId="5479">
        <row r="5">
          <cell r="E5">
            <v>1</v>
          </cell>
        </row>
      </sheetData>
      <sheetData sheetId="5480">
        <row r="5">
          <cell r="E5">
            <v>1</v>
          </cell>
        </row>
      </sheetData>
      <sheetData sheetId="5481">
        <row r="5">
          <cell r="E5">
            <v>1</v>
          </cell>
        </row>
      </sheetData>
      <sheetData sheetId="5482">
        <row r="5">
          <cell r="E5">
            <v>1</v>
          </cell>
        </row>
      </sheetData>
      <sheetData sheetId="5483">
        <row r="5">
          <cell r="E5">
            <v>1</v>
          </cell>
        </row>
      </sheetData>
      <sheetData sheetId="5484">
        <row r="5">
          <cell r="E5">
            <v>1</v>
          </cell>
        </row>
      </sheetData>
      <sheetData sheetId="5485">
        <row r="5">
          <cell r="E5">
            <v>1</v>
          </cell>
        </row>
      </sheetData>
      <sheetData sheetId="5486">
        <row r="5">
          <cell r="E5">
            <v>1</v>
          </cell>
        </row>
      </sheetData>
      <sheetData sheetId="5487">
        <row r="5">
          <cell r="E5">
            <v>1</v>
          </cell>
        </row>
      </sheetData>
      <sheetData sheetId="5488">
        <row r="5">
          <cell r="E5">
            <v>1</v>
          </cell>
        </row>
      </sheetData>
      <sheetData sheetId="5489">
        <row r="5">
          <cell r="E5">
            <v>1</v>
          </cell>
        </row>
      </sheetData>
      <sheetData sheetId="5490">
        <row r="5">
          <cell r="E5">
            <v>1</v>
          </cell>
        </row>
      </sheetData>
      <sheetData sheetId="5491">
        <row r="5">
          <cell r="E5">
            <v>1</v>
          </cell>
        </row>
      </sheetData>
      <sheetData sheetId="5492">
        <row r="5">
          <cell r="E5">
            <v>1</v>
          </cell>
        </row>
      </sheetData>
      <sheetData sheetId="5493">
        <row r="5">
          <cell r="E5">
            <v>1</v>
          </cell>
        </row>
      </sheetData>
      <sheetData sheetId="5494">
        <row r="5">
          <cell r="E5">
            <v>1</v>
          </cell>
        </row>
      </sheetData>
      <sheetData sheetId="5495">
        <row r="5">
          <cell r="E5">
            <v>1</v>
          </cell>
        </row>
      </sheetData>
      <sheetData sheetId="5496">
        <row r="5">
          <cell r="E5">
            <v>1</v>
          </cell>
        </row>
      </sheetData>
      <sheetData sheetId="5497">
        <row r="5">
          <cell r="E5">
            <v>1</v>
          </cell>
        </row>
      </sheetData>
      <sheetData sheetId="5498">
        <row r="5">
          <cell r="E5">
            <v>1</v>
          </cell>
        </row>
      </sheetData>
      <sheetData sheetId="5499">
        <row r="5">
          <cell r="E5">
            <v>1</v>
          </cell>
        </row>
      </sheetData>
      <sheetData sheetId="5500">
        <row r="5">
          <cell r="E5">
            <v>1</v>
          </cell>
        </row>
      </sheetData>
      <sheetData sheetId="5501">
        <row r="5">
          <cell r="E5">
            <v>1</v>
          </cell>
        </row>
      </sheetData>
      <sheetData sheetId="5502">
        <row r="5">
          <cell r="E5">
            <v>1</v>
          </cell>
        </row>
      </sheetData>
      <sheetData sheetId="5503">
        <row r="5">
          <cell r="E5">
            <v>1</v>
          </cell>
        </row>
      </sheetData>
      <sheetData sheetId="5504">
        <row r="5">
          <cell r="E5">
            <v>1</v>
          </cell>
        </row>
      </sheetData>
      <sheetData sheetId="5505">
        <row r="5">
          <cell r="E5">
            <v>1</v>
          </cell>
        </row>
      </sheetData>
      <sheetData sheetId="5506">
        <row r="5">
          <cell r="E5">
            <v>1</v>
          </cell>
        </row>
      </sheetData>
      <sheetData sheetId="5507">
        <row r="5">
          <cell r="E5">
            <v>1</v>
          </cell>
        </row>
      </sheetData>
      <sheetData sheetId="5508">
        <row r="5">
          <cell r="E5">
            <v>1</v>
          </cell>
        </row>
      </sheetData>
      <sheetData sheetId="5509">
        <row r="5">
          <cell r="E5">
            <v>1</v>
          </cell>
        </row>
      </sheetData>
      <sheetData sheetId="5510">
        <row r="5">
          <cell r="E5">
            <v>1</v>
          </cell>
        </row>
      </sheetData>
      <sheetData sheetId="5511">
        <row r="5">
          <cell r="E5">
            <v>1</v>
          </cell>
        </row>
      </sheetData>
      <sheetData sheetId="5512">
        <row r="5">
          <cell r="E5">
            <v>1</v>
          </cell>
        </row>
      </sheetData>
      <sheetData sheetId="5513">
        <row r="5">
          <cell r="E5">
            <v>1</v>
          </cell>
        </row>
      </sheetData>
      <sheetData sheetId="5514">
        <row r="5">
          <cell r="E5">
            <v>1</v>
          </cell>
        </row>
      </sheetData>
      <sheetData sheetId="5515">
        <row r="5">
          <cell r="E5">
            <v>1</v>
          </cell>
        </row>
      </sheetData>
      <sheetData sheetId="5516">
        <row r="5">
          <cell r="E5">
            <v>1</v>
          </cell>
        </row>
      </sheetData>
      <sheetData sheetId="5517">
        <row r="5">
          <cell r="E5">
            <v>1</v>
          </cell>
        </row>
      </sheetData>
      <sheetData sheetId="5518">
        <row r="5">
          <cell r="E5">
            <v>1</v>
          </cell>
        </row>
      </sheetData>
      <sheetData sheetId="5519">
        <row r="5">
          <cell r="E5">
            <v>1</v>
          </cell>
        </row>
      </sheetData>
      <sheetData sheetId="5520">
        <row r="5">
          <cell r="E5">
            <v>1</v>
          </cell>
        </row>
      </sheetData>
      <sheetData sheetId="5521">
        <row r="5">
          <cell r="E5">
            <v>1</v>
          </cell>
        </row>
      </sheetData>
      <sheetData sheetId="5522">
        <row r="5">
          <cell r="E5">
            <v>1</v>
          </cell>
        </row>
      </sheetData>
      <sheetData sheetId="5523">
        <row r="5">
          <cell r="E5">
            <v>1</v>
          </cell>
        </row>
      </sheetData>
      <sheetData sheetId="5524">
        <row r="5">
          <cell r="E5">
            <v>1</v>
          </cell>
        </row>
      </sheetData>
      <sheetData sheetId="5525">
        <row r="5">
          <cell r="E5">
            <v>1</v>
          </cell>
        </row>
      </sheetData>
      <sheetData sheetId="5526">
        <row r="5">
          <cell r="E5">
            <v>1</v>
          </cell>
        </row>
      </sheetData>
      <sheetData sheetId="5527">
        <row r="5">
          <cell r="E5">
            <v>1</v>
          </cell>
        </row>
      </sheetData>
      <sheetData sheetId="5528">
        <row r="5">
          <cell r="E5">
            <v>1</v>
          </cell>
        </row>
      </sheetData>
      <sheetData sheetId="5529">
        <row r="5">
          <cell r="E5">
            <v>1</v>
          </cell>
        </row>
      </sheetData>
      <sheetData sheetId="5530">
        <row r="5">
          <cell r="E5">
            <v>1</v>
          </cell>
        </row>
      </sheetData>
      <sheetData sheetId="5531">
        <row r="5">
          <cell r="E5">
            <v>1</v>
          </cell>
        </row>
      </sheetData>
      <sheetData sheetId="5532">
        <row r="5">
          <cell r="E5">
            <v>1</v>
          </cell>
        </row>
      </sheetData>
      <sheetData sheetId="5533">
        <row r="5">
          <cell r="E5">
            <v>1</v>
          </cell>
        </row>
      </sheetData>
      <sheetData sheetId="5534">
        <row r="5">
          <cell r="E5">
            <v>1</v>
          </cell>
        </row>
      </sheetData>
      <sheetData sheetId="5535">
        <row r="5">
          <cell r="E5">
            <v>1</v>
          </cell>
        </row>
      </sheetData>
      <sheetData sheetId="5536">
        <row r="5">
          <cell r="E5">
            <v>1</v>
          </cell>
        </row>
      </sheetData>
      <sheetData sheetId="5537">
        <row r="5">
          <cell r="E5">
            <v>1</v>
          </cell>
        </row>
      </sheetData>
      <sheetData sheetId="5538">
        <row r="5">
          <cell r="E5">
            <v>1</v>
          </cell>
        </row>
      </sheetData>
      <sheetData sheetId="5539">
        <row r="5">
          <cell r="E5">
            <v>1</v>
          </cell>
        </row>
      </sheetData>
      <sheetData sheetId="5540">
        <row r="5">
          <cell r="E5">
            <v>1</v>
          </cell>
        </row>
      </sheetData>
      <sheetData sheetId="5541">
        <row r="5">
          <cell r="E5">
            <v>1</v>
          </cell>
        </row>
      </sheetData>
      <sheetData sheetId="5542">
        <row r="5">
          <cell r="E5">
            <v>1</v>
          </cell>
        </row>
      </sheetData>
      <sheetData sheetId="5543">
        <row r="5">
          <cell r="E5">
            <v>1</v>
          </cell>
        </row>
      </sheetData>
      <sheetData sheetId="5544">
        <row r="5">
          <cell r="E5">
            <v>1</v>
          </cell>
        </row>
      </sheetData>
      <sheetData sheetId="5545">
        <row r="5">
          <cell r="E5">
            <v>1</v>
          </cell>
        </row>
      </sheetData>
      <sheetData sheetId="5546">
        <row r="5">
          <cell r="E5">
            <v>1</v>
          </cell>
        </row>
      </sheetData>
      <sheetData sheetId="5547">
        <row r="5">
          <cell r="E5">
            <v>1</v>
          </cell>
        </row>
      </sheetData>
      <sheetData sheetId="5548">
        <row r="5">
          <cell r="E5">
            <v>1</v>
          </cell>
        </row>
      </sheetData>
      <sheetData sheetId="5549">
        <row r="5">
          <cell r="E5">
            <v>1</v>
          </cell>
        </row>
      </sheetData>
      <sheetData sheetId="5550">
        <row r="5">
          <cell r="E5">
            <v>1</v>
          </cell>
        </row>
      </sheetData>
      <sheetData sheetId="5551">
        <row r="5">
          <cell r="E5">
            <v>1</v>
          </cell>
        </row>
      </sheetData>
      <sheetData sheetId="5552">
        <row r="5">
          <cell r="E5">
            <v>1</v>
          </cell>
        </row>
      </sheetData>
      <sheetData sheetId="5553">
        <row r="5">
          <cell r="E5">
            <v>1</v>
          </cell>
        </row>
      </sheetData>
      <sheetData sheetId="5554">
        <row r="5">
          <cell r="E5">
            <v>1</v>
          </cell>
        </row>
      </sheetData>
      <sheetData sheetId="5555">
        <row r="5">
          <cell r="E5">
            <v>1</v>
          </cell>
        </row>
      </sheetData>
      <sheetData sheetId="5556">
        <row r="5">
          <cell r="E5">
            <v>1</v>
          </cell>
        </row>
      </sheetData>
      <sheetData sheetId="5557">
        <row r="5">
          <cell r="E5">
            <v>1</v>
          </cell>
        </row>
      </sheetData>
      <sheetData sheetId="5558">
        <row r="5">
          <cell r="E5">
            <v>1</v>
          </cell>
        </row>
      </sheetData>
      <sheetData sheetId="5559">
        <row r="5">
          <cell r="E5">
            <v>1</v>
          </cell>
        </row>
      </sheetData>
      <sheetData sheetId="5560">
        <row r="5">
          <cell r="E5">
            <v>1</v>
          </cell>
        </row>
      </sheetData>
      <sheetData sheetId="5561">
        <row r="5">
          <cell r="E5">
            <v>1</v>
          </cell>
        </row>
      </sheetData>
      <sheetData sheetId="5562">
        <row r="5">
          <cell r="E5">
            <v>1</v>
          </cell>
        </row>
      </sheetData>
      <sheetData sheetId="5563">
        <row r="5">
          <cell r="E5">
            <v>1</v>
          </cell>
        </row>
      </sheetData>
      <sheetData sheetId="5564">
        <row r="5">
          <cell r="E5">
            <v>1</v>
          </cell>
        </row>
      </sheetData>
      <sheetData sheetId="5565">
        <row r="5">
          <cell r="E5">
            <v>1</v>
          </cell>
        </row>
      </sheetData>
      <sheetData sheetId="5566">
        <row r="5">
          <cell r="E5">
            <v>1</v>
          </cell>
        </row>
      </sheetData>
      <sheetData sheetId="5567">
        <row r="5">
          <cell r="E5">
            <v>1</v>
          </cell>
        </row>
      </sheetData>
      <sheetData sheetId="5568">
        <row r="5">
          <cell r="E5">
            <v>1</v>
          </cell>
        </row>
      </sheetData>
      <sheetData sheetId="5569">
        <row r="5">
          <cell r="E5">
            <v>1</v>
          </cell>
        </row>
      </sheetData>
      <sheetData sheetId="5570">
        <row r="5">
          <cell r="E5">
            <v>1</v>
          </cell>
        </row>
      </sheetData>
      <sheetData sheetId="5571">
        <row r="5">
          <cell r="E5">
            <v>1</v>
          </cell>
        </row>
      </sheetData>
      <sheetData sheetId="5572">
        <row r="5">
          <cell r="E5">
            <v>1</v>
          </cell>
        </row>
      </sheetData>
      <sheetData sheetId="5573">
        <row r="5">
          <cell r="E5">
            <v>1</v>
          </cell>
        </row>
      </sheetData>
      <sheetData sheetId="5574">
        <row r="5">
          <cell r="E5">
            <v>1</v>
          </cell>
        </row>
      </sheetData>
      <sheetData sheetId="5575">
        <row r="5">
          <cell r="E5">
            <v>1</v>
          </cell>
        </row>
      </sheetData>
      <sheetData sheetId="5576">
        <row r="5">
          <cell r="E5">
            <v>1</v>
          </cell>
        </row>
      </sheetData>
      <sheetData sheetId="5577">
        <row r="5">
          <cell r="E5">
            <v>1</v>
          </cell>
        </row>
      </sheetData>
      <sheetData sheetId="5578">
        <row r="5">
          <cell r="E5">
            <v>1</v>
          </cell>
        </row>
      </sheetData>
      <sheetData sheetId="5579">
        <row r="5">
          <cell r="E5">
            <v>1</v>
          </cell>
        </row>
      </sheetData>
      <sheetData sheetId="5580">
        <row r="5">
          <cell r="E5">
            <v>1</v>
          </cell>
        </row>
      </sheetData>
      <sheetData sheetId="5581">
        <row r="5">
          <cell r="E5">
            <v>1</v>
          </cell>
        </row>
      </sheetData>
      <sheetData sheetId="5582">
        <row r="5">
          <cell r="E5">
            <v>1</v>
          </cell>
        </row>
      </sheetData>
      <sheetData sheetId="5583">
        <row r="5">
          <cell r="E5">
            <v>1</v>
          </cell>
        </row>
      </sheetData>
      <sheetData sheetId="5584">
        <row r="5">
          <cell r="E5">
            <v>1</v>
          </cell>
        </row>
      </sheetData>
      <sheetData sheetId="5585">
        <row r="5">
          <cell r="E5">
            <v>1</v>
          </cell>
        </row>
      </sheetData>
      <sheetData sheetId="5586">
        <row r="5">
          <cell r="E5">
            <v>1</v>
          </cell>
        </row>
      </sheetData>
      <sheetData sheetId="5587">
        <row r="5">
          <cell r="E5">
            <v>1</v>
          </cell>
        </row>
      </sheetData>
      <sheetData sheetId="5588">
        <row r="5">
          <cell r="E5">
            <v>1</v>
          </cell>
        </row>
      </sheetData>
      <sheetData sheetId="5589">
        <row r="5">
          <cell r="E5">
            <v>1</v>
          </cell>
        </row>
      </sheetData>
      <sheetData sheetId="5590">
        <row r="5">
          <cell r="E5">
            <v>1</v>
          </cell>
        </row>
      </sheetData>
      <sheetData sheetId="5591">
        <row r="5">
          <cell r="E5">
            <v>1</v>
          </cell>
        </row>
      </sheetData>
      <sheetData sheetId="5592">
        <row r="5">
          <cell r="E5">
            <v>1</v>
          </cell>
        </row>
      </sheetData>
      <sheetData sheetId="5593">
        <row r="5">
          <cell r="E5">
            <v>1</v>
          </cell>
        </row>
      </sheetData>
      <sheetData sheetId="5594">
        <row r="5">
          <cell r="E5">
            <v>1</v>
          </cell>
        </row>
      </sheetData>
      <sheetData sheetId="5595">
        <row r="5">
          <cell r="E5">
            <v>1</v>
          </cell>
        </row>
      </sheetData>
      <sheetData sheetId="5596">
        <row r="5">
          <cell r="E5">
            <v>1</v>
          </cell>
        </row>
      </sheetData>
      <sheetData sheetId="5597">
        <row r="5">
          <cell r="E5">
            <v>1</v>
          </cell>
        </row>
      </sheetData>
      <sheetData sheetId="5598">
        <row r="5">
          <cell r="E5">
            <v>1</v>
          </cell>
        </row>
      </sheetData>
      <sheetData sheetId="5599">
        <row r="5">
          <cell r="E5">
            <v>1</v>
          </cell>
        </row>
      </sheetData>
      <sheetData sheetId="5600">
        <row r="5">
          <cell r="E5">
            <v>1</v>
          </cell>
        </row>
      </sheetData>
      <sheetData sheetId="5601">
        <row r="5">
          <cell r="E5">
            <v>1</v>
          </cell>
        </row>
      </sheetData>
      <sheetData sheetId="5602">
        <row r="5">
          <cell r="E5">
            <v>1</v>
          </cell>
        </row>
      </sheetData>
      <sheetData sheetId="5603">
        <row r="5">
          <cell r="E5">
            <v>1</v>
          </cell>
        </row>
      </sheetData>
      <sheetData sheetId="5604">
        <row r="5">
          <cell r="E5">
            <v>1</v>
          </cell>
        </row>
      </sheetData>
      <sheetData sheetId="5605">
        <row r="5">
          <cell r="E5">
            <v>1</v>
          </cell>
        </row>
      </sheetData>
      <sheetData sheetId="5606">
        <row r="5">
          <cell r="E5">
            <v>1</v>
          </cell>
        </row>
      </sheetData>
      <sheetData sheetId="5607">
        <row r="5">
          <cell r="E5">
            <v>1</v>
          </cell>
        </row>
      </sheetData>
      <sheetData sheetId="5608">
        <row r="5">
          <cell r="E5">
            <v>1</v>
          </cell>
        </row>
      </sheetData>
      <sheetData sheetId="5609">
        <row r="5">
          <cell r="E5">
            <v>1</v>
          </cell>
        </row>
      </sheetData>
      <sheetData sheetId="5610">
        <row r="5">
          <cell r="E5">
            <v>1</v>
          </cell>
        </row>
      </sheetData>
      <sheetData sheetId="5611">
        <row r="5">
          <cell r="E5">
            <v>1</v>
          </cell>
        </row>
      </sheetData>
      <sheetData sheetId="5612">
        <row r="5">
          <cell r="E5">
            <v>1</v>
          </cell>
        </row>
      </sheetData>
      <sheetData sheetId="5613">
        <row r="5">
          <cell r="E5">
            <v>1</v>
          </cell>
        </row>
      </sheetData>
      <sheetData sheetId="5614">
        <row r="5">
          <cell r="E5">
            <v>1</v>
          </cell>
        </row>
      </sheetData>
      <sheetData sheetId="5615">
        <row r="5">
          <cell r="E5">
            <v>1</v>
          </cell>
        </row>
      </sheetData>
      <sheetData sheetId="5616">
        <row r="5">
          <cell r="E5">
            <v>1</v>
          </cell>
        </row>
      </sheetData>
      <sheetData sheetId="5617">
        <row r="5">
          <cell r="E5">
            <v>1</v>
          </cell>
        </row>
      </sheetData>
      <sheetData sheetId="5618">
        <row r="5">
          <cell r="E5">
            <v>1</v>
          </cell>
        </row>
      </sheetData>
      <sheetData sheetId="5619">
        <row r="5">
          <cell r="E5">
            <v>1</v>
          </cell>
        </row>
      </sheetData>
      <sheetData sheetId="5620">
        <row r="5">
          <cell r="E5">
            <v>1</v>
          </cell>
        </row>
      </sheetData>
      <sheetData sheetId="5621">
        <row r="5">
          <cell r="E5">
            <v>1</v>
          </cell>
        </row>
      </sheetData>
      <sheetData sheetId="5622">
        <row r="5">
          <cell r="E5">
            <v>1</v>
          </cell>
        </row>
      </sheetData>
      <sheetData sheetId="5623">
        <row r="5">
          <cell r="E5">
            <v>1</v>
          </cell>
        </row>
      </sheetData>
      <sheetData sheetId="5624">
        <row r="5">
          <cell r="E5">
            <v>1</v>
          </cell>
        </row>
      </sheetData>
      <sheetData sheetId="5625">
        <row r="5">
          <cell r="E5">
            <v>1</v>
          </cell>
        </row>
      </sheetData>
      <sheetData sheetId="5626">
        <row r="5">
          <cell r="E5">
            <v>1</v>
          </cell>
        </row>
      </sheetData>
      <sheetData sheetId="5627">
        <row r="5">
          <cell r="E5">
            <v>1</v>
          </cell>
        </row>
      </sheetData>
      <sheetData sheetId="5628">
        <row r="5">
          <cell r="E5">
            <v>1</v>
          </cell>
        </row>
      </sheetData>
      <sheetData sheetId="5629">
        <row r="5">
          <cell r="E5">
            <v>1</v>
          </cell>
        </row>
      </sheetData>
      <sheetData sheetId="5630">
        <row r="5">
          <cell r="E5">
            <v>1</v>
          </cell>
        </row>
      </sheetData>
      <sheetData sheetId="5631">
        <row r="5">
          <cell r="E5">
            <v>1</v>
          </cell>
        </row>
      </sheetData>
      <sheetData sheetId="5632">
        <row r="5">
          <cell r="E5">
            <v>1</v>
          </cell>
        </row>
      </sheetData>
      <sheetData sheetId="5633">
        <row r="5">
          <cell r="E5">
            <v>1</v>
          </cell>
        </row>
      </sheetData>
      <sheetData sheetId="5634">
        <row r="5">
          <cell r="E5">
            <v>1</v>
          </cell>
        </row>
      </sheetData>
      <sheetData sheetId="5635">
        <row r="5">
          <cell r="E5">
            <v>1</v>
          </cell>
        </row>
      </sheetData>
      <sheetData sheetId="5636">
        <row r="5">
          <cell r="E5">
            <v>1</v>
          </cell>
        </row>
      </sheetData>
      <sheetData sheetId="5637">
        <row r="5">
          <cell r="E5">
            <v>1</v>
          </cell>
        </row>
      </sheetData>
      <sheetData sheetId="5638">
        <row r="5">
          <cell r="E5">
            <v>1</v>
          </cell>
        </row>
      </sheetData>
      <sheetData sheetId="5639">
        <row r="5">
          <cell r="E5">
            <v>1</v>
          </cell>
        </row>
      </sheetData>
      <sheetData sheetId="5640">
        <row r="5">
          <cell r="E5">
            <v>1</v>
          </cell>
        </row>
      </sheetData>
      <sheetData sheetId="5641">
        <row r="5">
          <cell r="E5">
            <v>1</v>
          </cell>
        </row>
      </sheetData>
      <sheetData sheetId="5642">
        <row r="5">
          <cell r="E5">
            <v>1</v>
          </cell>
        </row>
      </sheetData>
      <sheetData sheetId="5643">
        <row r="5">
          <cell r="E5">
            <v>1</v>
          </cell>
        </row>
      </sheetData>
      <sheetData sheetId="5644">
        <row r="5">
          <cell r="E5">
            <v>1</v>
          </cell>
        </row>
      </sheetData>
      <sheetData sheetId="5645">
        <row r="5">
          <cell r="E5">
            <v>1</v>
          </cell>
        </row>
      </sheetData>
      <sheetData sheetId="5646">
        <row r="5">
          <cell r="E5">
            <v>1</v>
          </cell>
        </row>
      </sheetData>
      <sheetData sheetId="5647">
        <row r="5">
          <cell r="E5">
            <v>1</v>
          </cell>
        </row>
      </sheetData>
      <sheetData sheetId="5648">
        <row r="5">
          <cell r="E5">
            <v>1</v>
          </cell>
        </row>
      </sheetData>
      <sheetData sheetId="5649">
        <row r="5">
          <cell r="E5">
            <v>1</v>
          </cell>
        </row>
      </sheetData>
      <sheetData sheetId="5650">
        <row r="5">
          <cell r="E5">
            <v>1</v>
          </cell>
        </row>
      </sheetData>
      <sheetData sheetId="5651">
        <row r="5">
          <cell r="E5">
            <v>1</v>
          </cell>
        </row>
      </sheetData>
      <sheetData sheetId="5652">
        <row r="5">
          <cell r="E5">
            <v>1</v>
          </cell>
        </row>
      </sheetData>
      <sheetData sheetId="5653">
        <row r="5">
          <cell r="E5">
            <v>1</v>
          </cell>
        </row>
      </sheetData>
      <sheetData sheetId="5654">
        <row r="5">
          <cell r="E5">
            <v>1</v>
          </cell>
        </row>
      </sheetData>
      <sheetData sheetId="5655">
        <row r="5">
          <cell r="E5">
            <v>1</v>
          </cell>
        </row>
      </sheetData>
      <sheetData sheetId="5656">
        <row r="5">
          <cell r="E5">
            <v>1</v>
          </cell>
        </row>
      </sheetData>
      <sheetData sheetId="5657">
        <row r="5">
          <cell r="E5">
            <v>1</v>
          </cell>
        </row>
      </sheetData>
      <sheetData sheetId="5658">
        <row r="5">
          <cell r="E5">
            <v>1</v>
          </cell>
        </row>
      </sheetData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>
        <row r="5">
          <cell r="E5">
            <v>1</v>
          </cell>
        </row>
      </sheetData>
      <sheetData sheetId="5700">
        <row r="5">
          <cell r="E5">
            <v>1</v>
          </cell>
        </row>
      </sheetData>
      <sheetData sheetId="5701">
        <row r="5">
          <cell r="E5">
            <v>1</v>
          </cell>
        </row>
      </sheetData>
      <sheetData sheetId="5702">
        <row r="5">
          <cell r="E5">
            <v>1</v>
          </cell>
        </row>
      </sheetData>
      <sheetData sheetId="5703">
        <row r="5">
          <cell r="E5">
            <v>1</v>
          </cell>
        </row>
      </sheetData>
      <sheetData sheetId="5704">
        <row r="5">
          <cell r="E5">
            <v>1</v>
          </cell>
        </row>
      </sheetData>
      <sheetData sheetId="5705">
        <row r="5">
          <cell r="E5">
            <v>1</v>
          </cell>
        </row>
      </sheetData>
      <sheetData sheetId="5706">
        <row r="5">
          <cell r="E5">
            <v>1</v>
          </cell>
        </row>
      </sheetData>
      <sheetData sheetId="5707">
        <row r="5">
          <cell r="E5">
            <v>1</v>
          </cell>
        </row>
      </sheetData>
      <sheetData sheetId="5708">
        <row r="5">
          <cell r="E5">
            <v>1</v>
          </cell>
        </row>
      </sheetData>
      <sheetData sheetId="5709">
        <row r="5">
          <cell r="E5">
            <v>1</v>
          </cell>
        </row>
      </sheetData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>
        <row r="5">
          <cell r="E5">
            <v>1</v>
          </cell>
        </row>
      </sheetData>
      <sheetData sheetId="5759">
        <row r="5">
          <cell r="E5">
            <v>1</v>
          </cell>
        </row>
      </sheetData>
      <sheetData sheetId="5760">
        <row r="5">
          <cell r="E5">
            <v>1</v>
          </cell>
        </row>
      </sheetData>
      <sheetData sheetId="5761">
        <row r="5">
          <cell r="E5">
            <v>1</v>
          </cell>
        </row>
      </sheetData>
      <sheetData sheetId="5762">
        <row r="5">
          <cell r="E5">
            <v>1</v>
          </cell>
        </row>
      </sheetData>
      <sheetData sheetId="5763">
        <row r="5">
          <cell r="E5">
            <v>1</v>
          </cell>
        </row>
      </sheetData>
      <sheetData sheetId="5764">
        <row r="5">
          <cell r="E5">
            <v>1</v>
          </cell>
        </row>
      </sheetData>
      <sheetData sheetId="5765">
        <row r="5">
          <cell r="E5">
            <v>1</v>
          </cell>
        </row>
      </sheetData>
      <sheetData sheetId="5766">
        <row r="5">
          <cell r="E5">
            <v>1</v>
          </cell>
        </row>
      </sheetData>
      <sheetData sheetId="5767">
        <row r="5">
          <cell r="E5">
            <v>1</v>
          </cell>
        </row>
      </sheetData>
      <sheetData sheetId="5768">
        <row r="5">
          <cell r="E5">
            <v>1</v>
          </cell>
        </row>
      </sheetData>
      <sheetData sheetId="5769">
        <row r="5">
          <cell r="E5">
            <v>1</v>
          </cell>
        </row>
      </sheetData>
      <sheetData sheetId="5770">
        <row r="5">
          <cell r="E5">
            <v>1</v>
          </cell>
        </row>
      </sheetData>
      <sheetData sheetId="5771" refreshError="1"/>
      <sheetData sheetId="5772" refreshError="1"/>
      <sheetData sheetId="5773" refreshError="1"/>
      <sheetData sheetId="5774">
        <row r="5">
          <cell r="E5">
            <v>1</v>
          </cell>
        </row>
      </sheetData>
      <sheetData sheetId="5775" refreshError="1"/>
      <sheetData sheetId="5776" refreshError="1"/>
      <sheetData sheetId="5777">
        <row r="5">
          <cell r="E5" t="str">
            <v>1800001727</v>
          </cell>
        </row>
      </sheetData>
      <sheetData sheetId="5778">
        <row r="5">
          <cell r="E5" t="str">
            <v>1800001727</v>
          </cell>
        </row>
      </sheetData>
      <sheetData sheetId="5779">
        <row r="5">
          <cell r="E5" t="str">
            <v>1800001727</v>
          </cell>
        </row>
      </sheetData>
      <sheetData sheetId="5780">
        <row r="5">
          <cell r="E5">
            <v>1</v>
          </cell>
        </row>
      </sheetData>
      <sheetData sheetId="5781">
        <row r="5">
          <cell r="E5">
            <v>1</v>
          </cell>
        </row>
      </sheetData>
      <sheetData sheetId="5782">
        <row r="5">
          <cell r="E5">
            <v>1</v>
          </cell>
        </row>
      </sheetData>
      <sheetData sheetId="5783">
        <row r="5">
          <cell r="E5">
            <v>1</v>
          </cell>
        </row>
      </sheetData>
      <sheetData sheetId="5784">
        <row r="5">
          <cell r="E5">
            <v>1</v>
          </cell>
        </row>
      </sheetData>
      <sheetData sheetId="5785">
        <row r="5">
          <cell r="E5">
            <v>1</v>
          </cell>
        </row>
      </sheetData>
      <sheetData sheetId="5786">
        <row r="5">
          <cell r="E5">
            <v>1</v>
          </cell>
        </row>
      </sheetData>
      <sheetData sheetId="5787">
        <row r="5">
          <cell r="E5">
            <v>1</v>
          </cell>
        </row>
      </sheetData>
      <sheetData sheetId="5788">
        <row r="5">
          <cell r="E5">
            <v>1</v>
          </cell>
        </row>
      </sheetData>
      <sheetData sheetId="5789">
        <row r="5">
          <cell r="E5">
            <v>1</v>
          </cell>
        </row>
      </sheetData>
      <sheetData sheetId="5790">
        <row r="5">
          <cell r="E5">
            <v>1</v>
          </cell>
        </row>
      </sheetData>
      <sheetData sheetId="5791">
        <row r="5">
          <cell r="E5">
            <v>1</v>
          </cell>
        </row>
      </sheetData>
      <sheetData sheetId="5792">
        <row r="5">
          <cell r="E5">
            <v>1</v>
          </cell>
        </row>
      </sheetData>
      <sheetData sheetId="5793">
        <row r="5">
          <cell r="E5">
            <v>1</v>
          </cell>
        </row>
      </sheetData>
      <sheetData sheetId="5794">
        <row r="5">
          <cell r="E5">
            <v>1</v>
          </cell>
        </row>
      </sheetData>
      <sheetData sheetId="5795">
        <row r="5">
          <cell r="E5">
            <v>1</v>
          </cell>
        </row>
      </sheetData>
      <sheetData sheetId="5796">
        <row r="5">
          <cell r="E5">
            <v>1</v>
          </cell>
        </row>
      </sheetData>
      <sheetData sheetId="5797">
        <row r="5">
          <cell r="E5">
            <v>1</v>
          </cell>
        </row>
      </sheetData>
      <sheetData sheetId="5798">
        <row r="5">
          <cell r="E5">
            <v>1</v>
          </cell>
        </row>
      </sheetData>
      <sheetData sheetId="5799">
        <row r="5">
          <cell r="E5">
            <v>1</v>
          </cell>
        </row>
      </sheetData>
      <sheetData sheetId="5800">
        <row r="5">
          <cell r="E5">
            <v>1</v>
          </cell>
        </row>
      </sheetData>
      <sheetData sheetId="5801">
        <row r="5">
          <cell r="E5">
            <v>1</v>
          </cell>
        </row>
      </sheetData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>
        <row r="5">
          <cell r="E5">
            <v>1</v>
          </cell>
        </row>
      </sheetData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>
        <row r="5">
          <cell r="E5">
            <v>1</v>
          </cell>
        </row>
      </sheetData>
      <sheetData sheetId="5814">
        <row r="5">
          <cell r="E5">
            <v>1</v>
          </cell>
        </row>
      </sheetData>
      <sheetData sheetId="5815">
        <row r="5">
          <cell r="E5">
            <v>1</v>
          </cell>
        </row>
      </sheetData>
      <sheetData sheetId="5816">
        <row r="5">
          <cell r="E5">
            <v>1</v>
          </cell>
        </row>
      </sheetData>
      <sheetData sheetId="5817">
        <row r="5">
          <cell r="E5">
            <v>1</v>
          </cell>
        </row>
      </sheetData>
      <sheetData sheetId="5818">
        <row r="5">
          <cell r="E5">
            <v>1</v>
          </cell>
        </row>
      </sheetData>
      <sheetData sheetId="5819">
        <row r="5">
          <cell r="E5">
            <v>1</v>
          </cell>
        </row>
      </sheetData>
      <sheetData sheetId="5820">
        <row r="5">
          <cell r="E5">
            <v>1</v>
          </cell>
        </row>
      </sheetData>
      <sheetData sheetId="5821">
        <row r="5">
          <cell r="E5">
            <v>1</v>
          </cell>
        </row>
      </sheetData>
      <sheetData sheetId="5822">
        <row r="5">
          <cell r="E5">
            <v>1</v>
          </cell>
        </row>
      </sheetData>
      <sheetData sheetId="5823">
        <row r="5">
          <cell r="E5">
            <v>1</v>
          </cell>
        </row>
      </sheetData>
      <sheetData sheetId="5824">
        <row r="5">
          <cell r="E5">
            <v>1</v>
          </cell>
        </row>
      </sheetData>
      <sheetData sheetId="5825">
        <row r="5">
          <cell r="E5">
            <v>1</v>
          </cell>
        </row>
      </sheetData>
      <sheetData sheetId="5826">
        <row r="5">
          <cell r="E5">
            <v>1</v>
          </cell>
        </row>
      </sheetData>
      <sheetData sheetId="5827">
        <row r="5">
          <cell r="E5">
            <v>1</v>
          </cell>
        </row>
      </sheetData>
      <sheetData sheetId="5828">
        <row r="5">
          <cell r="E5">
            <v>1</v>
          </cell>
        </row>
      </sheetData>
      <sheetData sheetId="5829">
        <row r="5">
          <cell r="E5">
            <v>1</v>
          </cell>
        </row>
      </sheetData>
      <sheetData sheetId="5830">
        <row r="5">
          <cell r="E5">
            <v>1</v>
          </cell>
        </row>
      </sheetData>
      <sheetData sheetId="5831">
        <row r="5">
          <cell r="E5">
            <v>1</v>
          </cell>
        </row>
      </sheetData>
      <sheetData sheetId="5832"/>
      <sheetData sheetId="5833"/>
      <sheetData sheetId="5834">
        <row r="5">
          <cell r="E5">
            <v>1</v>
          </cell>
        </row>
      </sheetData>
      <sheetData sheetId="5835">
        <row r="5">
          <cell r="E5">
            <v>1</v>
          </cell>
        </row>
      </sheetData>
      <sheetData sheetId="5836">
        <row r="5">
          <cell r="E5">
            <v>1</v>
          </cell>
        </row>
      </sheetData>
      <sheetData sheetId="5837">
        <row r="5">
          <cell r="E5">
            <v>1</v>
          </cell>
        </row>
      </sheetData>
      <sheetData sheetId="5838">
        <row r="5">
          <cell r="E5">
            <v>1</v>
          </cell>
        </row>
      </sheetData>
      <sheetData sheetId="5839">
        <row r="5">
          <cell r="E5">
            <v>1</v>
          </cell>
        </row>
      </sheetData>
      <sheetData sheetId="5840">
        <row r="5">
          <cell r="E5">
            <v>1</v>
          </cell>
        </row>
      </sheetData>
      <sheetData sheetId="5841">
        <row r="5">
          <cell r="E5">
            <v>1</v>
          </cell>
        </row>
      </sheetData>
      <sheetData sheetId="5842">
        <row r="5">
          <cell r="E5">
            <v>1</v>
          </cell>
        </row>
      </sheetData>
      <sheetData sheetId="5843">
        <row r="5">
          <cell r="E5">
            <v>1</v>
          </cell>
        </row>
      </sheetData>
      <sheetData sheetId="5844">
        <row r="5">
          <cell r="E5">
            <v>1</v>
          </cell>
        </row>
      </sheetData>
      <sheetData sheetId="5845">
        <row r="5">
          <cell r="E5">
            <v>1</v>
          </cell>
        </row>
      </sheetData>
      <sheetData sheetId="5846">
        <row r="5">
          <cell r="E5">
            <v>1</v>
          </cell>
        </row>
      </sheetData>
      <sheetData sheetId="5847">
        <row r="5">
          <cell r="E5">
            <v>1</v>
          </cell>
        </row>
      </sheetData>
      <sheetData sheetId="5848">
        <row r="5">
          <cell r="E5">
            <v>1</v>
          </cell>
        </row>
      </sheetData>
      <sheetData sheetId="5849">
        <row r="5">
          <cell r="E5">
            <v>1</v>
          </cell>
        </row>
      </sheetData>
      <sheetData sheetId="5850">
        <row r="5">
          <cell r="E5">
            <v>1</v>
          </cell>
        </row>
      </sheetData>
      <sheetData sheetId="5851">
        <row r="5">
          <cell r="E5">
            <v>1</v>
          </cell>
        </row>
      </sheetData>
      <sheetData sheetId="5852">
        <row r="5">
          <cell r="E5">
            <v>1</v>
          </cell>
        </row>
      </sheetData>
      <sheetData sheetId="5853">
        <row r="5">
          <cell r="E5">
            <v>1</v>
          </cell>
        </row>
      </sheetData>
      <sheetData sheetId="5854">
        <row r="5">
          <cell r="E5">
            <v>1</v>
          </cell>
        </row>
      </sheetData>
      <sheetData sheetId="5855">
        <row r="5">
          <cell r="E5">
            <v>1</v>
          </cell>
        </row>
      </sheetData>
      <sheetData sheetId="5856">
        <row r="5">
          <cell r="E5">
            <v>1</v>
          </cell>
        </row>
      </sheetData>
      <sheetData sheetId="5857">
        <row r="5">
          <cell r="E5">
            <v>1</v>
          </cell>
        </row>
      </sheetData>
      <sheetData sheetId="5858">
        <row r="5">
          <cell r="E5">
            <v>1</v>
          </cell>
        </row>
      </sheetData>
      <sheetData sheetId="5859">
        <row r="5">
          <cell r="E5">
            <v>1</v>
          </cell>
        </row>
      </sheetData>
      <sheetData sheetId="5860">
        <row r="5">
          <cell r="E5">
            <v>1</v>
          </cell>
        </row>
      </sheetData>
      <sheetData sheetId="5861">
        <row r="5">
          <cell r="E5">
            <v>1</v>
          </cell>
        </row>
      </sheetData>
      <sheetData sheetId="5862">
        <row r="5">
          <cell r="E5">
            <v>1</v>
          </cell>
        </row>
      </sheetData>
      <sheetData sheetId="5863">
        <row r="5">
          <cell r="E5">
            <v>1</v>
          </cell>
        </row>
      </sheetData>
      <sheetData sheetId="5864">
        <row r="5">
          <cell r="E5">
            <v>1</v>
          </cell>
        </row>
      </sheetData>
      <sheetData sheetId="5865">
        <row r="5">
          <cell r="E5">
            <v>1</v>
          </cell>
        </row>
      </sheetData>
      <sheetData sheetId="5866">
        <row r="5">
          <cell r="E5">
            <v>1</v>
          </cell>
        </row>
      </sheetData>
      <sheetData sheetId="5867"/>
      <sheetData sheetId="5868">
        <row r="5">
          <cell r="E5">
            <v>1</v>
          </cell>
        </row>
      </sheetData>
      <sheetData sheetId="5869"/>
      <sheetData sheetId="5870">
        <row r="5">
          <cell r="E5">
            <v>1</v>
          </cell>
        </row>
      </sheetData>
      <sheetData sheetId="5871">
        <row r="5">
          <cell r="E5">
            <v>1</v>
          </cell>
        </row>
      </sheetData>
      <sheetData sheetId="5872">
        <row r="5">
          <cell r="E5">
            <v>1</v>
          </cell>
        </row>
      </sheetData>
      <sheetData sheetId="5873">
        <row r="5">
          <cell r="E5">
            <v>1</v>
          </cell>
        </row>
      </sheetData>
      <sheetData sheetId="5874"/>
      <sheetData sheetId="5875">
        <row r="5">
          <cell r="E5">
            <v>1</v>
          </cell>
        </row>
      </sheetData>
      <sheetData sheetId="5876">
        <row r="5">
          <cell r="E5">
            <v>1</v>
          </cell>
        </row>
      </sheetData>
      <sheetData sheetId="5877">
        <row r="5">
          <cell r="E5">
            <v>1</v>
          </cell>
        </row>
      </sheetData>
      <sheetData sheetId="5878">
        <row r="5">
          <cell r="E5">
            <v>1</v>
          </cell>
        </row>
      </sheetData>
      <sheetData sheetId="5879"/>
      <sheetData sheetId="5880">
        <row r="5">
          <cell r="E5">
            <v>1</v>
          </cell>
        </row>
      </sheetData>
      <sheetData sheetId="5881">
        <row r="5">
          <cell r="E5">
            <v>1</v>
          </cell>
        </row>
      </sheetData>
      <sheetData sheetId="5882">
        <row r="5">
          <cell r="E5">
            <v>1</v>
          </cell>
        </row>
      </sheetData>
      <sheetData sheetId="5883">
        <row r="5">
          <cell r="E5">
            <v>1</v>
          </cell>
        </row>
      </sheetData>
      <sheetData sheetId="5884">
        <row r="5">
          <cell r="E5">
            <v>1</v>
          </cell>
        </row>
      </sheetData>
      <sheetData sheetId="5885"/>
      <sheetData sheetId="5886"/>
      <sheetData sheetId="5887">
        <row r="5">
          <cell r="E5">
            <v>1</v>
          </cell>
        </row>
      </sheetData>
      <sheetData sheetId="5888">
        <row r="5">
          <cell r="E5">
            <v>1</v>
          </cell>
        </row>
      </sheetData>
      <sheetData sheetId="5889">
        <row r="5">
          <cell r="E5">
            <v>1</v>
          </cell>
        </row>
      </sheetData>
      <sheetData sheetId="5890">
        <row r="5">
          <cell r="E5">
            <v>1</v>
          </cell>
        </row>
      </sheetData>
      <sheetData sheetId="5891">
        <row r="5">
          <cell r="E5">
            <v>1</v>
          </cell>
        </row>
      </sheetData>
      <sheetData sheetId="5892">
        <row r="5">
          <cell r="E5">
            <v>1</v>
          </cell>
        </row>
      </sheetData>
      <sheetData sheetId="5893">
        <row r="5">
          <cell r="E5">
            <v>1</v>
          </cell>
        </row>
      </sheetData>
      <sheetData sheetId="5894">
        <row r="5">
          <cell r="E5">
            <v>1</v>
          </cell>
        </row>
      </sheetData>
      <sheetData sheetId="5895">
        <row r="5">
          <cell r="E5">
            <v>1</v>
          </cell>
        </row>
      </sheetData>
      <sheetData sheetId="5896">
        <row r="5">
          <cell r="E5">
            <v>1</v>
          </cell>
        </row>
      </sheetData>
      <sheetData sheetId="5897">
        <row r="5">
          <cell r="E5">
            <v>1</v>
          </cell>
        </row>
      </sheetData>
      <sheetData sheetId="5898">
        <row r="5">
          <cell r="E5">
            <v>1</v>
          </cell>
        </row>
      </sheetData>
      <sheetData sheetId="5899">
        <row r="5">
          <cell r="E5">
            <v>1</v>
          </cell>
        </row>
      </sheetData>
      <sheetData sheetId="5900">
        <row r="5">
          <cell r="E5">
            <v>1</v>
          </cell>
        </row>
      </sheetData>
      <sheetData sheetId="5901">
        <row r="5">
          <cell r="E5">
            <v>1</v>
          </cell>
        </row>
      </sheetData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>
        <row r="5">
          <cell r="E5">
            <v>1</v>
          </cell>
        </row>
      </sheetData>
      <sheetData sheetId="5915">
        <row r="5">
          <cell r="E5">
            <v>1</v>
          </cell>
        </row>
      </sheetData>
      <sheetData sheetId="5916"/>
      <sheetData sheetId="5917"/>
      <sheetData sheetId="5918"/>
      <sheetData sheetId="5919"/>
      <sheetData sheetId="5920"/>
      <sheetData sheetId="5921"/>
      <sheetData sheetId="5922"/>
      <sheetData sheetId="5923">
        <row r="5">
          <cell r="E5">
            <v>1</v>
          </cell>
        </row>
      </sheetData>
      <sheetData sheetId="5924">
        <row r="5">
          <cell r="E5">
            <v>1</v>
          </cell>
        </row>
      </sheetData>
      <sheetData sheetId="5925"/>
      <sheetData sheetId="5926"/>
      <sheetData sheetId="5927"/>
      <sheetData sheetId="5928">
        <row r="5">
          <cell r="E5">
            <v>1</v>
          </cell>
        </row>
      </sheetData>
      <sheetData sheetId="5929">
        <row r="5">
          <cell r="E5">
            <v>1</v>
          </cell>
        </row>
      </sheetData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>
        <row r="5">
          <cell r="E5">
            <v>1</v>
          </cell>
        </row>
      </sheetData>
      <sheetData sheetId="5952">
        <row r="5">
          <cell r="E5">
            <v>1</v>
          </cell>
        </row>
      </sheetData>
      <sheetData sheetId="5953">
        <row r="5">
          <cell r="E5">
            <v>1</v>
          </cell>
        </row>
      </sheetData>
      <sheetData sheetId="5954">
        <row r="5">
          <cell r="E5">
            <v>1</v>
          </cell>
        </row>
      </sheetData>
      <sheetData sheetId="5955">
        <row r="5">
          <cell r="E5">
            <v>1</v>
          </cell>
        </row>
      </sheetData>
      <sheetData sheetId="5956">
        <row r="5">
          <cell r="E5">
            <v>1</v>
          </cell>
        </row>
      </sheetData>
      <sheetData sheetId="5957">
        <row r="5">
          <cell r="E5">
            <v>1</v>
          </cell>
        </row>
      </sheetData>
      <sheetData sheetId="5958">
        <row r="5">
          <cell r="E5">
            <v>1</v>
          </cell>
        </row>
      </sheetData>
      <sheetData sheetId="5959">
        <row r="5">
          <cell r="E5">
            <v>1</v>
          </cell>
        </row>
      </sheetData>
      <sheetData sheetId="5960">
        <row r="5">
          <cell r="E5">
            <v>1</v>
          </cell>
        </row>
      </sheetData>
      <sheetData sheetId="5961">
        <row r="5">
          <cell r="E5">
            <v>1</v>
          </cell>
        </row>
      </sheetData>
      <sheetData sheetId="5962">
        <row r="5">
          <cell r="E5">
            <v>1</v>
          </cell>
        </row>
      </sheetData>
      <sheetData sheetId="5963"/>
      <sheetData sheetId="5964">
        <row r="5">
          <cell r="E5">
            <v>1</v>
          </cell>
        </row>
      </sheetData>
      <sheetData sheetId="5965">
        <row r="5">
          <cell r="E5">
            <v>1</v>
          </cell>
        </row>
      </sheetData>
      <sheetData sheetId="5966">
        <row r="5">
          <cell r="E5">
            <v>1</v>
          </cell>
        </row>
      </sheetData>
      <sheetData sheetId="5967">
        <row r="5">
          <cell r="E5">
            <v>1</v>
          </cell>
        </row>
      </sheetData>
      <sheetData sheetId="5968">
        <row r="5">
          <cell r="E5">
            <v>1</v>
          </cell>
        </row>
      </sheetData>
      <sheetData sheetId="5969"/>
      <sheetData sheetId="5970"/>
      <sheetData sheetId="5971">
        <row r="5">
          <cell r="E5">
            <v>1</v>
          </cell>
        </row>
      </sheetData>
      <sheetData sheetId="5972">
        <row r="5">
          <cell r="E5">
            <v>1</v>
          </cell>
        </row>
      </sheetData>
      <sheetData sheetId="5973">
        <row r="5">
          <cell r="E5">
            <v>1</v>
          </cell>
        </row>
      </sheetData>
      <sheetData sheetId="5974">
        <row r="5">
          <cell r="E5">
            <v>1</v>
          </cell>
        </row>
      </sheetData>
      <sheetData sheetId="5975">
        <row r="5">
          <cell r="E5">
            <v>1</v>
          </cell>
        </row>
      </sheetData>
      <sheetData sheetId="5976">
        <row r="5">
          <cell r="E5">
            <v>1</v>
          </cell>
        </row>
      </sheetData>
      <sheetData sheetId="5977">
        <row r="5">
          <cell r="E5">
            <v>1</v>
          </cell>
        </row>
      </sheetData>
      <sheetData sheetId="5978"/>
      <sheetData sheetId="5979">
        <row r="5">
          <cell r="E5">
            <v>1</v>
          </cell>
        </row>
      </sheetData>
      <sheetData sheetId="5980">
        <row r="5">
          <cell r="E5">
            <v>1</v>
          </cell>
        </row>
      </sheetData>
      <sheetData sheetId="5981">
        <row r="5">
          <cell r="E5">
            <v>1</v>
          </cell>
        </row>
      </sheetData>
      <sheetData sheetId="5982">
        <row r="5">
          <cell r="E5">
            <v>1</v>
          </cell>
        </row>
      </sheetData>
      <sheetData sheetId="5983"/>
      <sheetData sheetId="5984"/>
      <sheetData sheetId="5985">
        <row r="5">
          <cell r="E5">
            <v>1</v>
          </cell>
        </row>
      </sheetData>
      <sheetData sheetId="5986">
        <row r="5">
          <cell r="E5">
            <v>1</v>
          </cell>
        </row>
      </sheetData>
      <sheetData sheetId="5987">
        <row r="5">
          <cell r="E5">
            <v>1</v>
          </cell>
        </row>
      </sheetData>
      <sheetData sheetId="5988">
        <row r="5">
          <cell r="E5">
            <v>1</v>
          </cell>
        </row>
      </sheetData>
      <sheetData sheetId="5989">
        <row r="5">
          <cell r="E5">
            <v>1</v>
          </cell>
        </row>
      </sheetData>
      <sheetData sheetId="5990"/>
      <sheetData sheetId="5991"/>
      <sheetData sheetId="5992"/>
      <sheetData sheetId="5993"/>
      <sheetData sheetId="5994"/>
      <sheetData sheetId="5995"/>
      <sheetData sheetId="5996"/>
      <sheetData sheetId="5997">
        <row r="5">
          <cell r="E5">
            <v>1</v>
          </cell>
        </row>
      </sheetData>
      <sheetData sheetId="5998">
        <row r="5">
          <cell r="E5">
            <v>1</v>
          </cell>
        </row>
      </sheetData>
      <sheetData sheetId="5999"/>
      <sheetData sheetId="6000"/>
      <sheetData sheetId="6001"/>
      <sheetData sheetId="6002"/>
      <sheetData sheetId="6003"/>
      <sheetData sheetId="6004">
        <row r="5">
          <cell r="E5">
            <v>1</v>
          </cell>
        </row>
      </sheetData>
      <sheetData sheetId="6005"/>
      <sheetData sheetId="6006">
        <row r="5">
          <cell r="E5">
            <v>1</v>
          </cell>
        </row>
      </sheetData>
      <sheetData sheetId="6007"/>
      <sheetData sheetId="6008"/>
      <sheetData sheetId="6009">
        <row r="5">
          <cell r="E5">
            <v>1</v>
          </cell>
        </row>
      </sheetData>
      <sheetData sheetId="6010"/>
      <sheetData sheetId="6011"/>
      <sheetData sheetId="6012"/>
      <sheetData sheetId="6013"/>
      <sheetData sheetId="6014">
        <row r="5">
          <cell r="E5">
            <v>1</v>
          </cell>
        </row>
      </sheetData>
      <sheetData sheetId="6015"/>
      <sheetData sheetId="6016"/>
      <sheetData sheetId="6017"/>
      <sheetData sheetId="6018"/>
      <sheetData sheetId="6019">
        <row r="5">
          <cell r="E5">
            <v>1</v>
          </cell>
        </row>
      </sheetData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>
        <row r="5">
          <cell r="E5">
            <v>1</v>
          </cell>
        </row>
      </sheetData>
      <sheetData sheetId="6210">
        <row r="5">
          <cell r="E5">
            <v>1</v>
          </cell>
        </row>
      </sheetData>
      <sheetData sheetId="6211">
        <row r="5">
          <cell r="E5">
            <v>1</v>
          </cell>
        </row>
      </sheetData>
      <sheetData sheetId="6212">
        <row r="5">
          <cell r="E5">
            <v>1</v>
          </cell>
        </row>
      </sheetData>
      <sheetData sheetId="6213"/>
      <sheetData sheetId="6214"/>
      <sheetData sheetId="6215">
        <row r="5">
          <cell r="G5">
            <v>1</v>
          </cell>
        </row>
      </sheetData>
      <sheetData sheetId="6216">
        <row r="5">
          <cell r="G5">
            <v>1</v>
          </cell>
        </row>
      </sheetData>
      <sheetData sheetId="6217"/>
      <sheetData sheetId="6218">
        <row r="5">
          <cell r="G5">
            <v>1</v>
          </cell>
        </row>
      </sheetData>
      <sheetData sheetId="6219">
        <row r="5">
          <cell r="E5">
            <v>1</v>
          </cell>
        </row>
      </sheetData>
      <sheetData sheetId="6220">
        <row r="5">
          <cell r="E5">
            <v>1</v>
          </cell>
        </row>
      </sheetData>
      <sheetData sheetId="6221">
        <row r="5">
          <cell r="E5">
            <v>1</v>
          </cell>
        </row>
      </sheetData>
      <sheetData sheetId="6222">
        <row r="5">
          <cell r="E5">
            <v>1</v>
          </cell>
        </row>
      </sheetData>
      <sheetData sheetId="6223">
        <row r="5">
          <cell r="E5">
            <v>1</v>
          </cell>
        </row>
      </sheetData>
      <sheetData sheetId="6224">
        <row r="5">
          <cell r="E5">
            <v>1</v>
          </cell>
        </row>
      </sheetData>
      <sheetData sheetId="6225">
        <row r="5">
          <cell r="E5">
            <v>1</v>
          </cell>
        </row>
      </sheetData>
      <sheetData sheetId="6226">
        <row r="5">
          <cell r="E5">
            <v>1</v>
          </cell>
        </row>
      </sheetData>
      <sheetData sheetId="6227">
        <row r="5">
          <cell r="E5">
            <v>1</v>
          </cell>
        </row>
      </sheetData>
      <sheetData sheetId="6228"/>
      <sheetData sheetId="6229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/>
      <sheetData sheetId="6256"/>
      <sheetData sheetId="6257"/>
      <sheetData sheetId="6258"/>
      <sheetData sheetId="6259"/>
      <sheetData sheetId="6260">
        <row r="5">
          <cell r="E5">
            <v>1</v>
          </cell>
        </row>
      </sheetData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>
        <row r="5">
          <cell r="E5">
            <v>1</v>
          </cell>
        </row>
      </sheetData>
      <sheetData sheetId="6280"/>
      <sheetData sheetId="6281">
        <row r="5">
          <cell r="E5" t="str">
            <v>1800001727</v>
          </cell>
        </row>
      </sheetData>
      <sheetData sheetId="6282"/>
      <sheetData sheetId="6283"/>
      <sheetData sheetId="6284">
        <row r="5">
          <cell r="G5">
            <v>1</v>
          </cell>
        </row>
      </sheetData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>
        <row r="5">
          <cell r="E5" t="str">
            <v>1800001727</v>
          </cell>
        </row>
      </sheetData>
      <sheetData sheetId="6301">
        <row r="5">
          <cell r="E5" t="str">
            <v>1800001727</v>
          </cell>
        </row>
      </sheetData>
      <sheetData sheetId="6302">
        <row r="5">
          <cell r="E5" t="str">
            <v>1800001727</v>
          </cell>
        </row>
      </sheetData>
      <sheetData sheetId="6303"/>
      <sheetData sheetId="6304"/>
      <sheetData sheetId="6305"/>
      <sheetData sheetId="6306"/>
      <sheetData sheetId="6307"/>
      <sheetData sheetId="6308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/>
      <sheetData sheetId="6315"/>
      <sheetData sheetId="6316"/>
      <sheetData sheetId="6317" refreshError="1"/>
      <sheetData sheetId="6318" refreshError="1"/>
      <sheetData sheetId="6319" refreshError="1"/>
      <sheetData sheetId="6320"/>
      <sheetData sheetId="6321"/>
      <sheetData sheetId="6322" refreshError="1"/>
      <sheetData sheetId="6323" refreshError="1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>
        <row r="5">
          <cell r="E5">
            <v>1</v>
          </cell>
        </row>
      </sheetData>
      <sheetData sheetId="6335"/>
      <sheetData sheetId="6336">
        <row r="5">
          <cell r="E5">
            <v>1</v>
          </cell>
        </row>
      </sheetData>
      <sheetData sheetId="6337"/>
      <sheetData sheetId="6338"/>
      <sheetData sheetId="6339"/>
      <sheetData sheetId="6340">
        <row r="5">
          <cell r="E5">
            <v>1</v>
          </cell>
        </row>
      </sheetData>
      <sheetData sheetId="6341"/>
      <sheetData sheetId="6342"/>
      <sheetData sheetId="6343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>
        <row r="5">
          <cell r="E5">
            <v>1</v>
          </cell>
        </row>
      </sheetData>
      <sheetData sheetId="6398">
        <row r="5">
          <cell r="E5">
            <v>1</v>
          </cell>
        </row>
      </sheetData>
      <sheetData sheetId="6399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>
        <row r="5">
          <cell r="E5">
            <v>1</v>
          </cell>
        </row>
      </sheetData>
      <sheetData sheetId="6424">
        <row r="5">
          <cell r="E5">
            <v>1</v>
          </cell>
        </row>
      </sheetData>
      <sheetData sheetId="6425">
        <row r="5">
          <cell r="E5">
            <v>1</v>
          </cell>
        </row>
      </sheetData>
      <sheetData sheetId="6426">
        <row r="5">
          <cell r="E5">
            <v>1</v>
          </cell>
        </row>
      </sheetData>
      <sheetData sheetId="6427">
        <row r="5">
          <cell r="E5">
            <v>1</v>
          </cell>
        </row>
      </sheetData>
      <sheetData sheetId="6428">
        <row r="5">
          <cell r="E5">
            <v>1</v>
          </cell>
        </row>
      </sheetData>
      <sheetData sheetId="6429">
        <row r="5">
          <cell r="E5">
            <v>1</v>
          </cell>
        </row>
      </sheetData>
      <sheetData sheetId="6430">
        <row r="5">
          <cell r="E5">
            <v>1</v>
          </cell>
        </row>
      </sheetData>
      <sheetData sheetId="6431">
        <row r="5">
          <cell r="E5">
            <v>1</v>
          </cell>
        </row>
      </sheetData>
      <sheetData sheetId="6432">
        <row r="5">
          <cell r="E5">
            <v>1</v>
          </cell>
        </row>
      </sheetData>
      <sheetData sheetId="6433">
        <row r="5">
          <cell r="E5">
            <v>1</v>
          </cell>
        </row>
      </sheetData>
      <sheetData sheetId="6434">
        <row r="5">
          <cell r="E5">
            <v>1</v>
          </cell>
        </row>
      </sheetData>
      <sheetData sheetId="6435">
        <row r="5">
          <cell r="E5">
            <v>1</v>
          </cell>
        </row>
      </sheetData>
      <sheetData sheetId="6436">
        <row r="5">
          <cell r="E5">
            <v>1</v>
          </cell>
        </row>
      </sheetData>
      <sheetData sheetId="6437">
        <row r="5">
          <cell r="E5">
            <v>1</v>
          </cell>
        </row>
      </sheetData>
      <sheetData sheetId="6438">
        <row r="5">
          <cell r="E5">
            <v>1</v>
          </cell>
        </row>
      </sheetData>
      <sheetData sheetId="6439">
        <row r="5">
          <cell r="E5">
            <v>1</v>
          </cell>
        </row>
      </sheetData>
      <sheetData sheetId="6440">
        <row r="5">
          <cell r="E5">
            <v>1</v>
          </cell>
        </row>
      </sheetData>
      <sheetData sheetId="6441">
        <row r="5">
          <cell r="E5">
            <v>1</v>
          </cell>
        </row>
      </sheetData>
      <sheetData sheetId="6442">
        <row r="5">
          <cell r="E5">
            <v>1</v>
          </cell>
        </row>
      </sheetData>
      <sheetData sheetId="6443">
        <row r="5">
          <cell r="E5">
            <v>1</v>
          </cell>
        </row>
      </sheetData>
      <sheetData sheetId="6444">
        <row r="5">
          <cell r="E5">
            <v>1</v>
          </cell>
        </row>
      </sheetData>
      <sheetData sheetId="6445">
        <row r="5">
          <cell r="E5">
            <v>1</v>
          </cell>
        </row>
      </sheetData>
      <sheetData sheetId="6446">
        <row r="5">
          <cell r="E5">
            <v>1</v>
          </cell>
        </row>
      </sheetData>
      <sheetData sheetId="6447">
        <row r="5">
          <cell r="E5">
            <v>1</v>
          </cell>
        </row>
      </sheetData>
      <sheetData sheetId="6448">
        <row r="5">
          <cell r="E5">
            <v>1</v>
          </cell>
        </row>
      </sheetData>
      <sheetData sheetId="6449">
        <row r="5">
          <cell r="E5">
            <v>1</v>
          </cell>
        </row>
      </sheetData>
      <sheetData sheetId="6450">
        <row r="5">
          <cell r="E5">
            <v>1</v>
          </cell>
        </row>
      </sheetData>
      <sheetData sheetId="6451">
        <row r="5">
          <cell r="E5">
            <v>1</v>
          </cell>
        </row>
      </sheetData>
      <sheetData sheetId="6452">
        <row r="5">
          <cell r="E5">
            <v>1</v>
          </cell>
        </row>
      </sheetData>
      <sheetData sheetId="6453">
        <row r="5">
          <cell r="E5">
            <v>1</v>
          </cell>
        </row>
      </sheetData>
      <sheetData sheetId="6454">
        <row r="5">
          <cell r="E5">
            <v>1</v>
          </cell>
        </row>
      </sheetData>
      <sheetData sheetId="6455">
        <row r="5">
          <cell r="E5">
            <v>1</v>
          </cell>
        </row>
      </sheetData>
      <sheetData sheetId="6456">
        <row r="5">
          <cell r="E5">
            <v>1</v>
          </cell>
        </row>
      </sheetData>
      <sheetData sheetId="6457">
        <row r="5">
          <cell r="E5">
            <v>1</v>
          </cell>
        </row>
      </sheetData>
      <sheetData sheetId="6458">
        <row r="5">
          <cell r="E5">
            <v>1</v>
          </cell>
        </row>
      </sheetData>
      <sheetData sheetId="6459">
        <row r="5">
          <cell r="E5">
            <v>1</v>
          </cell>
        </row>
      </sheetData>
      <sheetData sheetId="6460">
        <row r="5">
          <cell r="E5">
            <v>1</v>
          </cell>
        </row>
      </sheetData>
      <sheetData sheetId="6461">
        <row r="5">
          <cell r="E5">
            <v>1</v>
          </cell>
        </row>
      </sheetData>
      <sheetData sheetId="6462">
        <row r="5">
          <cell r="E5">
            <v>1</v>
          </cell>
        </row>
      </sheetData>
      <sheetData sheetId="6463">
        <row r="5">
          <cell r="E5">
            <v>1</v>
          </cell>
        </row>
      </sheetData>
      <sheetData sheetId="6464">
        <row r="5">
          <cell r="E5">
            <v>1</v>
          </cell>
        </row>
      </sheetData>
      <sheetData sheetId="6465">
        <row r="5">
          <cell r="E5">
            <v>1</v>
          </cell>
        </row>
      </sheetData>
      <sheetData sheetId="6466">
        <row r="5">
          <cell r="E5">
            <v>1</v>
          </cell>
        </row>
      </sheetData>
      <sheetData sheetId="6467">
        <row r="5">
          <cell r="E5">
            <v>1</v>
          </cell>
        </row>
      </sheetData>
      <sheetData sheetId="6468">
        <row r="5">
          <cell r="E5">
            <v>1</v>
          </cell>
        </row>
      </sheetData>
      <sheetData sheetId="6469">
        <row r="5">
          <cell r="E5">
            <v>1</v>
          </cell>
        </row>
      </sheetData>
      <sheetData sheetId="6470"/>
      <sheetData sheetId="6471">
        <row r="5">
          <cell r="E5">
            <v>1</v>
          </cell>
        </row>
      </sheetData>
      <sheetData sheetId="6472">
        <row r="5">
          <cell r="E5">
            <v>1</v>
          </cell>
        </row>
      </sheetData>
      <sheetData sheetId="6473">
        <row r="5">
          <cell r="E5">
            <v>1</v>
          </cell>
        </row>
      </sheetData>
      <sheetData sheetId="6474">
        <row r="5">
          <cell r="E5">
            <v>1</v>
          </cell>
        </row>
      </sheetData>
      <sheetData sheetId="6475">
        <row r="5">
          <cell r="E5">
            <v>1</v>
          </cell>
        </row>
      </sheetData>
      <sheetData sheetId="6476">
        <row r="5">
          <cell r="E5">
            <v>1</v>
          </cell>
        </row>
      </sheetData>
      <sheetData sheetId="6477">
        <row r="5">
          <cell r="E5">
            <v>1</v>
          </cell>
        </row>
      </sheetData>
      <sheetData sheetId="6478">
        <row r="5">
          <cell r="E5">
            <v>1</v>
          </cell>
        </row>
      </sheetData>
      <sheetData sheetId="6479">
        <row r="5">
          <cell r="E5">
            <v>1</v>
          </cell>
        </row>
      </sheetData>
      <sheetData sheetId="6480">
        <row r="5">
          <cell r="E5">
            <v>1</v>
          </cell>
        </row>
      </sheetData>
      <sheetData sheetId="6481">
        <row r="5">
          <cell r="E5">
            <v>1</v>
          </cell>
        </row>
      </sheetData>
      <sheetData sheetId="6482">
        <row r="5">
          <cell r="E5">
            <v>1</v>
          </cell>
        </row>
      </sheetData>
      <sheetData sheetId="6483">
        <row r="5">
          <cell r="E5">
            <v>1</v>
          </cell>
        </row>
      </sheetData>
      <sheetData sheetId="6484">
        <row r="5">
          <cell r="E5">
            <v>1</v>
          </cell>
        </row>
      </sheetData>
      <sheetData sheetId="6485">
        <row r="5">
          <cell r="E5">
            <v>1</v>
          </cell>
        </row>
      </sheetData>
      <sheetData sheetId="6486">
        <row r="5">
          <cell r="E5">
            <v>1</v>
          </cell>
        </row>
      </sheetData>
      <sheetData sheetId="6487">
        <row r="5">
          <cell r="E5">
            <v>1</v>
          </cell>
        </row>
      </sheetData>
      <sheetData sheetId="6488">
        <row r="5">
          <cell r="E5">
            <v>1</v>
          </cell>
        </row>
      </sheetData>
      <sheetData sheetId="6489">
        <row r="5">
          <cell r="E5">
            <v>1</v>
          </cell>
        </row>
      </sheetData>
      <sheetData sheetId="6490">
        <row r="5">
          <cell r="E5">
            <v>1</v>
          </cell>
        </row>
      </sheetData>
      <sheetData sheetId="6491">
        <row r="5">
          <cell r="E5">
            <v>1</v>
          </cell>
        </row>
      </sheetData>
      <sheetData sheetId="6492">
        <row r="5">
          <cell r="E5">
            <v>1</v>
          </cell>
        </row>
      </sheetData>
      <sheetData sheetId="6493">
        <row r="5">
          <cell r="E5">
            <v>1</v>
          </cell>
        </row>
      </sheetData>
      <sheetData sheetId="6494">
        <row r="5">
          <cell r="E5">
            <v>1</v>
          </cell>
        </row>
      </sheetData>
      <sheetData sheetId="6495">
        <row r="5">
          <cell r="E5">
            <v>1</v>
          </cell>
        </row>
      </sheetData>
      <sheetData sheetId="6496">
        <row r="5">
          <cell r="E5">
            <v>1</v>
          </cell>
        </row>
      </sheetData>
      <sheetData sheetId="6497">
        <row r="5">
          <cell r="E5">
            <v>1</v>
          </cell>
        </row>
      </sheetData>
      <sheetData sheetId="6498">
        <row r="5">
          <cell r="E5">
            <v>1</v>
          </cell>
        </row>
      </sheetData>
      <sheetData sheetId="6499">
        <row r="5">
          <cell r="E5">
            <v>1</v>
          </cell>
        </row>
      </sheetData>
      <sheetData sheetId="6500">
        <row r="5">
          <cell r="E5">
            <v>1</v>
          </cell>
        </row>
      </sheetData>
      <sheetData sheetId="6501">
        <row r="5">
          <cell r="E5">
            <v>1</v>
          </cell>
        </row>
      </sheetData>
      <sheetData sheetId="6502">
        <row r="5">
          <cell r="E5">
            <v>1</v>
          </cell>
        </row>
      </sheetData>
      <sheetData sheetId="6503">
        <row r="5">
          <cell r="E5">
            <v>1</v>
          </cell>
        </row>
      </sheetData>
      <sheetData sheetId="6504">
        <row r="5">
          <cell r="E5">
            <v>1</v>
          </cell>
        </row>
      </sheetData>
      <sheetData sheetId="6505">
        <row r="5">
          <cell r="E5">
            <v>1</v>
          </cell>
        </row>
      </sheetData>
      <sheetData sheetId="6506">
        <row r="5">
          <cell r="E5">
            <v>1</v>
          </cell>
        </row>
      </sheetData>
      <sheetData sheetId="6507">
        <row r="5">
          <cell r="E5">
            <v>1</v>
          </cell>
        </row>
      </sheetData>
      <sheetData sheetId="6508">
        <row r="5">
          <cell r="E5">
            <v>1</v>
          </cell>
        </row>
      </sheetData>
      <sheetData sheetId="6509">
        <row r="5">
          <cell r="E5">
            <v>1</v>
          </cell>
        </row>
      </sheetData>
      <sheetData sheetId="6510">
        <row r="5">
          <cell r="E5">
            <v>1</v>
          </cell>
        </row>
      </sheetData>
      <sheetData sheetId="6511">
        <row r="5">
          <cell r="E5">
            <v>1</v>
          </cell>
        </row>
      </sheetData>
      <sheetData sheetId="6512">
        <row r="5">
          <cell r="E5">
            <v>1</v>
          </cell>
        </row>
      </sheetData>
      <sheetData sheetId="6513">
        <row r="5">
          <cell r="E5">
            <v>1</v>
          </cell>
        </row>
      </sheetData>
      <sheetData sheetId="6514">
        <row r="5">
          <cell r="E5">
            <v>1</v>
          </cell>
        </row>
      </sheetData>
      <sheetData sheetId="6515">
        <row r="5">
          <cell r="E5">
            <v>1</v>
          </cell>
        </row>
      </sheetData>
      <sheetData sheetId="6516">
        <row r="5">
          <cell r="E5">
            <v>1</v>
          </cell>
        </row>
      </sheetData>
      <sheetData sheetId="6517">
        <row r="5">
          <cell r="E5">
            <v>1</v>
          </cell>
        </row>
      </sheetData>
      <sheetData sheetId="6518">
        <row r="5">
          <cell r="E5">
            <v>1</v>
          </cell>
        </row>
      </sheetData>
      <sheetData sheetId="6519">
        <row r="5">
          <cell r="E5">
            <v>1</v>
          </cell>
        </row>
      </sheetData>
      <sheetData sheetId="6520">
        <row r="5">
          <cell r="E5">
            <v>1</v>
          </cell>
        </row>
      </sheetData>
      <sheetData sheetId="6521">
        <row r="5">
          <cell r="E5">
            <v>1</v>
          </cell>
        </row>
      </sheetData>
      <sheetData sheetId="6522">
        <row r="5">
          <cell r="E5">
            <v>1</v>
          </cell>
        </row>
      </sheetData>
      <sheetData sheetId="6523">
        <row r="5">
          <cell r="E5">
            <v>1</v>
          </cell>
        </row>
      </sheetData>
      <sheetData sheetId="6524">
        <row r="5">
          <cell r="E5">
            <v>1</v>
          </cell>
        </row>
      </sheetData>
      <sheetData sheetId="6525">
        <row r="5">
          <cell r="E5">
            <v>1</v>
          </cell>
        </row>
      </sheetData>
      <sheetData sheetId="6526">
        <row r="5">
          <cell r="E5">
            <v>1</v>
          </cell>
        </row>
      </sheetData>
      <sheetData sheetId="6527">
        <row r="5">
          <cell r="E5">
            <v>1</v>
          </cell>
        </row>
      </sheetData>
      <sheetData sheetId="6528">
        <row r="5">
          <cell r="E5">
            <v>1</v>
          </cell>
        </row>
      </sheetData>
      <sheetData sheetId="6529">
        <row r="5">
          <cell r="E5">
            <v>1</v>
          </cell>
        </row>
      </sheetData>
      <sheetData sheetId="6530">
        <row r="5">
          <cell r="E5">
            <v>1</v>
          </cell>
        </row>
      </sheetData>
      <sheetData sheetId="6531">
        <row r="5">
          <cell r="E5">
            <v>1</v>
          </cell>
        </row>
      </sheetData>
      <sheetData sheetId="6532">
        <row r="5">
          <cell r="E5">
            <v>1</v>
          </cell>
        </row>
      </sheetData>
      <sheetData sheetId="6533">
        <row r="5">
          <cell r="E5">
            <v>1</v>
          </cell>
        </row>
      </sheetData>
      <sheetData sheetId="6534">
        <row r="5">
          <cell r="E5">
            <v>1</v>
          </cell>
        </row>
      </sheetData>
      <sheetData sheetId="6535">
        <row r="5">
          <cell r="E5">
            <v>1</v>
          </cell>
        </row>
      </sheetData>
      <sheetData sheetId="6536">
        <row r="5">
          <cell r="E5">
            <v>1</v>
          </cell>
        </row>
      </sheetData>
      <sheetData sheetId="6537">
        <row r="5">
          <cell r="E5">
            <v>1</v>
          </cell>
        </row>
      </sheetData>
      <sheetData sheetId="6538">
        <row r="5">
          <cell r="E5">
            <v>1</v>
          </cell>
        </row>
      </sheetData>
      <sheetData sheetId="6539">
        <row r="5">
          <cell r="E5">
            <v>1</v>
          </cell>
        </row>
      </sheetData>
      <sheetData sheetId="6540">
        <row r="5">
          <cell r="E5">
            <v>1</v>
          </cell>
        </row>
      </sheetData>
      <sheetData sheetId="6541">
        <row r="5">
          <cell r="E5">
            <v>1</v>
          </cell>
        </row>
      </sheetData>
      <sheetData sheetId="6542">
        <row r="5">
          <cell r="E5">
            <v>1</v>
          </cell>
        </row>
      </sheetData>
      <sheetData sheetId="6543">
        <row r="5">
          <cell r="E5">
            <v>1</v>
          </cell>
        </row>
      </sheetData>
      <sheetData sheetId="6544">
        <row r="5">
          <cell r="E5">
            <v>1</v>
          </cell>
        </row>
      </sheetData>
      <sheetData sheetId="6545">
        <row r="5">
          <cell r="E5">
            <v>1</v>
          </cell>
        </row>
      </sheetData>
      <sheetData sheetId="6546">
        <row r="5">
          <cell r="E5">
            <v>1</v>
          </cell>
        </row>
      </sheetData>
      <sheetData sheetId="6547">
        <row r="5">
          <cell r="E5">
            <v>1</v>
          </cell>
        </row>
      </sheetData>
      <sheetData sheetId="6548">
        <row r="5">
          <cell r="E5">
            <v>1</v>
          </cell>
        </row>
      </sheetData>
      <sheetData sheetId="6549">
        <row r="5">
          <cell r="E5">
            <v>1</v>
          </cell>
        </row>
      </sheetData>
      <sheetData sheetId="6550">
        <row r="5">
          <cell r="E5">
            <v>1</v>
          </cell>
        </row>
      </sheetData>
      <sheetData sheetId="6551">
        <row r="5">
          <cell r="E5">
            <v>1</v>
          </cell>
        </row>
      </sheetData>
      <sheetData sheetId="6552">
        <row r="5">
          <cell r="E5">
            <v>1</v>
          </cell>
        </row>
      </sheetData>
      <sheetData sheetId="6553">
        <row r="5">
          <cell r="E5">
            <v>1</v>
          </cell>
        </row>
      </sheetData>
      <sheetData sheetId="6554">
        <row r="5">
          <cell r="E5">
            <v>1</v>
          </cell>
        </row>
      </sheetData>
      <sheetData sheetId="6555">
        <row r="5">
          <cell r="E5">
            <v>1</v>
          </cell>
        </row>
      </sheetData>
      <sheetData sheetId="6556">
        <row r="5">
          <cell r="E5">
            <v>1</v>
          </cell>
        </row>
      </sheetData>
      <sheetData sheetId="6557">
        <row r="5">
          <cell r="E5">
            <v>1</v>
          </cell>
        </row>
      </sheetData>
      <sheetData sheetId="6558">
        <row r="5">
          <cell r="E5">
            <v>1</v>
          </cell>
        </row>
      </sheetData>
      <sheetData sheetId="6559">
        <row r="5">
          <cell r="E5">
            <v>1</v>
          </cell>
        </row>
      </sheetData>
      <sheetData sheetId="6560">
        <row r="5">
          <cell r="E5">
            <v>1</v>
          </cell>
        </row>
      </sheetData>
      <sheetData sheetId="6561">
        <row r="5">
          <cell r="E5">
            <v>1</v>
          </cell>
        </row>
      </sheetData>
      <sheetData sheetId="6562">
        <row r="5">
          <cell r="E5">
            <v>1</v>
          </cell>
        </row>
      </sheetData>
      <sheetData sheetId="6563">
        <row r="5">
          <cell r="E5">
            <v>1</v>
          </cell>
        </row>
      </sheetData>
      <sheetData sheetId="6564">
        <row r="5">
          <cell r="E5">
            <v>1</v>
          </cell>
        </row>
      </sheetData>
      <sheetData sheetId="6565">
        <row r="5">
          <cell r="E5">
            <v>1</v>
          </cell>
        </row>
      </sheetData>
      <sheetData sheetId="6566"/>
      <sheetData sheetId="6567">
        <row r="5">
          <cell r="E5">
            <v>1</v>
          </cell>
        </row>
      </sheetData>
      <sheetData sheetId="6568"/>
      <sheetData sheetId="6569">
        <row r="5">
          <cell r="E5">
            <v>1</v>
          </cell>
        </row>
      </sheetData>
      <sheetData sheetId="6570">
        <row r="5">
          <cell r="E5">
            <v>1</v>
          </cell>
        </row>
      </sheetData>
      <sheetData sheetId="6571">
        <row r="5">
          <cell r="E5">
            <v>1</v>
          </cell>
        </row>
      </sheetData>
      <sheetData sheetId="6572">
        <row r="5">
          <cell r="E5">
            <v>1</v>
          </cell>
        </row>
      </sheetData>
      <sheetData sheetId="6573">
        <row r="5">
          <cell r="E5">
            <v>1</v>
          </cell>
        </row>
      </sheetData>
      <sheetData sheetId="6574"/>
      <sheetData sheetId="6575">
        <row r="5">
          <cell r="E5">
            <v>1</v>
          </cell>
        </row>
      </sheetData>
      <sheetData sheetId="6576">
        <row r="5">
          <cell r="E5">
            <v>1</v>
          </cell>
        </row>
      </sheetData>
      <sheetData sheetId="6577">
        <row r="5">
          <cell r="E5">
            <v>1</v>
          </cell>
        </row>
      </sheetData>
      <sheetData sheetId="6578">
        <row r="5">
          <cell r="E5">
            <v>1</v>
          </cell>
        </row>
      </sheetData>
      <sheetData sheetId="6579"/>
      <sheetData sheetId="6580">
        <row r="5">
          <cell r="E5">
            <v>1</v>
          </cell>
        </row>
      </sheetData>
      <sheetData sheetId="6581">
        <row r="5">
          <cell r="E5">
            <v>1</v>
          </cell>
        </row>
      </sheetData>
      <sheetData sheetId="6582">
        <row r="5">
          <cell r="E5">
            <v>1</v>
          </cell>
        </row>
      </sheetData>
      <sheetData sheetId="6583">
        <row r="5">
          <cell r="E5">
            <v>1</v>
          </cell>
        </row>
      </sheetData>
      <sheetData sheetId="6584">
        <row r="5">
          <cell r="E5">
            <v>1</v>
          </cell>
        </row>
      </sheetData>
      <sheetData sheetId="6585">
        <row r="5">
          <cell r="E5">
            <v>1</v>
          </cell>
        </row>
      </sheetData>
      <sheetData sheetId="6586">
        <row r="5">
          <cell r="E5">
            <v>1</v>
          </cell>
        </row>
      </sheetData>
      <sheetData sheetId="6587">
        <row r="5">
          <cell r="E5">
            <v>1</v>
          </cell>
        </row>
      </sheetData>
      <sheetData sheetId="6588">
        <row r="5">
          <cell r="E5">
            <v>1</v>
          </cell>
        </row>
      </sheetData>
      <sheetData sheetId="6589">
        <row r="5">
          <cell r="E5">
            <v>1</v>
          </cell>
        </row>
      </sheetData>
      <sheetData sheetId="6590">
        <row r="5">
          <cell r="E5">
            <v>1</v>
          </cell>
        </row>
      </sheetData>
      <sheetData sheetId="6591">
        <row r="5">
          <cell r="E5">
            <v>1</v>
          </cell>
        </row>
      </sheetData>
      <sheetData sheetId="6592">
        <row r="5">
          <cell r="E5">
            <v>1</v>
          </cell>
        </row>
      </sheetData>
      <sheetData sheetId="6593">
        <row r="5">
          <cell r="E5">
            <v>1</v>
          </cell>
        </row>
      </sheetData>
      <sheetData sheetId="6594">
        <row r="5">
          <cell r="E5">
            <v>1</v>
          </cell>
        </row>
      </sheetData>
      <sheetData sheetId="6595">
        <row r="5">
          <cell r="E5">
            <v>1</v>
          </cell>
        </row>
      </sheetData>
      <sheetData sheetId="6596">
        <row r="5">
          <cell r="E5">
            <v>1</v>
          </cell>
        </row>
      </sheetData>
      <sheetData sheetId="6597">
        <row r="5">
          <cell r="E5">
            <v>1</v>
          </cell>
        </row>
      </sheetData>
      <sheetData sheetId="6598">
        <row r="5">
          <cell r="E5">
            <v>1</v>
          </cell>
        </row>
      </sheetData>
      <sheetData sheetId="6599">
        <row r="5">
          <cell r="E5">
            <v>1</v>
          </cell>
        </row>
      </sheetData>
      <sheetData sheetId="6600">
        <row r="5">
          <cell r="E5">
            <v>1</v>
          </cell>
        </row>
      </sheetData>
      <sheetData sheetId="6601">
        <row r="5">
          <cell r="E5">
            <v>1</v>
          </cell>
        </row>
      </sheetData>
      <sheetData sheetId="6602">
        <row r="5">
          <cell r="E5">
            <v>1</v>
          </cell>
        </row>
      </sheetData>
      <sheetData sheetId="6603">
        <row r="5">
          <cell r="E5">
            <v>1</v>
          </cell>
        </row>
      </sheetData>
      <sheetData sheetId="6604">
        <row r="5">
          <cell r="E5">
            <v>1</v>
          </cell>
        </row>
      </sheetData>
      <sheetData sheetId="6605">
        <row r="5">
          <cell r="E5">
            <v>1</v>
          </cell>
        </row>
      </sheetData>
      <sheetData sheetId="6606">
        <row r="5">
          <cell r="E5">
            <v>1</v>
          </cell>
        </row>
      </sheetData>
      <sheetData sheetId="6607">
        <row r="5">
          <cell r="E5">
            <v>1</v>
          </cell>
        </row>
      </sheetData>
      <sheetData sheetId="6608">
        <row r="5">
          <cell r="E5">
            <v>1</v>
          </cell>
        </row>
      </sheetData>
      <sheetData sheetId="6609">
        <row r="5">
          <cell r="E5">
            <v>1</v>
          </cell>
        </row>
      </sheetData>
      <sheetData sheetId="6610">
        <row r="5">
          <cell r="E5">
            <v>1</v>
          </cell>
        </row>
      </sheetData>
      <sheetData sheetId="6611">
        <row r="5">
          <cell r="E5">
            <v>1</v>
          </cell>
        </row>
      </sheetData>
      <sheetData sheetId="6612">
        <row r="5">
          <cell r="E5">
            <v>1</v>
          </cell>
        </row>
      </sheetData>
      <sheetData sheetId="6613">
        <row r="5">
          <cell r="E5">
            <v>1</v>
          </cell>
        </row>
      </sheetData>
      <sheetData sheetId="6614">
        <row r="5">
          <cell r="E5">
            <v>1</v>
          </cell>
        </row>
      </sheetData>
      <sheetData sheetId="6615">
        <row r="5">
          <cell r="E5">
            <v>1</v>
          </cell>
        </row>
      </sheetData>
      <sheetData sheetId="6616">
        <row r="5">
          <cell r="E5">
            <v>1</v>
          </cell>
        </row>
      </sheetData>
      <sheetData sheetId="6617">
        <row r="5">
          <cell r="E5">
            <v>1</v>
          </cell>
        </row>
      </sheetData>
      <sheetData sheetId="6618">
        <row r="5">
          <cell r="E5">
            <v>1</v>
          </cell>
        </row>
      </sheetData>
      <sheetData sheetId="6619">
        <row r="5">
          <cell r="E5">
            <v>1</v>
          </cell>
        </row>
      </sheetData>
      <sheetData sheetId="6620">
        <row r="5">
          <cell r="E5">
            <v>1</v>
          </cell>
        </row>
      </sheetData>
      <sheetData sheetId="6621">
        <row r="5">
          <cell r="E5">
            <v>1</v>
          </cell>
        </row>
      </sheetData>
      <sheetData sheetId="6622">
        <row r="5">
          <cell r="E5">
            <v>1</v>
          </cell>
        </row>
      </sheetData>
      <sheetData sheetId="6623">
        <row r="5">
          <cell r="E5">
            <v>1</v>
          </cell>
        </row>
      </sheetData>
      <sheetData sheetId="6624">
        <row r="5">
          <cell r="E5">
            <v>1</v>
          </cell>
        </row>
      </sheetData>
      <sheetData sheetId="6625">
        <row r="5">
          <cell r="E5">
            <v>1</v>
          </cell>
        </row>
      </sheetData>
      <sheetData sheetId="6626">
        <row r="5">
          <cell r="E5">
            <v>1</v>
          </cell>
        </row>
      </sheetData>
      <sheetData sheetId="6627">
        <row r="5">
          <cell r="E5">
            <v>1</v>
          </cell>
        </row>
      </sheetData>
      <sheetData sheetId="6628">
        <row r="5">
          <cell r="E5">
            <v>1</v>
          </cell>
        </row>
      </sheetData>
      <sheetData sheetId="6629">
        <row r="5">
          <cell r="E5">
            <v>1</v>
          </cell>
        </row>
      </sheetData>
      <sheetData sheetId="6630">
        <row r="5">
          <cell r="E5">
            <v>1</v>
          </cell>
        </row>
      </sheetData>
      <sheetData sheetId="6631">
        <row r="5">
          <cell r="E5">
            <v>1</v>
          </cell>
        </row>
      </sheetData>
      <sheetData sheetId="6632">
        <row r="5">
          <cell r="E5">
            <v>1</v>
          </cell>
        </row>
      </sheetData>
      <sheetData sheetId="6633">
        <row r="5">
          <cell r="E5">
            <v>1</v>
          </cell>
        </row>
      </sheetData>
      <sheetData sheetId="6634">
        <row r="5">
          <cell r="E5">
            <v>1</v>
          </cell>
        </row>
      </sheetData>
      <sheetData sheetId="6635">
        <row r="5">
          <cell r="E5">
            <v>1</v>
          </cell>
        </row>
      </sheetData>
      <sheetData sheetId="6636">
        <row r="5">
          <cell r="E5">
            <v>1</v>
          </cell>
        </row>
      </sheetData>
      <sheetData sheetId="6637">
        <row r="5">
          <cell r="E5">
            <v>1</v>
          </cell>
        </row>
      </sheetData>
      <sheetData sheetId="6638">
        <row r="5">
          <cell r="E5">
            <v>1</v>
          </cell>
        </row>
      </sheetData>
      <sheetData sheetId="6639">
        <row r="5">
          <cell r="E5">
            <v>1</v>
          </cell>
        </row>
      </sheetData>
      <sheetData sheetId="6640">
        <row r="5">
          <cell r="E5">
            <v>1</v>
          </cell>
        </row>
      </sheetData>
      <sheetData sheetId="6641">
        <row r="5">
          <cell r="E5">
            <v>1</v>
          </cell>
        </row>
      </sheetData>
      <sheetData sheetId="6642">
        <row r="5">
          <cell r="E5">
            <v>1</v>
          </cell>
        </row>
      </sheetData>
      <sheetData sheetId="6643">
        <row r="5">
          <cell r="E5">
            <v>1</v>
          </cell>
        </row>
      </sheetData>
      <sheetData sheetId="6644">
        <row r="5">
          <cell r="E5">
            <v>1</v>
          </cell>
        </row>
      </sheetData>
      <sheetData sheetId="6645">
        <row r="5">
          <cell r="E5">
            <v>1</v>
          </cell>
        </row>
      </sheetData>
      <sheetData sheetId="6646">
        <row r="5">
          <cell r="E5">
            <v>1</v>
          </cell>
        </row>
      </sheetData>
      <sheetData sheetId="6647">
        <row r="5">
          <cell r="E5">
            <v>1</v>
          </cell>
        </row>
      </sheetData>
      <sheetData sheetId="6648">
        <row r="5">
          <cell r="E5">
            <v>1</v>
          </cell>
        </row>
      </sheetData>
      <sheetData sheetId="6649">
        <row r="5">
          <cell r="E5">
            <v>1</v>
          </cell>
        </row>
      </sheetData>
      <sheetData sheetId="6650">
        <row r="5">
          <cell r="E5">
            <v>1</v>
          </cell>
        </row>
      </sheetData>
      <sheetData sheetId="6651">
        <row r="5">
          <cell r="E5">
            <v>1</v>
          </cell>
        </row>
      </sheetData>
      <sheetData sheetId="6652">
        <row r="5">
          <cell r="E5">
            <v>1</v>
          </cell>
        </row>
      </sheetData>
      <sheetData sheetId="6653">
        <row r="5">
          <cell r="E5">
            <v>1</v>
          </cell>
        </row>
      </sheetData>
      <sheetData sheetId="6654">
        <row r="5">
          <cell r="E5">
            <v>1</v>
          </cell>
        </row>
      </sheetData>
      <sheetData sheetId="6655">
        <row r="5">
          <cell r="E5">
            <v>1</v>
          </cell>
        </row>
      </sheetData>
      <sheetData sheetId="6656">
        <row r="5">
          <cell r="E5">
            <v>1</v>
          </cell>
        </row>
      </sheetData>
      <sheetData sheetId="6657">
        <row r="5">
          <cell r="E5">
            <v>1</v>
          </cell>
        </row>
      </sheetData>
      <sheetData sheetId="6658">
        <row r="5">
          <cell r="E5">
            <v>1</v>
          </cell>
        </row>
      </sheetData>
      <sheetData sheetId="6659">
        <row r="5">
          <cell r="E5">
            <v>1</v>
          </cell>
        </row>
      </sheetData>
      <sheetData sheetId="6660">
        <row r="5">
          <cell r="E5">
            <v>1</v>
          </cell>
        </row>
      </sheetData>
      <sheetData sheetId="6661">
        <row r="5">
          <cell r="E5">
            <v>1</v>
          </cell>
        </row>
      </sheetData>
      <sheetData sheetId="6662">
        <row r="5">
          <cell r="E5">
            <v>1</v>
          </cell>
        </row>
      </sheetData>
      <sheetData sheetId="6663">
        <row r="5">
          <cell r="E5">
            <v>1</v>
          </cell>
        </row>
      </sheetData>
      <sheetData sheetId="6664">
        <row r="5">
          <cell r="E5">
            <v>1</v>
          </cell>
        </row>
      </sheetData>
      <sheetData sheetId="6665">
        <row r="5">
          <cell r="E5">
            <v>1</v>
          </cell>
        </row>
      </sheetData>
      <sheetData sheetId="6666">
        <row r="5">
          <cell r="E5">
            <v>1</v>
          </cell>
        </row>
      </sheetData>
      <sheetData sheetId="6667">
        <row r="5">
          <cell r="E5">
            <v>1</v>
          </cell>
        </row>
      </sheetData>
      <sheetData sheetId="6668">
        <row r="5">
          <cell r="E5">
            <v>1</v>
          </cell>
        </row>
      </sheetData>
      <sheetData sheetId="6669">
        <row r="5">
          <cell r="E5">
            <v>1</v>
          </cell>
        </row>
      </sheetData>
      <sheetData sheetId="6670">
        <row r="5">
          <cell r="E5">
            <v>1</v>
          </cell>
        </row>
      </sheetData>
      <sheetData sheetId="6671">
        <row r="5">
          <cell r="E5">
            <v>1</v>
          </cell>
        </row>
      </sheetData>
      <sheetData sheetId="6672">
        <row r="5">
          <cell r="E5">
            <v>1</v>
          </cell>
        </row>
      </sheetData>
      <sheetData sheetId="6673">
        <row r="5">
          <cell r="E5">
            <v>1</v>
          </cell>
        </row>
      </sheetData>
      <sheetData sheetId="6674">
        <row r="5">
          <cell r="E5">
            <v>1</v>
          </cell>
        </row>
      </sheetData>
      <sheetData sheetId="6675">
        <row r="5">
          <cell r="E5">
            <v>1</v>
          </cell>
        </row>
      </sheetData>
      <sheetData sheetId="6676">
        <row r="5">
          <cell r="E5">
            <v>1</v>
          </cell>
        </row>
      </sheetData>
      <sheetData sheetId="6677">
        <row r="5">
          <cell r="E5">
            <v>1</v>
          </cell>
        </row>
      </sheetData>
      <sheetData sheetId="6678">
        <row r="5">
          <cell r="E5">
            <v>1</v>
          </cell>
        </row>
      </sheetData>
      <sheetData sheetId="6679">
        <row r="5">
          <cell r="E5">
            <v>1</v>
          </cell>
        </row>
      </sheetData>
      <sheetData sheetId="6680">
        <row r="5">
          <cell r="E5">
            <v>1</v>
          </cell>
        </row>
      </sheetData>
      <sheetData sheetId="6681">
        <row r="5">
          <cell r="E5">
            <v>1</v>
          </cell>
        </row>
      </sheetData>
      <sheetData sheetId="6682">
        <row r="5">
          <cell r="E5">
            <v>1</v>
          </cell>
        </row>
      </sheetData>
      <sheetData sheetId="6683">
        <row r="5">
          <cell r="E5">
            <v>1</v>
          </cell>
        </row>
      </sheetData>
      <sheetData sheetId="6684">
        <row r="5">
          <cell r="E5">
            <v>1</v>
          </cell>
        </row>
      </sheetData>
      <sheetData sheetId="6685">
        <row r="5">
          <cell r="E5">
            <v>1</v>
          </cell>
        </row>
      </sheetData>
      <sheetData sheetId="6686">
        <row r="5">
          <cell r="E5">
            <v>1</v>
          </cell>
        </row>
      </sheetData>
      <sheetData sheetId="6687">
        <row r="5">
          <cell r="E5">
            <v>1</v>
          </cell>
        </row>
      </sheetData>
      <sheetData sheetId="6688">
        <row r="5">
          <cell r="E5">
            <v>1</v>
          </cell>
        </row>
      </sheetData>
      <sheetData sheetId="6689">
        <row r="5">
          <cell r="E5">
            <v>1</v>
          </cell>
        </row>
      </sheetData>
      <sheetData sheetId="6690">
        <row r="5">
          <cell r="E5">
            <v>1</v>
          </cell>
        </row>
      </sheetData>
      <sheetData sheetId="6691">
        <row r="5">
          <cell r="E5">
            <v>1</v>
          </cell>
        </row>
      </sheetData>
      <sheetData sheetId="6692">
        <row r="5">
          <cell r="E5">
            <v>1</v>
          </cell>
        </row>
      </sheetData>
      <sheetData sheetId="6693">
        <row r="5">
          <cell r="E5">
            <v>1</v>
          </cell>
        </row>
      </sheetData>
      <sheetData sheetId="6694">
        <row r="5">
          <cell r="E5">
            <v>1</v>
          </cell>
        </row>
      </sheetData>
      <sheetData sheetId="6695">
        <row r="5">
          <cell r="E5">
            <v>1</v>
          </cell>
        </row>
      </sheetData>
      <sheetData sheetId="6696">
        <row r="5">
          <cell r="E5">
            <v>1</v>
          </cell>
        </row>
      </sheetData>
      <sheetData sheetId="6697">
        <row r="5">
          <cell r="E5">
            <v>1</v>
          </cell>
        </row>
      </sheetData>
      <sheetData sheetId="6698">
        <row r="5">
          <cell r="E5">
            <v>1</v>
          </cell>
        </row>
      </sheetData>
      <sheetData sheetId="6699">
        <row r="5">
          <cell r="E5">
            <v>1</v>
          </cell>
        </row>
      </sheetData>
      <sheetData sheetId="6700">
        <row r="5">
          <cell r="E5">
            <v>1</v>
          </cell>
        </row>
      </sheetData>
      <sheetData sheetId="6701">
        <row r="5">
          <cell r="E5">
            <v>1</v>
          </cell>
        </row>
      </sheetData>
      <sheetData sheetId="6702">
        <row r="5">
          <cell r="E5">
            <v>1</v>
          </cell>
        </row>
      </sheetData>
      <sheetData sheetId="6703">
        <row r="5">
          <cell r="E5">
            <v>1</v>
          </cell>
        </row>
      </sheetData>
      <sheetData sheetId="6704">
        <row r="5">
          <cell r="E5">
            <v>1</v>
          </cell>
        </row>
      </sheetData>
      <sheetData sheetId="6705"/>
      <sheetData sheetId="6706">
        <row r="5">
          <cell r="E5">
            <v>1</v>
          </cell>
        </row>
      </sheetData>
      <sheetData sheetId="6707">
        <row r="5">
          <cell r="E5">
            <v>1</v>
          </cell>
        </row>
      </sheetData>
      <sheetData sheetId="6708"/>
      <sheetData sheetId="6709">
        <row r="5">
          <cell r="E5">
            <v>1</v>
          </cell>
        </row>
      </sheetData>
      <sheetData sheetId="6710">
        <row r="5">
          <cell r="E5">
            <v>1</v>
          </cell>
        </row>
      </sheetData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>
        <row r="5">
          <cell r="E5">
            <v>1</v>
          </cell>
        </row>
      </sheetData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>
        <row r="5">
          <cell r="E5">
            <v>1</v>
          </cell>
        </row>
      </sheetData>
      <sheetData sheetId="6744">
        <row r="5">
          <cell r="E5">
            <v>1</v>
          </cell>
        </row>
      </sheetData>
      <sheetData sheetId="6745">
        <row r="5">
          <cell r="E5">
            <v>1</v>
          </cell>
        </row>
      </sheetData>
      <sheetData sheetId="6746">
        <row r="5">
          <cell r="E5">
            <v>1</v>
          </cell>
        </row>
      </sheetData>
      <sheetData sheetId="6747">
        <row r="5">
          <cell r="E5">
            <v>1</v>
          </cell>
        </row>
      </sheetData>
      <sheetData sheetId="6748">
        <row r="5">
          <cell r="E5">
            <v>1</v>
          </cell>
        </row>
      </sheetData>
      <sheetData sheetId="6749">
        <row r="5">
          <cell r="E5">
            <v>1</v>
          </cell>
        </row>
      </sheetData>
      <sheetData sheetId="6750">
        <row r="5">
          <cell r="E5">
            <v>1</v>
          </cell>
        </row>
      </sheetData>
      <sheetData sheetId="6751">
        <row r="5">
          <cell r="E5">
            <v>1</v>
          </cell>
        </row>
      </sheetData>
      <sheetData sheetId="6752">
        <row r="5">
          <cell r="E5">
            <v>1</v>
          </cell>
        </row>
      </sheetData>
      <sheetData sheetId="6753">
        <row r="5">
          <cell r="E5">
            <v>1</v>
          </cell>
        </row>
      </sheetData>
      <sheetData sheetId="6754">
        <row r="5">
          <cell r="E5">
            <v>1</v>
          </cell>
        </row>
      </sheetData>
      <sheetData sheetId="6755">
        <row r="5">
          <cell r="E5">
            <v>1</v>
          </cell>
        </row>
      </sheetData>
      <sheetData sheetId="6756">
        <row r="5">
          <cell r="E5">
            <v>1</v>
          </cell>
        </row>
      </sheetData>
      <sheetData sheetId="6757">
        <row r="5">
          <cell r="E5">
            <v>1</v>
          </cell>
        </row>
      </sheetData>
      <sheetData sheetId="6758">
        <row r="5">
          <cell r="E5">
            <v>1</v>
          </cell>
        </row>
      </sheetData>
      <sheetData sheetId="6759">
        <row r="5">
          <cell r="E5">
            <v>1</v>
          </cell>
        </row>
      </sheetData>
      <sheetData sheetId="6760">
        <row r="5">
          <cell r="E5">
            <v>1</v>
          </cell>
        </row>
      </sheetData>
      <sheetData sheetId="6761">
        <row r="5">
          <cell r="E5">
            <v>1</v>
          </cell>
        </row>
      </sheetData>
      <sheetData sheetId="6762">
        <row r="5">
          <cell r="E5">
            <v>1</v>
          </cell>
        </row>
      </sheetData>
      <sheetData sheetId="6763">
        <row r="5">
          <cell r="E5">
            <v>1</v>
          </cell>
        </row>
      </sheetData>
      <sheetData sheetId="6764">
        <row r="5">
          <cell r="E5">
            <v>1</v>
          </cell>
        </row>
      </sheetData>
      <sheetData sheetId="6765">
        <row r="5">
          <cell r="E5">
            <v>1</v>
          </cell>
        </row>
      </sheetData>
      <sheetData sheetId="6766">
        <row r="5">
          <cell r="E5">
            <v>1</v>
          </cell>
        </row>
      </sheetData>
      <sheetData sheetId="6767">
        <row r="5">
          <cell r="E5">
            <v>1</v>
          </cell>
        </row>
      </sheetData>
      <sheetData sheetId="6768">
        <row r="5">
          <cell r="E5">
            <v>1</v>
          </cell>
        </row>
      </sheetData>
      <sheetData sheetId="6769">
        <row r="5">
          <cell r="E5">
            <v>1</v>
          </cell>
        </row>
      </sheetData>
      <sheetData sheetId="6770">
        <row r="5">
          <cell r="E5">
            <v>1</v>
          </cell>
        </row>
      </sheetData>
      <sheetData sheetId="6771">
        <row r="5">
          <cell r="E5">
            <v>1</v>
          </cell>
        </row>
      </sheetData>
      <sheetData sheetId="6772">
        <row r="5">
          <cell r="E5">
            <v>1</v>
          </cell>
        </row>
      </sheetData>
      <sheetData sheetId="6773">
        <row r="5">
          <cell r="E5">
            <v>1</v>
          </cell>
        </row>
      </sheetData>
      <sheetData sheetId="6774">
        <row r="5">
          <cell r="E5">
            <v>1</v>
          </cell>
        </row>
      </sheetData>
      <sheetData sheetId="6775">
        <row r="5">
          <cell r="E5">
            <v>1</v>
          </cell>
        </row>
      </sheetData>
      <sheetData sheetId="6776">
        <row r="5">
          <cell r="E5">
            <v>1</v>
          </cell>
        </row>
      </sheetData>
      <sheetData sheetId="6777">
        <row r="5">
          <cell r="E5">
            <v>1</v>
          </cell>
        </row>
      </sheetData>
      <sheetData sheetId="6778">
        <row r="5">
          <cell r="E5">
            <v>1</v>
          </cell>
        </row>
      </sheetData>
      <sheetData sheetId="6779">
        <row r="5">
          <cell r="E5">
            <v>1</v>
          </cell>
        </row>
      </sheetData>
      <sheetData sheetId="6780">
        <row r="5">
          <cell r="E5">
            <v>1</v>
          </cell>
        </row>
      </sheetData>
      <sheetData sheetId="6781">
        <row r="5">
          <cell r="E5">
            <v>1</v>
          </cell>
        </row>
      </sheetData>
      <sheetData sheetId="6782">
        <row r="5">
          <cell r="E5">
            <v>1</v>
          </cell>
        </row>
      </sheetData>
      <sheetData sheetId="6783">
        <row r="5">
          <cell r="E5">
            <v>1</v>
          </cell>
        </row>
      </sheetData>
      <sheetData sheetId="6784">
        <row r="5">
          <cell r="E5">
            <v>1</v>
          </cell>
        </row>
      </sheetData>
      <sheetData sheetId="6785">
        <row r="5">
          <cell r="E5">
            <v>1</v>
          </cell>
        </row>
      </sheetData>
      <sheetData sheetId="6786">
        <row r="5">
          <cell r="E5">
            <v>1</v>
          </cell>
        </row>
      </sheetData>
      <sheetData sheetId="6787">
        <row r="5">
          <cell r="E5">
            <v>1</v>
          </cell>
        </row>
      </sheetData>
      <sheetData sheetId="6788">
        <row r="5">
          <cell r="E5">
            <v>1</v>
          </cell>
        </row>
      </sheetData>
      <sheetData sheetId="6789">
        <row r="5">
          <cell r="E5">
            <v>1</v>
          </cell>
        </row>
      </sheetData>
      <sheetData sheetId="6790">
        <row r="5">
          <cell r="E5">
            <v>1</v>
          </cell>
        </row>
      </sheetData>
      <sheetData sheetId="6791">
        <row r="5">
          <cell r="E5">
            <v>1</v>
          </cell>
        </row>
      </sheetData>
      <sheetData sheetId="6792">
        <row r="5">
          <cell r="E5">
            <v>1</v>
          </cell>
        </row>
      </sheetData>
      <sheetData sheetId="6793">
        <row r="5">
          <cell r="E5">
            <v>1</v>
          </cell>
        </row>
      </sheetData>
      <sheetData sheetId="6794">
        <row r="5">
          <cell r="E5">
            <v>1</v>
          </cell>
        </row>
      </sheetData>
      <sheetData sheetId="6795">
        <row r="5">
          <cell r="E5">
            <v>1</v>
          </cell>
        </row>
      </sheetData>
      <sheetData sheetId="6796">
        <row r="5">
          <cell r="E5">
            <v>1</v>
          </cell>
        </row>
      </sheetData>
      <sheetData sheetId="6797">
        <row r="5">
          <cell r="E5">
            <v>1</v>
          </cell>
        </row>
      </sheetData>
      <sheetData sheetId="6798">
        <row r="5">
          <cell r="E5">
            <v>1</v>
          </cell>
        </row>
      </sheetData>
      <sheetData sheetId="6799">
        <row r="5">
          <cell r="E5">
            <v>1</v>
          </cell>
        </row>
      </sheetData>
      <sheetData sheetId="6800">
        <row r="5">
          <cell r="E5">
            <v>1</v>
          </cell>
        </row>
      </sheetData>
      <sheetData sheetId="6801">
        <row r="5">
          <cell r="E5">
            <v>1</v>
          </cell>
        </row>
      </sheetData>
      <sheetData sheetId="6802">
        <row r="5">
          <cell r="E5">
            <v>1</v>
          </cell>
        </row>
      </sheetData>
      <sheetData sheetId="6803">
        <row r="5">
          <cell r="E5">
            <v>1</v>
          </cell>
        </row>
      </sheetData>
      <sheetData sheetId="6804">
        <row r="5">
          <cell r="E5">
            <v>1</v>
          </cell>
        </row>
      </sheetData>
      <sheetData sheetId="6805">
        <row r="5">
          <cell r="E5">
            <v>1</v>
          </cell>
        </row>
      </sheetData>
      <sheetData sheetId="6806">
        <row r="5">
          <cell r="E5">
            <v>1</v>
          </cell>
        </row>
      </sheetData>
      <sheetData sheetId="6807">
        <row r="5">
          <cell r="E5">
            <v>1</v>
          </cell>
        </row>
      </sheetData>
      <sheetData sheetId="6808">
        <row r="5">
          <cell r="E5">
            <v>1</v>
          </cell>
        </row>
      </sheetData>
      <sheetData sheetId="6809">
        <row r="5">
          <cell r="E5">
            <v>1</v>
          </cell>
        </row>
      </sheetData>
      <sheetData sheetId="6810">
        <row r="5">
          <cell r="E5">
            <v>1</v>
          </cell>
        </row>
      </sheetData>
      <sheetData sheetId="6811">
        <row r="5">
          <cell r="E5">
            <v>1</v>
          </cell>
        </row>
      </sheetData>
      <sheetData sheetId="6812">
        <row r="5">
          <cell r="E5">
            <v>1</v>
          </cell>
        </row>
      </sheetData>
      <sheetData sheetId="6813">
        <row r="5">
          <cell r="E5">
            <v>1</v>
          </cell>
        </row>
      </sheetData>
      <sheetData sheetId="6814">
        <row r="5">
          <cell r="E5">
            <v>1</v>
          </cell>
        </row>
      </sheetData>
      <sheetData sheetId="6815">
        <row r="5">
          <cell r="E5">
            <v>1</v>
          </cell>
        </row>
      </sheetData>
      <sheetData sheetId="6816">
        <row r="5">
          <cell r="E5">
            <v>1</v>
          </cell>
        </row>
      </sheetData>
      <sheetData sheetId="6817">
        <row r="5">
          <cell r="E5">
            <v>1</v>
          </cell>
        </row>
      </sheetData>
      <sheetData sheetId="6818">
        <row r="5">
          <cell r="E5">
            <v>1</v>
          </cell>
        </row>
      </sheetData>
      <sheetData sheetId="6819">
        <row r="5">
          <cell r="E5">
            <v>1</v>
          </cell>
        </row>
      </sheetData>
      <sheetData sheetId="6820">
        <row r="5">
          <cell r="E5">
            <v>1</v>
          </cell>
        </row>
      </sheetData>
      <sheetData sheetId="6821">
        <row r="5">
          <cell r="E5">
            <v>1</v>
          </cell>
        </row>
      </sheetData>
      <sheetData sheetId="6822">
        <row r="5">
          <cell r="E5">
            <v>1</v>
          </cell>
        </row>
      </sheetData>
      <sheetData sheetId="6823">
        <row r="5">
          <cell r="E5">
            <v>1</v>
          </cell>
        </row>
      </sheetData>
      <sheetData sheetId="6824">
        <row r="5">
          <cell r="E5">
            <v>1</v>
          </cell>
        </row>
      </sheetData>
      <sheetData sheetId="6825">
        <row r="5">
          <cell r="E5">
            <v>1</v>
          </cell>
        </row>
      </sheetData>
      <sheetData sheetId="6826">
        <row r="5">
          <cell r="E5">
            <v>1</v>
          </cell>
        </row>
      </sheetData>
      <sheetData sheetId="6827">
        <row r="5">
          <cell r="E5">
            <v>1</v>
          </cell>
        </row>
      </sheetData>
      <sheetData sheetId="6828"/>
      <sheetData sheetId="6829"/>
      <sheetData sheetId="6830"/>
      <sheetData sheetId="6831">
        <row r="5">
          <cell r="E5">
            <v>1</v>
          </cell>
        </row>
      </sheetData>
      <sheetData sheetId="6832"/>
      <sheetData sheetId="6833"/>
      <sheetData sheetId="6834"/>
      <sheetData sheetId="6835"/>
      <sheetData sheetId="6836">
        <row r="5">
          <cell r="E5">
            <v>1</v>
          </cell>
        </row>
      </sheetData>
      <sheetData sheetId="6837"/>
      <sheetData sheetId="6838"/>
      <sheetData sheetId="6839"/>
      <sheetData sheetId="6840"/>
      <sheetData sheetId="6841"/>
      <sheetData sheetId="6842"/>
      <sheetData sheetId="6843">
        <row r="5">
          <cell r="E5">
            <v>1</v>
          </cell>
        </row>
      </sheetData>
      <sheetData sheetId="6844"/>
      <sheetData sheetId="6845">
        <row r="5">
          <cell r="E5">
            <v>1</v>
          </cell>
        </row>
      </sheetData>
      <sheetData sheetId="6846"/>
      <sheetData sheetId="6847"/>
      <sheetData sheetId="6848"/>
      <sheetData sheetId="6849">
        <row r="5">
          <cell r="E5">
            <v>1</v>
          </cell>
        </row>
      </sheetData>
      <sheetData sheetId="6850">
        <row r="5">
          <cell r="E5">
            <v>1</v>
          </cell>
        </row>
      </sheetData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>
        <row r="5">
          <cell r="G5" t="str">
            <v>Mar</v>
          </cell>
        </row>
      </sheetData>
      <sheetData sheetId="6880">
        <row r="5">
          <cell r="G5" t="str">
            <v>Mar</v>
          </cell>
        </row>
      </sheetData>
      <sheetData sheetId="6881">
        <row r="5">
          <cell r="G5" t="str">
            <v>Mar</v>
          </cell>
        </row>
      </sheetData>
      <sheetData sheetId="6882">
        <row r="5">
          <cell r="G5" t="str">
            <v>Mar</v>
          </cell>
        </row>
      </sheetData>
      <sheetData sheetId="6883">
        <row r="5">
          <cell r="G5" t="str">
            <v>Mar</v>
          </cell>
        </row>
      </sheetData>
      <sheetData sheetId="6884">
        <row r="5">
          <cell r="G5" t="str">
            <v>Mar</v>
          </cell>
        </row>
      </sheetData>
      <sheetData sheetId="6885">
        <row r="5">
          <cell r="G5" t="str">
            <v>Mar</v>
          </cell>
        </row>
      </sheetData>
      <sheetData sheetId="6886">
        <row r="5">
          <cell r="G5" t="str">
            <v>Mar</v>
          </cell>
        </row>
      </sheetData>
      <sheetData sheetId="6887">
        <row r="5">
          <cell r="G5" t="str">
            <v>Mar</v>
          </cell>
        </row>
      </sheetData>
      <sheetData sheetId="6888">
        <row r="5">
          <cell r="G5" t="str">
            <v>Mar</v>
          </cell>
        </row>
      </sheetData>
      <sheetData sheetId="6889">
        <row r="5">
          <cell r="G5" t="str">
            <v>Mar</v>
          </cell>
        </row>
      </sheetData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>
        <row r="5">
          <cell r="E5">
            <v>1</v>
          </cell>
        </row>
      </sheetData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>
        <row r="5">
          <cell r="E5">
            <v>1</v>
          </cell>
        </row>
      </sheetData>
      <sheetData sheetId="6928"/>
      <sheetData sheetId="6929"/>
      <sheetData sheetId="6930"/>
      <sheetData sheetId="6931">
        <row r="5">
          <cell r="E5">
            <v>1</v>
          </cell>
        </row>
      </sheetData>
      <sheetData sheetId="6932">
        <row r="5">
          <cell r="E5">
            <v>1</v>
          </cell>
        </row>
      </sheetData>
      <sheetData sheetId="6933"/>
      <sheetData sheetId="6934"/>
      <sheetData sheetId="6935"/>
      <sheetData sheetId="6936"/>
      <sheetData sheetId="6937">
        <row r="5">
          <cell r="E5">
            <v>1</v>
          </cell>
        </row>
      </sheetData>
      <sheetData sheetId="6938"/>
      <sheetData sheetId="6939"/>
      <sheetData sheetId="6940"/>
      <sheetData sheetId="6941">
        <row r="5">
          <cell r="E5">
            <v>1</v>
          </cell>
        </row>
      </sheetData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>
        <row r="5">
          <cell r="E5">
            <v>1</v>
          </cell>
        </row>
      </sheetData>
      <sheetData sheetId="6960">
        <row r="5">
          <cell r="E5">
            <v>1</v>
          </cell>
        </row>
      </sheetData>
      <sheetData sheetId="6961">
        <row r="5">
          <cell r="E5">
            <v>1</v>
          </cell>
        </row>
      </sheetData>
      <sheetData sheetId="6962"/>
      <sheetData sheetId="6963"/>
      <sheetData sheetId="6964"/>
      <sheetData sheetId="6965">
        <row r="5">
          <cell r="E5">
            <v>1</v>
          </cell>
        </row>
      </sheetData>
      <sheetData sheetId="6966"/>
      <sheetData sheetId="6967">
        <row r="5">
          <cell r="E5">
            <v>1</v>
          </cell>
        </row>
      </sheetData>
      <sheetData sheetId="6968">
        <row r="5">
          <cell r="E5">
            <v>1</v>
          </cell>
        </row>
      </sheetData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>
        <row r="5">
          <cell r="G5" t="str">
            <v>Mar</v>
          </cell>
        </row>
      </sheetData>
      <sheetData sheetId="6994">
        <row r="5">
          <cell r="G5" t="str">
            <v>Mar</v>
          </cell>
        </row>
      </sheetData>
      <sheetData sheetId="6995">
        <row r="5">
          <cell r="G5" t="str">
            <v>Mar</v>
          </cell>
        </row>
      </sheetData>
      <sheetData sheetId="6996">
        <row r="5">
          <cell r="G5" t="str">
            <v>Mar</v>
          </cell>
        </row>
      </sheetData>
      <sheetData sheetId="6997">
        <row r="5">
          <cell r="G5" t="str">
            <v>Mar</v>
          </cell>
        </row>
      </sheetData>
      <sheetData sheetId="6998">
        <row r="5">
          <cell r="E5">
            <v>1</v>
          </cell>
        </row>
      </sheetData>
      <sheetData sheetId="6999">
        <row r="5">
          <cell r="G5" t="str">
            <v>Mar</v>
          </cell>
        </row>
      </sheetData>
      <sheetData sheetId="7000">
        <row r="5">
          <cell r="G5" t="str">
            <v>Mar</v>
          </cell>
        </row>
      </sheetData>
      <sheetData sheetId="7001">
        <row r="5">
          <cell r="E5">
            <v>1</v>
          </cell>
        </row>
      </sheetData>
      <sheetData sheetId="7002">
        <row r="5">
          <cell r="G5" t="str">
            <v>Mar</v>
          </cell>
        </row>
      </sheetData>
      <sheetData sheetId="7003">
        <row r="5">
          <cell r="G5" t="str">
            <v>Mar</v>
          </cell>
        </row>
      </sheetData>
      <sheetData sheetId="7004"/>
      <sheetData sheetId="7005"/>
      <sheetData sheetId="7006">
        <row r="5">
          <cell r="E5">
            <v>1</v>
          </cell>
        </row>
      </sheetData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>
        <row r="5">
          <cell r="E5" t="str">
            <v>1800001727</v>
          </cell>
        </row>
      </sheetData>
      <sheetData sheetId="7048">
        <row r="5">
          <cell r="E5" t="str">
            <v>1800001727</v>
          </cell>
        </row>
      </sheetData>
      <sheetData sheetId="7049">
        <row r="5">
          <cell r="E5" t="str">
            <v>1800001727</v>
          </cell>
        </row>
      </sheetData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>
        <row r="5">
          <cell r="G5" t="str">
            <v>Mar</v>
          </cell>
        </row>
      </sheetData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>
        <row r="5">
          <cell r="E5">
            <v>1</v>
          </cell>
        </row>
      </sheetData>
      <sheetData sheetId="7163"/>
      <sheetData sheetId="7164"/>
      <sheetData sheetId="7165"/>
      <sheetData sheetId="7166"/>
      <sheetData sheetId="7167"/>
      <sheetData sheetId="7168">
        <row r="5">
          <cell r="E5">
            <v>1</v>
          </cell>
        </row>
      </sheetData>
      <sheetData sheetId="7169"/>
      <sheetData sheetId="7170"/>
      <sheetData sheetId="7171"/>
      <sheetData sheetId="7172"/>
      <sheetData sheetId="7173">
        <row r="5">
          <cell r="E5">
            <v>1</v>
          </cell>
        </row>
      </sheetData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>
        <row r="5">
          <cell r="E5">
            <v>1</v>
          </cell>
        </row>
      </sheetData>
      <sheetData sheetId="7191">
        <row r="5">
          <cell r="E5">
            <v>1</v>
          </cell>
        </row>
      </sheetData>
      <sheetData sheetId="7192"/>
      <sheetData sheetId="7193"/>
      <sheetData sheetId="7194">
        <row r="5">
          <cell r="E5">
            <v>1</v>
          </cell>
        </row>
      </sheetData>
      <sheetData sheetId="7195"/>
      <sheetData sheetId="7196"/>
      <sheetData sheetId="7197">
        <row r="5">
          <cell r="E5">
            <v>1</v>
          </cell>
        </row>
      </sheetData>
      <sheetData sheetId="7198"/>
      <sheetData sheetId="7199"/>
      <sheetData sheetId="7200">
        <row r="5">
          <cell r="E5">
            <v>1</v>
          </cell>
        </row>
      </sheetData>
      <sheetData sheetId="7201">
        <row r="5">
          <cell r="E5">
            <v>1</v>
          </cell>
        </row>
      </sheetData>
      <sheetData sheetId="7202">
        <row r="5">
          <cell r="E5">
            <v>1</v>
          </cell>
        </row>
      </sheetData>
      <sheetData sheetId="7203">
        <row r="5">
          <cell r="E5">
            <v>1</v>
          </cell>
        </row>
      </sheetData>
      <sheetData sheetId="7204">
        <row r="5">
          <cell r="E5">
            <v>1</v>
          </cell>
        </row>
      </sheetData>
      <sheetData sheetId="7205">
        <row r="5">
          <cell r="E5">
            <v>1</v>
          </cell>
        </row>
      </sheetData>
      <sheetData sheetId="7206">
        <row r="5">
          <cell r="E5">
            <v>1</v>
          </cell>
        </row>
      </sheetData>
      <sheetData sheetId="7207">
        <row r="5">
          <cell r="E5">
            <v>1</v>
          </cell>
        </row>
      </sheetData>
      <sheetData sheetId="7208"/>
      <sheetData sheetId="7209"/>
      <sheetData sheetId="7210"/>
      <sheetData sheetId="7211">
        <row r="5">
          <cell r="E5">
            <v>1</v>
          </cell>
        </row>
      </sheetData>
      <sheetData sheetId="7212">
        <row r="5">
          <cell r="E5">
            <v>1</v>
          </cell>
        </row>
      </sheetData>
      <sheetData sheetId="7213"/>
      <sheetData sheetId="7214"/>
      <sheetData sheetId="7215"/>
      <sheetData sheetId="7216"/>
      <sheetData sheetId="7217"/>
      <sheetData sheetId="7218"/>
      <sheetData sheetId="7219">
        <row r="5">
          <cell r="E5">
            <v>1</v>
          </cell>
        </row>
      </sheetData>
      <sheetData sheetId="7220">
        <row r="5">
          <cell r="E5">
            <v>1</v>
          </cell>
        </row>
      </sheetData>
      <sheetData sheetId="7221">
        <row r="5">
          <cell r="E5" t="str">
            <v>1800001727</v>
          </cell>
        </row>
      </sheetData>
      <sheetData sheetId="7222"/>
      <sheetData sheetId="7223"/>
      <sheetData sheetId="7224"/>
      <sheetData sheetId="7225"/>
      <sheetData sheetId="7226">
        <row r="5">
          <cell r="E5">
            <v>1</v>
          </cell>
        </row>
      </sheetData>
      <sheetData sheetId="7227">
        <row r="5">
          <cell r="E5">
            <v>1</v>
          </cell>
        </row>
      </sheetData>
      <sheetData sheetId="7228">
        <row r="5">
          <cell r="E5">
            <v>1</v>
          </cell>
        </row>
      </sheetData>
      <sheetData sheetId="7229">
        <row r="5">
          <cell r="E5">
            <v>1</v>
          </cell>
        </row>
      </sheetData>
      <sheetData sheetId="7230">
        <row r="5">
          <cell r="E5" t="str">
            <v>1800001727</v>
          </cell>
        </row>
      </sheetData>
      <sheetData sheetId="7231">
        <row r="5">
          <cell r="E5" t="str">
            <v>1800001727</v>
          </cell>
        </row>
      </sheetData>
      <sheetData sheetId="7232"/>
      <sheetData sheetId="7233"/>
      <sheetData sheetId="7234"/>
      <sheetData sheetId="7235">
        <row r="5">
          <cell r="E5">
            <v>1</v>
          </cell>
        </row>
      </sheetData>
      <sheetData sheetId="7236"/>
      <sheetData sheetId="7237"/>
      <sheetData sheetId="7238"/>
      <sheetData sheetId="7239"/>
      <sheetData sheetId="7240"/>
      <sheetData sheetId="7241"/>
      <sheetData sheetId="7242"/>
      <sheetData sheetId="7243">
        <row r="5">
          <cell r="E5">
            <v>1</v>
          </cell>
        </row>
      </sheetData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>
        <row r="5">
          <cell r="E5">
            <v>1</v>
          </cell>
        </row>
      </sheetData>
      <sheetData sheetId="7257"/>
      <sheetData sheetId="7258"/>
      <sheetData sheetId="7259">
        <row r="5">
          <cell r="G5">
            <v>1</v>
          </cell>
        </row>
      </sheetData>
      <sheetData sheetId="7260"/>
      <sheetData sheetId="7261"/>
      <sheetData sheetId="7262">
        <row r="5">
          <cell r="E5" t="str">
            <v>1800001727</v>
          </cell>
        </row>
      </sheetData>
      <sheetData sheetId="7263">
        <row r="5">
          <cell r="E5" t="str">
            <v>1800001727</v>
          </cell>
        </row>
      </sheetData>
      <sheetData sheetId="7264">
        <row r="5">
          <cell r="E5" t="str">
            <v>1800001727</v>
          </cell>
        </row>
      </sheetData>
      <sheetData sheetId="7265">
        <row r="5">
          <cell r="G5">
            <v>1</v>
          </cell>
        </row>
      </sheetData>
      <sheetData sheetId="7266">
        <row r="5">
          <cell r="E5" t="str">
            <v>1800001727</v>
          </cell>
        </row>
      </sheetData>
      <sheetData sheetId="7267">
        <row r="5">
          <cell r="E5" t="str">
            <v>1800001727</v>
          </cell>
        </row>
      </sheetData>
      <sheetData sheetId="7268">
        <row r="5">
          <cell r="E5" t="str">
            <v>1800001727</v>
          </cell>
        </row>
      </sheetData>
      <sheetData sheetId="7269"/>
      <sheetData sheetId="7270"/>
      <sheetData sheetId="7271"/>
      <sheetData sheetId="7272">
        <row r="5">
          <cell r="E5" t="str">
            <v>1800001727</v>
          </cell>
        </row>
      </sheetData>
      <sheetData sheetId="7273">
        <row r="5">
          <cell r="E5" t="str">
            <v>1800001727</v>
          </cell>
        </row>
      </sheetData>
      <sheetData sheetId="7274"/>
      <sheetData sheetId="7275"/>
      <sheetData sheetId="7276"/>
      <sheetData sheetId="7277"/>
      <sheetData sheetId="7278"/>
      <sheetData sheetId="7279"/>
      <sheetData sheetId="7280"/>
      <sheetData sheetId="7281">
        <row r="5">
          <cell r="G5">
            <v>1</v>
          </cell>
        </row>
      </sheetData>
      <sheetData sheetId="7282"/>
      <sheetData sheetId="7283">
        <row r="5">
          <cell r="E5" t="str">
            <v>1800001727</v>
          </cell>
        </row>
      </sheetData>
      <sheetData sheetId="7284">
        <row r="5">
          <cell r="E5" t="str">
            <v>1800001727</v>
          </cell>
        </row>
      </sheetData>
      <sheetData sheetId="7285">
        <row r="5">
          <cell r="E5" t="str">
            <v>1800001727</v>
          </cell>
        </row>
      </sheetData>
      <sheetData sheetId="7286">
        <row r="5">
          <cell r="G5">
            <v>1</v>
          </cell>
        </row>
      </sheetData>
      <sheetData sheetId="7287">
        <row r="5">
          <cell r="E5" t="str">
            <v>1800001727</v>
          </cell>
        </row>
      </sheetData>
      <sheetData sheetId="7288">
        <row r="5">
          <cell r="E5" t="str">
            <v>1800001727</v>
          </cell>
        </row>
      </sheetData>
      <sheetData sheetId="7289">
        <row r="5">
          <cell r="E5" t="str">
            <v>1800001727</v>
          </cell>
        </row>
      </sheetData>
      <sheetData sheetId="7290">
        <row r="5">
          <cell r="E5" t="str">
            <v>1800001727</v>
          </cell>
        </row>
      </sheetData>
      <sheetData sheetId="7291">
        <row r="5">
          <cell r="E5">
            <v>1</v>
          </cell>
        </row>
      </sheetData>
      <sheetData sheetId="7292">
        <row r="5">
          <cell r="E5">
            <v>1</v>
          </cell>
        </row>
      </sheetData>
      <sheetData sheetId="7293">
        <row r="5">
          <cell r="E5" t="str">
            <v>1800001727</v>
          </cell>
        </row>
      </sheetData>
      <sheetData sheetId="7294">
        <row r="5">
          <cell r="E5" t="str">
            <v>1800001727</v>
          </cell>
        </row>
      </sheetData>
      <sheetData sheetId="7295"/>
      <sheetData sheetId="7296">
        <row r="5">
          <cell r="E5" t="str">
            <v>1800001727</v>
          </cell>
        </row>
      </sheetData>
      <sheetData sheetId="7297">
        <row r="5">
          <cell r="E5" t="str">
            <v>1800001727</v>
          </cell>
        </row>
      </sheetData>
      <sheetData sheetId="7298"/>
      <sheetData sheetId="7299"/>
      <sheetData sheetId="7300"/>
      <sheetData sheetId="7301"/>
      <sheetData sheetId="7302"/>
      <sheetData sheetId="7303">
        <row r="5">
          <cell r="E5" t="str">
            <v>1800001727</v>
          </cell>
        </row>
      </sheetData>
      <sheetData sheetId="7304"/>
      <sheetData sheetId="7305"/>
      <sheetData sheetId="7306"/>
      <sheetData sheetId="7307"/>
      <sheetData sheetId="7308">
        <row r="5">
          <cell r="E5">
            <v>1</v>
          </cell>
        </row>
      </sheetData>
      <sheetData sheetId="7309"/>
      <sheetData sheetId="7310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>
        <row r="5">
          <cell r="E5" t="str">
            <v>1800001727</v>
          </cell>
        </row>
      </sheetData>
      <sheetData sheetId="7415">
        <row r="5">
          <cell r="E5" t="str">
            <v>1800001727</v>
          </cell>
        </row>
      </sheetData>
      <sheetData sheetId="7416">
        <row r="5">
          <cell r="E5" t="str">
            <v>1800001727</v>
          </cell>
        </row>
      </sheetData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>
        <row r="5">
          <cell r="E5" t="str">
            <v>1800001727</v>
          </cell>
        </row>
      </sheetData>
      <sheetData sheetId="7539">
        <row r="5">
          <cell r="E5" t="str">
            <v>1800001727</v>
          </cell>
        </row>
      </sheetData>
      <sheetData sheetId="7540">
        <row r="5">
          <cell r="E5" t="str">
            <v>1800001727</v>
          </cell>
        </row>
      </sheetData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>
        <row r="5">
          <cell r="E5">
            <v>1</v>
          </cell>
        </row>
      </sheetData>
      <sheetData sheetId="7567">
        <row r="5">
          <cell r="E5">
            <v>1</v>
          </cell>
        </row>
      </sheetData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/>
      <sheetData sheetId="7876"/>
      <sheetData sheetId="7877"/>
      <sheetData sheetId="7878"/>
      <sheetData sheetId="7879"/>
      <sheetData sheetId="7880">
        <row r="5">
          <cell r="E5">
            <v>1</v>
          </cell>
        </row>
      </sheetData>
      <sheetData sheetId="7881">
        <row r="5">
          <cell r="E5">
            <v>1</v>
          </cell>
        </row>
      </sheetData>
      <sheetData sheetId="7882"/>
      <sheetData sheetId="7883"/>
      <sheetData sheetId="7884"/>
      <sheetData sheetId="7885"/>
      <sheetData sheetId="7886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 refreshError="1"/>
      <sheetData sheetId="8023"/>
      <sheetData sheetId="8024" refreshError="1"/>
      <sheetData sheetId="8025" refreshError="1"/>
      <sheetData sheetId="8026">
        <row r="5">
          <cell r="E5">
            <v>1</v>
          </cell>
        </row>
      </sheetData>
      <sheetData sheetId="8027">
        <row r="5">
          <cell r="E5">
            <v>1</v>
          </cell>
        </row>
      </sheetData>
      <sheetData sheetId="8028"/>
      <sheetData sheetId="8029"/>
      <sheetData sheetId="8030">
        <row r="5">
          <cell r="E5">
            <v>1</v>
          </cell>
        </row>
      </sheetData>
      <sheetData sheetId="8031"/>
      <sheetData sheetId="8032">
        <row r="5">
          <cell r="E5">
            <v>1</v>
          </cell>
        </row>
      </sheetData>
      <sheetData sheetId="8033">
        <row r="5">
          <cell r="E5">
            <v>1</v>
          </cell>
        </row>
      </sheetData>
      <sheetData sheetId="8034">
        <row r="5">
          <cell r="E5">
            <v>1</v>
          </cell>
        </row>
      </sheetData>
      <sheetData sheetId="8035">
        <row r="5">
          <cell r="E5">
            <v>1</v>
          </cell>
        </row>
      </sheetData>
      <sheetData sheetId="8036"/>
      <sheetData sheetId="8037">
        <row r="5">
          <cell r="E5">
            <v>1</v>
          </cell>
        </row>
      </sheetData>
      <sheetData sheetId="8038">
        <row r="5">
          <cell r="E5">
            <v>1</v>
          </cell>
        </row>
      </sheetData>
      <sheetData sheetId="8039"/>
      <sheetData sheetId="8040"/>
      <sheetData sheetId="8041"/>
      <sheetData sheetId="8042"/>
      <sheetData sheetId="8043">
        <row r="5">
          <cell r="E5">
            <v>1</v>
          </cell>
        </row>
      </sheetData>
      <sheetData sheetId="8044">
        <row r="5">
          <cell r="E5">
            <v>1</v>
          </cell>
        </row>
      </sheetData>
      <sheetData sheetId="8045">
        <row r="5">
          <cell r="E5">
            <v>1</v>
          </cell>
        </row>
      </sheetData>
      <sheetData sheetId="8046">
        <row r="5">
          <cell r="E5">
            <v>1</v>
          </cell>
        </row>
      </sheetData>
      <sheetData sheetId="8047">
        <row r="5">
          <cell r="E5">
            <v>1</v>
          </cell>
        </row>
      </sheetData>
      <sheetData sheetId="8048">
        <row r="5">
          <cell r="E5">
            <v>1</v>
          </cell>
        </row>
      </sheetData>
      <sheetData sheetId="8049">
        <row r="5">
          <cell r="E5">
            <v>1</v>
          </cell>
        </row>
      </sheetData>
      <sheetData sheetId="8050">
        <row r="5">
          <cell r="E5">
            <v>1</v>
          </cell>
        </row>
      </sheetData>
      <sheetData sheetId="8051">
        <row r="5">
          <cell r="E5">
            <v>1</v>
          </cell>
        </row>
      </sheetData>
      <sheetData sheetId="8052">
        <row r="5">
          <cell r="E5">
            <v>1</v>
          </cell>
        </row>
      </sheetData>
      <sheetData sheetId="8053">
        <row r="5">
          <cell r="E5">
            <v>1</v>
          </cell>
        </row>
      </sheetData>
      <sheetData sheetId="8054">
        <row r="5">
          <cell r="E5">
            <v>1</v>
          </cell>
        </row>
      </sheetData>
      <sheetData sheetId="8055">
        <row r="5">
          <cell r="E5">
            <v>1</v>
          </cell>
        </row>
      </sheetData>
      <sheetData sheetId="8056">
        <row r="5">
          <cell r="E5">
            <v>1</v>
          </cell>
        </row>
      </sheetData>
      <sheetData sheetId="8057">
        <row r="5">
          <cell r="E5">
            <v>1</v>
          </cell>
        </row>
      </sheetData>
      <sheetData sheetId="8058">
        <row r="5">
          <cell r="E5">
            <v>1</v>
          </cell>
        </row>
      </sheetData>
      <sheetData sheetId="8059">
        <row r="5">
          <cell r="E5">
            <v>1</v>
          </cell>
        </row>
      </sheetData>
      <sheetData sheetId="8060">
        <row r="5">
          <cell r="E5">
            <v>1</v>
          </cell>
        </row>
      </sheetData>
      <sheetData sheetId="8061">
        <row r="5">
          <cell r="E5">
            <v>1</v>
          </cell>
        </row>
      </sheetData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>
        <row r="5">
          <cell r="E5">
            <v>1</v>
          </cell>
        </row>
      </sheetData>
      <sheetData sheetId="8082"/>
      <sheetData sheetId="8083"/>
      <sheetData sheetId="8084"/>
      <sheetData sheetId="8085">
        <row r="5">
          <cell r="E5">
            <v>1</v>
          </cell>
        </row>
      </sheetData>
      <sheetData sheetId="8086">
        <row r="5">
          <cell r="E5">
            <v>1</v>
          </cell>
        </row>
      </sheetData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>
        <row r="5">
          <cell r="E5">
            <v>1</v>
          </cell>
        </row>
      </sheetData>
      <sheetData sheetId="8171">
        <row r="5">
          <cell r="E5">
            <v>1</v>
          </cell>
        </row>
      </sheetData>
      <sheetData sheetId="8172"/>
      <sheetData sheetId="8173">
        <row r="5">
          <cell r="E5">
            <v>1</v>
          </cell>
        </row>
      </sheetData>
      <sheetData sheetId="8174">
        <row r="5">
          <cell r="E5">
            <v>1</v>
          </cell>
        </row>
      </sheetData>
      <sheetData sheetId="8175"/>
      <sheetData sheetId="8176"/>
      <sheetData sheetId="8177"/>
      <sheetData sheetId="8178"/>
      <sheetData sheetId="8179"/>
      <sheetData sheetId="8180">
        <row r="5">
          <cell r="E5">
            <v>1</v>
          </cell>
        </row>
      </sheetData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ance "/>
      <sheetName val="CMA Calculations- R Factor"/>
      <sheetName val="List TOD Disposal FA"/>
      <sheetName val="CMA Calculations- Figure 5440.1"/>
      <sheetName val="CMA Selections"/>
      <sheetName val="Tickmarks"/>
      <sheetName val="CMA_SampleDesign"/>
      <sheetName val="DialogInsert"/>
      <sheetName val="data_val"/>
      <sheetName val="PACK"/>
    </sheetNames>
    <sheetDataSet>
      <sheetData sheetId="0" refreshError="1"/>
      <sheetData sheetId="1"/>
      <sheetData sheetId="2"/>
      <sheetData sheetId="3" refreshError="1">
        <row r="296">
          <cell r="D296">
            <v>5721369758.5799999</v>
          </cell>
          <cell r="H296">
            <v>-190712324.99999976</v>
          </cell>
        </row>
      </sheetData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dure"/>
      <sheetName val="Notes"/>
      <sheetName val="RPO"/>
      <sheetName val="Summary"/>
      <sheetName val="SUM ADJ"/>
      <sheetName val="List FA December"/>
      <sheetName val="Add. December"/>
      <sheetName val="Disposal December"/>
      <sheetName val="CIP December"/>
      <sheetName val="List FA October"/>
      <sheetName val="Add. October"/>
      <sheetName val="Disposal October"/>
      <sheetName val="List&amp;TOD Sold Scrap October"/>
      <sheetName val="CIP October"/>
      <sheetName val="Repair &amp; Main Jan-Dec'09"/>
      <sheetName val="Tickmarks"/>
    </sheetNames>
    <sheetDataSet>
      <sheetData sheetId="0" refreshError="1"/>
      <sheetData sheetId="1" refreshError="1"/>
      <sheetData sheetId="2" refreshError="1"/>
      <sheetData sheetId="3" refreshError="1">
        <row r="19">
          <cell r="F19">
            <v>8566615568.8199997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ial Balance"/>
      <sheetName val="Comb"/>
      <sheetName val="Forex June"/>
      <sheetName val="adj"/>
      <sheetName val="adj by totoku"/>
      <sheetName val="Sales 6"/>
    </sheetNames>
    <sheetDataSet>
      <sheetData sheetId="0" refreshError="1"/>
      <sheetData sheetId="1" refreshError="1"/>
      <sheetData sheetId="2" refreshError="1"/>
      <sheetData sheetId="3">
        <row r="8">
          <cell r="A8">
            <v>110041</v>
          </cell>
          <cell r="B8">
            <v>39263</v>
          </cell>
          <cell r="C8" t="str">
            <v>IJ-01</v>
          </cell>
          <cell r="D8" t="str">
            <v>Raw Material Cost</v>
          </cell>
          <cell r="E8" t="str">
            <v>Copper Wire Material</v>
          </cell>
          <cell r="F8">
            <v>520010</v>
          </cell>
          <cell r="G8">
            <v>0</v>
          </cell>
          <cell r="H8">
            <v>0</v>
          </cell>
          <cell r="K8" t="e">
            <v>#DIV/0!</v>
          </cell>
        </row>
        <row r="9">
          <cell r="A9">
            <v>520010</v>
          </cell>
          <cell r="B9">
            <v>39263</v>
          </cell>
          <cell r="C9" t="str">
            <v>IJ-01</v>
          </cell>
          <cell r="D9" t="str">
            <v>Raw Material Cost</v>
          </cell>
          <cell r="E9" t="str">
            <v>Copper Wire Material</v>
          </cell>
          <cell r="F9">
            <v>110041</v>
          </cell>
          <cell r="I9">
            <v>0</v>
          </cell>
          <cell r="J9">
            <v>0</v>
          </cell>
          <cell r="K9" t="e">
            <v>#DIV/0!</v>
          </cell>
        </row>
        <row r="10">
          <cell r="A10" t="str">
            <v>110041-1</v>
          </cell>
          <cell r="B10">
            <v>39263</v>
          </cell>
          <cell r="C10" t="str">
            <v>IJ-02</v>
          </cell>
          <cell r="D10" t="str">
            <v>Raw Material Cost</v>
          </cell>
          <cell r="E10" t="str">
            <v>Copper Wire Material for LITZ</v>
          </cell>
          <cell r="F10">
            <v>520010</v>
          </cell>
          <cell r="G10">
            <v>14472.91</v>
          </cell>
          <cell r="H10">
            <v>129891920</v>
          </cell>
          <cell r="K10">
            <v>8974.8309082278556</v>
          </cell>
        </row>
        <row r="11">
          <cell r="A11">
            <v>520010</v>
          </cell>
          <cell r="B11">
            <v>39263</v>
          </cell>
          <cell r="C11" t="str">
            <v>IJ-02</v>
          </cell>
          <cell r="D11" t="str">
            <v>Raw Material Cost</v>
          </cell>
          <cell r="E11" t="str">
            <v>Copper Wire Material for LITZ</v>
          </cell>
          <cell r="F11" t="str">
            <v>110041-1</v>
          </cell>
          <cell r="I11">
            <v>14472.91</v>
          </cell>
          <cell r="J11">
            <v>129891920</v>
          </cell>
          <cell r="K11">
            <v>8974.8309082278556</v>
          </cell>
        </row>
        <row r="12">
          <cell r="A12">
            <v>110042</v>
          </cell>
          <cell r="B12">
            <v>39263</v>
          </cell>
          <cell r="C12" t="str">
            <v>IJ-03</v>
          </cell>
          <cell r="D12" t="str">
            <v>Raw Material Cost</v>
          </cell>
          <cell r="E12" t="str">
            <v>PVC Tape Material</v>
          </cell>
          <cell r="F12">
            <v>520010</v>
          </cell>
          <cell r="G12">
            <v>0</v>
          </cell>
          <cell r="H12">
            <v>0</v>
          </cell>
          <cell r="K12" t="e">
            <v>#DIV/0!</v>
          </cell>
        </row>
        <row r="13">
          <cell r="A13">
            <v>520010</v>
          </cell>
          <cell r="B13">
            <v>39263</v>
          </cell>
          <cell r="C13" t="str">
            <v>IJ-03</v>
          </cell>
          <cell r="D13" t="str">
            <v>Raw Material Cost</v>
          </cell>
          <cell r="E13" t="str">
            <v>PVC Tape Material</v>
          </cell>
          <cell r="F13">
            <v>110042</v>
          </cell>
          <cell r="I13">
            <v>0</v>
          </cell>
          <cell r="J13">
            <v>0</v>
          </cell>
          <cell r="K13" t="e">
            <v>#DIV/0!</v>
          </cell>
        </row>
        <row r="14">
          <cell r="A14">
            <v>110043</v>
          </cell>
          <cell r="B14">
            <v>39263</v>
          </cell>
          <cell r="C14" t="str">
            <v>IJ-04</v>
          </cell>
          <cell r="D14" t="str">
            <v>Raw Material Cost</v>
          </cell>
          <cell r="E14" t="str">
            <v>Connector Assembling Material</v>
          </cell>
          <cell r="F14">
            <v>520010</v>
          </cell>
          <cell r="G14">
            <v>0</v>
          </cell>
          <cell r="H14">
            <v>0</v>
          </cell>
          <cell r="K14" t="e">
            <v>#DIV/0!</v>
          </cell>
        </row>
        <row r="15">
          <cell r="A15">
            <v>520010</v>
          </cell>
          <cell r="B15">
            <v>39263</v>
          </cell>
          <cell r="C15" t="str">
            <v>IJ-04</v>
          </cell>
          <cell r="D15" t="str">
            <v>Raw Material Cost</v>
          </cell>
          <cell r="E15" t="str">
            <v>Connector Assembling Material</v>
          </cell>
          <cell r="F15">
            <v>110043</v>
          </cell>
          <cell r="I15">
            <v>0</v>
          </cell>
          <cell r="J15">
            <v>0</v>
          </cell>
          <cell r="K15" t="e">
            <v>#DIV/0!</v>
          </cell>
        </row>
        <row r="16">
          <cell r="A16" t="str">
            <v>110043-1</v>
          </cell>
          <cell r="B16">
            <v>39263</v>
          </cell>
          <cell r="C16" t="str">
            <v>IJ-05</v>
          </cell>
          <cell r="D16" t="str">
            <v>Raw Material Cost</v>
          </cell>
          <cell r="E16" t="str">
            <v>Tetron Litz</v>
          </cell>
          <cell r="F16">
            <v>520010</v>
          </cell>
          <cell r="G16">
            <v>0</v>
          </cell>
          <cell r="H16">
            <v>0</v>
          </cell>
          <cell r="K16" t="e">
            <v>#DIV/0!</v>
          </cell>
        </row>
        <row r="17">
          <cell r="A17">
            <v>520010</v>
          </cell>
          <cell r="B17">
            <v>39263</v>
          </cell>
          <cell r="C17" t="str">
            <v>IJ-05</v>
          </cell>
          <cell r="D17" t="str">
            <v>Raw Material Cost</v>
          </cell>
          <cell r="E17" t="str">
            <v>Tetron Litz</v>
          </cell>
          <cell r="F17" t="str">
            <v>110043-1</v>
          </cell>
          <cell r="I17">
            <v>0</v>
          </cell>
          <cell r="J17">
            <v>0</v>
          </cell>
          <cell r="K17" t="e">
            <v>#DIV/0!</v>
          </cell>
        </row>
        <row r="18">
          <cell r="A18" t="str">
            <v>110043-2-1</v>
          </cell>
          <cell r="B18">
            <v>39263</v>
          </cell>
          <cell r="C18" t="str">
            <v>IJ-06</v>
          </cell>
          <cell r="D18" t="str">
            <v>Raw Material Cost</v>
          </cell>
          <cell r="E18" t="str">
            <v>Seat (H)</v>
          </cell>
          <cell r="F18">
            <v>520010</v>
          </cell>
          <cell r="G18">
            <v>0</v>
          </cell>
          <cell r="H18">
            <v>0</v>
          </cell>
          <cell r="K18" t="e">
            <v>#DIV/0!</v>
          </cell>
        </row>
        <row r="19">
          <cell r="A19">
            <v>520010</v>
          </cell>
          <cell r="B19">
            <v>39263</v>
          </cell>
          <cell r="C19" t="str">
            <v>IJ-06</v>
          </cell>
          <cell r="D19" t="str">
            <v>Raw Material Cost</v>
          </cell>
          <cell r="E19" t="str">
            <v>Seat (H)</v>
          </cell>
          <cell r="F19" t="str">
            <v>110043-2-1</v>
          </cell>
          <cell r="I19">
            <v>0</v>
          </cell>
          <cell r="J19">
            <v>0</v>
          </cell>
          <cell r="K19" t="e">
            <v>#DIV/0!</v>
          </cell>
        </row>
        <row r="20">
          <cell r="A20" t="str">
            <v>110043-2-2</v>
          </cell>
          <cell r="B20">
            <v>39263</v>
          </cell>
          <cell r="C20" t="str">
            <v>IJ-07</v>
          </cell>
          <cell r="D20" t="str">
            <v>Raw Material Cost</v>
          </cell>
          <cell r="E20" t="str">
            <v>Blanket (H)</v>
          </cell>
          <cell r="F20">
            <v>520010</v>
          </cell>
          <cell r="G20">
            <v>0</v>
          </cell>
          <cell r="H20">
            <v>0</v>
          </cell>
          <cell r="K20" t="e">
            <v>#DIV/0!</v>
          </cell>
        </row>
        <row r="21">
          <cell r="A21">
            <v>520010</v>
          </cell>
          <cell r="B21">
            <v>39263</v>
          </cell>
          <cell r="C21" t="str">
            <v>IJ-07</v>
          </cell>
          <cell r="D21" t="str">
            <v>Raw Material Cost</v>
          </cell>
          <cell r="E21" t="str">
            <v>Blanket (H)</v>
          </cell>
          <cell r="F21" t="str">
            <v>110043-2-2</v>
          </cell>
          <cell r="I21">
            <v>0</v>
          </cell>
          <cell r="J21">
            <v>0</v>
          </cell>
          <cell r="K21" t="e">
            <v>#DIV/0!</v>
          </cell>
        </row>
        <row r="22">
          <cell r="A22" t="str">
            <v>110043-3</v>
          </cell>
          <cell r="B22">
            <v>39263</v>
          </cell>
          <cell r="C22" t="str">
            <v>IJ-08</v>
          </cell>
          <cell r="D22" t="str">
            <v>Raw Material Cost</v>
          </cell>
          <cell r="E22" t="str">
            <v>Heater</v>
          </cell>
          <cell r="F22">
            <v>520010</v>
          </cell>
          <cell r="G22">
            <v>0</v>
          </cell>
          <cell r="H22">
            <v>0</v>
          </cell>
          <cell r="K22" t="e">
            <v>#DIV/0!</v>
          </cell>
        </row>
        <row r="23">
          <cell r="A23">
            <v>520010</v>
          </cell>
          <cell r="B23">
            <v>39263</v>
          </cell>
          <cell r="C23" t="str">
            <v>IJ-08</v>
          </cell>
          <cell r="D23" t="str">
            <v>Raw Material Cost</v>
          </cell>
          <cell r="E23" t="str">
            <v>Heater</v>
          </cell>
          <cell r="F23" t="str">
            <v>110043-3</v>
          </cell>
          <cell r="I23">
            <v>0</v>
          </cell>
          <cell r="J23">
            <v>0</v>
          </cell>
          <cell r="K23" t="e">
            <v>#DIV/0!</v>
          </cell>
        </row>
        <row r="24">
          <cell r="A24" t="str">
            <v>110044-9</v>
          </cell>
          <cell r="B24">
            <v>39263</v>
          </cell>
          <cell r="C24" t="str">
            <v>IJ-09</v>
          </cell>
          <cell r="D24" t="str">
            <v>Raw Material Cost</v>
          </cell>
          <cell r="E24" t="str">
            <v>Alumunium</v>
          </cell>
          <cell r="F24">
            <v>520010</v>
          </cell>
          <cell r="G24">
            <v>439.01</v>
          </cell>
          <cell r="H24">
            <v>3997599</v>
          </cell>
          <cell r="K24">
            <v>9105.9406391653956</v>
          </cell>
        </row>
        <row r="25">
          <cell r="A25">
            <v>520010</v>
          </cell>
          <cell r="B25">
            <v>39263</v>
          </cell>
          <cell r="C25" t="str">
            <v>IJ-09</v>
          </cell>
          <cell r="D25" t="str">
            <v>Raw Material Cost</v>
          </cell>
          <cell r="E25" t="str">
            <v>Alumunium</v>
          </cell>
          <cell r="F25" t="str">
            <v>110044-9</v>
          </cell>
          <cell r="I25">
            <v>439.01</v>
          </cell>
          <cell r="J25">
            <v>3997599</v>
          </cell>
          <cell r="K25">
            <v>9105.9406391653956</v>
          </cell>
        </row>
        <row r="26">
          <cell r="A26" t="str">
            <v>110044-10</v>
          </cell>
          <cell r="B26">
            <v>39263</v>
          </cell>
          <cell r="C26" t="str">
            <v>IJ-09A</v>
          </cell>
          <cell r="D26" t="str">
            <v>Raw Material Cost</v>
          </cell>
          <cell r="E26" t="str">
            <v>Cut Pin 90 SF (F)</v>
          </cell>
          <cell r="F26">
            <v>520010</v>
          </cell>
          <cell r="G26">
            <v>9982.74</v>
          </cell>
          <cell r="H26">
            <v>90245795</v>
          </cell>
          <cell r="K26">
            <v>9040.1828556087803</v>
          </cell>
        </row>
        <row r="27">
          <cell r="A27">
            <v>520010</v>
          </cell>
          <cell r="B27">
            <v>39263</v>
          </cell>
          <cell r="C27" t="str">
            <v>IJ-09A</v>
          </cell>
          <cell r="D27" t="str">
            <v>Raw Material Cost</v>
          </cell>
          <cell r="E27" t="str">
            <v>Cut Pin 90 SF (F)</v>
          </cell>
          <cell r="F27" t="str">
            <v>110044-10</v>
          </cell>
          <cell r="I27">
            <v>9982.74</v>
          </cell>
          <cell r="J27">
            <v>90245795</v>
          </cell>
          <cell r="K27">
            <v>9040.1828556087803</v>
          </cell>
        </row>
        <row r="28">
          <cell r="A28" t="str">
            <v>110043-5</v>
          </cell>
          <cell r="B28">
            <v>39263</v>
          </cell>
          <cell r="C28" t="str">
            <v>IJ-10</v>
          </cell>
          <cell r="D28" t="str">
            <v>Raw Material Cost</v>
          </cell>
          <cell r="E28" t="str">
            <v>Heater Compound</v>
          </cell>
          <cell r="F28">
            <v>520010</v>
          </cell>
          <cell r="G28">
            <v>0</v>
          </cell>
          <cell r="H28">
            <v>0</v>
          </cell>
          <cell r="K28" t="e">
            <v>#DIV/0!</v>
          </cell>
        </row>
        <row r="29">
          <cell r="A29">
            <v>520010</v>
          </cell>
          <cell r="B29">
            <v>39263</v>
          </cell>
          <cell r="C29" t="str">
            <v>IJ-10</v>
          </cell>
          <cell r="D29" t="str">
            <v>Raw Material Cost</v>
          </cell>
          <cell r="E29" t="str">
            <v>Heater Compound</v>
          </cell>
          <cell r="F29" t="str">
            <v>110043-5</v>
          </cell>
          <cell r="I29">
            <v>0</v>
          </cell>
          <cell r="J29">
            <v>0</v>
          </cell>
          <cell r="K29" t="e">
            <v>#DIV/0!</v>
          </cell>
        </row>
        <row r="30">
          <cell r="A30" t="str">
            <v>110043-6</v>
          </cell>
          <cell r="B30">
            <v>39263</v>
          </cell>
          <cell r="C30" t="str">
            <v>IJ-11</v>
          </cell>
          <cell r="D30" t="str">
            <v>Raw Material Cost</v>
          </cell>
          <cell r="E30" t="str">
            <v>Heater Solder</v>
          </cell>
          <cell r="F30">
            <v>520010</v>
          </cell>
          <cell r="G30">
            <v>0</v>
          </cell>
          <cell r="H30">
            <v>0</v>
          </cell>
          <cell r="K30" t="e">
            <v>#DIV/0!</v>
          </cell>
        </row>
        <row r="31">
          <cell r="A31">
            <v>520010</v>
          </cell>
          <cell r="B31">
            <v>39263</v>
          </cell>
          <cell r="C31" t="str">
            <v>IJ-11</v>
          </cell>
          <cell r="D31" t="str">
            <v>Raw Material Cost</v>
          </cell>
          <cell r="E31" t="str">
            <v>Heater Solder</v>
          </cell>
          <cell r="F31" t="str">
            <v>110043-6</v>
          </cell>
          <cell r="I31">
            <v>0</v>
          </cell>
          <cell r="J31">
            <v>0</v>
          </cell>
          <cell r="K31" t="e">
            <v>#DIV/0!</v>
          </cell>
        </row>
        <row r="32">
          <cell r="A32" t="str">
            <v>110043-7</v>
          </cell>
          <cell r="B32">
            <v>39263</v>
          </cell>
          <cell r="C32" t="str">
            <v>IJ-12</v>
          </cell>
          <cell r="D32" t="str">
            <v>Raw Material Cost</v>
          </cell>
          <cell r="E32" t="str">
            <v>Heater Pin</v>
          </cell>
          <cell r="F32">
            <v>520010</v>
          </cell>
          <cell r="G32">
            <v>0</v>
          </cell>
          <cell r="H32">
            <v>0</v>
          </cell>
          <cell r="K32" t="e">
            <v>#DIV/0!</v>
          </cell>
        </row>
        <row r="33">
          <cell r="A33">
            <v>520010</v>
          </cell>
          <cell r="B33">
            <v>39263</v>
          </cell>
          <cell r="C33" t="str">
            <v>IJ-12</v>
          </cell>
          <cell r="D33" t="str">
            <v>Raw Material Cost</v>
          </cell>
          <cell r="E33" t="str">
            <v>Heater Pin</v>
          </cell>
          <cell r="F33" t="str">
            <v>110043-7</v>
          </cell>
          <cell r="I33">
            <v>0</v>
          </cell>
          <cell r="J33">
            <v>0</v>
          </cell>
          <cell r="K33" t="e">
            <v>#DIV/0!</v>
          </cell>
        </row>
        <row r="34">
          <cell r="A34" t="str">
            <v>110043-8</v>
          </cell>
          <cell r="B34">
            <v>39263</v>
          </cell>
          <cell r="C34" t="str">
            <v>IJ-13</v>
          </cell>
          <cell r="D34" t="str">
            <v>Raw Material Cost</v>
          </cell>
          <cell r="E34" t="str">
            <v>Captire</v>
          </cell>
          <cell r="F34">
            <v>520010</v>
          </cell>
          <cell r="G34">
            <v>0</v>
          </cell>
          <cell r="H34">
            <v>0</v>
          </cell>
          <cell r="K34" t="e">
            <v>#DIV/0!</v>
          </cell>
        </row>
        <row r="35">
          <cell r="A35">
            <v>520010</v>
          </cell>
          <cell r="B35">
            <v>39263</v>
          </cell>
          <cell r="C35" t="str">
            <v>IJ-13</v>
          </cell>
          <cell r="D35" t="str">
            <v>Raw Material Cost</v>
          </cell>
          <cell r="E35" t="str">
            <v>Captire</v>
          </cell>
          <cell r="F35" t="str">
            <v>110043-8</v>
          </cell>
          <cell r="I35">
            <v>0</v>
          </cell>
          <cell r="J35">
            <v>0</v>
          </cell>
          <cell r="K35" t="e">
            <v>#DIV/0!</v>
          </cell>
        </row>
        <row r="36">
          <cell r="A36">
            <v>110044</v>
          </cell>
          <cell r="B36">
            <v>39263</v>
          </cell>
          <cell r="C36" t="str">
            <v>IJ-14</v>
          </cell>
          <cell r="D36" t="str">
            <v>Raw Material Cost</v>
          </cell>
          <cell r="E36" t="str">
            <v>Others Material</v>
          </cell>
          <cell r="F36">
            <v>520010</v>
          </cell>
          <cell r="G36">
            <v>2.2999999999999545</v>
          </cell>
          <cell r="H36">
            <v>21112</v>
          </cell>
          <cell r="K36">
            <v>9179.13043478279</v>
          </cell>
        </row>
        <row r="37">
          <cell r="A37">
            <v>520010</v>
          </cell>
          <cell r="B37">
            <v>39263</v>
          </cell>
          <cell r="C37" t="str">
            <v>IJ-14</v>
          </cell>
          <cell r="D37" t="str">
            <v>Raw Material Cost</v>
          </cell>
          <cell r="E37" t="str">
            <v>Others Material</v>
          </cell>
          <cell r="F37">
            <v>110044</v>
          </cell>
          <cell r="I37">
            <v>2.2999999999999545</v>
          </cell>
          <cell r="J37">
            <v>21112</v>
          </cell>
          <cell r="K37">
            <v>9179.13043478279</v>
          </cell>
        </row>
        <row r="38">
          <cell r="A38" t="str">
            <v>110044-1</v>
          </cell>
          <cell r="B38">
            <v>39263</v>
          </cell>
          <cell r="C38" t="str">
            <v>IJ-15</v>
          </cell>
          <cell r="D38" t="str">
            <v>Raw Material Cost</v>
          </cell>
          <cell r="E38" t="str">
            <v>Others (F)</v>
          </cell>
          <cell r="F38">
            <v>520010</v>
          </cell>
          <cell r="G38">
            <v>646.75</v>
          </cell>
          <cell r="H38">
            <v>5938466</v>
          </cell>
          <cell r="K38">
            <v>9182.0115964437573</v>
          </cell>
        </row>
        <row r="39">
          <cell r="A39">
            <v>520010</v>
          </cell>
          <cell r="B39">
            <v>39263</v>
          </cell>
          <cell r="C39" t="str">
            <v>IJ-15</v>
          </cell>
          <cell r="D39" t="str">
            <v>Raw Material Cost</v>
          </cell>
          <cell r="E39" t="str">
            <v>Others (F)</v>
          </cell>
          <cell r="F39" t="str">
            <v>110044-1</v>
          </cell>
          <cell r="I39">
            <v>646.75</v>
          </cell>
          <cell r="J39">
            <v>5938466</v>
          </cell>
          <cell r="K39">
            <v>9182.0115964437573</v>
          </cell>
        </row>
        <row r="40">
          <cell r="A40" t="str">
            <v>110044-2</v>
          </cell>
          <cell r="B40">
            <v>39263</v>
          </cell>
          <cell r="C40" t="str">
            <v>IJ-16</v>
          </cell>
          <cell r="D40" t="str">
            <v>Raw Material Cost</v>
          </cell>
          <cell r="E40" t="str">
            <v>Adhesive Tape (F)</v>
          </cell>
          <cell r="F40">
            <v>520010</v>
          </cell>
          <cell r="G40">
            <v>0</v>
          </cell>
          <cell r="H40">
            <v>0</v>
          </cell>
          <cell r="K40" t="e">
            <v>#DIV/0!</v>
          </cell>
        </row>
        <row r="41">
          <cell r="A41">
            <v>520010</v>
          </cell>
          <cell r="B41">
            <v>39263</v>
          </cell>
          <cell r="C41" t="str">
            <v>IJ-16</v>
          </cell>
          <cell r="D41" t="str">
            <v>Raw Material Cost</v>
          </cell>
          <cell r="E41" t="str">
            <v>Adhesive Tape (F)</v>
          </cell>
          <cell r="F41" t="str">
            <v>110044-2</v>
          </cell>
          <cell r="I41">
            <v>0</v>
          </cell>
          <cell r="J41">
            <v>0</v>
          </cell>
          <cell r="K41" t="e">
            <v>#DIV/0!</v>
          </cell>
        </row>
        <row r="42">
          <cell r="A42" t="str">
            <v>110044-3</v>
          </cell>
          <cell r="B42">
            <v>39263</v>
          </cell>
          <cell r="C42" t="str">
            <v>IJ-17</v>
          </cell>
          <cell r="D42" t="str">
            <v>Raw Material Cost</v>
          </cell>
          <cell r="E42" t="str">
            <v>Laminate Tube (F)</v>
          </cell>
          <cell r="F42">
            <v>520010</v>
          </cell>
          <cell r="G42">
            <v>0</v>
          </cell>
          <cell r="H42">
            <v>0</v>
          </cell>
          <cell r="K42" t="e">
            <v>#DIV/0!</v>
          </cell>
        </row>
        <row r="43">
          <cell r="A43">
            <v>520010</v>
          </cell>
          <cell r="B43">
            <v>39263</v>
          </cell>
          <cell r="C43" t="str">
            <v>IJ-17</v>
          </cell>
          <cell r="D43" t="str">
            <v>Raw Material Cost</v>
          </cell>
          <cell r="E43" t="str">
            <v>Laminate Tube (F)</v>
          </cell>
          <cell r="F43" t="str">
            <v>110044-3</v>
          </cell>
          <cell r="I43">
            <v>0</v>
          </cell>
          <cell r="J43">
            <v>0</v>
          </cell>
          <cell r="K43" t="e">
            <v>#DIV/0!</v>
          </cell>
        </row>
        <row r="44">
          <cell r="A44" t="str">
            <v>110044-4</v>
          </cell>
          <cell r="B44">
            <v>39263</v>
          </cell>
          <cell r="C44" t="str">
            <v>IJ-18</v>
          </cell>
          <cell r="D44" t="str">
            <v>Raw Material Cost</v>
          </cell>
          <cell r="E44" t="str">
            <v>Reinforcing Tape (FFC)</v>
          </cell>
          <cell r="F44">
            <v>520010</v>
          </cell>
          <cell r="G44">
            <v>11252.97</v>
          </cell>
          <cell r="H44">
            <v>102050281</v>
          </cell>
          <cell r="K44">
            <v>9068.7419410164603</v>
          </cell>
        </row>
        <row r="45">
          <cell r="A45">
            <v>520010</v>
          </cell>
          <cell r="B45">
            <v>39263</v>
          </cell>
          <cell r="C45" t="str">
            <v>IJ-18</v>
          </cell>
          <cell r="D45" t="str">
            <v>Raw Material Cost</v>
          </cell>
          <cell r="E45" t="str">
            <v>Reinforcing Tape (FFC)</v>
          </cell>
          <cell r="F45" t="str">
            <v>110044-4</v>
          </cell>
          <cell r="I45">
            <v>11252.97</v>
          </cell>
          <cell r="J45">
            <v>102050281</v>
          </cell>
          <cell r="K45">
            <v>9068.7419410164603</v>
          </cell>
        </row>
        <row r="46">
          <cell r="A46" t="str">
            <v>110044-5</v>
          </cell>
          <cell r="B46">
            <v>39263</v>
          </cell>
          <cell r="C46" t="str">
            <v>IJ-19</v>
          </cell>
          <cell r="D46" t="str">
            <v>Raw Material Cost</v>
          </cell>
          <cell r="E46" t="str">
            <v>Insulation Tape (FFC)</v>
          </cell>
          <cell r="F46">
            <v>520010</v>
          </cell>
          <cell r="G46">
            <v>129393.36</v>
          </cell>
          <cell r="H46">
            <v>1166533720</v>
          </cell>
          <cell r="K46">
            <v>9015.4063547001169</v>
          </cell>
        </row>
        <row r="47">
          <cell r="A47">
            <v>520010</v>
          </cell>
          <cell r="B47">
            <v>39263</v>
          </cell>
          <cell r="C47" t="str">
            <v>IJ-19</v>
          </cell>
          <cell r="D47" t="str">
            <v>Raw Material Cost</v>
          </cell>
          <cell r="E47" t="str">
            <v>Insulation Tape (FFC)</v>
          </cell>
          <cell r="F47" t="str">
            <v>110044-5</v>
          </cell>
          <cell r="I47">
            <v>129393.36</v>
          </cell>
          <cell r="J47">
            <v>1166533720</v>
          </cell>
          <cell r="K47">
            <v>9015.4063547001169</v>
          </cell>
        </row>
        <row r="48">
          <cell r="A48" t="str">
            <v>110044-6</v>
          </cell>
          <cell r="B48">
            <v>39263</v>
          </cell>
          <cell r="C48" t="str">
            <v>IJ-20</v>
          </cell>
          <cell r="D48" t="str">
            <v>Raw Material Cost</v>
          </cell>
          <cell r="E48" t="str">
            <v>TC-CUR (FFC)</v>
          </cell>
          <cell r="F48">
            <v>520010</v>
          </cell>
          <cell r="G48">
            <v>-5.680000000000291</v>
          </cell>
          <cell r="H48">
            <v>-51496</v>
          </cell>
          <cell r="K48">
            <v>9066.1971830981274</v>
          </cell>
        </row>
        <row r="49">
          <cell r="A49">
            <v>520010</v>
          </cell>
          <cell r="B49">
            <v>39263</v>
          </cell>
          <cell r="C49" t="str">
            <v>IJ-20</v>
          </cell>
          <cell r="D49" t="str">
            <v>Raw Material Cost</v>
          </cell>
          <cell r="E49" t="str">
            <v>TC-CUR (FFC)</v>
          </cell>
          <cell r="F49" t="str">
            <v>110044-6</v>
          </cell>
          <cell r="I49">
            <v>-5.680000000000291</v>
          </cell>
          <cell r="J49">
            <v>-51496</v>
          </cell>
          <cell r="K49">
            <v>9066.1971830981274</v>
          </cell>
        </row>
        <row r="50">
          <cell r="A50" t="str">
            <v>110044-7</v>
          </cell>
          <cell r="B50">
            <v>39263</v>
          </cell>
          <cell r="C50" t="str">
            <v>IJ-21</v>
          </cell>
          <cell r="D50" t="str">
            <v>Raw Material Cost</v>
          </cell>
          <cell r="E50" t="str">
            <v>Accu Wire (FFC)</v>
          </cell>
          <cell r="F50">
            <v>520010</v>
          </cell>
          <cell r="G50">
            <v>133443.35999999999</v>
          </cell>
          <cell r="H50">
            <v>1201485351</v>
          </cell>
          <cell r="K50">
            <v>9003.7102707845497</v>
          </cell>
        </row>
        <row r="51">
          <cell r="A51">
            <v>520010</v>
          </cell>
          <cell r="B51">
            <v>39263</v>
          </cell>
          <cell r="C51" t="str">
            <v>IJ-21</v>
          </cell>
          <cell r="D51" t="str">
            <v>Raw Material Cost</v>
          </cell>
          <cell r="E51" t="str">
            <v>Accu Wire (FFC)</v>
          </cell>
          <cell r="F51" t="str">
            <v>110044-7</v>
          </cell>
          <cell r="I51">
            <v>133443.35999999999</v>
          </cell>
          <cell r="J51">
            <v>1201485351</v>
          </cell>
          <cell r="K51">
            <v>9003.7102707845497</v>
          </cell>
        </row>
        <row r="52">
          <cell r="A52" t="str">
            <v>110044-8</v>
          </cell>
          <cell r="B52">
            <v>39263</v>
          </cell>
          <cell r="C52" t="str">
            <v>IJ-21</v>
          </cell>
          <cell r="D52" t="str">
            <v>Raw Material Cost</v>
          </cell>
          <cell r="E52" t="str">
            <v>Double Faced (FFC)</v>
          </cell>
          <cell r="F52">
            <v>520010</v>
          </cell>
          <cell r="G52">
            <v>423.12</v>
          </cell>
          <cell r="H52">
            <v>3942367</v>
          </cell>
          <cell r="K52">
            <v>9317.3733219890346</v>
          </cell>
        </row>
        <row r="53">
          <cell r="A53">
            <v>520010</v>
          </cell>
          <cell r="B53">
            <v>39263</v>
          </cell>
          <cell r="C53" t="str">
            <v>IJ-21</v>
          </cell>
          <cell r="D53" t="str">
            <v>Raw Material Cost</v>
          </cell>
          <cell r="E53" t="str">
            <v>Double Faced (FFC)</v>
          </cell>
          <cell r="F53" t="str">
            <v>110044-8</v>
          </cell>
          <cell r="I53">
            <v>423.12</v>
          </cell>
          <cell r="J53">
            <v>3942367</v>
          </cell>
          <cell r="K53">
            <v>9317.3733219890346</v>
          </cell>
        </row>
        <row r="54">
          <cell r="A54">
            <v>520010</v>
          </cell>
          <cell r="B54">
            <v>39263</v>
          </cell>
          <cell r="C54" t="str">
            <v>IJ-22</v>
          </cell>
          <cell r="D54" t="str">
            <v>Work in Process - DGC + Litz</v>
          </cell>
          <cell r="E54" t="str">
            <v>Raw Material Cost</v>
          </cell>
          <cell r="F54">
            <v>110045</v>
          </cell>
          <cell r="G54">
            <v>300050.83999999997</v>
          </cell>
          <cell r="H54">
            <v>2704055115</v>
          </cell>
          <cell r="K54">
            <v>9011.9898181254885</v>
          </cell>
        </row>
        <row r="55">
          <cell r="A55">
            <v>110045</v>
          </cell>
          <cell r="B55">
            <v>39263</v>
          </cell>
          <cell r="C55" t="str">
            <v>IJ-22</v>
          </cell>
          <cell r="D55" t="str">
            <v>Work in Process - DGC + Litz</v>
          </cell>
          <cell r="E55" t="str">
            <v>Raw Material Cost</v>
          </cell>
          <cell r="F55">
            <v>520010</v>
          </cell>
          <cell r="I55">
            <v>300050.83999999997</v>
          </cell>
          <cell r="J55">
            <v>2704055115</v>
          </cell>
          <cell r="K55">
            <v>9011.9898181254885</v>
          </cell>
        </row>
        <row r="56">
          <cell r="A56">
            <v>110045</v>
          </cell>
          <cell r="B56">
            <v>39263</v>
          </cell>
          <cell r="C56" t="str">
            <v>IJ-23</v>
          </cell>
          <cell r="D56" t="str">
            <v>Cost of Goods Sold</v>
          </cell>
          <cell r="E56" t="str">
            <v>Work in Process - DGC + Litz</v>
          </cell>
          <cell r="F56">
            <v>530010</v>
          </cell>
          <cell r="G56">
            <v>277097.09999999998</v>
          </cell>
          <cell r="H56">
            <v>2493729677</v>
          </cell>
          <cell r="K56">
            <v>8999.4795217993997</v>
          </cell>
        </row>
        <row r="57">
          <cell r="A57">
            <v>530010</v>
          </cell>
          <cell r="B57">
            <v>39263</v>
          </cell>
          <cell r="C57" t="str">
            <v>IJ-23</v>
          </cell>
          <cell r="D57" t="str">
            <v>Cost of Goods Sold</v>
          </cell>
          <cell r="E57" t="str">
            <v>Work in Process - DGC + Litz</v>
          </cell>
          <cell r="F57">
            <v>110045</v>
          </cell>
          <cell r="I57">
            <v>277097.09999999998</v>
          </cell>
          <cell r="J57">
            <v>2493729677</v>
          </cell>
          <cell r="K57">
            <v>8999.4795217993997</v>
          </cell>
        </row>
        <row r="59">
          <cell r="A59">
            <v>810012</v>
          </cell>
          <cell r="B59">
            <v>39263</v>
          </cell>
          <cell r="C59" t="str">
            <v>AJE-01</v>
          </cell>
          <cell r="D59" t="str">
            <v>T/R -PT. Sanyo Electric (usd)</v>
          </cell>
          <cell r="E59" t="str">
            <v>Foreign Exchange Gain</v>
          </cell>
          <cell r="F59">
            <v>110032</v>
          </cell>
          <cell r="H59">
            <v>0</v>
          </cell>
          <cell r="K59" t="str">
            <v>forex</v>
          </cell>
        </row>
        <row r="60">
          <cell r="A60">
            <v>810012</v>
          </cell>
          <cell r="B60">
            <v>39263</v>
          </cell>
          <cell r="C60" t="str">
            <v>AJE-01</v>
          </cell>
          <cell r="D60" t="str">
            <v>T/R -PT. Sony Manufacturing Indonesia (usd)</v>
          </cell>
          <cell r="E60" t="str">
            <v>Foreign Exchange Gain</v>
          </cell>
          <cell r="F60">
            <v>110033</v>
          </cell>
          <cell r="H60">
            <v>0</v>
          </cell>
          <cell r="K60" t="str">
            <v>forex</v>
          </cell>
        </row>
        <row r="61">
          <cell r="A61">
            <v>810012</v>
          </cell>
          <cell r="B61">
            <v>39263</v>
          </cell>
          <cell r="C61" t="str">
            <v>AJE-01</v>
          </cell>
          <cell r="D61" t="str">
            <v>T/R -PT. Tembaga Mulia Semanan</v>
          </cell>
          <cell r="E61" t="str">
            <v>Foreign Exchange Gain</v>
          </cell>
          <cell r="F61">
            <v>110034</v>
          </cell>
          <cell r="H61">
            <v>0</v>
          </cell>
          <cell r="K61" t="str">
            <v>forex</v>
          </cell>
        </row>
        <row r="62">
          <cell r="A62">
            <v>810012</v>
          </cell>
          <cell r="B62">
            <v>39263</v>
          </cell>
          <cell r="C62" t="str">
            <v>AJE-01</v>
          </cell>
          <cell r="D62" t="str">
            <v xml:space="preserve">T/R -PT Sanwa Musen (Yen) </v>
          </cell>
          <cell r="E62" t="str">
            <v>Foreign Exchange Gain</v>
          </cell>
          <cell r="F62" t="str">
            <v>110035-1</v>
          </cell>
          <cell r="H62">
            <v>0</v>
          </cell>
          <cell r="K62" t="str">
            <v>forex</v>
          </cell>
        </row>
        <row r="63">
          <cell r="A63">
            <v>810012</v>
          </cell>
          <cell r="B63">
            <v>39263</v>
          </cell>
          <cell r="C63" t="str">
            <v>AJE-01</v>
          </cell>
          <cell r="D63" t="str">
            <v>T/R - PT. Galindra M.C (USD)  GALVA</v>
          </cell>
          <cell r="E63" t="str">
            <v>Foreign Exchange Gain</v>
          </cell>
          <cell r="F63" t="str">
            <v>110035-2</v>
          </cell>
          <cell r="H63">
            <v>615145</v>
          </cell>
          <cell r="K63" t="str">
            <v>forex</v>
          </cell>
        </row>
        <row r="64">
          <cell r="A64">
            <v>810012</v>
          </cell>
          <cell r="B64">
            <v>39263</v>
          </cell>
          <cell r="C64" t="str">
            <v>AJE-01</v>
          </cell>
          <cell r="D64" t="str">
            <v>T/R - PT. Sanken (USD)</v>
          </cell>
          <cell r="E64" t="str">
            <v>Foreign Exchange Gain</v>
          </cell>
          <cell r="F64" t="str">
            <v>110035-3</v>
          </cell>
          <cell r="H64">
            <v>0</v>
          </cell>
          <cell r="K64" t="str">
            <v>forex</v>
          </cell>
        </row>
        <row r="65">
          <cell r="A65">
            <v>810012</v>
          </cell>
          <cell r="B65">
            <v>39263</v>
          </cell>
          <cell r="C65" t="str">
            <v>AJE-01</v>
          </cell>
          <cell r="D65" t="str">
            <v>T/R - PT. Padi Trust Component (USD)</v>
          </cell>
          <cell r="E65" t="str">
            <v>Foreign Exchange Gain</v>
          </cell>
          <cell r="F65" t="str">
            <v>110035-4</v>
          </cell>
          <cell r="H65">
            <v>0</v>
          </cell>
          <cell r="K65" t="str">
            <v>forex</v>
          </cell>
        </row>
        <row r="66">
          <cell r="A66">
            <v>810012</v>
          </cell>
          <cell r="B66">
            <v>39263</v>
          </cell>
          <cell r="C66" t="str">
            <v>AJE-01</v>
          </cell>
          <cell r="D66" t="str">
            <v>T/R - PT. PGCOM Panasonic (USD)</v>
          </cell>
          <cell r="E66" t="str">
            <v>Foreign Exchange Gain</v>
          </cell>
          <cell r="F66" t="str">
            <v>110035-5</v>
          </cell>
          <cell r="H66">
            <v>0</v>
          </cell>
          <cell r="K66" t="str">
            <v>forex</v>
          </cell>
        </row>
        <row r="67">
          <cell r="A67">
            <v>810012</v>
          </cell>
          <cell r="B67">
            <v>39263</v>
          </cell>
          <cell r="C67" t="str">
            <v>AJE-01</v>
          </cell>
          <cell r="D67" t="str">
            <v>T/R - PT. Samwha Indonesia (USD)</v>
          </cell>
          <cell r="E67" t="str">
            <v>Foreign Exchange Gain</v>
          </cell>
          <cell r="F67" t="str">
            <v>110035-6</v>
          </cell>
          <cell r="H67">
            <v>4925196</v>
          </cell>
          <cell r="K67" t="str">
            <v>forex</v>
          </cell>
        </row>
        <row r="68">
          <cell r="A68">
            <v>810012</v>
          </cell>
          <cell r="B68">
            <v>39263</v>
          </cell>
          <cell r="C68" t="str">
            <v>AJE-01</v>
          </cell>
          <cell r="D68" t="str">
            <v>T/R - PT. Toshiba (USD)</v>
          </cell>
          <cell r="E68" t="str">
            <v>Foreign Exchange Gain</v>
          </cell>
          <cell r="F68" t="str">
            <v>110035-7</v>
          </cell>
          <cell r="H68">
            <v>0</v>
          </cell>
          <cell r="K68" t="str">
            <v>forex</v>
          </cell>
        </row>
        <row r="69">
          <cell r="A69">
            <v>810012</v>
          </cell>
          <cell r="B69">
            <v>39263</v>
          </cell>
          <cell r="C69" t="str">
            <v>AJE-01</v>
          </cell>
          <cell r="D69" t="str">
            <v>T/R - TVS Electronics</v>
          </cell>
          <cell r="E69" t="str">
            <v>Foreign Exchange Gain</v>
          </cell>
          <cell r="F69" t="str">
            <v>110035-8</v>
          </cell>
          <cell r="H69">
            <v>0</v>
          </cell>
          <cell r="K69" t="str">
            <v>forex</v>
          </cell>
        </row>
        <row r="70">
          <cell r="A70">
            <v>810012</v>
          </cell>
          <cell r="B70">
            <v>39263</v>
          </cell>
          <cell r="C70" t="str">
            <v>AJE-01</v>
          </cell>
          <cell r="D70" t="str">
            <v xml:space="preserve">Totoku Electric Co., Ltd., Japan  (USD) </v>
          </cell>
          <cell r="E70" t="str">
            <v>Foreign Exchange Gain</v>
          </cell>
          <cell r="F70">
            <v>110036</v>
          </cell>
          <cell r="H70">
            <v>0</v>
          </cell>
          <cell r="K70" t="str">
            <v>forex</v>
          </cell>
        </row>
        <row r="71">
          <cell r="A71">
            <v>810012</v>
          </cell>
          <cell r="B71">
            <v>39263</v>
          </cell>
          <cell r="C71" t="str">
            <v>AJE-01</v>
          </cell>
          <cell r="D71" t="str">
            <v>Totoku Electric Co., Ltd., Singapore  (USD)</v>
          </cell>
          <cell r="E71" t="str">
            <v>Foreign Exchange Gain</v>
          </cell>
          <cell r="F71">
            <v>110037</v>
          </cell>
          <cell r="H71">
            <v>0</v>
          </cell>
          <cell r="K71" t="str">
            <v>forex</v>
          </cell>
        </row>
        <row r="72">
          <cell r="A72">
            <v>810012</v>
          </cell>
          <cell r="B72">
            <v>39263</v>
          </cell>
          <cell r="C72" t="str">
            <v>AJE-01</v>
          </cell>
          <cell r="D72" t="str">
            <v>Totoku North Amerika (USD)</v>
          </cell>
          <cell r="E72" t="str">
            <v>Foreign Exchange Gain</v>
          </cell>
          <cell r="F72" t="str">
            <v>110037-1</v>
          </cell>
          <cell r="H72">
            <v>0</v>
          </cell>
          <cell r="K72" t="str">
            <v>forex</v>
          </cell>
        </row>
        <row r="73">
          <cell r="A73">
            <v>810012</v>
          </cell>
          <cell r="B73">
            <v>39263</v>
          </cell>
          <cell r="C73" t="str">
            <v>AJE-01</v>
          </cell>
          <cell r="D73" t="str">
            <v>Totoku Malaysia (USD)</v>
          </cell>
          <cell r="E73" t="str">
            <v>Foreign Exchange Gain</v>
          </cell>
          <cell r="F73" t="str">
            <v>110037-2</v>
          </cell>
          <cell r="H73">
            <v>568707</v>
          </cell>
          <cell r="K73" t="str">
            <v>forex</v>
          </cell>
        </row>
        <row r="74">
          <cell r="A74">
            <v>810012</v>
          </cell>
          <cell r="B74">
            <v>39263</v>
          </cell>
          <cell r="C74" t="str">
            <v>AJE-01</v>
          </cell>
          <cell r="D74" t="str">
            <v>Totoku China (Zhejiang) Co. Ltd (USD)</v>
          </cell>
          <cell r="E74" t="str">
            <v>Foreign Exchange Gain</v>
          </cell>
          <cell r="F74" t="str">
            <v>110037-3</v>
          </cell>
          <cell r="H74">
            <v>878078</v>
          </cell>
          <cell r="K74" t="str">
            <v>forex</v>
          </cell>
        </row>
        <row r="75">
          <cell r="A75">
            <v>810012</v>
          </cell>
          <cell r="B75">
            <v>39263</v>
          </cell>
          <cell r="C75" t="str">
            <v>AJE-01</v>
          </cell>
          <cell r="D75" t="str">
            <v>Noble Batam (USD)</v>
          </cell>
          <cell r="E75" t="str">
            <v>Foreign Exchange Gain</v>
          </cell>
          <cell r="F75">
            <v>110038</v>
          </cell>
          <cell r="H75">
            <v>2727161</v>
          </cell>
          <cell r="K75" t="str">
            <v>forex</v>
          </cell>
        </row>
        <row r="76">
          <cell r="A76">
            <v>810012</v>
          </cell>
          <cell r="B76">
            <v>39263</v>
          </cell>
          <cell r="C76" t="str">
            <v>AJE-01</v>
          </cell>
          <cell r="D76" t="str">
            <v>Sanyo Industries, UK (USD)</v>
          </cell>
          <cell r="E76" t="str">
            <v>Foreign Exchange Gain</v>
          </cell>
          <cell r="F76">
            <v>110039</v>
          </cell>
          <cell r="H76">
            <v>0</v>
          </cell>
          <cell r="K76" t="str">
            <v>forex</v>
          </cell>
        </row>
        <row r="77">
          <cell r="A77">
            <v>810012</v>
          </cell>
          <cell r="B77">
            <v>39263</v>
          </cell>
          <cell r="C77" t="str">
            <v>AJE-01</v>
          </cell>
          <cell r="D77" t="str">
            <v>NEC Tokin Electronic (USD)</v>
          </cell>
          <cell r="E77" t="str">
            <v>Foreign Exchange Gain</v>
          </cell>
          <cell r="F77" t="str">
            <v>110039-1</v>
          </cell>
          <cell r="H77">
            <v>2497306</v>
          </cell>
          <cell r="K77" t="str">
            <v>forex</v>
          </cell>
        </row>
        <row r="78">
          <cell r="A78">
            <v>810012</v>
          </cell>
          <cell r="B78">
            <v>39263</v>
          </cell>
          <cell r="C78" t="str">
            <v>AJE-01</v>
          </cell>
          <cell r="D78" t="str">
            <v>Shibata Electronics ($)  (L)  Singapore</v>
          </cell>
          <cell r="E78" t="str">
            <v>Foreign Exchange Gain</v>
          </cell>
          <cell r="F78" t="str">
            <v>110039-2</v>
          </cell>
          <cell r="H78">
            <v>185869964</v>
          </cell>
          <cell r="K78" t="str">
            <v>forex</v>
          </cell>
        </row>
        <row r="79">
          <cell r="A79">
            <v>810012</v>
          </cell>
          <cell r="B79">
            <v>39263</v>
          </cell>
          <cell r="C79" t="str">
            <v>AJE-01</v>
          </cell>
          <cell r="D79" t="str">
            <v>Shibata Electronics ($)  (L)  Japan</v>
          </cell>
          <cell r="E79" t="str">
            <v>Foreign Exchange Gain</v>
          </cell>
          <cell r="F79" t="str">
            <v>110039-3</v>
          </cell>
          <cell r="H79">
            <v>1897803</v>
          </cell>
          <cell r="K79" t="str">
            <v>forex</v>
          </cell>
        </row>
        <row r="80">
          <cell r="A80">
            <v>810012</v>
          </cell>
          <cell r="B80">
            <v>39263</v>
          </cell>
          <cell r="C80" t="str">
            <v>AJE-01</v>
          </cell>
          <cell r="D80" t="str">
            <v>Sanwa Musen - Thailand</v>
          </cell>
          <cell r="E80" t="str">
            <v>Foreign Exchange Gain</v>
          </cell>
          <cell r="F80" t="str">
            <v>110039-4</v>
          </cell>
          <cell r="H80">
            <v>0</v>
          </cell>
          <cell r="K80" t="str">
            <v>forex</v>
          </cell>
        </row>
        <row r="81">
          <cell r="A81">
            <v>810012</v>
          </cell>
          <cell r="B81">
            <v>39263</v>
          </cell>
          <cell r="C81" t="str">
            <v>AJE-01</v>
          </cell>
          <cell r="D81" t="str">
            <v xml:space="preserve">A-Tex Worldwide SDN., BHD </v>
          </cell>
          <cell r="E81" t="str">
            <v>Foreign Exchange Gain</v>
          </cell>
          <cell r="F81" t="str">
            <v>110039-5</v>
          </cell>
          <cell r="H81">
            <v>0</v>
          </cell>
          <cell r="K81" t="str">
            <v>forex</v>
          </cell>
        </row>
        <row r="82">
          <cell r="A82">
            <v>810012</v>
          </cell>
          <cell r="B82">
            <v>39263</v>
          </cell>
          <cell r="C82" t="str">
            <v>AJE-01</v>
          </cell>
          <cell r="D82" t="str">
            <v>PT. KEL Indonesia</v>
          </cell>
          <cell r="E82" t="str">
            <v>Foreign Exchange Gain</v>
          </cell>
          <cell r="F82" t="str">
            <v>110039-6</v>
          </cell>
          <cell r="H82">
            <v>0</v>
          </cell>
          <cell r="K82" t="str">
            <v>forex</v>
          </cell>
        </row>
        <row r="83">
          <cell r="A83">
            <v>810012</v>
          </cell>
          <cell r="B83">
            <v>39263</v>
          </cell>
          <cell r="C83" t="str">
            <v>AJE-01</v>
          </cell>
          <cell r="D83" t="str">
            <v>Other Receivable</v>
          </cell>
          <cell r="E83" t="str">
            <v>Foreign Exchange Gain</v>
          </cell>
          <cell r="F83" t="str">
            <v>110039-10</v>
          </cell>
          <cell r="H83">
            <v>967563</v>
          </cell>
          <cell r="K83" t="str">
            <v>forex</v>
          </cell>
        </row>
        <row r="84">
          <cell r="A84">
            <v>810012</v>
          </cell>
          <cell r="B84">
            <v>39263</v>
          </cell>
          <cell r="C84" t="str">
            <v>AJE-01</v>
          </cell>
          <cell r="D84" t="str">
            <v>Refundable Deposits -PT. Karawang Sport Centre</v>
          </cell>
          <cell r="E84" t="str">
            <v>Foreign Exchange Gain</v>
          </cell>
          <cell r="F84">
            <v>130011</v>
          </cell>
          <cell r="H84">
            <v>8475000</v>
          </cell>
          <cell r="K84" t="str">
            <v>forex</v>
          </cell>
        </row>
        <row r="85">
          <cell r="A85">
            <v>810012</v>
          </cell>
          <cell r="B85">
            <v>39263</v>
          </cell>
          <cell r="C85" t="str">
            <v>AJE-01</v>
          </cell>
          <cell r="D85" t="str">
            <v>Refundable Deposits -PT. Secom Indopratama</v>
          </cell>
          <cell r="E85" t="str">
            <v>Foreign Exchange Gain</v>
          </cell>
          <cell r="F85">
            <v>130011</v>
          </cell>
          <cell r="H85">
            <v>113000</v>
          </cell>
          <cell r="K85" t="str">
            <v>forex</v>
          </cell>
        </row>
        <row r="86">
          <cell r="A86">
            <v>810012</v>
          </cell>
          <cell r="B86">
            <v>39263</v>
          </cell>
          <cell r="C86" t="str">
            <v>AJE-01</v>
          </cell>
          <cell r="D86" t="str">
            <v>Refundable Deposits -PT. Griya Karawang</v>
          </cell>
          <cell r="E86" t="str">
            <v>Foreign Exchange Gain</v>
          </cell>
          <cell r="F86">
            <v>130011</v>
          </cell>
          <cell r="H86">
            <v>226000</v>
          </cell>
          <cell r="K86" t="str">
            <v>forex</v>
          </cell>
        </row>
        <row r="87">
          <cell r="A87">
            <v>810012</v>
          </cell>
          <cell r="B87">
            <v>39263</v>
          </cell>
          <cell r="C87" t="str">
            <v>AJE-01</v>
          </cell>
          <cell r="D87" t="str">
            <v>Refundable Deposits -PT. Besland Pertiwi (II)</v>
          </cell>
          <cell r="E87" t="str">
            <v>Foreign Exchange Gain</v>
          </cell>
          <cell r="F87">
            <v>130011</v>
          </cell>
          <cell r="H87">
            <v>3209200</v>
          </cell>
          <cell r="K87" t="str">
            <v>forex</v>
          </cell>
        </row>
        <row r="88">
          <cell r="A88">
            <v>810012</v>
          </cell>
          <cell r="B88">
            <v>39263</v>
          </cell>
          <cell r="C88" t="str">
            <v>AJE-01</v>
          </cell>
          <cell r="D88" t="str">
            <v>Refundable Deposits -PT. Besland Pertiwi (III)</v>
          </cell>
          <cell r="E88" t="str">
            <v>Foreign Exchange Gain</v>
          </cell>
          <cell r="F88">
            <v>130011</v>
          </cell>
          <cell r="H88">
            <v>2101800</v>
          </cell>
          <cell r="K88" t="str">
            <v>forex</v>
          </cell>
        </row>
        <row r="89">
          <cell r="A89">
            <v>810012</v>
          </cell>
          <cell r="B89">
            <v>39263</v>
          </cell>
          <cell r="C89" t="str">
            <v>AJE-01</v>
          </cell>
          <cell r="D89" t="str">
            <v>Refundable Deposits -PT. Tatajabar Sejahtera (III)</v>
          </cell>
          <cell r="E89" t="str">
            <v>Foreign Exchange Gain</v>
          </cell>
          <cell r="F89">
            <v>130011</v>
          </cell>
          <cell r="H89">
            <v>2226100</v>
          </cell>
          <cell r="K89" t="str">
            <v>forex</v>
          </cell>
        </row>
        <row r="90">
          <cell r="A90">
            <v>810012</v>
          </cell>
          <cell r="B90">
            <v>39263</v>
          </cell>
          <cell r="C90" t="str">
            <v>AJE-01</v>
          </cell>
          <cell r="D90" t="str">
            <v>Refundable Deposits -PT. Besland Pertiwi (IV)</v>
          </cell>
          <cell r="E90" t="str">
            <v>Foreign Exchange Gain</v>
          </cell>
          <cell r="F90">
            <v>130011</v>
          </cell>
          <cell r="H90">
            <v>5311000</v>
          </cell>
          <cell r="K90" t="str">
            <v>forex</v>
          </cell>
        </row>
        <row r="91">
          <cell r="A91">
            <v>810012</v>
          </cell>
          <cell r="B91">
            <v>39263</v>
          </cell>
          <cell r="C91" t="str">
            <v>AJE-01</v>
          </cell>
          <cell r="D91" t="str">
            <v>Refundable Deposits -PT. Tatajabar Sejahtera (IV)</v>
          </cell>
          <cell r="E91" t="str">
            <v>Foreign Exchange Gain</v>
          </cell>
          <cell r="F91">
            <v>130011</v>
          </cell>
          <cell r="H91">
            <v>3898500</v>
          </cell>
          <cell r="K91" t="str">
            <v>forex</v>
          </cell>
        </row>
        <row r="92">
          <cell r="A92">
            <v>810012</v>
          </cell>
          <cell r="B92">
            <v>39263</v>
          </cell>
          <cell r="C92" t="str">
            <v>AJE-01</v>
          </cell>
          <cell r="D92" t="str">
            <v xml:space="preserve">Totoku Electric Co., Ltd., Japan </v>
          </cell>
          <cell r="E92" t="str">
            <v>Foreign Exchange Gain</v>
          </cell>
          <cell r="F92">
            <v>210011</v>
          </cell>
          <cell r="H92">
            <v>0</v>
          </cell>
          <cell r="K92" t="str">
            <v>forex</v>
          </cell>
        </row>
        <row r="93">
          <cell r="A93">
            <v>810012</v>
          </cell>
          <cell r="B93">
            <v>39263</v>
          </cell>
          <cell r="C93" t="str">
            <v>AJE-01</v>
          </cell>
          <cell r="D93" t="str">
            <v>Totoku Electrica Mexicana. S.A. DE.C.V, Mexico</v>
          </cell>
          <cell r="E93" t="str">
            <v>Foreign Exchange Gain</v>
          </cell>
          <cell r="F93">
            <v>210012</v>
          </cell>
          <cell r="H93">
            <v>0</v>
          </cell>
          <cell r="K93" t="str">
            <v>forex</v>
          </cell>
        </row>
        <row r="94">
          <cell r="A94">
            <v>810012</v>
          </cell>
          <cell r="B94">
            <v>39263</v>
          </cell>
          <cell r="C94" t="str">
            <v>AJE-01</v>
          </cell>
          <cell r="D94" t="str">
            <v>Totoku Malaysia</v>
          </cell>
          <cell r="E94" t="str">
            <v>Foreign Exchange Gain</v>
          </cell>
          <cell r="F94" t="str">
            <v>210012-1</v>
          </cell>
          <cell r="H94">
            <v>0</v>
          </cell>
          <cell r="K94" t="str">
            <v>forex</v>
          </cell>
        </row>
        <row r="95">
          <cell r="A95">
            <v>810012</v>
          </cell>
          <cell r="B95">
            <v>39263</v>
          </cell>
          <cell r="C95" t="str">
            <v>AJE-01</v>
          </cell>
          <cell r="D95" t="str">
            <v>Furukawa Electric Singapore (US$)</v>
          </cell>
          <cell r="E95" t="str">
            <v>Foreign Exchange Gain</v>
          </cell>
          <cell r="F95">
            <v>210013</v>
          </cell>
          <cell r="H95">
            <v>0</v>
          </cell>
          <cell r="K95" t="str">
            <v>forex</v>
          </cell>
        </row>
        <row r="96">
          <cell r="A96">
            <v>810012</v>
          </cell>
          <cell r="B96">
            <v>39263</v>
          </cell>
          <cell r="C96" t="str">
            <v>AJE-01</v>
          </cell>
          <cell r="D96" t="str">
            <v>Totoku Hongkong</v>
          </cell>
          <cell r="E96" t="str">
            <v>Foreign Exchange Gain</v>
          </cell>
          <cell r="F96" t="str">
            <v>210013-2</v>
          </cell>
          <cell r="H96">
            <v>0</v>
          </cell>
          <cell r="K96" t="str">
            <v>forex</v>
          </cell>
        </row>
        <row r="97">
          <cell r="A97">
            <v>810012</v>
          </cell>
          <cell r="B97">
            <v>39263</v>
          </cell>
          <cell r="C97" t="str">
            <v>AJE-01</v>
          </cell>
          <cell r="D97" t="str">
            <v>Nitto Denko</v>
          </cell>
          <cell r="E97" t="str">
            <v>Foreign Exchange Gain</v>
          </cell>
          <cell r="F97" t="str">
            <v>210013-3</v>
          </cell>
          <cell r="H97">
            <v>0</v>
          </cell>
          <cell r="K97" t="str">
            <v>forex</v>
          </cell>
        </row>
        <row r="98">
          <cell r="A98">
            <v>810012</v>
          </cell>
          <cell r="B98">
            <v>39263</v>
          </cell>
          <cell r="C98" t="str">
            <v>AJE-01</v>
          </cell>
          <cell r="D98" t="str">
            <v>Local T/P -PT. Fanah Jaya (USD)</v>
          </cell>
          <cell r="E98" t="str">
            <v>Foreign Exchange Gain</v>
          </cell>
          <cell r="F98">
            <v>210014</v>
          </cell>
          <cell r="H98">
            <v>0</v>
          </cell>
          <cell r="K98" t="str">
            <v>forex</v>
          </cell>
        </row>
        <row r="99">
          <cell r="A99">
            <v>810012</v>
          </cell>
          <cell r="B99">
            <v>39263</v>
          </cell>
          <cell r="C99" t="str">
            <v>AJE-01</v>
          </cell>
          <cell r="D99" t="str">
            <v>Local T/P -PT. Nitto (USD)</v>
          </cell>
          <cell r="E99" t="str">
            <v>Foreign Exchange Gain</v>
          </cell>
          <cell r="F99">
            <v>210015</v>
          </cell>
          <cell r="H99">
            <v>0</v>
          </cell>
          <cell r="K99" t="str">
            <v>forex</v>
          </cell>
        </row>
        <row r="100">
          <cell r="A100">
            <v>810012</v>
          </cell>
          <cell r="B100">
            <v>39263</v>
          </cell>
          <cell r="C100" t="str">
            <v>AJE-01</v>
          </cell>
          <cell r="D100" t="str">
            <v>Local T/P -PT. Sumitomo Electric (USD) OPTEC</v>
          </cell>
          <cell r="E100" t="str">
            <v>Foreign Exchange Gain</v>
          </cell>
          <cell r="F100">
            <v>210016</v>
          </cell>
          <cell r="H100">
            <v>0</v>
          </cell>
          <cell r="K100" t="str">
            <v>forex</v>
          </cell>
        </row>
        <row r="101">
          <cell r="A101">
            <v>810012</v>
          </cell>
          <cell r="B101">
            <v>39263</v>
          </cell>
          <cell r="C101" t="str">
            <v>AJE-01</v>
          </cell>
          <cell r="D101" t="str">
            <v>Local T/P -PT. Dia Electro (USD)  DECSI (Adtec Enterprise)</v>
          </cell>
          <cell r="E101" t="str">
            <v>Foreign Exchange Gain</v>
          </cell>
          <cell r="F101">
            <v>210017</v>
          </cell>
          <cell r="H101">
            <v>0</v>
          </cell>
          <cell r="K101" t="str">
            <v>forex</v>
          </cell>
        </row>
        <row r="102">
          <cell r="A102">
            <v>810012</v>
          </cell>
          <cell r="B102">
            <v>39263</v>
          </cell>
          <cell r="C102" t="str">
            <v>AJE-01</v>
          </cell>
          <cell r="D102" t="str">
            <v xml:space="preserve">Local T/P - PT Sanko Material (USD) </v>
          </cell>
          <cell r="E102" t="str">
            <v>Foreign Exchange Gain</v>
          </cell>
          <cell r="F102">
            <v>210018</v>
          </cell>
          <cell r="H102">
            <v>0</v>
          </cell>
          <cell r="K102" t="str">
            <v>forex</v>
          </cell>
        </row>
        <row r="103">
          <cell r="A103">
            <v>810012</v>
          </cell>
          <cell r="B103">
            <v>39263</v>
          </cell>
          <cell r="C103" t="str">
            <v>AJE-01</v>
          </cell>
          <cell r="D103" t="str">
            <v xml:space="preserve">Local T/P - PT.Bina Sinar Amity </v>
          </cell>
          <cell r="E103" t="str">
            <v>Foreign Exchange Gain</v>
          </cell>
          <cell r="F103">
            <v>210019</v>
          </cell>
          <cell r="H103">
            <v>0</v>
          </cell>
          <cell r="K103" t="str">
            <v>forex</v>
          </cell>
        </row>
        <row r="104">
          <cell r="A104">
            <v>810012</v>
          </cell>
          <cell r="B104">
            <v>39263</v>
          </cell>
          <cell r="C104" t="str">
            <v>AJE-01</v>
          </cell>
          <cell r="D104" t="str">
            <v>Local T/P -PT. Sucaco (USD)</v>
          </cell>
          <cell r="E104" t="str">
            <v>Foreign Exchange Gain</v>
          </cell>
          <cell r="F104" t="str">
            <v>210019-1</v>
          </cell>
          <cell r="H104">
            <v>0</v>
          </cell>
          <cell r="K104" t="str">
            <v>forex</v>
          </cell>
        </row>
        <row r="105">
          <cell r="A105">
            <v>810012</v>
          </cell>
          <cell r="B105">
            <v>39263</v>
          </cell>
          <cell r="C105" t="str">
            <v>AJE-01</v>
          </cell>
          <cell r="D105" t="str">
            <v>Local T/P -PT. Ewindo</v>
          </cell>
          <cell r="E105" t="str">
            <v>Foreign Exchange Gain</v>
          </cell>
          <cell r="F105" t="str">
            <v>210019-2</v>
          </cell>
          <cell r="H105">
            <v>0</v>
          </cell>
          <cell r="K105" t="str">
            <v>forex</v>
          </cell>
        </row>
        <row r="106">
          <cell r="A106">
            <v>810012</v>
          </cell>
          <cell r="B106">
            <v>39263</v>
          </cell>
          <cell r="C106" t="str">
            <v>AJE-01</v>
          </cell>
          <cell r="D106" t="str">
            <v>Local T/P - Harmonics Techindo (USD)</v>
          </cell>
          <cell r="E106" t="str">
            <v>Foreign Exchange Gain</v>
          </cell>
          <cell r="F106" t="str">
            <v>210019-3</v>
          </cell>
          <cell r="H106">
            <v>0</v>
          </cell>
          <cell r="K106" t="str">
            <v>forex</v>
          </cell>
        </row>
        <row r="107">
          <cell r="A107">
            <v>810012</v>
          </cell>
          <cell r="B107">
            <v>39263</v>
          </cell>
          <cell r="C107" t="str">
            <v>AJE-01</v>
          </cell>
          <cell r="D107" t="str">
            <v>Local T/P -Tessa (USD)</v>
          </cell>
          <cell r="E107" t="str">
            <v>Foreign Exchange Gain</v>
          </cell>
          <cell r="F107" t="str">
            <v>210019-4</v>
          </cell>
          <cell r="H107">
            <v>0</v>
          </cell>
          <cell r="K107" t="str">
            <v>forex</v>
          </cell>
        </row>
        <row r="108">
          <cell r="A108">
            <v>810012</v>
          </cell>
          <cell r="B108">
            <v>39263</v>
          </cell>
          <cell r="C108" t="str">
            <v>AJE-01</v>
          </cell>
          <cell r="D108" t="str">
            <v>Local T/P -  PT. Kyoei Denki (USD)</v>
          </cell>
          <cell r="E108" t="str">
            <v>Foreign Exchange Gain</v>
          </cell>
          <cell r="F108" t="str">
            <v>210019-5</v>
          </cell>
          <cell r="H108">
            <v>0</v>
          </cell>
          <cell r="K108" t="str">
            <v>forex</v>
          </cell>
        </row>
        <row r="109">
          <cell r="A109">
            <v>810012</v>
          </cell>
          <cell r="B109">
            <v>39263</v>
          </cell>
          <cell r="C109" t="str">
            <v>AJE-01</v>
          </cell>
          <cell r="D109" t="str">
            <v>Local T/P -  PT. Kel Indonesia (USD)</v>
          </cell>
          <cell r="E109" t="str">
            <v>Foreign Exchange Gain</v>
          </cell>
          <cell r="F109" t="str">
            <v>210019-6</v>
          </cell>
          <cell r="H109">
            <v>0</v>
          </cell>
          <cell r="K109" t="str">
            <v>forex</v>
          </cell>
        </row>
        <row r="110">
          <cell r="A110">
            <v>810012</v>
          </cell>
          <cell r="B110">
            <v>39263</v>
          </cell>
          <cell r="C110" t="str">
            <v>AJE-01</v>
          </cell>
          <cell r="D110" t="str">
            <v>Local T/P -  Furukawa + Furukawa Sangyo (Yen)</v>
          </cell>
          <cell r="E110" t="str">
            <v>Foreign Exchange Gain</v>
          </cell>
          <cell r="F110" t="str">
            <v>210019-7</v>
          </cell>
          <cell r="H110">
            <v>0</v>
          </cell>
          <cell r="K110" t="str">
            <v>forex</v>
          </cell>
        </row>
        <row r="111">
          <cell r="A111">
            <v>810012</v>
          </cell>
          <cell r="B111">
            <v>39263</v>
          </cell>
          <cell r="C111" t="str">
            <v>AJE-01</v>
          </cell>
          <cell r="D111" t="str">
            <v>Other Payables :</v>
          </cell>
          <cell r="E111" t="str">
            <v>Foreign Exchange Gain</v>
          </cell>
          <cell r="F111" t="str">
            <v>210030-1</v>
          </cell>
          <cell r="H111">
            <v>0</v>
          </cell>
          <cell r="K111" t="str">
            <v>forex</v>
          </cell>
        </row>
        <row r="112">
          <cell r="A112">
            <v>810012</v>
          </cell>
          <cell r="B112">
            <v>39263</v>
          </cell>
          <cell r="C112" t="str">
            <v>AJE-01</v>
          </cell>
          <cell r="D112" t="str">
            <v>Output Payables :</v>
          </cell>
          <cell r="E112" t="str">
            <v>Foreign Exchange Gain</v>
          </cell>
          <cell r="F112">
            <v>210030</v>
          </cell>
          <cell r="H112">
            <v>0</v>
          </cell>
          <cell r="K112" t="str">
            <v>forex</v>
          </cell>
        </row>
        <row r="113">
          <cell r="A113">
            <v>810012</v>
          </cell>
          <cell r="B113">
            <v>39263</v>
          </cell>
          <cell r="C113" t="str">
            <v>AJE-01</v>
          </cell>
          <cell r="D113" t="str">
            <v>Temporary Receivable Subject (Royalty) (usd)</v>
          </cell>
          <cell r="E113" t="str">
            <v>Foreign Exchange Gain</v>
          </cell>
          <cell r="F113">
            <v>210039</v>
          </cell>
          <cell r="H113">
            <v>0</v>
          </cell>
          <cell r="K113" t="str">
            <v>forex</v>
          </cell>
        </row>
        <row r="114">
          <cell r="A114">
            <v>810012</v>
          </cell>
          <cell r="B114">
            <v>39263</v>
          </cell>
          <cell r="C114" t="str">
            <v>AJE-01</v>
          </cell>
          <cell r="D114" t="str">
            <v>Suspense Receivable - Totoku Electric</v>
          </cell>
          <cell r="E114" t="str">
            <v>Foreign Exchange Gain</v>
          </cell>
          <cell r="F114">
            <v>210041</v>
          </cell>
          <cell r="H114">
            <v>55</v>
          </cell>
          <cell r="K114" t="str">
            <v>forex</v>
          </cell>
        </row>
        <row r="115">
          <cell r="A115">
            <v>810012</v>
          </cell>
          <cell r="B115">
            <v>39263</v>
          </cell>
          <cell r="C115" t="str">
            <v>AJE-01</v>
          </cell>
          <cell r="D115" t="str">
            <v>Long Term Loans - Totoku Electric Co. Ltd</v>
          </cell>
          <cell r="E115" t="str">
            <v>Foreign Exchange Gain</v>
          </cell>
          <cell r="F115">
            <v>210071</v>
          </cell>
          <cell r="H115">
            <v>0</v>
          </cell>
          <cell r="K115" t="str">
            <v>forex</v>
          </cell>
        </row>
        <row r="116">
          <cell r="A116">
            <v>810012</v>
          </cell>
          <cell r="B116">
            <v>39263</v>
          </cell>
          <cell r="C116" t="str">
            <v>AJE-01</v>
          </cell>
          <cell r="D116" t="str">
            <v>PT. Resona Perdania Indonesia (max -usd 500,000)</v>
          </cell>
          <cell r="E116" t="str">
            <v>Foreign Exchange Gain</v>
          </cell>
          <cell r="F116">
            <v>210061</v>
          </cell>
          <cell r="H116">
            <v>0</v>
          </cell>
          <cell r="K116" t="str">
            <v>forex</v>
          </cell>
        </row>
        <row r="117">
          <cell r="A117">
            <v>810012</v>
          </cell>
          <cell r="B117">
            <v>39263</v>
          </cell>
          <cell r="C117" t="str">
            <v>AJE-01</v>
          </cell>
          <cell r="D117" t="str">
            <v>PT. Bank Dai-Ichi Kangyo Indonesia (max -usd 1,000,000)</v>
          </cell>
          <cell r="E117" t="str">
            <v>Foreign Exchange Gain</v>
          </cell>
          <cell r="F117">
            <v>210062</v>
          </cell>
          <cell r="H117">
            <v>0</v>
          </cell>
          <cell r="K117" t="str">
            <v>forex</v>
          </cell>
        </row>
        <row r="118">
          <cell r="A118">
            <v>810012</v>
          </cell>
          <cell r="B118">
            <v>39263</v>
          </cell>
          <cell r="C118" t="str">
            <v>AJE-01</v>
          </cell>
          <cell r="D118" t="str">
            <v>Totoku Electric Co. Ltd</v>
          </cell>
          <cell r="E118" t="str">
            <v>Foreign Exchange Gain</v>
          </cell>
          <cell r="F118">
            <v>210063</v>
          </cell>
          <cell r="H118">
            <v>0</v>
          </cell>
          <cell r="K118" t="str">
            <v>forex</v>
          </cell>
        </row>
        <row r="119">
          <cell r="A119">
            <v>110032</v>
          </cell>
          <cell r="B119">
            <v>39263</v>
          </cell>
          <cell r="C119" t="str">
            <v>AJE-01</v>
          </cell>
          <cell r="D119" t="str">
            <v>Foreign Exchange Gain</v>
          </cell>
          <cell r="E119" t="str">
            <v>T/R -PT. Sanyo Electric (usd)</v>
          </cell>
          <cell r="F119">
            <v>810012</v>
          </cell>
          <cell r="J119">
            <v>0</v>
          </cell>
          <cell r="K119" t="str">
            <v>forex</v>
          </cell>
        </row>
        <row r="120">
          <cell r="A120">
            <v>110033</v>
          </cell>
          <cell r="B120">
            <v>39263</v>
          </cell>
          <cell r="C120" t="str">
            <v>AJE-01</v>
          </cell>
          <cell r="D120" t="str">
            <v>Foreign Exchange Gain</v>
          </cell>
          <cell r="E120" t="str">
            <v>T/R -PT. Sony Manufacturing Indonesia (usd)</v>
          </cell>
          <cell r="F120">
            <v>810012</v>
          </cell>
          <cell r="J120">
            <v>0</v>
          </cell>
          <cell r="K120" t="str">
            <v>forex</v>
          </cell>
        </row>
        <row r="121">
          <cell r="A121">
            <v>110034</v>
          </cell>
          <cell r="B121">
            <v>39263</v>
          </cell>
          <cell r="C121" t="str">
            <v>AJE-01</v>
          </cell>
          <cell r="D121" t="str">
            <v>Foreign Exchange Gain</v>
          </cell>
          <cell r="E121" t="str">
            <v>T/R -PT. Tembaga Mulia Semanan</v>
          </cell>
          <cell r="F121">
            <v>810012</v>
          </cell>
          <cell r="J121">
            <v>0</v>
          </cell>
          <cell r="K121" t="str">
            <v>forex</v>
          </cell>
        </row>
        <row r="122">
          <cell r="A122" t="str">
            <v>110035-1</v>
          </cell>
          <cell r="B122">
            <v>39263</v>
          </cell>
          <cell r="C122" t="str">
            <v>AJE-01</v>
          </cell>
          <cell r="D122" t="str">
            <v>Foreign Exchange Gain</v>
          </cell>
          <cell r="E122" t="str">
            <v xml:space="preserve">T/R -PT Sanwa Musen (Yen) </v>
          </cell>
          <cell r="F122">
            <v>810012</v>
          </cell>
          <cell r="J122">
            <v>0</v>
          </cell>
          <cell r="K122" t="str">
            <v>forex</v>
          </cell>
        </row>
        <row r="123">
          <cell r="A123" t="str">
            <v>110035-2</v>
          </cell>
          <cell r="B123">
            <v>39263</v>
          </cell>
          <cell r="C123" t="str">
            <v>AJE-01</v>
          </cell>
          <cell r="D123" t="str">
            <v>Foreign Exchange Gain</v>
          </cell>
          <cell r="E123" t="str">
            <v>T/R - PT. Galindra M.C (USD)  GALVA</v>
          </cell>
          <cell r="F123">
            <v>810012</v>
          </cell>
          <cell r="J123">
            <v>615145</v>
          </cell>
          <cell r="K123" t="str">
            <v>forex</v>
          </cell>
        </row>
        <row r="124">
          <cell r="A124" t="str">
            <v>110035-3</v>
          </cell>
          <cell r="B124">
            <v>39263</v>
          </cell>
          <cell r="C124" t="str">
            <v>AJE-01</v>
          </cell>
          <cell r="D124" t="str">
            <v>Foreign Exchange Gain</v>
          </cell>
          <cell r="E124" t="str">
            <v>T/R - PT. Sanken (USD)</v>
          </cell>
          <cell r="F124">
            <v>810012</v>
          </cell>
          <cell r="J124">
            <v>0</v>
          </cell>
          <cell r="K124" t="str">
            <v>forex</v>
          </cell>
        </row>
        <row r="125">
          <cell r="A125" t="str">
            <v>110035-4</v>
          </cell>
          <cell r="B125">
            <v>39263</v>
          </cell>
          <cell r="C125" t="str">
            <v>AJE-01</v>
          </cell>
          <cell r="D125" t="str">
            <v>Foreign Exchange Gain</v>
          </cell>
          <cell r="E125" t="str">
            <v>T/R - PT. Padi Trust Component (USD)</v>
          </cell>
          <cell r="F125">
            <v>810012</v>
          </cell>
          <cell r="J125">
            <v>0</v>
          </cell>
          <cell r="K125" t="str">
            <v>forex</v>
          </cell>
        </row>
        <row r="126">
          <cell r="A126" t="str">
            <v>110035-5</v>
          </cell>
          <cell r="B126">
            <v>39263</v>
          </cell>
          <cell r="C126" t="str">
            <v>AJE-01</v>
          </cell>
          <cell r="D126" t="str">
            <v>Foreign Exchange Gain</v>
          </cell>
          <cell r="E126" t="str">
            <v>T/R - PT. PGCOM Panasonic (USD)</v>
          </cell>
          <cell r="F126">
            <v>810012</v>
          </cell>
          <cell r="J126">
            <v>0</v>
          </cell>
          <cell r="K126" t="str">
            <v>forex</v>
          </cell>
        </row>
        <row r="127">
          <cell r="A127" t="str">
            <v>110035-6</v>
          </cell>
          <cell r="B127">
            <v>39263</v>
          </cell>
          <cell r="C127" t="str">
            <v>AJE-01</v>
          </cell>
          <cell r="D127" t="str">
            <v>Foreign Exchange Gain</v>
          </cell>
          <cell r="E127" t="str">
            <v>T/R - PT. Samwha Indonesia (USD)</v>
          </cell>
          <cell r="F127">
            <v>810012</v>
          </cell>
          <cell r="J127">
            <v>4925196</v>
          </cell>
          <cell r="K127" t="str">
            <v>forex</v>
          </cell>
        </row>
        <row r="128">
          <cell r="A128" t="str">
            <v>110035-7</v>
          </cell>
          <cell r="B128">
            <v>39263</v>
          </cell>
          <cell r="C128" t="str">
            <v>AJE-01</v>
          </cell>
          <cell r="D128" t="str">
            <v>Foreign Exchange Gain</v>
          </cell>
          <cell r="E128" t="str">
            <v>T/R - PT. Toshiba (USD)</v>
          </cell>
          <cell r="F128">
            <v>810012</v>
          </cell>
          <cell r="J128">
            <v>0</v>
          </cell>
          <cell r="K128" t="str">
            <v>forex</v>
          </cell>
        </row>
        <row r="129">
          <cell r="A129" t="str">
            <v>110035-8</v>
          </cell>
          <cell r="B129">
            <v>39263</v>
          </cell>
          <cell r="C129" t="str">
            <v>AJE-01</v>
          </cell>
          <cell r="D129" t="str">
            <v>Foreign Exchange Gain</v>
          </cell>
          <cell r="E129" t="str">
            <v>T/R - TVS Electronics</v>
          </cell>
          <cell r="F129">
            <v>810012</v>
          </cell>
          <cell r="J129">
            <v>0</v>
          </cell>
          <cell r="K129" t="str">
            <v>forex</v>
          </cell>
        </row>
        <row r="130">
          <cell r="A130">
            <v>110036</v>
          </cell>
          <cell r="B130">
            <v>39263</v>
          </cell>
          <cell r="C130" t="str">
            <v>AJE-01</v>
          </cell>
          <cell r="D130" t="str">
            <v>Foreign Exchange Gain</v>
          </cell>
          <cell r="E130" t="str">
            <v xml:space="preserve">Totoku Electric Co., Ltd., Japan  (USD) </v>
          </cell>
          <cell r="F130">
            <v>810012</v>
          </cell>
          <cell r="J130">
            <v>0</v>
          </cell>
          <cell r="K130" t="str">
            <v>forex</v>
          </cell>
        </row>
        <row r="131">
          <cell r="A131">
            <v>110037</v>
          </cell>
          <cell r="B131">
            <v>39263</v>
          </cell>
          <cell r="C131" t="str">
            <v>AJE-01</v>
          </cell>
          <cell r="D131" t="str">
            <v>Foreign Exchange Gain</v>
          </cell>
          <cell r="E131" t="str">
            <v>Totoku Electric Co., Ltd., Singapore  (USD)</v>
          </cell>
          <cell r="F131">
            <v>810012</v>
          </cell>
          <cell r="J131">
            <v>0</v>
          </cell>
          <cell r="K131" t="str">
            <v>forex</v>
          </cell>
        </row>
        <row r="132">
          <cell r="A132" t="str">
            <v>110037-1</v>
          </cell>
          <cell r="B132">
            <v>39263</v>
          </cell>
          <cell r="C132" t="str">
            <v>AJE-01</v>
          </cell>
          <cell r="D132" t="str">
            <v>Foreign Exchange Gain</v>
          </cell>
          <cell r="E132" t="str">
            <v>Totoku North Amerika (USD)</v>
          </cell>
          <cell r="F132">
            <v>810012</v>
          </cell>
          <cell r="J132">
            <v>0</v>
          </cell>
          <cell r="K132" t="str">
            <v>forex</v>
          </cell>
        </row>
        <row r="133">
          <cell r="A133" t="str">
            <v>110037-2</v>
          </cell>
          <cell r="B133">
            <v>39263</v>
          </cell>
          <cell r="C133" t="str">
            <v>AJE-01</v>
          </cell>
          <cell r="D133" t="str">
            <v>Foreign Exchange Gain</v>
          </cell>
          <cell r="E133" t="str">
            <v>Totoku Malaysia (USD)</v>
          </cell>
          <cell r="F133">
            <v>810012</v>
          </cell>
          <cell r="J133">
            <v>568707</v>
          </cell>
          <cell r="K133" t="str">
            <v>forex</v>
          </cell>
        </row>
        <row r="134">
          <cell r="A134" t="str">
            <v>110037-3</v>
          </cell>
          <cell r="B134">
            <v>39263</v>
          </cell>
          <cell r="C134" t="str">
            <v>AJE-01</v>
          </cell>
          <cell r="D134" t="str">
            <v>Foreign Exchange Gain</v>
          </cell>
          <cell r="E134" t="str">
            <v>Totoku China (Zhejiang) Co. Ltd (USD)</v>
          </cell>
          <cell r="F134">
            <v>810012</v>
          </cell>
          <cell r="J134">
            <v>878078</v>
          </cell>
          <cell r="K134" t="str">
            <v>forex</v>
          </cell>
        </row>
        <row r="135">
          <cell r="A135">
            <v>110038</v>
          </cell>
          <cell r="B135">
            <v>39263</v>
          </cell>
          <cell r="C135" t="str">
            <v>AJE-01</v>
          </cell>
          <cell r="D135" t="str">
            <v>Foreign Exchange Gain</v>
          </cell>
          <cell r="E135" t="str">
            <v>Noble Batam (USD)</v>
          </cell>
          <cell r="F135">
            <v>810012</v>
          </cell>
          <cell r="J135">
            <v>2727161</v>
          </cell>
          <cell r="K135" t="str">
            <v>forex</v>
          </cell>
        </row>
        <row r="136">
          <cell r="A136">
            <v>110039</v>
          </cell>
          <cell r="B136">
            <v>39263</v>
          </cell>
          <cell r="C136" t="str">
            <v>AJE-01</v>
          </cell>
          <cell r="D136" t="str">
            <v>Foreign Exchange Gain</v>
          </cell>
          <cell r="E136" t="str">
            <v>Sanyo Industries, UK (USD)</v>
          </cell>
          <cell r="F136">
            <v>810012</v>
          </cell>
          <cell r="J136">
            <v>0</v>
          </cell>
          <cell r="K136" t="str">
            <v>forex</v>
          </cell>
        </row>
        <row r="137">
          <cell r="A137" t="str">
            <v>110039-1</v>
          </cell>
          <cell r="B137">
            <v>39263</v>
          </cell>
          <cell r="C137" t="str">
            <v>AJE-01</v>
          </cell>
          <cell r="D137" t="str">
            <v>Foreign Exchange Gain</v>
          </cell>
          <cell r="E137" t="str">
            <v>NEC Tokin Electronic (USD)</v>
          </cell>
          <cell r="F137">
            <v>810012</v>
          </cell>
          <cell r="J137">
            <v>2497306</v>
          </cell>
          <cell r="K137" t="str">
            <v>forex</v>
          </cell>
        </row>
        <row r="138">
          <cell r="A138" t="str">
            <v>110039-2</v>
          </cell>
          <cell r="B138">
            <v>39263</v>
          </cell>
          <cell r="C138" t="str">
            <v>AJE-01</v>
          </cell>
          <cell r="D138" t="str">
            <v>Foreign Exchange Gain</v>
          </cell>
          <cell r="E138" t="str">
            <v>Shibata Electronics ($)  (L)  Singapore</v>
          </cell>
          <cell r="F138">
            <v>810012</v>
          </cell>
          <cell r="J138">
            <v>185869964</v>
          </cell>
          <cell r="K138" t="str">
            <v>forex</v>
          </cell>
        </row>
        <row r="139">
          <cell r="A139" t="str">
            <v>110039-3</v>
          </cell>
          <cell r="B139">
            <v>39263</v>
          </cell>
          <cell r="C139" t="str">
            <v>AJE-01</v>
          </cell>
          <cell r="D139" t="str">
            <v>Foreign Exchange Gain</v>
          </cell>
          <cell r="E139" t="str">
            <v>Shibata Electronics ($)  (L)  Japan</v>
          </cell>
          <cell r="F139">
            <v>810012</v>
          </cell>
          <cell r="J139">
            <v>1897803</v>
          </cell>
          <cell r="K139" t="str">
            <v>forex</v>
          </cell>
        </row>
        <row r="140">
          <cell r="A140" t="str">
            <v>110039-4</v>
          </cell>
          <cell r="B140">
            <v>39263</v>
          </cell>
          <cell r="C140" t="str">
            <v>AJE-01</v>
          </cell>
          <cell r="D140" t="str">
            <v>Foreign Exchange Gain</v>
          </cell>
          <cell r="E140" t="str">
            <v>Sanwa Musen - Thailand</v>
          </cell>
          <cell r="F140">
            <v>810012</v>
          </cell>
          <cell r="J140">
            <v>0</v>
          </cell>
          <cell r="K140" t="str">
            <v>forex</v>
          </cell>
        </row>
        <row r="141">
          <cell r="A141" t="str">
            <v>110039-5</v>
          </cell>
          <cell r="B141">
            <v>39263</v>
          </cell>
          <cell r="C141" t="str">
            <v>AJE-01</v>
          </cell>
          <cell r="D141" t="str">
            <v>Foreign Exchange Gain</v>
          </cell>
          <cell r="E141" t="str">
            <v xml:space="preserve">A-Tex Worldwide SDN., BHD </v>
          </cell>
          <cell r="F141">
            <v>810012</v>
          </cell>
          <cell r="J141">
            <v>0</v>
          </cell>
          <cell r="K141" t="str">
            <v>forex</v>
          </cell>
        </row>
        <row r="142">
          <cell r="A142" t="str">
            <v>110039-6</v>
          </cell>
          <cell r="B142">
            <v>39263</v>
          </cell>
          <cell r="C142" t="str">
            <v>AJE-01</v>
          </cell>
          <cell r="D142" t="str">
            <v>Foreign Exchange Gain</v>
          </cell>
          <cell r="E142" t="str">
            <v>PT. KEL Indonesia</v>
          </cell>
          <cell r="F142">
            <v>810012</v>
          </cell>
          <cell r="J142">
            <v>0</v>
          </cell>
          <cell r="K142" t="str">
            <v>forex</v>
          </cell>
        </row>
        <row r="143">
          <cell r="A143" t="str">
            <v>110039-10</v>
          </cell>
          <cell r="B143">
            <v>39263</v>
          </cell>
          <cell r="C143" t="str">
            <v>AJE-01</v>
          </cell>
          <cell r="D143" t="str">
            <v>Foreign Exchange Gain</v>
          </cell>
          <cell r="E143" t="str">
            <v>Other Receivable</v>
          </cell>
          <cell r="F143">
            <v>810012</v>
          </cell>
          <cell r="J143">
            <v>967563</v>
          </cell>
          <cell r="K143" t="str">
            <v>forex</v>
          </cell>
        </row>
        <row r="144">
          <cell r="A144">
            <v>130011</v>
          </cell>
          <cell r="B144">
            <v>39263</v>
          </cell>
          <cell r="C144" t="str">
            <v>AJE-01</v>
          </cell>
          <cell r="D144" t="str">
            <v>Foreign Exchange Gain</v>
          </cell>
          <cell r="E144" t="str">
            <v>Refundable Deposits -PT. Karawang Sport Centre</v>
          </cell>
          <cell r="F144">
            <v>810012</v>
          </cell>
          <cell r="J144">
            <v>8475000</v>
          </cell>
          <cell r="K144" t="str">
            <v>forex</v>
          </cell>
        </row>
        <row r="145">
          <cell r="A145">
            <v>130011</v>
          </cell>
          <cell r="B145">
            <v>39263</v>
          </cell>
          <cell r="C145" t="str">
            <v>AJE-01</v>
          </cell>
          <cell r="D145" t="str">
            <v>Foreign Exchange Gain</v>
          </cell>
          <cell r="E145" t="str">
            <v>Refundable Deposits -PT. Secom Indopratama</v>
          </cell>
          <cell r="F145">
            <v>810012</v>
          </cell>
          <cell r="J145">
            <v>113000</v>
          </cell>
          <cell r="K145" t="str">
            <v>forex</v>
          </cell>
        </row>
        <row r="146">
          <cell r="A146">
            <v>130011</v>
          </cell>
          <cell r="B146">
            <v>39263</v>
          </cell>
          <cell r="C146" t="str">
            <v>AJE-01</v>
          </cell>
          <cell r="D146" t="str">
            <v>Foreign Exchange Gain</v>
          </cell>
          <cell r="E146" t="str">
            <v>Refundable Deposits -PT. Griya Karawang</v>
          </cell>
          <cell r="F146">
            <v>810012</v>
          </cell>
          <cell r="J146">
            <v>226000</v>
          </cell>
          <cell r="K146" t="str">
            <v>forex</v>
          </cell>
        </row>
        <row r="147">
          <cell r="A147">
            <v>130011</v>
          </cell>
          <cell r="B147">
            <v>39263</v>
          </cell>
          <cell r="C147" t="str">
            <v>AJE-01</v>
          </cell>
          <cell r="D147" t="str">
            <v>Foreign Exchange Gain</v>
          </cell>
          <cell r="E147" t="str">
            <v>Refundable Deposits -PT. Besland Pertiwi (II)</v>
          </cell>
          <cell r="F147">
            <v>810012</v>
          </cell>
          <cell r="J147">
            <v>3209200</v>
          </cell>
          <cell r="K147" t="str">
            <v>forex</v>
          </cell>
        </row>
        <row r="148">
          <cell r="A148">
            <v>130011</v>
          </cell>
          <cell r="B148">
            <v>39263</v>
          </cell>
          <cell r="C148" t="str">
            <v>AJE-01</v>
          </cell>
          <cell r="D148" t="str">
            <v>Foreign Exchange Gain</v>
          </cell>
          <cell r="E148" t="str">
            <v>Refundable Deposits -PT. Besland Pertiwi (III)</v>
          </cell>
          <cell r="F148">
            <v>810012</v>
          </cell>
          <cell r="J148">
            <v>2101800</v>
          </cell>
          <cell r="K148" t="str">
            <v>forex</v>
          </cell>
        </row>
        <row r="149">
          <cell r="A149">
            <v>130011</v>
          </cell>
          <cell r="B149">
            <v>39263</v>
          </cell>
          <cell r="C149" t="str">
            <v>AJE-01</v>
          </cell>
          <cell r="D149" t="str">
            <v>Foreign Exchange Gain</v>
          </cell>
          <cell r="E149" t="str">
            <v>Refundable Deposits -PT. Tatajabar Sejahtera (III)</v>
          </cell>
          <cell r="F149">
            <v>810012</v>
          </cell>
          <cell r="J149">
            <v>2226100</v>
          </cell>
          <cell r="K149" t="str">
            <v>forex</v>
          </cell>
        </row>
        <row r="150">
          <cell r="A150">
            <v>130011</v>
          </cell>
          <cell r="B150">
            <v>39263</v>
          </cell>
          <cell r="C150" t="str">
            <v>AJE-01</v>
          </cell>
          <cell r="D150" t="str">
            <v>Foreign Exchange Gain</v>
          </cell>
          <cell r="E150" t="str">
            <v>Refundable Deposits -PT. Besland Pertiwi (IV)</v>
          </cell>
          <cell r="F150">
            <v>810012</v>
          </cell>
          <cell r="J150">
            <v>5311000</v>
          </cell>
          <cell r="K150" t="str">
            <v>forex</v>
          </cell>
        </row>
        <row r="151">
          <cell r="A151">
            <v>130011</v>
          </cell>
          <cell r="B151">
            <v>39263</v>
          </cell>
          <cell r="C151" t="str">
            <v>AJE-01</v>
          </cell>
          <cell r="D151" t="str">
            <v>Foreign Exchange Gain</v>
          </cell>
          <cell r="E151" t="str">
            <v>Refundable Deposits -PT. Tatajabar Sejahtera (IV)</v>
          </cell>
          <cell r="F151">
            <v>810012</v>
          </cell>
          <cell r="J151">
            <v>3898500</v>
          </cell>
          <cell r="K151" t="str">
            <v>forex</v>
          </cell>
        </row>
        <row r="152">
          <cell r="A152">
            <v>210011</v>
          </cell>
          <cell r="B152">
            <v>39263</v>
          </cell>
          <cell r="C152" t="str">
            <v>AJE-01</v>
          </cell>
          <cell r="D152" t="str">
            <v>Foreign Exchange Gain</v>
          </cell>
          <cell r="E152" t="str">
            <v xml:space="preserve">Totoku Electric Co., Ltd., Japan </v>
          </cell>
          <cell r="F152">
            <v>810012</v>
          </cell>
          <cell r="J152">
            <v>0</v>
          </cell>
          <cell r="K152" t="str">
            <v>forex</v>
          </cell>
        </row>
        <row r="153">
          <cell r="A153">
            <v>210012</v>
          </cell>
          <cell r="B153">
            <v>39263</v>
          </cell>
          <cell r="C153" t="str">
            <v>AJE-01</v>
          </cell>
          <cell r="D153" t="str">
            <v>Foreign Exchange Gain</v>
          </cell>
          <cell r="E153" t="str">
            <v>Totoku Electrica Mexicana. S.A. DE.C.V, Mexico</v>
          </cell>
          <cell r="F153">
            <v>810012</v>
          </cell>
          <cell r="J153">
            <v>0</v>
          </cell>
          <cell r="K153" t="str">
            <v>forex</v>
          </cell>
        </row>
        <row r="154">
          <cell r="A154" t="str">
            <v>210012-1</v>
          </cell>
          <cell r="B154">
            <v>39263</v>
          </cell>
          <cell r="C154" t="str">
            <v>AJE-01</v>
          </cell>
          <cell r="D154" t="str">
            <v>Foreign Exchange Gain</v>
          </cell>
          <cell r="E154" t="str">
            <v>Totoku Malaysia</v>
          </cell>
          <cell r="F154">
            <v>810012</v>
          </cell>
          <cell r="J154">
            <v>0</v>
          </cell>
          <cell r="K154" t="str">
            <v>forex</v>
          </cell>
        </row>
        <row r="155">
          <cell r="A155">
            <v>210013</v>
          </cell>
          <cell r="B155">
            <v>39263</v>
          </cell>
          <cell r="C155" t="str">
            <v>AJE-01</v>
          </cell>
          <cell r="D155" t="str">
            <v>Foreign Exchange Gain</v>
          </cell>
          <cell r="E155" t="str">
            <v>Furukawa Electric Singapore (US$)</v>
          </cell>
          <cell r="F155">
            <v>810012</v>
          </cell>
          <cell r="J155">
            <v>0</v>
          </cell>
          <cell r="K155" t="str">
            <v>forex</v>
          </cell>
        </row>
        <row r="156">
          <cell r="A156" t="str">
            <v>210013-2</v>
          </cell>
          <cell r="B156">
            <v>39263</v>
          </cell>
          <cell r="C156" t="str">
            <v>AJE-01</v>
          </cell>
          <cell r="D156" t="str">
            <v>Foreign Exchange Gain</v>
          </cell>
          <cell r="E156" t="str">
            <v>Totoku Hongkong</v>
          </cell>
          <cell r="F156">
            <v>810012</v>
          </cell>
          <cell r="J156">
            <v>0</v>
          </cell>
          <cell r="K156" t="str">
            <v>forex</v>
          </cell>
        </row>
        <row r="157">
          <cell r="A157" t="str">
            <v>210013-3</v>
          </cell>
          <cell r="B157">
            <v>39263</v>
          </cell>
          <cell r="C157" t="str">
            <v>AJE-01</v>
          </cell>
          <cell r="D157" t="str">
            <v>Foreign Exchange Gain</v>
          </cell>
          <cell r="E157" t="str">
            <v>Nitto Denko</v>
          </cell>
          <cell r="F157">
            <v>810012</v>
          </cell>
          <cell r="J157">
            <v>0</v>
          </cell>
          <cell r="K157" t="str">
            <v>forex</v>
          </cell>
        </row>
        <row r="158">
          <cell r="A158">
            <v>210014</v>
          </cell>
          <cell r="B158">
            <v>39263</v>
          </cell>
          <cell r="C158" t="str">
            <v>AJE-01</v>
          </cell>
          <cell r="D158" t="str">
            <v>Foreign Exchange Gain</v>
          </cell>
          <cell r="E158" t="str">
            <v>Local T/P -PT. Fanah Jaya (USD)</v>
          </cell>
          <cell r="F158">
            <v>810012</v>
          </cell>
          <cell r="J158">
            <v>0</v>
          </cell>
          <cell r="K158" t="str">
            <v>forex</v>
          </cell>
        </row>
        <row r="159">
          <cell r="A159">
            <v>210015</v>
          </cell>
          <cell r="B159">
            <v>39263</v>
          </cell>
          <cell r="C159" t="str">
            <v>AJE-01</v>
          </cell>
          <cell r="D159" t="str">
            <v>Foreign Exchange Gain</v>
          </cell>
          <cell r="E159" t="str">
            <v>Local T/P -PT. Nitto (USD)</v>
          </cell>
          <cell r="F159">
            <v>810012</v>
          </cell>
          <cell r="J159">
            <v>0</v>
          </cell>
          <cell r="K159" t="str">
            <v>forex</v>
          </cell>
        </row>
        <row r="160">
          <cell r="A160">
            <v>210016</v>
          </cell>
          <cell r="B160">
            <v>39263</v>
          </cell>
          <cell r="C160" t="str">
            <v>AJE-01</v>
          </cell>
          <cell r="D160" t="str">
            <v>Foreign Exchange Gain</v>
          </cell>
          <cell r="E160" t="str">
            <v>Local T/P -PT. Sumitomo Electric (USD) OPTEC</v>
          </cell>
          <cell r="F160">
            <v>810012</v>
          </cell>
          <cell r="J160">
            <v>0</v>
          </cell>
          <cell r="K160" t="str">
            <v>forex</v>
          </cell>
        </row>
        <row r="161">
          <cell r="A161">
            <v>210017</v>
          </cell>
          <cell r="B161">
            <v>39263</v>
          </cell>
          <cell r="C161" t="str">
            <v>AJE-01</v>
          </cell>
          <cell r="D161" t="str">
            <v>Foreign Exchange Gain</v>
          </cell>
          <cell r="E161" t="str">
            <v>Local T/P -PT. Dia Electro (USD)  DECSI (Adtec Enterprise)</v>
          </cell>
          <cell r="F161">
            <v>810012</v>
          </cell>
          <cell r="J161">
            <v>0</v>
          </cell>
          <cell r="K161" t="str">
            <v>forex</v>
          </cell>
        </row>
        <row r="162">
          <cell r="A162">
            <v>210018</v>
          </cell>
          <cell r="B162">
            <v>39263</v>
          </cell>
          <cell r="C162" t="str">
            <v>AJE-01</v>
          </cell>
          <cell r="D162" t="str">
            <v>Foreign Exchange Gain</v>
          </cell>
          <cell r="E162" t="str">
            <v xml:space="preserve">Local T/P - PT Sanko Material (USD) </v>
          </cell>
          <cell r="F162">
            <v>810012</v>
          </cell>
          <cell r="J162">
            <v>0</v>
          </cell>
          <cell r="K162" t="str">
            <v>forex</v>
          </cell>
        </row>
        <row r="163">
          <cell r="A163">
            <v>210019</v>
          </cell>
          <cell r="B163">
            <v>39263</v>
          </cell>
          <cell r="C163" t="str">
            <v>AJE-01</v>
          </cell>
          <cell r="D163" t="str">
            <v>Foreign Exchange Gain</v>
          </cell>
          <cell r="E163" t="str">
            <v xml:space="preserve">Local T/P - PT.Bina Sinar Amity </v>
          </cell>
          <cell r="F163">
            <v>810012</v>
          </cell>
          <cell r="J163">
            <v>0</v>
          </cell>
          <cell r="K163" t="str">
            <v>forex</v>
          </cell>
        </row>
        <row r="164">
          <cell r="A164" t="str">
            <v>210019-1</v>
          </cell>
          <cell r="B164">
            <v>39263</v>
          </cell>
          <cell r="C164" t="str">
            <v>AJE-01</v>
          </cell>
          <cell r="D164" t="str">
            <v>Foreign Exchange Gain</v>
          </cell>
          <cell r="E164" t="str">
            <v>Local T/P -PT. Sucaco (USD)</v>
          </cell>
          <cell r="F164">
            <v>810012</v>
          </cell>
          <cell r="J164">
            <v>0</v>
          </cell>
          <cell r="K164" t="str">
            <v>forex</v>
          </cell>
        </row>
        <row r="165">
          <cell r="A165" t="str">
            <v>210019-2</v>
          </cell>
          <cell r="B165">
            <v>39263</v>
          </cell>
          <cell r="C165" t="str">
            <v>AJE-01</v>
          </cell>
          <cell r="D165" t="str">
            <v>Foreign Exchange Gain</v>
          </cell>
          <cell r="E165" t="str">
            <v>Local T/P -PT. Ewindo</v>
          </cell>
          <cell r="F165">
            <v>810012</v>
          </cell>
          <cell r="J165">
            <v>0</v>
          </cell>
          <cell r="K165" t="str">
            <v>forex</v>
          </cell>
        </row>
        <row r="166">
          <cell r="A166" t="str">
            <v>210019-3</v>
          </cell>
          <cell r="B166">
            <v>39263</v>
          </cell>
          <cell r="C166" t="str">
            <v>AJE-01</v>
          </cell>
          <cell r="D166" t="str">
            <v>Foreign Exchange Gain</v>
          </cell>
          <cell r="E166" t="str">
            <v>Local T/P - Harmonics Techindo (USD)</v>
          </cell>
          <cell r="F166">
            <v>810012</v>
          </cell>
          <cell r="J166">
            <v>0</v>
          </cell>
          <cell r="K166" t="str">
            <v>forex</v>
          </cell>
        </row>
        <row r="167">
          <cell r="A167" t="str">
            <v>210019-4</v>
          </cell>
          <cell r="B167">
            <v>39263</v>
          </cell>
          <cell r="C167" t="str">
            <v>AJE-01</v>
          </cell>
          <cell r="D167" t="str">
            <v>Foreign Exchange Gain</v>
          </cell>
          <cell r="E167" t="str">
            <v>Local T/P -Tessa (USD)</v>
          </cell>
          <cell r="F167">
            <v>810012</v>
          </cell>
          <cell r="J167">
            <v>0</v>
          </cell>
          <cell r="K167" t="str">
            <v>forex</v>
          </cell>
        </row>
        <row r="168">
          <cell r="A168" t="str">
            <v>210019-5</v>
          </cell>
          <cell r="B168">
            <v>39263</v>
          </cell>
          <cell r="C168" t="str">
            <v>AJE-01</v>
          </cell>
          <cell r="D168" t="str">
            <v>Foreign Exchange Gain</v>
          </cell>
          <cell r="E168" t="str">
            <v>Local T/P -  PT. Kyoei Denki (USD)</v>
          </cell>
          <cell r="F168">
            <v>810012</v>
          </cell>
          <cell r="J168">
            <v>0</v>
          </cell>
          <cell r="K168" t="str">
            <v>forex</v>
          </cell>
        </row>
        <row r="169">
          <cell r="A169" t="str">
            <v>210019-6</v>
          </cell>
          <cell r="B169">
            <v>39263</v>
          </cell>
          <cell r="C169" t="str">
            <v>AJE-01</v>
          </cell>
          <cell r="D169" t="str">
            <v>Foreign Exchange Gain</v>
          </cell>
          <cell r="E169" t="str">
            <v>Local T/P -  PT. Kel Indonesia (USD)</v>
          </cell>
          <cell r="F169">
            <v>810012</v>
          </cell>
          <cell r="J169">
            <v>0</v>
          </cell>
          <cell r="K169" t="str">
            <v>forex</v>
          </cell>
        </row>
        <row r="170">
          <cell r="A170" t="str">
            <v>210019-7</v>
          </cell>
          <cell r="B170">
            <v>39263</v>
          </cell>
          <cell r="C170" t="str">
            <v>AJE-01</v>
          </cell>
          <cell r="D170" t="str">
            <v>Foreign Exchange Gain</v>
          </cell>
          <cell r="E170" t="str">
            <v>Local T/P -  Furukawa + Furukawa Sangyo (Yen)</v>
          </cell>
          <cell r="F170">
            <v>810012</v>
          </cell>
          <cell r="J170">
            <v>0</v>
          </cell>
          <cell r="K170" t="str">
            <v>forex</v>
          </cell>
        </row>
        <row r="171">
          <cell r="A171" t="str">
            <v>210030-1</v>
          </cell>
          <cell r="B171">
            <v>39263</v>
          </cell>
          <cell r="C171" t="str">
            <v>AJE-01</v>
          </cell>
          <cell r="D171" t="str">
            <v>Foreign Exchange Gain</v>
          </cell>
          <cell r="E171" t="str">
            <v>Other Payables :</v>
          </cell>
          <cell r="F171">
            <v>810012</v>
          </cell>
          <cell r="J171">
            <v>0</v>
          </cell>
          <cell r="K171" t="str">
            <v>forex</v>
          </cell>
        </row>
        <row r="172">
          <cell r="A172">
            <v>210030</v>
          </cell>
          <cell r="B172">
            <v>39263</v>
          </cell>
          <cell r="C172" t="str">
            <v>AJE-01</v>
          </cell>
          <cell r="D172" t="str">
            <v>Foreign Exchange Gain</v>
          </cell>
          <cell r="E172" t="str">
            <v>Output Payables :</v>
          </cell>
          <cell r="F172">
            <v>810012</v>
          </cell>
          <cell r="J172">
            <v>0</v>
          </cell>
          <cell r="K172" t="str">
            <v>forex</v>
          </cell>
        </row>
        <row r="173">
          <cell r="A173">
            <v>210039</v>
          </cell>
          <cell r="B173">
            <v>39263</v>
          </cell>
          <cell r="C173" t="str">
            <v>AJE-01</v>
          </cell>
          <cell r="D173" t="str">
            <v>Foreign Exchange Gain</v>
          </cell>
          <cell r="E173" t="str">
            <v>Temporary Receivable Subject (Royalty) (usd)</v>
          </cell>
          <cell r="F173">
            <v>810012</v>
          </cell>
          <cell r="J173">
            <v>0</v>
          </cell>
          <cell r="K173" t="str">
            <v>forex</v>
          </cell>
        </row>
        <row r="174">
          <cell r="A174">
            <v>210041</v>
          </cell>
          <cell r="B174">
            <v>39263</v>
          </cell>
          <cell r="C174" t="str">
            <v>AJE-01</v>
          </cell>
          <cell r="D174" t="str">
            <v>Foreign Exchange Gain</v>
          </cell>
          <cell r="E174" t="str">
            <v>Suspense Receivable - Totoku Electric</v>
          </cell>
          <cell r="F174">
            <v>810012</v>
          </cell>
          <cell r="J174">
            <v>55</v>
          </cell>
          <cell r="K174" t="str">
            <v>forex</v>
          </cell>
        </row>
        <row r="175">
          <cell r="A175">
            <v>210071</v>
          </cell>
          <cell r="B175">
            <v>39263</v>
          </cell>
          <cell r="C175" t="str">
            <v>AJE-01</v>
          </cell>
          <cell r="D175" t="str">
            <v>Foreign Exchange Gain</v>
          </cell>
          <cell r="E175" t="str">
            <v>Long Term Loans - Totoku Electric Co. Ltd</v>
          </cell>
          <cell r="F175">
            <v>810012</v>
          </cell>
          <cell r="J175">
            <v>0</v>
          </cell>
          <cell r="K175" t="str">
            <v>forex</v>
          </cell>
        </row>
        <row r="176">
          <cell r="A176">
            <v>210061</v>
          </cell>
          <cell r="B176">
            <v>39263</v>
          </cell>
          <cell r="C176" t="str">
            <v>AJE-01</v>
          </cell>
          <cell r="D176" t="str">
            <v>Foreign Exchange Gain</v>
          </cell>
          <cell r="E176" t="str">
            <v>PT. Resona Perdania Indonesia (max -usd 500,000)</v>
          </cell>
          <cell r="F176">
            <v>810012</v>
          </cell>
          <cell r="J176">
            <v>0</v>
          </cell>
          <cell r="K176" t="str">
            <v>forex</v>
          </cell>
        </row>
        <row r="177">
          <cell r="A177">
            <v>210062</v>
          </cell>
          <cell r="B177">
            <v>39263</v>
          </cell>
          <cell r="C177" t="str">
            <v>AJE-01</v>
          </cell>
          <cell r="D177" t="str">
            <v>Foreign Exchange Gain</v>
          </cell>
          <cell r="E177" t="str">
            <v>PT. Bank Dai-Ichi Kangyo Indonesia (max -usd 1,000,000)</v>
          </cell>
          <cell r="F177">
            <v>810012</v>
          </cell>
          <cell r="J177">
            <v>0</v>
          </cell>
          <cell r="K177" t="str">
            <v>forex</v>
          </cell>
        </row>
        <row r="178">
          <cell r="A178">
            <v>210063</v>
          </cell>
          <cell r="B178">
            <v>39263</v>
          </cell>
          <cell r="C178" t="str">
            <v>AJE-01</v>
          </cell>
          <cell r="D178" t="str">
            <v>Foreign Exchange Gain</v>
          </cell>
          <cell r="E178" t="str">
            <v>Totoku Electric Co. Ltd</v>
          </cell>
          <cell r="F178">
            <v>810012</v>
          </cell>
          <cell r="J178">
            <v>0</v>
          </cell>
          <cell r="K178" t="str">
            <v>forex</v>
          </cell>
        </row>
        <row r="180">
          <cell r="A180">
            <v>110032</v>
          </cell>
          <cell r="B180">
            <v>39263</v>
          </cell>
          <cell r="C180" t="str">
            <v>AJE-02</v>
          </cell>
          <cell r="D180" t="str">
            <v>Foreign Exchange Loss</v>
          </cell>
          <cell r="E180" t="str">
            <v>T/R -PT. Sanyo Electric (USD)</v>
          </cell>
          <cell r="F180">
            <v>820012</v>
          </cell>
          <cell r="H180">
            <v>0</v>
          </cell>
          <cell r="K180" t="str">
            <v>forex</v>
          </cell>
        </row>
        <row r="181">
          <cell r="A181">
            <v>110033</v>
          </cell>
          <cell r="B181">
            <v>39263</v>
          </cell>
          <cell r="C181" t="str">
            <v>AJE-02</v>
          </cell>
          <cell r="D181" t="str">
            <v>Foreign Exchange Loss</v>
          </cell>
          <cell r="E181" t="str">
            <v>T/R -PT. Sony Manufacturing Indonesia (USD)</v>
          </cell>
          <cell r="F181">
            <v>820012</v>
          </cell>
          <cell r="H181">
            <v>0</v>
          </cell>
          <cell r="K181" t="str">
            <v>forex</v>
          </cell>
        </row>
        <row r="182">
          <cell r="A182">
            <v>110034</v>
          </cell>
          <cell r="B182">
            <v>39263</v>
          </cell>
          <cell r="C182" t="str">
            <v>AJE-02</v>
          </cell>
          <cell r="D182" t="str">
            <v>Foreign Exchange Loss</v>
          </cell>
          <cell r="E182" t="str">
            <v>T/R -PT. Tembaga Mulia Semanan</v>
          </cell>
          <cell r="F182">
            <v>820012</v>
          </cell>
          <cell r="H182">
            <v>0</v>
          </cell>
          <cell r="K182" t="str">
            <v>forex</v>
          </cell>
        </row>
        <row r="183">
          <cell r="A183" t="str">
            <v>110035-1</v>
          </cell>
          <cell r="B183">
            <v>39263</v>
          </cell>
          <cell r="C183" t="str">
            <v>AJE-02</v>
          </cell>
          <cell r="D183" t="str">
            <v>Foreign Exchange Loss</v>
          </cell>
          <cell r="E183" t="str">
            <v xml:space="preserve">T/R -PT Sanwa Musen (Yen) </v>
          </cell>
          <cell r="F183">
            <v>820012</v>
          </cell>
          <cell r="H183">
            <v>0</v>
          </cell>
          <cell r="K183" t="str">
            <v>forex</v>
          </cell>
        </row>
        <row r="184">
          <cell r="A184" t="str">
            <v>110035-2</v>
          </cell>
          <cell r="B184">
            <v>39263</v>
          </cell>
          <cell r="C184" t="str">
            <v>AJE-02</v>
          </cell>
          <cell r="D184" t="str">
            <v>Foreign Exchange Loss</v>
          </cell>
          <cell r="E184" t="str">
            <v>T/R - PT. Galindra M.C (USD)  GALVA</v>
          </cell>
          <cell r="F184">
            <v>820012</v>
          </cell>
          <cell r="H184">
            <v>0</v>
          </cell>
          <cell r="K184" t="str">
            <v>forex</v>
          </cell>
        </row>
        <row r="185">
          <cell r="A185" t="str">
            <v>110035-3</v>
          </cell>
          <cell r="B185">
            <v>39263</v>
          </cell>
          <cell r="C185" t="str">
            <v>AJE-02</v>
          </cell>
          <cell r="D185" t="str">
            <v>Foreign Exchange Loss</v>
          </cell>
          <cell r="E185" t="str">
            <v>T/R - PT. Sanken (USD)</v>
          </cell>
          <cell r="F185">
            <v>820012</v>
          </cell>
          <cell r="H185">
            <v>0</v>
          </cell>
          <cell r="K185" t="str">
            <v>forex</v>
          </cell>
        </row>
        <row r="186">
          <cell r="A186" t="str">
            <v>110035-4</v>
          </cell>
          <cell r="B186">
            <v>39263</v>
          </cell>
          <cell r="C186" t="str">
            <v>AJE-02</v>
          </cell>
          <cell r="D186" t="str">
            <v>Foreign Exchange Loss</v>
          </cell>
          <cell r="E186" t="str">
            <v>T/R - PT. Padi Trust Component (USD)</v>
          </cell>
          <cell r="F186">
            <v>820012</v>
          </cell>
          <cell r="H186">
            <v>0</v>
          </cell>
          <cell r="K186" t="str">
            <v>forex</v>
          </cell>
        </row>
        <row r="187">
          <cell r="A187" t="str">
            <v>110035-5</v>
          </cell>
          <cell r="B187">
            <v>39263</v>
          </cell>
          <cell r="C187" t="str">
            <v>AJE-02</v>
          </cell>
          <cell r="D187" t="str">
            <v>Foreign Exchange Loss</v>
          </cell>
          <cell r="E187" t="str">
            <v>T/R - PT. PGCOM Panasonic (USD)</v>
          </cell>
          <cell r="F187">
            <v>820012</v>
          </cell>
          <cell r="H187">
            <v>0</v>
          </cell>
          <cell r="K187" t="str">
            <v>forex</v>
          </cell>
        </row>
        <row r="188">
          <cell r="A188" t="str">
            <v>110035-6</v>
          </cell>
          <cell r="B188">
            <v>39263</v>
          </cell>
          <cell r="C188" t="str">
            <v>AJE-02</v>
          </cell>
          <cell r="D188" t="str">
            <v>Foreign Exchange Loss</v>
          </cell>
          <cell r="E188" t="str">
            <v>T/R - PT. Samwha Indonesia (USD)</v>
          </cell>
          <cell r="F188">
            <v>820012</v>
          </cell>
          <cell r="H188">
            <v>0</v>
          </cell>
          <cell r="K188" t="str">
            <v>forex</v>
          </cell>
        </row>
        <row r="189">
          <cell r="A189" t="str">
            <v>110035-7</v>
          </cell>
          <cell r="B189">
            <v>39263</v>
          </cell>
          <cell r="C189" t="str">
            <v>AJE-02</v>
          </cell>
          <cell r="D189" t="str">
            <v>Foreign Exchange Loss</v>
          </cell>
          <cell r="E189" t="str">
            <v>T/R - PT. Toshiba (USD)</v>
          </cell>
          <cell r="F189">
            <v>820012</v>
          </cell>
          <cell r="H189">
            <v>0</v>
          </cell>
          <cell r="K189" t="str">
            <v>forex</v>
          </cell>
        </row>
        <row r="190">
          <cell r="A190" t="str">
            <v>110035-8</v>
          </cell>
          <cell r="B190">
            <v>39263</v>
          </cell>
          <cell r="C190" t="str">
            <v>AJE-02</v>
          </cell>
          <cell r="D190" t="str">
            <v>Foreign Exchange Loss</v>
          </cell>
          <cell r="E190" t="str">
            <v>T/R - TVS Electronics</v>
          </cell>
          <cell r="F190">
            <v>820012</v>
          </cell>
          <cell r="H190">
            <v>779830</v>
          </cell>
          <cell r="K190" t="str">
            <v>forex</v>
          </cell>
        </row>
        <row r="191">
          <cell r="A191">
            <v>110036</v>
          </cell>
          <cell r="B191">
            <v>39263</v>
          </cell>
          <cell r="C191" t="str">
            <v>AJE-02</v>
          </cell>
          <cell r="D191" t="str">
            <v>Foreign Exchange Loss</v>
          </cell>
          <cell r="E191" t="str">
            <v xml:space="preserve">Totoku Electric Co., Ltd., Japan  (USD) </v>
          </cell>
          <cell r="F191">
            <v>820012</v>
          </cell>
          <cell r="H191">
            <v>547611885</v>
          </cell>
          <cell r="K191" t="str">
            <v>forex</v>
          </cell>
        </row>
        <row r="192">
          <cell r="A192">
            <v>110037</v>
          </cell>
          <cell r="B192">
            <v>39263</v>
          </cell>
          <cell r="C192" t="str">
            <v>AJE-02</v>
          </cell>
          <cell r="D192" t="str">
            <v>Foreign Exchange Loss</v>
          </cell>
          <cell r="E192" t="str">
            <v>Totoku Electric Co., Ltd., Singapore  (USD)</v>
          </cell>
          <cell r="F192">
            <v>820012</v>
          </cell>
          <cell r="H192">
            <v>0</v>
          </cell>
          <cell r="K192" t="str">
            <v>forex</v>
          </cell>
        </row>
        <row r="193">
          <cell r="A193" t="str">
            <v>110037-1</v>
          </cell>
          <cell r="B193">
            <v>39263</v>
          </cell>
          <cell r="C193" t="str">
            <v>AJE-02</v>
          </cell>
          <cell r="D193" t="str">
            <v>Foreign Exchange Loss</v>
          </cell>
          <cell r="E193" t="str">
            <v>Totoku North Amerika (USD)</v>
          </cell>
          <cell r="F193">
            <v>820012</v>
          </cell>
          <cell r="H193">
            <v>0</v>
          </cell>
          <cell r="K193" t="str">
            <v>forex</v>
          </cell>
        </row>
        <row r="194">
          <cell r="A194" t="str">
            <v>110037-2</v>
          </cell>
          <cell r="B194">
            <v>39263</v>
          </cell>
          <cell r="C194" t="str">
            <v>AJE-02</v>
          </cell>
          <cell r="D194" t="str">
            <v>Foreign Exchange Loss</v>
          </cell>
          <cell r="E194" t="str">
            <v>Totoku Malaysia (USD)</v>
          </cell>
          <cell r="F194">
            <v>820012</v>
          </cell>
          <cell r="H194">
            <v>0</v>
          </cell>
          <cell r="K194" t="str">
            <v>forex</v>
          </cell>
        </row>
        <row r="195">
          <cell r="A195" t="str">
            <v>110037-3</v>
          </cell>
          <cell r="B195">
            <v>39263</v>
          </cell>
          <cell r="C195" t="str">
            <v>AJE-02</v>
          </cell>
          <cell r="D195" t="str">
            <v>Foreign Exchange Loss</v>
          </cell>
          <cell r="E195" t="str">
            <v>Totoku China (Zhejiang) Co. Ltd (USD)</v>
          </cell>
          <cell r="F195">
            <v>820012</v>
          </cell>
          <cell r="H195">
            <v>0</v>
          </cell>
          <cell r="K195" t="str">
            <v>forex</v>
          </cell>
        </row>
        <row r="196">
          <cell r="A196">
            <v>110038</v>
          </cell>
          <cell r="B196">
            <v>39263</v>
          </cell>
          <cell r="C196" t="str">
            <v>AJE-02</v>
          </cell>
          <cell r="D196" t="str">
            <v>Foreign Exchange Loss</v>
          </cell>
          <cell r="E196" t="str">
            <v>Noble Batam (USD)</v>
          </cell>
          <cell r="F196">
            <v>820012</v>
          </cell>
          <cell r="H196">
            <v>0</v>
          </cell>
          <cell r="K196" t="str">
            <v>forex</v>
          </cell>
        </row>
        <row r="197">
          <cell r="A197">
            <v>110039</v>
          </cell>
          <cell r="B197">
            <v>39263</v>
          </cell>
          <cell r="C197" t="str">
            <v>AJE-02</v>
          </cell>
          <cell r="D197" t="str">
            <v>Foreign Exchange Loss</v>
          </cell>
          <cell r="E197" t="str">
            <v>Sanyo Industries, UK (USD)</v>
          </cell>
          <cell r="F197">
            <v>820012</v>
          </cell>
          <cell r="H197">
            <v>0</v>
          </cell>
          <cell r="K197" t="str">
            <v>forex</v>
          </cell>
        </row>
        <row r="198">
          <cell r="A198" t="str">
            <v>110039-1</v>
          </cell>
          <cell r="B198">
            <v>39263</v>
          </cell>
          <cell r="C198" t="str">
            <v>AJE-02</v>
          </cell>
          <cell r="D198" t="str">
            <v>Foreign Exchange Loss</v>
          </cell>
          <cell r="E198" t="str">
            <v>NEC Tokin Electronic (USD)</v>
          </cell>
          <cell r="F198">
            <v>820012</v>
          </cell>
          <cell r="H198">
            <v>0</v>
          </cell>
          <cell r="K198" t="str">
            <v>forex</v>
          </cell>
        </row>
        <row r="199">
          <cell r="A199" t="str">
            <v>110039-2</v>
          </cell>
          <cell r="B199">
            <v>39263</v>
          </cell>
          <cell r="C199" t="str">
            <v>AJE-02</v>
          </cell>
          <cell r="D199" t="str">
            <v>Foreign Exchange Loss</v>
          </cell>
          <cell r="E199" t="str">
            <v>Yutaka (USD)</v>
          </cell>
          <cell r="F199">
            <v>820012</v>
          </cell>
          <cell r="H199">
            <v>0</v>
          </cell>
          <cell r="K199" t="str">
            <v>forex</v>
          </cell>
        </row>
        <row r="200">
          <cell r="A200" t="str">
            <v>110039-3</v>
          </cell>
          <cell r="B200">
            <v>39263</v>
          </cell>
          <cell r="C200" t="str">
            <v>AJE-02</v>
          </cell>
          <cell r="D200" t="str">
            <v>Foreign Exchange Loss</v>
          </cell>
          <cell r="E200" t="str">
            <v>T/ R  (L) Shibata Electronics (USD)</v>
          </cell>
          <cell r="F200">
            <v>820012</v>
          </cell>
          <cell r="H200">
            <v>0</v>
          </cell>
          <cell r="K200" t="str">
            <v>forex</v>
          </cell>
        </row>
        <row r="201">
          <cell r="A201" t="str">
            <v>110039-4</v>
          </cell>
          <cell r="B201">
            <v>39263</v>
          </cell>
          <cell r="C201" t="str">
            <v>AJE-02</v>
          </cell>
          <cell r="D201" t="str">
            <v>Foreign Exchange Loss</v>
          </cell>
          <cell r="E201" t="str">
            <v>Sanwa Musen - Thailand</v>
          </cell>
          <cell r="F201">
            <v>820012</v>
          </cell>
          <cell r="H201">
            <v>0</v>
          </cell>
          <cell r="K201" t="str">
            <v>forex</v>
          </cell>
        </row>
        <row r="202">
          <cell r="A202" t="str">
            <v>110039-5</v>
          </cell>
          <cell r="B202">
            <v>39263</v>
          </cell>
          <cell r="C202" t="str">
            <v>AJE-02</v>
          </cell>
          <cell r="D202" t="str">
            <v>Foreign Exchange Loss</v>
          </cell>
          <cell r="E202" t="str">
            <v xml:space="preserve">A-Tex Worldwide SDN., BHD </v>
          </cell>
          <cell r="F202">
            <v>820012</v>
          </cell>
          <cell r="H202">
            <v>0</v>
          </cell>
          <cell r="K202" t="str">
            <v>forex</v>
          </cell>
        </row>
        <row r="203">
          <cell r="A203" t="str">
            <v>110039-6</v>
          </cell>
          <cell r="B203">
            <v>39263</v>
          </cell>
          <cell r="C203" t="str">
            <v>AJE-02</v>
          </cell>
          <cell r="D203" t="str">
            <v>Foreign Exchange Loss</v>
          </cell>
          <cell r="E203" t="str">
            <v>PT. KEL Indonesia</v>
          </cell>
          <cell r="F203">
            <v>820012</v>
          </cell>
          <cell r="H203">
            <v>0</v>
          </cell>
          <cell r="K203" t="str">
            <v>forex</v>
          </cell>
        </row>
        <row r="204">
          <cell r="A204" t="str">
            <v>110039-10</v>
          </cell>
          <cell r="B204">
            <v>39263</v>
          </cell>
          <cell r="C204" t="str">
            <v>AJE-02</v>
          </cell>
          <cell r="D204" t="str">
            <v>Foreign Exchange Loss</v>
          </cell>
          <cell r="E204" t="str">
            <v>Other Receivable</v>
          </cell>
          <cell r="F204">
            <v>820012</v>
          </cell>
          <cell r="H204">
            <v>0</v>
          </cell>
          <cell r="K204" t="str">
            <v>forex</v>
          </cell>
        </row>
        <row r="205">
          <cell r="A205">
            <v>130011</v>
          </cell>
          <cell r="B205">
            <v>39263</v>
          </cell>
          <cell r="C205" t="str">
            <v>AJE-02</v>
          </cell>
          <cell r="D205" t="str">
            <v>Foreign Exchange Loss</v>
          </cell>
          <cell r="E205" t="str">
            <v>Refundable Deposits -PT. Karawang Sport Centre</v>
          </cell>
          <cell r="F205">
            <v>820012</v>
          </cell>
          <cell r="H205">
            <v>0</v>
          </cell>
          <cell r="K205" t="str">
            <v>forex</v>
          </cell>
        </row>
        <row r="206">
          <cell r="A206">
            <v>130011</v>
          </cell>
          <cell r="B206">
            <v>39263</v>
          </cell>
          <cell r="C206" t="str">
            <v>AJE-02</v>
          </cell>
          <cell r="D206" t="str">
            <v>Foreign Exchange Loss</v>
          </cell>
          <cell r="E206" t="str">
            <v>Refundable Deposits -PT. Secom Indopratama</v>
          </cell>
          <cell r="F206">
            <v>820012</v>
          </cell>
          <cell r="H206">
            <v>0</v>
          </cell>
          <cell r="K206" t="str">
            <v>forex</v>
          </cell>
        </row>
        <row r="207">
          <cell r="A207">
            <v>130011</v>
          </cell>
          <cell r="B207">
            <v>39263</v>
          </cell>
          <cell r="C207" t="str">
            <v>AJE-02</v>
          </cell>
          <cell r="D207" t="str">
            <v>Foreign Exchange Loss</v>
          </cell>
          <cell r="E207" t="str">
            <v>Refundable Deposits -PT. Griya Karawang</v>
          </cell>
          <cell r="F207">
            <v>820012</v>
          </cell>
          <cell r="H207">
            <v>0</v>
          </cell>
          <cell r="K207" t="str">
            <v>forex</v>
          </cell>
        </row>
        <row r="208">
          <cell r="A208">
            <v>130011</v>
          </cell>
          <cell r="B208">
            <v>39263</v>
          </cell>
          <cell r="C208" t="str">
            <v>AJE-02</v>
          </cell>
          <cell r="D208" t="str">
            <v>Foreign Exchange Loss</v>
          </cell>
          <cell r="E208" t="str">
            <v>Refundable Deposits -PT. Besland Pertiwi (II)</v>
          </cell>
          <cell r="F208">
            <v>820012</v>
          </cell>
          <cell r="H208">
            <v>0</v>
          </cell>
          <cell r="K208" t="str">
            <v>forex</v>
          </cell>
        </row>
        <row r="209">
          <cell r="A209">
            <v>130011</v>
          </cell>
          <cell r="B209">
            <v>39263</v>
          </cell>
          <cell r="C209" t="str">
            <v>AJE-02</v>
          </cell>
          <cell r="D209" t="str">
            <v>Foreign Exchange Loss</v>
          </cell>
          <cell r="E209" t="str">
            <v>Refundable Deposits -PT. Besland Pertiwi (III)</v>
          </cell>
          <cell r="F209">
            <v>820012</v>
          </cell>
          <cell r="H209">
            <v>0</v>
          </cell>
          <cell r="K209" t="str">
            <v>forex</v>
          </cell>
        </row>
        <row r="210">
          <cell r="A210">
            <v>130011</v>
          </cell>
          <cell r="B210">
            <v>39263</v>
          </cell>
          <cell r="C210" t="str">
            <v>AJE-02</v>
          </cell>
          <cell r="D210" t="str">
            <v>Foreign Exchange Loss</v>
          </cell>
          <cell r="E210" t="str">
            <v>Refundable Deposits -PT. Tatajabar Sejahtera (III)</v>
          </cell>
          <cell r="F210">
            <v>820012</v>
          </cell>
          <cell r="H210">
            <v>0</v>
          </cell>
          <cell r="K210" t="str">
            <v>forex</v>
          </cell>
        </row>
        <row r="211">
          <cell r="A211">
            <v>130011</v>
          </cell>
          <cell r="B211">
            <v>39263</v>
          </cell>
          <cell r="C211" t="str">
            <v>AJE-02</v>
          </cell>
          <cell r="D211" t="str">
            <v>Foreign Exchange Loss</v>
          </cell>
          <cell r="E211" t="str">
            <v>Refundable Deposits -PT. Besland Pertiwi (IV)</v>
          </cell>
          <cell r="F211">
            <v>820012</v>
          </cell>
          <cell r="H211">
            <v>0</v>
          </cell>
          <cell r="K211" t="str">
            <v>forex</v>
          </cell>
        </row>
        <row r="212">
          <cell r="A212">
            <v>130011</v>
          </cell>
          <cell r="B212">
            <v>39263</v>
          </cell>
          <cell r="C212" t="str">
            <v>AJE-02</v>
          </cell>
          <cell r="D212" t="str">
            <v>Foreign Exchange Loss</v>
          </cell>
          <cell r="E212" t="str">
            <v>Refundable Deposits -PT. Tatajabar Sejahtera (IV)</v>
          </cell>
          <cell r="F212">
            <v>820012</v>
          </cell>
          <cell r="H212">
            <v>0</v>
          </cell>
          <cell r="K212" t="str">
            <v>forex</v>
          </cell>
        </row>
        <row r="213">
          <cell r="A213">
            <v>210011</v>
          </cell>
          <cell r="B213">
            <v>39263</v>
          </cell>
          <cell r="C213" t="str">
            <v>AJE-02</v>
          </cell>
          <cell r="D213" t="str">
            <v>Foreign Exchange Loss</v>
          </cell>
          <cell r="E213" t="str">
            <v xml:space="preserve">Totoku Electric Co., Ltd., Japan </v>
          </cell>
          <cell r="F213">
            <v>820012</v>
          </cell>
          <cell r="H213">
            <v>9700168</v>
          </cell>
          <cell r="K213" t="str">
            <v>forex</v>
          </cell>
        </row>
        <row r="214">
          <cell r="A214">
            <v>210012</v>
          </cell>
          <cell r="B214">
            <v>39263</v>
          </cell>
          <cell r="C214" t="str">
            <v>AJE-02</v>
          </cell>
          <cell r="D214" t="str">
            <v>Foreign Exchange Loss</v>
          </cell>
          <cell r="E214" t="str">
            <v>Totoku Electrica Mexicana. S.A. DE.C.V, Mexico</v>
          </cell>
          <cell r="F214">
            <v>820012</v>
          </cell>
          <cell r="H214">
            <v>0</v>
          </cell>
          <cell r="K214" t="str">
            <v>forex</v>
          </cell>
        </row>
        <row r="215">
          <cell r="A215" t="str">
            <v>210012-1</v>
          </cell>
          <cell r="B215">
            <v>39263</v>
          </cell>
          <cell r="C215" t="str">
            <v>AJE-02</v>
          </cell>
          <cell r="D215" t="str">
            <v>Foreign Exchange Loss</v>
          </cell>
          <cell r="E215" t="str">
            <v>Totoku Malaysia</v>
          </cell>
          <cell r="F215">
            <v>820012</v>
          </cell>
          <cell r="H215">
            <v>0</v>
          </cell>
          <cell r="K215" t="str">
            <v>forex</v>
          </cell>
        </row>
        <row r="216">
          <cell r="A216">
            <v>210013</v>
          </cell>
          <cell r="B216">
            <v>39263</v>
          </cell>
          <cell r="C216" t="str">
            <v>AJE-02</v>
          </cell>
          <cell r="D216" t="str">
            <v>Foreign Exchange Loss</v>
          </cell>
          <cell r="E216" t="str">
            <v>Furukawa Electric Singapore (US$)</v>
          </cell>
          <cell r="F216">
            <v>820012</v>
          </cell>
          <cell r="H216">
            <v>0</v>
          </cell>
          <cell r="K216" t="str">
            <v>forex</v>
          </cell>
        </row>
        <row r="217">
          <cell r="A217" t="str">
            <v>210013-2</v>
          </cell>
          <cell r="B217">
            <v>39263</v>
          </cell>
          <cell r="C217" t="str">
            <v>AJE-02</v>
          </cell>
          <cell r="D217" t="str">
            <v>Foreign Exchange Loss</v>
          </cell>
          <cell r="E217" t="str">
            <v>Honami Electronics (002-0157)</v>
          </cell>
          <cell r="F217">
            <v>820012</v>
          </cell>
          <cell r="H217">
            <v>0</v>
          </cell>
          <cell r="K217" t="str">
            <v>forex</v>
          </cell>
        </row>
        <row r="218">
          <cell r="A218" t="str">
            <v>210013-3</v>
          </cell>
          <cell r="B218">
            <v>39263</v>
          </cell>
          <cell r="C218" t="str">
            <v>AJE-02</v>
          </cell>
          <cell r="D218" t="str">
            <v>Foreign Exchange Loss</v>
          </cell>
          <cell r="E218" t="str">
            <v>Nitto Denko</v>
          </cell>
          <cell r="F218">
            <v>820012</v>
          </cell>
          <cell r="H218">
            <v>0</v>
          </cell>
          <cell r="K218" t="str">
            <v>forex</v>
          </cell>
        </row>
        <row r="219">
          <cell r="A219">
            <v>210014</v>
          </cell>
          <cell r="B219">
            <v>39263</v>
          </cell>
          <cell r="C219" t="str">
            <v>AJE-02</v>
          </cell>
          <cell r="D219" t="str">
            <v>Foreign Exchange Loss</v>
          </cell>
          <cell r="E219" t="str">
            <v>Local T/P -PT. Yontomo (USD)</v>
          </cell>
          <cell r="F219">
            <v>820012</v>
          </cell>
          <cell r="H219">
            <v>0</v>
          </cell>
          <cell r="K219" t="str">
            <v>forex</v>
          </cell>
        </row>
        <row r="220">
          <cell r="A220">
            <v>210015</v>
          </cell>
          <cell r="B220">
            <v>39263</v>
          </cell>
          <cell r="C220" t="str">
            <v>AJE-02</v>
          </cell>
          <cell r="D220" t="str">
            <v>Foreign Exchange Loss</v>
          </cell>
          <cell r="E220" t="str">
            <v>Local T/P -PT. Nitto (USD)</v>
          </cell>
          <cell r="F220">
            <v>820012</v>
          </cell>
          <cell r="H220">
            <v>51480</v>
          </cell>
          <cell r="K220" t="str">
            <v>forex</v>
          </cell>
        </row>
        <row r="221">
          <cell r="A221">
            <v>210016</v>
          </cell>
          <cell r="B221">
            <v>39263</v>
          </cell>
          <cell r="C221" t="str">
            <v>AJE-02</v>
          </cell>
          <cell r="D221" t="str">
            <v>Foreign Exchange Loss</v>
          </cell>
          <cell r="E221" t="str">
            <v>Local T/P -PT. Sumitomo Electric (USD) OPTEC</v>
          </cell>
          <cell r="F221">
            <v>820012</v>
          </cell>
          <cell r="H221">
            <v>15299735</v>
          </cell>
          <cell r="K221" t="str">
            <v>forex</v>
          </cell>
        </row>
        <row r="222">
          <cell r="A222">
            <v>210017</v>
          </cell>
          <cell r="B222">
            <v>39263</v>
          </cell>
          <cell r="C222" t="str">
            <v>AJE-02</v>
          </cell>
          <cell r="D222" t="str">
            <v>Foreign Exchange Loss</v>
          </cell>
          <cell r="E222" t="str">
            <v>Local T/P -PT. Dia Electro (USD)  DECSI</v>
          </cell>
          <cell r="F222">
            <v>820012</v>
          </cell>
          <cell r="H222">
            <v>9120705</v>
          </cell>
          <cell r="K222" t="str">
            <v>forex</v>
          </cell>
        </row>
        <row r="223">
          <cell r="A223">
            <v>210018</v>
          </cell>
          <cell r="B223">
            <v>39263</v>
          </cell>
          <cell r="C223" t="str">
            <v>AJE-02</v>
          </cell>
          <cell r="D223" t="str">
            <v>Foreign Exchange Loss</v>
          </cell>
          <cell r="E223" t="str">
            <v xml:space="preserve">Local T/P - PT Sanko Material (USD) </v>
          </cell>
          <cell r="F223">
            <v>820012</v>
          </cell>
          <cell r="H223">
            <v>0</v>
          </cell>
          <cell r="K223" t="str">
            <v>forex</v>
          </cell>
        </row>
        <row r="224">
          <cell r="A224">
            <v>210019</v>
          </cell>
          <cell r="B224">
            <v>39263</v>
          </cell>
          <cell r="C224" t="str">
            <v>AJE-02</v>
          </cell>
          <cell r="D224" t="str">
            <v>Foreign Exchange Loss</v>
          </cell>
          <cell r="E224" t="str">
            <v>Local T/P -PT. Four Pillars (USD)</v>
          </cell>
          <cell r="F224">
            <v>820012</v>
          </cell>
          <cell r="H224">
            <v>0</v>
          </cell>
          <cell r="K224" t="str">
            <v>forex</v>
          </cell>
        </row>
        <row r="225">
          <cell r="A225" t="str">
            <v>210019-1</v>
          </cell>
          <cell r="B225">
            <v>39263</v>
          </cell>
          <cell r="C225" t="str">
            <v>AJE-02</v>
          </cell>
          <cell r="D225" t="str">
            <v>Foreign Exchange Loss</v>
          </cell>
          <cell r="E225" t="str">
            <v>Local T/P -PT. Sucaco (USD)</v>
          </cell>
          <cell r="F225">
            <v>820012</v>
          </cell>
          <cell r="H225">
            <v>14782220</v>
          </cell>
          <cell r="K225" t="str">
            <v>forex</v>
          </cell>
        </row>
        <row r="226">
          <cell r="A226" t="str">
            <v>210019-2</v>
          </cell>
          <cell r="B226">
            <v>39263</v>
          </cell>
          <cell r="C226" t="str">
            <v>AJE-02</v>
          </cell>
          <cell r="D226" t="str">
            <v>Foreign Exchange Loss</v>
          </cell>
          <cell r="E226" t="str">
            <v xml:space="preserve">Local T/P -PT. Rapindo </v>
          </cell>
          <cell r="F226">
            <v>820012</v>
          </cell>
          <cell r="H226">
            <v>0</v>
          </cell>
          <cell r="K226" t="str">
            <v>forex</v>
          </cell>
        </row>
        <row r="227">
          <cell r="A227" t="str">
            <v>210019-3</v>
          </cell>
          <cell r="B227">
            <v>39263</v>
          </cell>
          <cell r="C227" t="str">
            <v>AJE-02</v>
          </cell>
          <cell r="D227" t="str">
            <v>Foreign Exchange Loss</v>
          </cell>
          <cell r="E227" t="str">
            <v>Local T/P - Harmonics Techindo (USD)</v>
          </cell>
          <cell r="F227">
            <v>820012</v>
          </cell>
          <cell r="H227">
            <v>0</v>
          </cell>
          <cell r="K227" t="str">
            <v>forex</v>
          </cell>
        </row>
        <row r="228">
          <cell r="A228" t="str">
            <v>210019-4</v>
          </cell>
          <cell r="B228">
            <v>39263</v>
          </cell>
          <cell r="C228" t="str">
            <v>AJE-02</v>
          </cell>
          <cell r="D228" t="str">
            <v>Foreign Exchange Loss</v>
          </cell>
          <cell r="E228" t="str">
            <v>Local T/P -Tessa (USD)</v>
          </cell>
          <cell r="F228">
            <v>820012</v>
          </cell>
          <cell r="H228">
            <v>0</v>
          </cell>
          <cell r="K228" t="str">
            <v>forex</v>
          </cell>
        </row>
        <row r="229">
          <cell r="A229" t="str">
            <v>210019-5</v>
          </cell>
          <cell r="B229">
            <v>39263</v>
          </cell>
          <cell r="C229" t="str">
            <v>AJE-02</v>
          </cell>
          <cell r="D229" t="str">
            <v>Foreign Exchange Loss</v>
          </cell>
          <cell r="E229" t="str">
            <v>Local T/P -  PT. Kyoei Denki (USD)</v>
          </cell>
          <cell r="F229">
            <v>820012</v>
          </cell>
          <cell r="H229">
            <v>37444</v>
          </cell>
          <cell r="K229" t="str">
            <v>forex</v>
          </cell>
        </row>
        <row r="230">
          <cell r="A230" t="str">
            <v>210019-6</v>
          </cell>
          <cell r="B230">
            <v>39263</v>
          </cell>
          <cell r="C230" t="str">
            <v>AJE-02</v>
          </cell>
          <cell r="D230" t="str">
            <v>Foreign Exchange Loss</v>
          </cell>
          <cell r="E230" t="str">
            <v>Local T/P -  PT. Kel Indonesia (USD)</v>
          </cell>
          <cell r="F230">
            <v>820012</v>
          </cell>
          <cell r="H230">
            <v>21179700</v>
          </cell>
          <cell r="K230" t="str">
            <v>forex</v>
          </cell>
        </row>
        <row r="231">
          <cell r="A231" t="str">
            <v>210019-7</v>
          </cell>
          <cell r="B231">
            <v>39263</v>
          </cell>
          <cell r="C231" t="str">
            <v>AJE-02</v>
          </cell>
          <cell r="D231" t="str">
            <v>Foreign Exchange Loss</v>
          </cell>
          <cell r="E231" t="str">
            <v>Local T/P -  Furukawa (Yen)</v>
          </cell>
          <cell r="F231">
            <v>820012</v>
          </cell>
          <cell r="H231">
            <v>103749026</v>
          </cell>
          <cell r="K231" t="str">
            <v>forex</v>
          </cell>
        </row>
        <row r="232">
          <cell r="A232">
            <v>210030</v>
          </cell>
          <cell r="B232">
            <v>39263</v>
          </cell>
          <cell r="C232" t="str">
            <v>AJE-02</v>
          </cell>
          <cell r="D232" t="str">
            <v>Foreign Exchange Loss</v>
          </cell>
          <cell r="E232" t="str">
            <v>Output Payables :</v>
          </cell>
          <cell r="F232">
            <v>820012</v>
          </cell>
          <cell r="H232">
            <v>0</v>
          </cell>
          <cell r="K232" t="str">
            <v>forex</v>
          </cell>
        </row>
        <row r="233">
          <cell r="A233" t="str">
            <v>210030-1</v>
          </cell>
          <cell r="B233">
            <v>39263</v>
          </cell>
          <cell r="C233" t="str">
            <v>AJE-02</v>
          </cell>
          <cell r="D233" t="str">
            <v>Foreign Exchange Loss</v>
          </cell>
          <cell r="E233" t="str">
            <v>Other Payables :</v>
          </cell>
          <cell r="F233">
            <v>820012</v>
          </cell>
          <cell r="H233">
            <v>1475754</v>
          </cell>
          <cell r="K233" t="str">
            <v>forex</v>
          </cell>
        </row>
        <row r="234">
          <cell r="A234">
            <v>210039</v>
          </cell>
          <cell r="B234">
            <v>39263</v>
          </cell>
          <cell r="C234" t="str">
            <v>AJE-02</v>
          </cell>
          <cell r="D234" t="str">
            <v>Foreign Exchange Loss</v>
          </cell>
          <cell r="E234" t="str">
            <v>Temporary Receivable Subject (Royalty) (usd)</v>
          </cell>
          <cell r="F234">
            <v>820012</v>
          </cell>
          <cell r="H234">
            <v>0</v>
          </cell>
          <cell r="K234" t="str">
            <v>forex</v>
          </cell>
        </row>
        <row r="235">
          <cell r="A235">
            <v>210041</v>
          </cell>
          <cell r="B235">
            <v>39263</v>
          </cell>
          <cell r="C235" t="str">
            <v>AJE-02</v>
          </cell>
          <cell r="D235" t="str">
            <v>Foreign Exchange Loss</v>
          </cell>
          <cell r="E235" t="str">
            <v>Suspense Receivable - Totoku Electric</v>
          </cell>
          <cell r="F235">
            <v>820012</v>
          </cell>
          <cell r="H235">
            <v>0</v>
          </cell>
          <cell r="K235" t="str">
            <v>forex</v>
          </cell>
        </row>
        <row r="236">
          <cell r="A236">
            <v>210071</v>
          </cell>
          <cell r="B236">
            <v>39263</v>
          </cell>
          <cell r="C236" t="str">
            <v>AJE-02</v>
          </cell>
          <cell r="D236" t="str">
            <v>Foreign Exchange Loss</v>
          </cell>
          <cell r="E236" t="str">
            <v>Long Term Loans - Totoku Electric Co. Ltd</v>
          </cell>
          <cell r="F236">
            <v>820012</v>
          </cell>
          <cell r="H236">
            <v>158200000</v>
          </cell>
          <cell r="K236" t="str">
            <v>forex</v>
          </cell>
        </row>
        <row r="237">
          <cell r="A237">
            <v>210061</v>
          </cell>
          <cell r="B237">
            <v>39263</v>
          </cell>
          <cell r="C237" t="str">
            <v>AJE-02</v>
          </cell>
          <cell r="D237" t="str">
            <v>Foreign Exchange Loss</v>
          </cell>
          <cell r="E237" t="str">
            <v>PT. Resona Perdania Indonesia (max -usd 500,000)</v>
          </cell>
          <cell r="F237">
            <v>820012</v>
          </cell>
          <cell r="H237">
            <v>226000000</v>
          </cell>
          <cell r="K237" t="str">
            <v>forex</v>
          </cell>
        </row>
        <row r="238">
          <cell r="A238">
            <v>210062</v>
          </cell>
          <cell r="B238">
            <v>39263</v>
          </cell>
          <cell r="C238" t="str">
            <v>AJE-02</v>
          </cell>
          <cell r="D238" t="str">
            <v>Foreign Exchange Loss</v>
          </cell>
          <cell r="E238" t="str">
            <v>PT. Bank Dai-Ichi Kangyo Indonesia (max -usd 1,000,000)</v>
          </cell>
          <cell r="F238">
            <v>820012</v>
          </cell>
          <cell r="H238">
            <v>226000000</v>
          </cell>
          <cell r="K238" t="str">
            <v>forex</v>
          </cell>
        </row>
        <row r="239">
          <cell r="A239">
            <v>210063</v>
          </cell>
          <cell r="B239">
            <v>39263</v>
          </cell>
          <cell r="C239" t="str">
            <v>AJE-02</v>
          </cell>
          <cell r="D239" t="str">
            <v>Foreign Exchange Loss</v>
          </cell>
          <cell r="E239" t="str">
            <v>Totoku Electric Co. Ltd</v>
          </cell>
          <cell r="F239">
            <v>820012</v>
          </cell>
          <cell r="H239">
            <v>96050000</v>
          </cell>
          <cell r="K239" t="str">
            <v>forex</v>
          </cell>
        </row>
        <row r="240">
          <cell r="A240">
            <v>820012</v>
          </cell>
          <cell r="B240">
            <v>39263</v>
          </cell>
          <cell r="C240" t="str">
            <v>AJE-02</v>
          </cell>
          <cell r="D240" t="str">
            <v>T/R -PT. Sanyo Electric (USD)</v>
          </cell>
          <cell r="E240" t="str">
            <v>Foreign Exchange Loss</v>
          </cell>
          <cell r="F240">
            <v>110032</v>
          </cell>
          <cell r="J240">
            <v>0</v>
          </cell>
          <cell r="K240" t="str">
            <v>forex</v>
          </cell>
        </row>
        <row r="241">
          <cell r="A241">
            <v>820012</v>
          </cell>
          <cell r="B241">
            <v>39263</v>
          </cell>
          <cell r="C241" t="str">
            <v>AJE-02</v>
          </cell>
          <cell r="D241" t="str">
            <v>T/R -PT. Sony Manufacturing Indonesia (USD)</v>
          </cell>
          <cell r="E241" t="str">
            <v>Foreign Exchange Loss</v>
          </cell>
          <cell r="F241">
            <v>110033</v>
          </cell>
          <cell r="J241">
            <v>0</v>
          </cell>
          <cell r="K241" t="str">
            <v>forex</v>
          </cell>
        </row>
        <row r="242">
          <cell r="A242">
            <v>820012</v>
          </cell>
          <cell r="B242">
            <v>39263</v>
          </cell>
          <cell r="C242" t="str">
            <v>AJE-02</v>
          </cell>
          <cell r="D242" t="str">
            <v>T/R -PT. Tembaga Mulia Semanan</v>
          </cell>
          <cell r="E242" t="str">
            <v>Foreign Exchange Loss</v>
          </cell>
          <cell r="F242">
            <v>110034</v>
          </cell>
          <cell r="J242">
            <v>0</v>
          </cell>
          <cell r="K242" t="str">
            <v>forex</v>
          </cell>
        </row>
        <row r="243">
          <cell r="A243">
            <v>820012</v>
          </cell>
          <cell r="B243">
            <v>39263</v>
          </cell>
          <cell r="C243" t="str">
            <v>AJE-02</v>
          </cell>
          <cell r="D243" t="str">
            <v xml:space="preserve">T/R -PT Sanwa Musen (Yen) </v>
          </cell>
          <cell r="E243" t="str">
            <v>Foreign Exchange Loss</v>
          </cell>
          <cell r="F243" t="str">
            <v>110035-1</v>
          </cell>
          <cell r="J243">
            <v>0</v>
          </cell>
          <cell r="K243" t="str">
            <v>forex</v>
          </cell>
        </row>
        <row r="244">
          <cell r="A244">
            <v>820012</v>
          </cell>
          <cell r="B244">
            <v>39263</v>
          </cell>
          <cell r="C244" t="str">
            <v>AJE-02</v>
          </cell>
          <cell r="D244" t="str">
            <v>T/R - PT. Galindra M.C (USD)  GALVA</v>
          </cell>
          <cell r="E244" t="str">
            <v>Foreign Exchange Loss</v>
          </cell>
          <cell r="F244" t="str">
            <v>110035-2</v>
          </cell>
          <cell r="J244">
            <v>0</v>
          </cell>
          <cell r="K244" t="str">
            <v>forex</v>
          </cell>
        </row>
        <row r="245">
          <cell r="A245">
            <v>820012</v>
          </cell>
          <cell r="B245">
            <v>39263</v>
          </cell>
          <cell r="C245" t="str">
            <v>AJE-02</v>
          </cell>
          <cell r="D245" t="str">
            <v>T/R - PT. Sanken (USD)</v>
          </cell>
          <cell r="E245" t="str">
            <v>Foreign Exchange Loss</v>
          </cell>
          <cell r="F245" t="str">
            <v>110035-3</v>
          </cell>
          <cell r="J245">
            <v>0</v>
          </cell>
          <cell r="K245" t="str">
            <v>forex</v>
          </cell>
        </row>
        <row r="246">
          <cell r="A246">
            <v>820012</v>
          </cell>
          <cell r="B246">
            <v>39263</v>
          </cell>
          <cell r="C246" t="str">
            <v>AJE-02</v>
          </cell>
          <cell r="D246" t="str">
            <v>T/R - PT. Padi Trust Component (USD)</v>
          </cell>
          <cell r="E246" t="str">
            <v>Foreign Exchange Loss</v>
          </cell>
          <cell r="F246" t="str">
            <v>110035-4</v>
          </cell>
          <cell r="J246">
            <v>0</v>
          </cell>
          <cell r="K246" t="str">
            <v>forex</v>
          </cell>
        </row>
        <row r="247">
          <cell r="A247">
            <v>820012</v>
          </cell>
          <cell r="B247">
            <v>39263</v>
          </cell>
          <cell r="C247" t="str">
            <v>AJE-02</v>
          </cell>
          <cell r="D247" t="str">
            <v>T/R - PT. PGCOM Panasonic (USD)</v>
          </cell>
          <cell r="E247" t="str">
            <v>Foreign Exchange Loss</v>
          </cell>
          <cell r="F247" t="str">
            <v>110035-5</v>
          </cell>
          <cell r="J247">
            <v>0</v>
          </cell>
          <cell r="K247" t="str">
            <v>forex</v>
          </cell>
        </row>
        <row r="248">
          <cell r="A248">
            <v>820012</v>
          </cell>
          <cell r="B248">
            <v>39263</v>
          </cell>
          <cell r="C248" t="str">
            <v>AJE-02</v>
          </cell>
          <cell r="D248" t="str">
            <v>T/R - PT. Samwha Indonesia (USD)</v>
          </cell>
          <cell r="E248" t="str">
            <v>Foreign Exchange Loss</v>
          </cell>
          <cell r="F248" t="str">
            <v>110035-6</v>
          </cell>
          <cell r="J248">
            <v>0</v>
          </cell>
          <cell r="K248" t="str">
            <v>forex</v>
          </cell>
        </row>
        <row r="249">
          <cell r="A249">
            <v>820012</v>
          </cell>
          <cell r="B249">
            <v>39263</v>
          </cell>
          <cell r="C249" t="str">
            <v>AJE-02</v>
          </cell>
          <cell r="D249" t="str">
            <v>T/R - PT. Toshiba (USD)</v>
          </cell>
          <cell r="E249" t="str">
            <v>Foreign Exchange Loss</v>
          </cell>
          <cell r="F249" t="str">
            <v>110035-7</v>
          </cell>
          <cell r="J249">
            <v>0</v>
          </cell>
          <cell r="K249" t="str">
            <v>forex</v>
          </cell>
        </row>
        <row r="250">
          <cell r="A250">
            <v>820012</v>
          </cell>
          <cell r="B250">
            <v>39263</v>
          </cell>
          <cell r="C250" t="str">
            <v>AJE-02</v>
          </cell>
          <cell r="D250" t="str">
            <v>T/R - PT. Toshiba (USD)</v>
          </cell>
          <cell r="E250" t="str">
            <v>Foreign Exchange Loss</v>
          </cell>
          <cell r="F250" t="str">
            <v>110035-8</v>
          </cell>
          <cell r="J250">
            <v>779830</v>
          </cell>
          <cell r="K250" t="str">
            <v>forex</v>
          </cell>
        </row>
        <row r="251">
          <cell r="A251">
            <v>820012</v>
          </cell>
          <cell r="B251">
            <v>39263</v>
          </cell>
          <cell r="C251" t="str">
            <v>AJE-02</v>
          </cell>
          <cell r="D251" t="str">
            <v xml:space="preserve">Totoku Electric Co., Ltd., Japan  (USD) </v>
          </cell>
          <cell r="E251" t="str">
            <v>Foreign Exchange Loss</v>
          </cell>
          <cell r="F251">
            <v>110036</v>
          </cell>
          <cell r="J251">
            <v>547611885</v>
          </cell>
          <cell r="K251" t="str">
            <v>forex</v>
          </cell>
        </row>
        <row r="252">
          <cell r="A252">
            <v>820012</v>
          </cell>
          <cell r="B252">
            <v>39263</v>
          </cell>
          <cell r="C252" t="str">
            <v>AJE-02</v>
          </cell>
          <cell r="D252" t="str">
            <v>Totoku Electric Co., Ltd., Singapore  (USD)</v>
          </cell>
          <cell r="E252" t="str">
            <v>Foreign Exchange Loss</v>
          </cell>
          <cell r="F252">
            <v>110037</v>
          </cell>
          <cell r="J252">
            <v>0</v>
          </cell>
          <cell r="K252" t="str">
            <v>forex</v>
          </cell>
        </row>
        <row r="253">
          <cell r="A253">
            <v>820012</v>
          </cell>
          <cell r="B253">
            <v>39263</v>
          </cell>
          <cell r="C253" t="str">
            <v>AJE-02</v>
          </cell>
          <cell r="D253" t="str">
            <v>Totoku North Amerika (USD)</v>
          </cell>
          <cell r="E253" t="str">
            <v>Foreign Exchange Loss</v>
          </cell>
          <cell r="F253" t="str">
            <v>110037-1</v>
          </cell>
          <cell r="J253">
            <v>0</v>
          </cell>
          <cell r="K253" t="str">
            <v>forex</v>
          </cell>
        </row>
        <row r="254">
          <cell r="A254">
            <v>820012</v>
          </cell>
          <cell r="B254">
            <v>39263</v>
          </cell>
          <cell r="C254" t="str">
            <v>AJE-02</v>
          </cell>
          <cell r="D254" t="str">
            <v>Totoku Malaysia (USD)</v>
          </cell>
          <cell r="E254" t="str">
            <v>Foreign Exchange Loss</v>
          </cell>
          <cell r="F254" t="str">
            <v>110037-2</v>
          </cell>
          <cell r="J254">
            <v>0</v>
          </cell>
          <cell r="K254" t="str">
            <v>forex</v>
          </cell>
        </row>
        <row r="255">
          <cell r="A255">
            <v>820012</v>
          </cell>
          <cell r="B255">
            <v>39263</v>
          </cell>
          <cell r="C255" t="str">
            <v>AJE-02</v>
          </cell>
          <cell r="D255" t="str">
            <v>Totoku China (Zhejiang) Co. Ltd (USD)</v>
          </cell>
          <cell r="E255" t="str">
            <v>Foreign Exchange Loss</v>
          </cell>
          <cell r="F255" t="str">
            <v>110037-3</v>
          </cell>
          <cell r="J255">
            <v>0</v>
          </cell>
          <cell r="K255" t="str">
            <v>forex</v>
          </cell>
        </row>
        <row r="256">
          <cell r="A256">
            <v>820012</v>
          </cell>
          <cell r="B256">
            <v>39263</v>
          </cell>
          <cell r="C256" t="str">
            <v>AJE-02</v>
          </cell>
          <cell r="D256" t="str">
            <v>Noble Batam (USD)</v>
          </cell>
          <cell r="E256" t="str">
            <v>Foreign Exchange Loss</v>
          </cell>
          <cell r="F256">
            <v>110038</v>
          </cell>
          <cell r="J256">
            <v>0</v>
          </cell>
          <cell r="K256" t="str">
            <v>forex</v>
          </cell>
        </row>
        <row r="257">
          <cell r="A257">
            <v>820012</v>
          </cell>
          <cell r="B257">
            <v>39263</v>
          </cell>
          <cell r="C257" t="str">
            <v>AJE-02</v>
          </cell>
          <cell r="D257" t="str">
            <v>Sanyo Industries, UK (USD)</v>
          </cell>
          <cell r="E257" t="str">
            <v>Foreign Exchange Loss</v>
          </cell>
          <cell r="F257">
            <v>110039</v>
          </cell>
          <cell r="J257">
            <v>0</v>
          </cell>
          <cell r="K257" t="str">
            <v>forex</v>
          </cell>
        </row>
        <row r="258">
          <cell r="A258">
            <v>820012</v>
          </cell>
          <cell r="B258">
            <v>39263</v>
          </cell>
          <cell r="C258" t="str">
            <v>AJE-02</v>
          </cell>
          <cell r="D258" t="str">
            <v>NEC Tokin Electronic (USD)</v>
          </cell>
          <cell r="E258" t="str">
            <v>Foreign Exchange Loss</v>
          </cell>
          <cell r="F258" t="str">
            <v>110039-1</v>
          </cell>
          <cell r="J258">
            <v>0</v>
          </cell>
          <cell r="K258" t="str">
            <v>forex</v>
          </cell>
        </row>
        <row r="259">
          <cell r="A259">
            <v>820012</v>
          </cell>
          <cell r="B259">
            <v>39263</v>
          </cell>
          <cell r="C259" t="str">
            <v>AJE-02</v>
          </cell>
          <cell r="D259" t="str">
            <v>Yutaka (USD)</v>
          </cell>
          <cell r="E259" t="str">
            <v>Foreign Exchange Loss</v>
          </cell>
          <cell r="F259" t="str">
            <v>110039-2</v>
          </cell>
          <cell r="J259">
            <v>0</v>
          </cell>
          <cell r="K259" t="str">
            <v>forex</v>
          </cell>
        </row>
        <row r="260">
          <cell r="A260">
            <v>820012</v>
          </cell>
          <cell r="B260">
            <v>39263</v>
          </cell>
          <cell r="C260" t="str">
            <v>AJE-02</v>
          </cell>
          <cell r="D260" t="str">
            <v>T/ R  (L) Shibata Electronics (USD)</v>
          </cell>
          <cell r="E260" t="str">
            <v>Foreign Exchange Loss</v>
          </cell>
          <cell r="F260" t="str">
            <v>110039-3</v>
          </cell>
          <cell r="J260">
            <v>0</v>
          </cell>
          <cell r="K260" t="str">
            <v>forex</v>
          </cell>
        </row>
        <row r="261">
          <cell r="A261">
            <v>820012</v>
          </cell>
          <cell r="B261">
            <v>39263</v>
          </cell>
          <cell r="C261" t="str">
            <v>AJE-02</v>
          </cell>
          <cell r="D261" t="str">
            <v>Sanwa Musen - Thailand</v>
          </cell>
          <cell r="E261" t="str">
            <v>Foreign Exchange Loss</v>
          </cell>
          <cell r="F261" t="str">
            <v>110039-4</v>
          </cell>
          <cell r="J261">
            <v>0</v>
          </cell>
          <cell r="K261" t="str">
            <v>forex</v>
          </cell>
        </row>
        <row r="262">
          <cell r="A262">
            <v>820012</v>
          </cell>
          <cell r="B262">
            <v>39263</v>
          </cell>
          <cell r="C262" t="str">
            <v>AJE-02</v>
          </cell>
          <cell r="D262" t="str">
            <v xml:space="preserve">A-Tex Worldwide SDN., BHD </v>
          </cell>
          <cell r="E262" t="str">
            <v>Foreign Exchange Loss</v>
          </cell>
          <cell r="F262" t="str">
            <v>110039-5</v>
          </cell>
          <cell r="J262">
            <v>0</v>
          </cell>
          <cell r="K262" t="str">
            <v>forex</v>
          </cell>
        </row>
        <row r="263">
          <cell r="A263">
            <v>820012</v>
          </cell>
          <cell r="B263">
            <v>39263</v>
          </cell>
          <cell r="C263" t="str">
            <v>AJE-02</v>
          </cell>
          <cell r="D263" t="str">
            <v>PT. KEL Indonesia</v>
          </cell>
          <cell r="E263" t="str">
            <v>Foreign Exchange Loss</v>
          </cell>
          <cell r="F263" t="str">
            <v>110039-6</v>
          </cell>
          <cell r="J263">
            <v>0</v>
          </cell>
          <cell r="K263" t="str">
            <v>forex</v>
          </cell>
        </row>
        <row r="264">
          <cell r="A264">
            <v>820012</v>
          </cell>
          <cell r="B264">
            <v>39263</v>
          </cell>
          <cell r="C264" t="str">
            <v>AJE-02</v>
          </cell>
          <cell r="D264" t="str">
            <v>Other Receivable</v>
          </cell>
          <cell r="E264" t="str">
            <v>Foreign Exchange Loss</v>
          </cell>
          <cell r="F264" t="str">
            <v>110039-10</v>
          </cell>
          <cell r="J264">
            <v>0</v>
          </cell>
          <cell r="K264" t="str">
            <v>forex</v>
          </cell>
        </row>
        <row r="265">
          <cell r="A265">
            <v>820012</v>
          </cell>
          <cell r="B265">
            <v>39263</v>
          </cell>
          <cell r="C265" t="str">
            <v>AJE-02</v>
          </cell>
          <cell r="D265" t="str">
            <v>Refundable Deposits -PT. Karawang Sport Centre</v>
          </cell>
          <cell r="E265" t="str">
            <v>Foreign Exchange Loss</v>
          </cell>
          <cell r="F265">
            <v>130011</v>
          </cell>
          <cell r="J265">
            <v>0</v>
          </cell>
          <cell r="K265" t="str">
            <v>forex</v>
          </cell>
        </row>
        <row r="266">
          <cell r="A266">
            <v>820012</v>
          </cell>
          <cell r="B266">
            <v>39263</v>
          </cell>
          <cell r="C266" t="str">
            <v>AJE-02</v>
          </cell>
          <cell r="D266" t="str">
            <v>Refundable Deposits -PT. Secom Indopratama</v>
          </cell>
          <cell r="E266" t="str">
            <v>Foreign Exchange Loss</v>
          </cell>
          <cell r="F266">
            <v>130011</v>
          </cell>
          <cell r="J266">
            <v>0</v>
          </cell>
          <cell r="K266" t="str">
            <v>forex</v>
          </cell>
        </row>
        <row r="267">
          <cell r="A267">
            <v>820012</v>
          </cell>
          <cell r="B267">
            <v>39263</v>
          </cell>
          <cell r="C267" t="str">
            <v>AJE-02</v>
          </cell>
          <cell r="D267" t="str">
            <v>Refundable Deposits -PT. Griya Karawang</v>
          </cell>
          <cell r="E267" t="str">
            <v>Foreign Exchange Loss</v>
          </cell>
          <cell r="F267">
            <v>130011</v>
          </cell>
          <cell r="J267">
            <v>0</v>
          </cell>
          <cell r="K267" t="str">
            <v>forex</v>
          </cell>
        </row>
        <row r="268">
          <cell r="A268">
            <v>820012</v>
          </cell>
          <cell r="B268">
            <v>39263</v>
          </cell>
          <cell r="C268" t="str">
            <v>AJE-02</v>
          </cell>
          <cell r="D268" t="str">
            <v>Refundable Deposits -PT. Besland Pertiwi (II)</v>
          </cell>
          <cell r="E268" t="str">
            <v>Foreign Exchange Loss</v>
          </cell>
          <cell r="F268">
            <v>130011</v>
          </cell>
          <cell r="J268">
            <v>0</v>
          </cell>
          <cell r="K268" t="str">
            <v>forex</v>
          </cell>
        </row>
        <row r="269">
          <cell r="A269">
            <v>820012</v>
          </cell>
          <cell r="B269">
            <v>39263</v>
          </cell>
          <cell r="C269" t="str">
            <v>AJE-02</v>
          </cell>
          <cell r="D269" t="str">
            <v>Refundable Deposits -PT. Besland Pertiwi (III)</v>
          </cell>
          <cell r="E269" t="str">
            <v>Foreign Exchange Loss</v>
          </cell>
          <cell r="F269">
            <v>130011</v>
          </cell>
          <cell r="J269">
            <v>0</v>
          </cell>
          <cell r="K269" t="str">
            <v>forex</v>
          </cell>
        </row>
        <row r="270">
          <cell r="A270">
            <v>820012</v>
          </cell>
          <cell r="B270">
            <v>39263</v>
          </cell>
          <cell r="C270" t="str">
            <v>AJE-02</v>
          </cell>
          <cell r="D270" t="str">
            <v>Refundable Deposits -PT. Tatajabar Sejahtera (III)</v>
          </cell>
          <cell r="E270" t="str">
            <v>Foreign Exchange Loss</v>
          </cell>
          <cell r="F270">
            <v>130011</v>
          </cell>
          <cell r="J270">
            <v>0</v>
          </cell>
          <cell r="K270" t="str">
            <v>forex</v>
          </cell>
        </row>
        <row r="271">
          <cell r="A271">
            <v>820012</v>
          </cell>
          <cell r="B271">
            <v>39263</v>
          </cell>
          <cell r="C271" t="str">
            <v>AJE-02</v>
          </cell>
          <cell r="D271" t="str">
            <v>Refundable Deposits -PT. Besland Pertiwi (IV)</v>
          </cell>
          <cell r="E271" t="str">
            <v>Foreign Exchange Loss</v>
          </cell>
          <cell r="F271">
            <v>130011</v>
          </cell>
          <cell r="J271">
            <v>0</v>
          </cell>
          <cell r="K271" t="str">
            <v>forex</v>
          </cell>
        </row>
        <row r="272">
          <cell r="A272">
            <v>820012</v>
          </cell>
          <cell r="B272">
            <v>39263</v>
          </cell>
          <cell r="C272" t="str">
            <v>AJE-02</v>
          </cell>
          <cell r="D272" t="str">
            <v>Refundable Deposits -PT. Tatajabar Sejahtera (IV)</v>
          </cell>
          <cell r="E272" t="str">
            <v>Foreign Exchange Loss</v>
          </cell>
          <cell r="F272">
            <v>130011</v>
          </cell>
          <cell r="J272">
            <v>0</v>
          </cell>
          <cell r="K272" t="str">
            <v>forex</v>
          </cell>
        </row>
        <row r="273">
          <cell r="A273">
            <v>820012</v>
          </cell>
          <cell r="B273">
            <v>39263</v>
          </cell>
          <cell r="C273" t="str">
            <v>AJE-02</v>
          </cell>
          <cell r="D273" t="str">
            <v xml:space="preserve">Totoku Electric Co., Ltd., Japan </v>
          </cell>
          <cell r="E273" t="str">
            <v>Foreign Exchange Loss</v>
          </cell>
          <cell r="F273">
            <v>210011</v>
          </cell>
          <cell r="J273">
            <v>9700168</v>
          </cell>
          <cell r="K273" t="str">
            <v>forex</v>
          </cell>
        </row>
        <row r="274">
          <cell r="A274">
            <v>820012</v>
          </cell>
          <cell r="B274">
            <v>39263</v>
          </cell>
          <cell r="C274" t="str">
            <v>AJE-02</v>
          </cell>
          <cell r="D274" t="str">
            <v>Totoku Electrica Mexicana. S.A. DE.C.V, Mexico</v>
          </cell>
          <cell r="E274" t="str">
            <v>Foreign Exchange Loss</v>
          </cell>
          <cell r="F274">
            <v>210012</v>
          </cell>
          <cell r="J274">
            <v>0</v>
          </cell>
          <cell r="K274" t="str">
            <v>forex</v>
          </cell>
        </row>
        <row r="275">
          <cell r="A275">
            <v>820012</v>
          </cell>
          <cell r="B275">
            <v>39263</v>
          </cell>
          <cell r="C275" t="str">
            <v>AJE-02</v>
          </cell>
          <cell r="D275" t="str">
            <v>Totoku Malaysia</v>
          </cell>
          <cell r="E275" t="str">
            <v>Foreign Exchange Loss</v>
          </cell>
          <cell r="F275" t="str">
            <v>210012-1</v>
          </cell>
          <cell r="J275">
            <v>0</v>
          </cell>
          <cell r="K275" t="str">
            <v>forex</v>
          </cell>
        </row>
        <row r="276">
          <cell r="A276">
            <v>820012</v>
          </cell>
          <cell r="B276">
            <v>39263</v>
          </cell>
          <cell r="C276" t="str">
            <v>AJE-02</v>
          </cell>
          <cell r="D276" t="str">
            <v>Furukawa Electric Singapore (US$)</v>
          </cell>
          <cell r="E276" t="str">
            <v>Foreign Exchange Loss</v>
          </cell>
          <cell r="F276">
            <v>210013</v>
          </cell>
          <cell r="J276">
            <v>0</v>
          </cell>
          <cell r="K276" t="str">
            <v>forex</v>
          </cell>
        </row>
        <row r="277">
          <cell r="A277">
            <v>820012</v>
          </cell>
          <cell r="B277">
            <v>39263</v>
          </cell>
          <cell r="C277" t="str">
            <v>AJE-02</v>
          </cell>
          <cell r="D277" t="str">
            <v>Honami Electronics (002-0157)</v>
          </cell>
          <cell r="E277" t="str">
            <v>Foreign Exchange Loss</v>
          </cell>
          <cell r="F277" t="str">
            <v>210013-2</v>
          </cell>
          <cell r="J277">
            <v>0</v>
          </cell>
          <cell r="K277" t="str">
            <v>forex</v>
          </cell>
        </row>
        <row r="278">
          <cell r="A278">
            <v>820012</v>
          </cell>
          <cell r="B278">
            <v>39263</v>
          </cell>
          <cell r="C278" t="str">
            <v>AJE-02</v>
          </cell>
          <cell r="D278" t="str">
            <v>Nitto Denko</v>
          </cell>
          <cell r="E278" t="str">
            <v>Foreign Exchange Loss</v>
          </cell>
          <cell r="F278" t="str">
            <v>210013-3</v>
          </cell>
          <cell r="J278">
            <v>0</v>
          </cell>
          <cell r="K278" t="str">
            <v>forex</v>
          </cell>
        </row>
        <row r="279">
          <cell r="A279">
            <v>820012</v>
          </cell>
          <cell r="B279">
            <v>39263</v>
          </cell>
          <cell r="C279" t="str">
            <v>AJE-02</v>
          </cell>
          <cell r="D279" t="str">
            <v>Local T/P -PT. Yontomo (USD)</v>
          </cell>
          <cell r="E279" t="str">
            <v>Foreign Exchange Loss</v>
          </cell>
          <cell r="F279">
            <v>210014</v>
          </cell>
          <cell r="J279">
            <v>0</v>
          </cell>
          <cell r="K279" t="str">
            <v>forex</v>
          </cell>
        </row>
        <row r="280">
          <cell r="A280">
            <v>820012</v>
          </cell>
          <cell r="B280">
            <v>39263</v>
          </cell>
          <cell r="C280" t="str">
            <v>AJE-02</v>
          </cell>
          <cell r="D280" t="str">
            <v>Local T/P -PT. Nitto (USD)</v>
          </cell>
          <cell r="E280" t="str">
            <v>Foreign Exchange Loss</v>
          </cell>
          <cell r="F280">
            <v>210015</v>
          </cell>
          <cell r="J280">
            <v>51480</v>
          </cell>
          <cell r="K280" t="str">
            <v>forex</v>
          </cell>
        </row>
        <row r="281">
          <cell r="A281">
            <v>820012</v>
          </cell>
          <cell r="B281">
            <v>39263</v>
          </cell>
          <cell r="C281" t="str">
            <v>AJE-02</v>
          </cell>
          <cell r="D281" t="str">
            <v>Local T/P -PT. Sumitomo Electric (USD) OPTEC</v>
          </cell>
          <cell r="E281" t="str">
            <v>Foreign Exchange Loss</v>
          </cell>
          <cell r="F281">
            <v>210016</v>
          </cell>
          <cell r="J281">
            <v>15299735</v>
          </cell>
          <cell r="K281" t="str">
            <v>forex</v>
          </cell>
        </row>
        <row r="282">
          <cell r="A282">
            <v>820012</v>
          </cell>
          <cell r="B282">
            <v>39263</v>
          </cell>
          <cell r="C282" t="str">
            <v>AJE-02</v>
          </cell>
          <cell r="D282" t="str">
            <v>Local T/P -PT. Dia Electro (USD)  DECSI</v>
          </cell>
          <cell r="E282" t="str">
            <v>Foreign Exchange Loss</v>
          </cell>
          <cell r="F282">
            <v>210017</v>
          </cell>
          <cell r="J282">
            <v>9120705</v>
          </cell>
          <cell r="K282" t="str">
            <v>forex</v>
          </cell>
        </row>
        <row r="283">
          <cell r="A283">
            <v>820012</v>
          </cell>
          <cell r="B283">
            <v>39263</v>
          </cell>
          <cell r="C283" t="str">
            <v>AJE-02</v>
          </cell>
          <cell r="D283" t="str">
            <v xml:space="preserve">Local T/P - PT Sanko Material (USD) </v>
          </cell>
          <cell r="E283" t="str">
            <v>Foreign Exchange Loss</v>
          </cell>
          <cell r="F283">
            <v>210018</v>
          </cell>
          <cell r="J283">
            <v>0</v>
          </cell>
          <cell r="K283" t="str">
            <v>forex</v>
          </cell>
        </row>
        <row r="284">
          <cell r="A284">
            <v>820012</v>
          </cell>
          <cell r="B284">
            <v>39263</v>
          </cell>
          <cell r="C284" t="str">
            <v>AJE-02</v>
          </cell>
          <cell r="D284" t="str">
            <v>Local T/P -PT. Four Pillars (USD)</v>
          </cell>
          <cell r="E284" t="str">
            <v>Foreign Exchange Loss</v>
          </cell>
          <cell r="F284">
            <v>210019</v>
          </cell>
          <cell r="J284">
            <v>0</v>
          </cell>
          <cell r="K284" t="str">
            <v>forex</v>
          </cell>
        </row>
        <row r="285">
          <cell r="A285">
            <v>820012</v>
          </cell>
          <cell r="B285">
            <v>39263</v>
          </cell>
          <cell r="C285" t="str">
            <v>AJE-02</v>
          </cell>
          <cell r="D285" t="str">
            <v>Local T/P -PT. Sucaco (USD)</v>
          </cell>
          <cell r="E285" t="str">
            <v>Foreign Exchange Loss</v>
          </cell>
          <cell r="F285" t="str">
            <v>210019-1</v>
          </cell>
          <cell r="J285">
            <v>14782220</v>
          </cell>
          <cell r="K285" t="str">
            <v>forex</v>
          </cell>
        </row>
        <row r="286">
          <cell r="A286">
            <v>820012</v>
          </cell>
          <cell r="B286">
            <v>39263</v>
          </cell>
          <cell r="C286" t="str">
            <v>AJE-02</v>
          </cell>
          <cell r="D286" t="str">
            <v xml:space="preserve">Local T/P -PT. Rapindo </v>
          </cell>
          <cell r="E286" t="str">
            <v>Foreign Exchange Loss</v>
          </cell>
          <cell r="F286" t="str">
            <v>210019-2</v>
          </cell>
          <cell r="J286">
            <v>0</v>
          </cell>
          <cell r="K286" t="str">
            <v>forex</v>
          </cell>
        </row>
        <row r="287">
          <cell r="A287">
            <v>820012</v>
          </cell>
          <cell r="B287">
            <v>39263</v>
          </cell>
          <cell r="C287" t="str">
            <v>AJE-02</v>
          </cell>
          <cell r="D287" t="str">
            <v>Local T/P - Harmonics Techindo (USD)</v>
          </cell>
          <cell r="E287" t="str">
            <v>Foreign Exchange Loss</v>
          </cell>
          <cell r="F287" t="str">
            <v>210019-3</v>
          </cell>
          <cell r="J287">
            <v>0</v>
          </cell>
          <cell r="K287" t="str">
            <v>forex</v>
          </cell>
        </row>
        <row r="288">
          <cell r="A288">
            <v>820012</v>
          </cell>
          <cell r="B288">
            <v>39263</v>
          </cell>
          <cell r="C288" t="str">
            <v>AJE-02</v>
          </cell>
          <cell r="D288" t="str">
            <v>Local T/P -Tessa (USD)</v>
          </cell>
          <cell r="E288" t="str">
            <v>Foreign Exchange Loss</v>
          </cell>
          <cell r="F288" t="str">
            <v>210019-4</v>
          </cell>
          <cell r="J288">
            <v>0</v>
          </cell>
          <cell r="K288" t="str">
            <v>forex</v>
          </cell>
        </row>
        <row r="289">
          <cell r="A289">
            <v>820012</v>
          </cell>
          <cell r="B289">
            <v>39263</v>
          </cell>
          <cell r="C289" t="str">
            <v>AJE-02</v>
          </cell>
          <cell r="D289" t="str">
            <v>Local T/P -  PT. Kyoei Denki (USD)</v>
          </cell>
          <cell r="E289" t="str">
            <v>Foreign Exchange Loss</v>
          </cell>
          <cell r="F289" t="str">
            <v>210019-5</v>
          </cell>
          <cell r="J289">
            <v>37444</v>
          </cell>
          <cell r="K289" t="str">
            <v>forex</v>
          </cell>
        </row>
        <row r="290">
          <cell r="A290">
            <v>820012</v>
          </cell>
          <cell r="B290">
            <v>39263</v>
          </cell>
          <cell r="C290" t="str">
            <v>AJE-02</v>
          </cell>
          <cell r="D290" t="str">
            <v>Local T/P -  PT. Kel Indonesia (USD)</v>
          </cell>
          <cell r="E290" t="str">
            <v>Foreign Exchange Loss</v>
          </cell>
          <cell r="F290" t="str">
            <v>210019-6</v>
          </cell>
          <cell r="J290">
            <v>21179700</v>
          </cell>
          <cell r="K290" t="str">
            <v>forex</v>
          </cell>
        </row>
        <row r="291">
          <cell r="A291">
            <v>820012</v>
          </cell>
          <cell r="B291">
            <v>39263</v>
          </cell>
          <cell r="C291" t="str">
            <v>AJE-02</v>
          </cell>
          <cell r="D291" t="str">
            <v>Local T/P -  Furukawa (Yen)</v>
          </cell>
          <cell r="E291" t="str">
            <v>Foreign Exchange Loss</v>
          </cell>
          <cell r="F291" t="str">
            <v>210019-7</v>
          </cell>
          <cell r="J291">
            <v>103749026</v>
          </cell>
          <cell r="K291" t="str">
            <v>forex</v>
          </cell>
        </row>
        <row r="292">
          <cell r="A292">
            <v>820012</v>
          </cell>
          <cell r="B292">
            <v>39263</v>
          </cell>
          <cell r="C292" t="str">
            <v>AJE-02</v>
          </cell>
          <cell r="D292" t="str">
            <v>Output Payables :</v>
          </cell>
          <cell r="E292" t="str">
            <v>Foreign Exchange Loss</v>
          </cell>
          <cell r="F292">
            <v>210030</v>
          </cell>
          <cell r="J292">
            <v>0</v>
          </cell>
          <cell r="K292" t="str">
            <v>forex</v>
          </cell>
        </row>
        <row r="293">
          <cell r="A293">
            <v>820012</v>
          </cell>
          <cell r="B293">
            <v>39263</v>
          </cell>
          <cell r="C293" t="str">
            <v>AJE-02</v>
          </cell>
          <cell r="D293" t="str">
            <v>Other Payables :</v>
          </cell>
          <cell r="E293" t="str">
            <v>Foreign Exchange Loss</v>
          </cell>
          <cell r="F293" t="str">
            <v>210030-1</v>
          </cell>
          <cell r="J293">
            <v>1475754</v>
          </cell>
          <cell r="K293" t="str">
            <v>forex</v>
          </cell>
        </row>
        <row r="294">
          <cell r="A294">
            <v>820012</v>
          </cell>
          <cell r="B294">
            <v>39263</v>
          </cell>
          <cell r="C294" t="str">
            <v>AJE-02</v>
          </cell>
          <cell r="D294" t="str">
            <v>Temporary Receivable Subject (Royalty) (usd)</v>
          </cell>
          <cell r="E294" t="str">
            <v>Foreign Exchange Loss</v>
          </cell>
          <cell r="F294">
            <v>210039</v>
          </cell>
          <cell r="J294">
            <v>0</v>
          </cell>
          <cell r="K294" t="str">
            <v>forex</v>
          </cell>
        </row>
        <row r="295">
          <cell r="A295">
            <v>820012</v>
          </cell>
          <cell r="B295">
            <v>39263</v>
          </cell>
          <cell r="C295" t="str">
            <v>AJE-02</v>
          </cell>
          <cell r="D295" t="str">
            <v>Suspense Receivable - Totoku Electric</v>
          </cell>
          <cell r="E295" t="str">
            <v>Foreign Exchange Loss</v>
          </cell>
          <cell r="F295">
            <v>210041</v>
          </cell>
          <cell r="J295">
            <v>0</v>
          </cell>
          <cell r="K295" t="str">
            <v>forex</v>
          </cell>
        </row>
        <row r="296">
          <cell r="A296">
            <v>820012</v>
          </cell>
          <cell r="B296">
            <v>39263</v>
          </cell>
          <cell r="C296" t="str">
            <v>AJE-02</v>
          </cell>
          <cell r="D296" t="str">
            <v>Long Term Loans - Totoku Electric Co. Ltd</v>
          </cell>
          <cell r="E296" t="str">
            <v>Foreign Exchange Loss</v>
          </cell>
          <cell r="F296">
            <v>210071</v>
          </cell>
          <cell r="J296">
            <v>158200000</v>
          </cell>
          <cell r="K296" t="str">
            <v>forex</v>
          </cell>
        </row>
        <row r="297">
          <cell r="A297">
            <v>820012</v>
          </cell>
          <cell r="B297">
            <v>39263</v>
          </cell>
          <cell r="C297" t="str">
            <v>AJE-02</v>
          </cell>
          <cell r="D297" t="str">
            <v>PT. Resona Perdania Indonesia (max -usd 500,000)</v>
          </cell>
          <cell r="E297" t="str">
            <v>Foreign Exchange Loss</v>
          </cell>
          <cell r="F297">
            <v>210061</v>
          </cell>
          <cell r="J297">
            <v>226000000</v>
          </cell>
          <cell r="K297" t="str">
            <v>forex</v>
          </cell>
        </row>
        <row r="298">
          <cell r="A298">
            <v>820012</v>
          </cell>
          <cell r="B298">
            <v>39263</v>
          </cell>
          <cell r="C298" t="str">
            <v>AJE-02</v>
          </cell>
          <cell r="D298" t="str">
            <v>PT. Bank Dai-Ichi Kangyo Indonesia (max -usd 1,000,000)</v>
          </cell>
          <cell r="E298" t="str">
            <v>Foreign Exchange Loss</v>
          </cell>
          <cell r="F298">
            <v>210062</v>
          </cell>
          <cell r="J298">
            <v>226000000</v>
          </cell>
          <cell r="K298" t="str">
            <v>forex</v>
          </cell>
        </row>
        <row r="299">
          <cell r="A299">
            <v>820012</v>
          </cell>
          <cell r="B299">
            <v>39263</v>
          </cell>
          <cell r="C299" t="str">
            <v>AJE-02</v>
          </cell>
          <cell r="D299" t="str">
            <v>Totoku Electric Co. Ltd</v>
          </cell>
          <cell r="E299" t="str">
            <v>Foreign Exchange Loss</v>
          </cell>
          <cell r="F299">
            <v>210063</v>
          </cell>
          <cell r="J299">
            <v>96050000</v>
          </cell>
          <cell r="K299" t="str">
            <v>forex</v>
          </cell>
        </row>
        <row r="302">
          <cell r="G302">
            <v>877198.77999999991</v>
          </cell>
          <cell r="H302">
            <v>9558385432</v>
          </cell>
          <cell r="I302">
            <v>877198.77999999991</v>
          </cell>
          <cell r="J302">
            <v>9558385432</v>
          </cell>
        </row>
      </sheetData>
      <sheetData sheetId="4"/>
      <sheetData sheetId="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NY"/>
      <sheetName val="ACCOUNT"/>
      <sheetName val="COMLIST"/>
      <sheetName val="FORM"/>
      <sheetName val="FORM-S"/>
      <sheetName val="F1"/>
      <sheetName val="SF1"/>
      <sheetName val="F2"/>
      <sheetName val="SF2"/>
      <sheetName val="F3"/>
      <sheetName val="SF3"/>
      <sheetName val="F4"/>
      <sheetName val="SF4"/>
      <sheetName val="F5"/>
      <sheetName val="F6"/>
      <sheetName val="F7"/>
      <sheetName val="F8"/>
      <sheetName val="F9"/>
      <sheetName val="F10"/>
      <sheetName val="F11"/>
      <sheetName val="F12"/>
      <sheetName val="F13"/>
      <sheetName val="F14"/>
      <sheetName val="F15"/>
      <sheetName val="F16"/>
      <sheetName val="F17"/>
      <sheetName val="Note.No.1"/>
      <sheetName val="DEFINITION"/>
      <sheetName val="Matching"/>
      <sheetName val="Module1"/>
      <sheetName val="原紙"/>
      <sheetName val="翌月予想"/>
      <sheetName val="1004"/>
      <sheetName val="1005"/>
      <sheetName val="1006"/>
      <sheetName val="1007"/>
      <sheetName val="1008"/>
      <sheetName val="1009"/>
      <sheetName val="1010"/>
      <sheetName val="1011"/>
      <sheetName val="1012"/>
      <sheetName val="1101"/>
      <sheetName val="1102"/>
      <sheetName val="1103"/>
      <sheetName val="MTRIX"/>
      <sheetName val="元梱"/>
      <sheetName val="Generell"/>
      <sheetName val="ｺｽﾓSIZE（低減率０．７）"/>
      <sheetName val="会社リスト"/>
      <sheetName val="Note_No_1"/>
      <sheetName val="3.7a Net debt"/>
      <sheetName val="3.7b Net debt details 1"/>
      <sheetName val="3.7c Net debt details 2"/>
      <sheetName val="3.7d Net debt details 3"/>
      <sheetName val="3.7e Net debt details 4"/>
      <sheetName val="3.9a Provisions"/>
      <sheetName val="3.9b Provisions detail 1"/>
      <sheetName val="3.9c Provisions detail 2"/>
      <sheetName val="3.9d Provisions detail 3"/>
    </sheetNames>
    <sheetDataSet>
      <sheetData sheetId="0" refreshError="1"/>
      <sheetData sheetId="1" refreshError="1">
        <row r="1">
          <cell r="A1" t="str">
            <v>0010</v>
          </cell>
          <cell r="B1" t="str">
            <v>現金及び預金(3ｹ月以内)</v>
          </cell>
          <cell r="C1" t="str">
            <v>Cash and bank(not more than three month)</v>
          </cell>
        </row>
        <row r="2">
          <cell r="A2" t="str">
            <v>0011</v>
          </cell>
          <cell r="B2" t="str">
            <v>定期預金(3ｹ月超)</v>
          </cell>
          <cell r="C2" t="str">
            <v>Fixed deposit(more than three month)</v>
          </cell>
        </row>
        <row r="3">
          <cell r="A3" t="str">
            <v>0030</v>
          </cell>
          <cell r="B3" t="str">
            <v>受取手形</v>
          </cell>
          <cell r="C3" t="str">
            <v>Notes receivable</v>
          </cell>
        </row>
        <row r="4">
          <cell r="A4" t="str">
            <v>0040</v>
          </cell>
          <cell r="B4" t="str">
            <v>作業未収入金</v>
          </cell>
          <cell r="C4" t="str">
            <v>Trade debtors</v>
          </cell>
        </row>
        <row r="5">
          <cell r="A5" t="str">
            <v>0050</v>
          </cell>
          <cell r="B5" t="str">
            <v>有価証券</v>
          </cell>
          <cell r="C5" t="str">
            <v>Securities</v>
          </cell>
        </row>
        <row r="6">
          <cell r="A6" t="str">
            <v>0051</v>
          </cell>
          <cell r="B6" t="str">
            <v>有価証券(現金同等物）</v>
          </cell>
          <cell r="C6" t="str">
            <v>Securities(cash equivalents)</v>
          </cell>
        </row>
        <row r="7">
          <cell r="A7" t="str">
            <v>0080</v>
          </cell>
          <cell r="B7" t="str">
            <v>販売用不動産</v>
          </cell>
          <cell r="C7" t="str">
            <v>Real estate for sale</v>
          </cell>
        </row>
        <row r="8">
          <cell r="A8" t="str">
            <v>0070</v>
          </cell>
          <cell r="B8" t="str">
            <v>未成作業支出金</v>
          </cell>
          <cell r="C8" t="str">
            <v>Contract work in progress</v>
          </cell>
        </row>
        <row r="9">
          <cell r="A9" t="str">
            <v>0090</v>
          </cell>
          <cell r="B9" t="str">
            <v>貯蔵品</v>
          </cell>
          <cell r="C9" t="str">
            <v>Stocks</v>
          </cell>
        </row>
        <row r="10">
          <cell r="A10" t="str">
            <v>0095</v>
          </cell>
          <cell r="B10" t="str">
            <v>繰延税金資産（流動）</v>
          </cell>
          <cell r="C10" t="str">
            <v>Deferred tax assets(current)</v>
          </cell>
        </row>
        <row r="11">
          <cell r="A11" t="str">
            <v>0105</v>
          </cell>
          <cell r="B11" t="str">
            <v>前渡金</v>
          </cell>
          <cell r="C11" t="str">
            <v>advances paid</v>
          </cell>
        </row>
        <row r="12">
          <cell r="A12" t="str">
            <v>0110</v>
          </cell>
          <cell r="B12" t="str">
            <v>前払費用</v>
          </cell>
          <cell r="C12" t="str">
            <v>Prepaid expenses</v>
          </cell>
        </row>
        <row r="13">
          <cell r="A13" t="str">
            <v>0115</v>
          </cell>
          <cell r="B13" t="str">
            <v>短期債権</v>
          </cell>
          <cell r="C13" t="str">
            <v>Advance money</v>
          </cell>
        </row>
        <row r="14">
          <cell r="A14" t="str">
            <v>0120</v>
          </cell>
          <cell r="B14" t="str">
            <v>短期貸付金</v>
          </cell>
          <cell r="C14" t="str">
            <v>Short-term loans receivable</v>
          </cell>
        </row>
        <row r="15">
          <cell r="A15" t="str">
            <v>0121</v>
          </cell>
          <cell r="B15" t="str">
            <v>役員・従業員短期貸付金</v>
          </cell>
          <cell r="C15" t="str">
            <v>Short term loan to director and employee</v>
          </cell>
        </row>
        <row r="16">
          <cell r="A16" t="str">
            <v>0130</v>
          </cell>
          <cell r="B16" t="str">
            <v>関係会社短期貸付金</v>
          </cell>
          <cell r="C16" t="str">
            <v>Short term loan to related corporations</v>
          </cell>
        </row>
        <row r="17">
          <cell r="A17" t="str">
            <v>0140</v>
          </cell>
          <cell r="B17" t="str">
            <v>未収入金</v>
          </cell>
          <cell r="C17" t="str">
            <v>Receivable others</v>
          </cell>
        </row>
        <row r="18">
          <cell r="A18" t="str">
            <v>0143</v>
          </cell>
          <cell r="B18" t="str">
            <v>未収収益</v>
          </cell>
          <cell r="C18" t="str">
            <v>Accrued income</v>
          </cell>
        </row>
        <row r="19">
          <cell r="A19" t="str">
            <v>0144</v>
          </cell>
          <cell r="B19" t="str">
            <v>仮払金</v>
          </cell>
          <cell r="C19" t="str">
            <v>Suspence payment</v>
          </cell>
        </row>
        <row r="20">
          <cell r="A20" t="str">
            <v>0150</v>
          </cell>
          <cell r="B20" t="str">
            <v>その他流動資産</v>
          </cell>
          <cell r="C20" t="str">
            <v>Other current assets</v>
          </cell>
        </row>
        <row r="21">
          <cell r="A21" t="str">
            <v>0160</v>
          </cell>
          <cell r="B21" t="str">
            <v>貸倒引当金(流動)</v>
          </cell>
          <cell r="C21" t="str">
            <v>Allowance for doubtful receivable-current</v>
          </cell>
        </row>
        <row r="22">
          <cell r="A22" t="str">
            <v>0190</v>
          </cell>
          <cell r="B22" t="str">
            <v>流動資産合計</v>
          </cell>
          <cell r="C22" t="str">
            <v>Total current assets</v>
          </cell>
        </row>
        <row r="23">
          <cell r="A23" t="str">
            <v>0301</v>
          </cell>
          <cell r="B23" t="str">
            <v>有形固定資産</v>
          </cell>
          <cell r="C23" t="str">
            <v>Property plant and equipment</v>
          </cell>
        </row>
        <row r="24">
          <cell r="A24" t="str">
            <v>0320</v>
          </cell>
          <cell r="B24" t="str">
            <v>建物</v>
          </cell>
          <cell r="C24" t="str">
            <v xml:space="preserve">Buildings </v>
          </cell>
        </row>
        <row r="25">
          <cell r="A25" t="str">
            <v>0330</v>
          </cell>
          <cell r="B25" t="str">
            <v>構築物</v>
          </cell>
          <cell r="C25" t="str">
            <v>Structures</v>
          </cell>
        </row>
        <row r="26">
          <cell r="A26" t="str">
            <v>0340</v>
          </cell>
          <cell r="B26" t="str">
            <v>機械装置及び車両運搬具</v>
          </cell>
          <cell r="C26" t="str">
            <v>Machinery and equipment，Vehicle and delivery equipment</v>
          </cell>
        </row>
        <row r="27">
          <cell r="A27" t="str">
            <v>0360</v>
          </cell>
          <cell r="B27" t="str">
            <v>船舶</v>
          </cell>
          <cell r="C27" t="str">
            <v>Vessels</v>
          </cell>
        </row>
        <row r="28">
          <cell r="A28" t="str">
            <v>0370</v>
          </cell>
          <cell r="B28" t="str">
            <v>車両運搬具</v>
          </cell>
          <cell r="C28" t="str">
            <v>Vehicle and delivery equipment</v>
          </cell>
        </row>
        <row r="29">
          <cell r="A29" t="str">
            <v>0390</v>
          </cell>
          <cell r="B29" t="str">
            <v>工具・器具・備品</v>
          </cell>
          <cell r="C29" t="str">
            <v>Tools, furniture and fixture</v>
          </cell>
        </row>
        <row r="30">
          <cell r="A30" t="str">
            <v>0400</v>
          </cell>
          <cell r="B30" t="str">
            <v>土地</v>
          </cell>
          <cell r="C30" t="str">
            <v>Land</v>
          </cell>
        </row>
        <row r="31">
          <cell r="A31" t="str">
            <v>0410</v>
          </cell>
          <cell r="B31" t="str">
            <v>建設仮勘定</v>
          </cell>
          <cell r="C31" t="str">
            <v>Construction in progress</v>
          </cell>
        </row>
        <row r="32">
          <cell r="A32" t="str">
            <v>0420</v>
          </cell>
          <cell r="B32" t="str">
            <v>有形固定資産合計</v>
          </cell>
          <cell r="C32" t="str">
            <v>Total property plant and equipment</v>
          </cell>
        </row>
        <row r="33">
          <cell r="A33" t="str">
            <v>0500</v>
          </cell>
          <cell r="B33" t="str">
            <v>無形固定資産</v>
          </cell>
          <cell r="C33" t="str">
            <v>Intangible fixed asset</v>
          </cell>
        </row>
        <row r="34">
          <cell r="A34" t="str">
            <v>0520</v>
          </cell>
          <cell r="B34" t="str">
            <v>借地権</v>
          </cell>
          <cell r="C34" t="str">
            <v>Leasehold</v>
          </cell>
        </row>
        <row r="35">
          <cell r="A35" t="str">
            <v>0530</v>
          </cell>
          <cell r="B35" t="str">
            <v>電話加入権</v>
          </cell>
          <cell r="C35" t="str">
            <v>Telephone subscription right</v>
          </cell>
        </row>
        <row r="36">
          <cell r="A36" t="str">
            <v>0533</v>
          </cell>
          <cell r="B36" t="str">
            <v>ソフトウェア</v>
          </cell>
          <cell r="C36" t="str">
            <v>Software</v>
          </cell>
        </row>
        <row r="37">
          <cell r="A37" t="str">
            <v>0536</v>
          </cell>
          <cell r="B37" t="str">
            <v>制作中のソフトウェア</v>
          </cell>
          <cell r="C37" t="str">
            <v>Software in progress</v>
          </cell>
        </row>
        <row r="38">
          <cell r="A38" t="str">
            <v>0540</v>
          </cell>
          <cell r="B38" t="str">
            <v>その他無形固定資産</v>
          </cell>
          <cell r="C38" t="str">
            <v>Other intangible fixed asset</v>
          </cell>
        </row>
        <row r="39">
          <cell r="A39" t="str">
            <v>0550</v>
          </cell>
          <cell r="B39" t="str">
            <v>無形固定資産合計</v>
          </cell>
          <cell r="C39" t="str">
            <v>Total intangible fixed asset</v>
          </cell>
        </row>
        <row r="40">
          <cell r="A40" t="str">
            <v>0610</v>
          </cell>
          <cell r="B40" t="str">
            <v>投資有価証券</v>
          </cell>
          <cell r="C40" t="str">
            <v>Investment securities</v>
          </cell>
        </row>
        <row r="41">
          <cell r="A41" t="str">
            <v>0620</v>
          </cell>
          <cell r="B41" t="str">
            <v>関係会社株式</v>
          </cell>
          <cell r="C41" t="str">
            <v>Related corporations share</v>
          </cell>
        </row>
        <row r="42">
          <cell r="A42" t="str">
            <v>0650</v>
          </cell>
          <cell r="B42" t="str">
            <v>長期貸付金</v>
          </cell>
          <cell r="C42" t="str">
            <v>Long-term loans receivable</v>
          </cell>
        </row>
        <row r="43">
          <cell r="A43" t="str">
            <v>0690</v>
          </cell>
          <cell r="B43" t="str">
            <v>長期前払費用</v>
          </cell>
          <cell r="C43" t="str">
            <v>Long-term prepaid expense</v>
          </cell>
        </row>
        <row r="44">
          <cell r="A44" t="str">
            <v>0695</v>
          </cell>
          <cell r="B44" t="str">
            <v>繰延税金資産（固定）</v>
          </cell>
          <cell r="C44" t="str">
            <v>Deferred tax assets(fixed)</v>
          </cell>
        </row>
        <row r="45">
          <cell r="A45" t="str">
            <v>0700</v>
          </cell>
          <cell r="B45" t="str">
            <v>差入保証金</v>
          </cell>
          <cell r="C45" t="str">
            <v>Guaranty money deposited</v>
          </cell>
        </row>
        <row r="46">
          <cell r="A46" t="str">
            <v>0710</v>
          </cell>
          <cell r="B46" t="str">
            <v>長期未収入金</v>
          </cell>
          <cell r="C46" t="str">
            <v>Long-term receivable</v>
          </cell>
        </row>
        <row r="47">
          <cell r="A47" t="str">
            <v>0630</v>
          </cell>
          <cell r="B47" t="str">
            <v>出資金</v>
          </cell>
          <cell r="C47" t="str">
            <v>Investment in capital</v>
          </cell>
        </row>
        <row r="48">
          <cell r="A48" t="str">
            <v>0640</v>
          </cell>
          <cell r="B48" t="str">
            <v>関係会社出資金</v>
          </cell>
          <cell r="C48" t="str">
            <v>Related corporations investment in capital</v>
          </cell>
        </row>
        <row r="49">
          <cell r="A49" t="str">
            <v>0660</v>
          </cell>
          <cell r="B49" t="str">
            <v>役員・従業員長期貸付金</v>
          </cell>
          <cell r="C49" t="str">
            <v>Long term loan receivable to director and employee</v>
          </cell>
        </row>
        <row r="50">
          <cell r="A50" t="str">
            <v>0670</v>
          </cell>
          <cell r="B50" t="str">
            <v>関係会社長期貸付金</v>
          </cell>
          <cell r="C50" t="str">
            <v>Long-term loans to related corporations</v>
          </cell>
        </row>
        <row r="51">
          <cell r="A51" t="str">
            <v>0680</v>
          </cell>
          <cell r="B51" t="str">
            <v>破産・更生債権</v>
          </cell>
          <cell r="C51" t="str">
            <v>Claim in bankruptcy and reorganization</v>
          </cell>
        </row>
        <row r="52">
          <cell r="A52" t="str">
            <v>0720</v>
          </cell>
          <cell r="B52" t="str">
            <v>その他の投資</v>
          </cell>
          <cell r="C52" t="str">
            <v>Other investments</v>
          </cell>
        </row>
        <row r="53">
          <cell r="A53" t="str">
            <v>0740</v>
          </cell>
          <cell r="B53" t="str">
            <v>貸倒引当金(固定)</v>
          </cell>
          <cell r="C53" t="str">
            <v>Allowance for doubtful receivables- non-current</v>
          </cell>
        </row>
        <row r="54">
          <cell r="A54" t="str">
            <v>0750</v>
          </cell>
          <cell r="B54" t="str">
            <v>投資その他の資産合計</v>
          </cell>
          <cell r="C54" t="str">
            <v>Total investments and other assets</v>
          </cell>
        </row>
        <row r="55">
          <cell r="A55" t="str">
            <v>0800</v>
          </cell>
          <cell r="B55" t="str">
            <v>固定資産合計</v>
          </cell>
          <cell r="C55" t="str">
            <v>Total fixed assets</v>
          </cell>
        </row>
        <row r="56">
          <cell r="A56" t="str">
            <v>0850</v>
          </cell>
          <cell r="B56" t="str">
            <v>繰延資産</v>
          </cell>
          <cell r="C56" t="str">
            <v>Deferred charges</v>
          </cell>
        </row>
        <row r="57">
          <cell r="A57" t="str">
            <v>0999</v>
          </cell>
          <cell r="B57" t="str">
            <v>資産合計</v>
          </cell>
          <cell r="C57" t="str">
            <v>Total assets</v>
          </cell>
        </row>
        <row r="58">
          <cell r="A58" t="str">
            <v>1020</v>
          </cell>
          <cell r="B58" t="str">
            <v>支払手形</v>
          </cell>
          <cell r="C58" t="str">
            <v>Notes payable-trade</v>
          </cell>
        </row>
        <row r="59">
          <cell r="A59" t="str">
            <v>1025</v>
          </cell>
          <cell r="B59" t="str">
            <v>割引手形</v>
          </cell>
          <cell r="C59" t="str">
            <v>Inside notes and bills</v>
          </cell>
        </row>
        <row r="60">
          <cell r="A60" t="str">
            <v>1030</v>
          </cell>
          <cell r="B60" t="str">
            <v>作業未払金</v>
          </cell>
          <cell r="C60" t="str">
            <v>Payable trade</v>
          </cell>
        </row>
        <row r="61">
          <cell r="A61" t="str">
            <v>1041</v>
          </cell>
          <cell r="B61" t="str">
            <v>短期借入金</v>
          </cell>
          <cell r="C61" t="str">
            <v>Short-term loan payable</v>
          </cell>
        </row>
        <row r="62">
          <cell r="A62" t="str">
            <v>1044</v>
          </cell>
          <cell r="B62" t="str">
            <v>一年以内返済予定長期借入金</v>
          </cell>
          <cell r="C62" t="str">
            <v>Current maturities of long-term loan payable</v>
          </cell>
        </row>
        <row r="63">
          <cell r="A63" t="str">
            <v>1050</v>
          </cell>
          <cell r="B63" t="str">
            <v>一年以内償還予定社債</v>
          </cell>
          <cell r="C63" t="str">
            <v>Current maturities of bonds</v>
          </cell>
        </row>
        <row r="64">
          <cell r="A64" t="str">
            <v>1060</v>
          </cell>
          <cell r="B64" t="str">
            <v>未払金</v>
          </cell>
          <cell r="C64" t="str">
            <v>Payable other</v>
          </cell>
        </row>
        <row r="65">
          <cell r="A65" t="str">
            <v>1071</v>
          </cell>
          <cell r="B65" t="str">
            <v>未払法人税等</v>
          </cell>
          <cell r="C65" t="str">
            <v>Income tax payable</v>
          </cell>
        </row>
        <row r="66">
          <cell r="A66" t="str">
            <v>1072</v>
          </cell>
          <cell r="B66" t="str">
            <v>未払配当金等</v>
          </cell>
          <cell r="C66" t="str">
            <v>Dividends payable</v>
          </cell>
        </row>
        <row r="67">
          <cell r="A67" t="str">
            <v>1080</v>
          </cell>
          <cell r="B67" t="str">
            <v>未払事業所税</v>
          </cell>
          <cell r="C67" t="str">
            <v>Office tax payable</v>
          </cell>
        </row>
        <row r="68">
          <cell r="A68" t="str">
            <v>1090</v>
          </cell>
          <cell r="B68" t="str">
            <v>未払消費税等</v>
          </cell>
          <cell r="C68" t="str">
            <v>Excise tax payable</v>
          </cell>
        </row>
        <row r="69">
          <cell r="A69" t="str">
            <v>1095</v>
          </cell>
          <cell r="B69" t="str">
            <v>繰延税金負債（流動）</v>
          </cell>
          <cell r="C69" t="str">
            <v>Deferred tax liabilities(current)</v>
          </cell>
        </row>
        <row r="70">
          <cell r="A70" t="str">
            <v>1100</v>
          </cell>
          <cell r="B70" t="str">
            <v>未払費用</v>
          </cell>
          <cell r="C70" t="str">
            <v>Accrued expenses</v>
          </cell>
        </row>
        <row r="71">
          <cell r="A71" t="str">
            <v>1110</v>
          </cell>
          <cell r="B71" t="str">
            <v>未成作業受入金</v>
          </cell>
          <cell r="C71" t="str">
            <v>Progress billing</v>
          </cell>
        </row>
        <row r="72">
          <cell r="A72" t="str">
            <v>1120</v>
          </cell>
          <cell r="B72" t="str">
            <v>預り金</v>
          </cell>
          <cell r="C72" t="str">
            <v>Deposit received</v>
          </cell>
        </row>
        <row r="73">
          <cell r="A73" t="str">
            <v>1130</v>
          </cell>
          <cell r="B73" t="str">
            <v>役員・従業員預り金</v>
          </cell>
          <cell r="C73" t="str">
            <v>Deposit receivable from director and employee</v>
          </cell>
        </row>
        <row r="74">
          <cell r="A74" t="str">
            <v>1140</v>
          </cell>
          <cell r="B74" t="str">
            <v>完成工事補償引当金</v>
          </cell>
          <cell r="C74" t="str">
            <v>Reserve for compensation for completed works</v>
          </cell>
        </row>
        <row r="75">
          <cell r="A75" t="str">
            <v>1150</v>
          </cell>
          <cell r="B75" t="str">
            <v>製品補償等引当金</v>
          </cell>
          <cell r="C75" t="str">
            <v>Reserve for guarantee for completed works</v>
          </cell>
        </row>
        <row r="76">
          <cell r="A76" t="str">
            <v>1151</v>
          </cell>
          <cell r="B76" t="str">
            <v>前受金</v>
          </cell>
          <cell r="C76" t="str">
            <v>Advance received</v>
          </cell>
        </row>
        <row r="77">
          <cell r="A77" t="str">
            <v>1152</v>
          </cell>
          <cell r="B77" t="str">
            <v>前受収益</v>
          </cell>
          <cell r="C77" t="str">
            <v>Unearned income</v>
          </cell>
        </row>
        <row r="78">
          <cell r="A78" t="str">
            <v>1153</v>
          </cell>
          <cell r="B78" t="str">
            <v>仮受金</v>
          </cell>
          <cell r="C78" t="str">
            <v>Suspence receipts</v>
          </cell>
        </row>
        <row r="79">
          <cell r="A79" t="str">
            <v>1160</v>
          </cell>
          <cell r="B79" t="str">
            <v>その他の流動負債</v>
          </cell>
          <cell r="C79" t="str">
            <v>Other current liabilities</v>
          </cell>
        </row>
        <row r="80">
          <cell r="A80" t="str">
            <v>1190</v>
          </cell>
          <cell r="B80" t="str">
            <v>流動負債合計</v>
          </cell>
          <cell r="C80" t="str">
            <v>Total current liabilities</v>
          </cell>
        </row>
        <row r="81">
          <cell r="A81" t="str">
            <v>1220</v>
          </cell>
          <cell r="B81" t="str">
            <v>転換社債</v>
          </cell>
          <cell r="C81" t="str">
            <v>Convertible bond</v>
          </cell>
        </row>
        <row r="82">
          <cell r="A82" t="str">
            <v>1210</v>
          </cell>
          <cell r="B82" t="str">
            <v>社債</v>
          </cell>
          <cell r="C82" t="str">
            <v>Bonds and debentures</v>
          </cell>
        </row>
        <row r="83">
          <cell r="A83" t="str">
            <v>1230</v>
          </cell>
          <cell r="B83" t="str">
            <v>長期借入金</v>
          </cell>
          <cell r="C83" t="str">
            <v>Long-term loan payable</v>
          </cell>
        </row>
        <row r="84">
          <cell r="A84" t="str">
            <v>1235</v>
          </cell>
          <cell r="B84" t="str">
            <v>長期設備支払手形</v>
          </cell>
          <cell r="C84" t="str">
            <v>Long-term equipment accounts notes payable-trade</v>
          </cell>
        </row>
        <row r="85">
          <cell r="A85" t="str">
            <v>1240</v>
          </cell>
          <cell r="B85" t="str">
            <v>長期設備未払金</v>
          </cell>
          <cell r="C85" t="str">
            <v>Long-term equipment accounts payable</v>
          </cell>
        </row>
        <row r="86">
          <cell r="A86" t="str">
            <v>1245</v>
          </cell>
          <cell r="B86" t="str">
            <v>長期未払税金</v>
          </cell>
          <cell r="C86" t="str">
            <v>Long-term tax payable</v>
          </cell>
        </row>
        <row r="87">
          <cell r="A87" t="str">
            <v>1246</v>
          </cell>
          <cell r="B87" t="str">
            <v>繰延税金負債（固定）</v>
          </cell>
          <cell r="C87" t="str">
            <v>Deferred tax liabilities(fixed)</v>
          </cell>
        </row>
        <row r="88">
          <cell r="A88" t="str">
            <v>1251</v>
          </cell>
          <cell r="B88" t="str">
            <v>従業員退職給付引当金</v>
          </cell>
          <cell r="C88" t="str">
            <v>Reserve for employees retirement allowance</v>
          </cell>
        </row>
        <row r="89">
          <cell r="A89" t="str">
            <v>1252</v>
          </cell>
          <cell r="B89" t="str">
            <v>役員退職慰労引当金</v>
          </cell>
          <cell r="C89" t="str">
            <v>Director's retirement allowance</v>
          </cell>
        </row>
        <row r="90">
          <cell r="A90" t="str">
            <v>1270</v>
          </cell>
          <cell r="B90" t="str">
            <v>預り保証金</v>
          </cell>
          <cell r="C90" t="str">
            <v>Deposits on contracts</v>
          </cell>
        </row>
        <row r="91">
          <cell r="A91" t="str">
            <v>1260</v>
          </cell>
          <cell r="B91" t="str">
            <v>特別修繕引当金</v>
          </cell>
          <cell r="C91" t="str">
            <v>Reserve for special repair reserve</v>
          </cell>
        </row>
        <row r="92">
          <cell r="A92" t="str">
            <v>1280</v>
          </cell>
          <cell r="B92" t="str">
            <v>その他の固定負債</v>
          </cell>
          <cell r="C92" t="str">
            <v>Other fixed liabilities</v>
          </cell>
        </row>
        <row r="93">
          <cell r="A93" t="str">
            <v>1300</v>
          </cell>
          <cell r="B93" t="str">
            <v>固定負債合計</v>
          </cell>
          <cell r="C93" t="str">
            <v>Total fixed liabilities</v>
          </cell>
        </row>
        <row r="94">
          <cell r="A94" t="str">
            <v>1400</v>
          </cell>
          <cell r="B94" t="str">
            <v>負債合計</v>
          </cell>
          <cell r="C94" t="str">
            <v>Total liabilities</v>
          </cell>
        </row>
        <row r="95">
          <cell r="A95" t="str">
            <v>1510</v>
          </cell>
          <cell r="B95" t="str">
            <v>資本金</v>
          </cell>
          <cell r="C95" t="str">
            <v>Capital stock</v>
          </cell>
        </row>
        <row r="96">
          <cell r="A96" t="str">
            <v>1520</v>
          </cell>
          <cell r="B96" t="str">
            <v>資本準備金</v>
          </cell>
          <cell r="C96" t="str">
            <v>Capital surplus</v>
          </cell>
        </row>
        <row r="97">
          <cell r="A97" t="str">
            <v>1530</v>
          </cell>
          <cell r="B97" t="str">
            <v>利益準備金</v>
          </cell>
          <cell r="C97" t="str">
            <v>Legal reserve</v>
          </cell>
        </row>
        <row r="98">
          <cell r="A98" t="str">
            <v>1551</v>
          </cell>
          <cell r="B98" t="str">
            <v>固定資産圧縮積立金</v>
          </cell>
          <cell r="C98" t="str">
            <v>Fixed assets reserve for deffered</v>
          </cell>
        </row>
        <row r="99">
          <cell r="A99" t="str">
            <v>1552</v>
          </cell>
          <cell r="B99" t="str">
            <v>海外投資等損失準備金</v>
          </cell>
          <cell r="C99" t="str">
            <v>Reserve for loss from overseas investment</v>
          </cell>
        </row>
        <row r="100">
          <cell r="A100" t="str">
            <v>1553</v>
          </cell>
          <cell r="B100" t="str">
            <v>別途積立金</v>
          </cell>
          <cell r="C100" t="str">
            <v>General reserve</v>
          </cell>
        </row>
        <row r="101">
          <cell r="A101" t="str">
            <v>1561</v>
          </cell>
          <cell r="B101" t="str">
            <v>前期繰越損益</v>
          </cell>
          <cell r="C101" t="str">
            <v>Balance brought forward from the last account</v>
          </cell>
        </row>
        <row r="102">
          <cell r="A102" t="str">
            <v>1562</v>
          </cell>
          <cell r="B102" t="str">
            <v>当期損益</v>
          </cell>
          <cell r="C102" t="str">
            <v>Current term net profit or loss</v>
          </cell>
        </row>
        <row r="103">
          <cell r="A103" t="str">
            <v>1565</v>
          </cell>
          <cell r="B103" t="str">
            <v>その他有価証券評価差額金</v>
          </cell>
          <cell r="C103" t="str">
            <v xml:space="preserve">Balancing figure appraising other Investment securities </v>
          </cell>
        </row>
        <row r="104">
          <cell r="A104" t="str">
            <v>1570</v>
          </cell>
          <cell r="B104" t="str">
            <v>自己株式(資本)</v>
          </cell>
          <cell r="C104" t="str">
            <v>Treasury stock</v>
          </cell>
        </row>
        <row r="105">
          <cell r="A105" t="str">
            <v>1590</v>
          </cell>
          <cell r="B105" t="str">
            <v>資本合計</v>
          </cell>
          <cell r="C105" t="str">
            <v>Total shareholder's equity</v>
          </cell>
        </row>
        <row r="106">
          <cell r="A106" t="str">
            <v>1999</v>
          </cell>
          <cell r="B106" t="str">
            <v>負債・資本合計</v>
          </cell>
          <cell r="C106" t="str">
            <v>Total liabilities and shareholder's equity</v>
          </cell>
        </row>
        <row r="107">
          <cell r="A107" t="str">
            <v>2011</v>
          </cell>
          <cell r="B107" t="str">
            <v>作業収入-物流事業</v>
          </cell>
          <cell r="C107" t="str">
            <v>Logistics working sales</v>
          </cell>
        </row>
        <row r="108">
          <cell r="A108" t="str">
            <v>2012</v>
          </cell>
          <cell r="B108" t="str">
            <v>作業収入-構内事業</v>
          </cell>
          <cell r="C108" t="str">
            <v>Client's premises working sales</v>
          </cell>
        </row>
        <row r="109">
          <cell r="A109" t="str">
            <v>2013</v>
          </cell>
          <cell r="B109" t="str">
            <v>作業収入-機工事業</v>
          </cell>
          <cell r="C109" t="str">
            <v>Engineering and construnction working sales</v>
          </cell>
        </row>
        <row r="110">
          <cell r="A110" t="str">
            <v>2014</v>
          </cell>
          <cell r="B110" t="str">
            <v>作業収入-建設事業</v>
          </cell>
          <cell r="C110" t="str">
            <v>Civil engineering and construction working sales</v>
          </cell>
        </row>
        <row r="111">
          <cell r="A111" t="str">
            <v>2015</v>
          </cell>
          <cell r="B111" t="str">
            <v>作業収入-その他事業</v>
          </cell>
          <cell r="C111" t="str">
            <v>Other working sales</v>
          </cell>
        </row>
        <row r="112">
          <cell r="A112" t="str">
            <v>2016</v>
          </cell>
          <cell r="B112" t="str">
            <v>作業収入-構内（保全作業）</v>
          </cell>
          <cell r="C112" t="str">
            <v>Client's premises maintenance working sales</v>
          </cell>
        </row>
        <row r="113">
          <cell r="A113" t="str">
            <v>2017</v>
          </cell>
          <cell r="B113" t="str">
            <v>作業収入-構内（構内操業）</v>
          </cell>
          <cell r="C113" t="str">
            <v>Client's premises operating working sales</v>
          </cell>
        </row>
        <row r="114">
          <cell r="A114" t="str">
            <v>2018</v>
          </cell>
          <cell r="B114" t="str">
            <v>作業収入-構内（構内物流）</v>
          </cell>
          <cell r="C114" t="str">
            <v>Client's premises logistics working sales</v>
          </cell>
        </row>
        <row r="115">
          <cell r="A115" t="str">
            <v>2019</v>
          </cell>
          <cell r="B115" t="str">
            <v>作業収入-構内事業   計</v>
          </cell>
          <cell r="C115" t="str">
            <v>Total Client's premises working sales</v>
          </cell>
        </row>
        <row r="116">
          <cell r="A116" t="str">
            <v>2010</v>
          </cell>
          <cell r="B116" t="str">
            <v>作業収入合計</v>
          </cell>
          <cell r="C116" t="str">
            <v>Total working sales</v>
          </cell>
        </row>
        <row r="117">
          <cell r="A117" t="str">
            <v>2041</v>
          </cell>
          <cell r="B117" t="str">
            <v>作業原価-物流事業</v>
          </cell>
          <cell r="C117" t="str">
            <v>Logistics working cost</v>
          </cell>
        </row>
        <row r="118">
          <cell r="A118" t="str">
            <v>2042</v>
          </cell>
          <cell r="B118" t="str">
            <v>作業原価-構内事業</v>
          </cell>
          <cell r="C118" t="str">
            <v>Client's premises working cost</v>
          </cell>
        </row>
        <row r="119">
          <cell r="A119" t="str">
            <v>2043</v>
          </cell>
          <cell r="B119" t="str">
            <v>作業原価-機工事業</v>
          </cell>
          <cell r="C119" t="str">
            <v>Engineering and construnction working cost</v>
          </cell>
        </row>
        <row r="120">
          <cell r="A120" t="str">
            <v>2044</v>
          </cell>
          <cell r="B120" t="str">
            <v>作業原価-建設事業</v>
          </cell>
          <cell r="C120" t="str">
            <v>Civil engineering and construction working cost</v>
          </cell>
        </row>
        <row r="121">
          <cell r="A121" t="str">
            <v>2045</v>
          </cell>
          <cell r="B121" t="str">
            <v>作業原価-その他事業</v>
          </cell>
          <cell r="C121" t="str">
            <v>Other working cost</v>
          </cell>
        </row>
        <row r="122">
          <cell r="A122" t="str">
            <v>2046</v>
          </cell>
          <cell r="B122" t="str">
            <v>作業原価控除/物流</v>
          </cell>
          <cell r="C122" t="str">
            <v>Deduction of logistics working cost</v>
          </cell>
        </row>
        <row r="123">
          <cell r="A123" t="str">
            <v>2047</v>
          </cell>
          <cell r="B123" t="str">
            <v>作業原価控除/構内</v>
          </cell>
          <cell r="C123" t="str">
            <v>Deduction of client's premises working cost</v>
          </cell>
        </row>
        <row r="124">
          <cell r="A124" t="str">
            <v>2048</v>
          </cell>
          <cell r="B124" t="str">
            <v>作業原価控除/機工</v>
          </cell>
          <cell r="C124" t="str">
            <v>Deduction of engineering and construction working cost</v>
          </cell>
        </row>
        <row r="125">
          <cell r="A125" t="str">
            <v>2049</v>
          </cell>
          <cell r="B125" t="str">
            <v>作業原価控除/建設</v>
          </cell>
          <cell r="C125" t="str">
            <v>Deduction of civil enjineering and construction working cost</v>
          </cell>
        </row>
        <row r="126">
          <cell r="A126" t="str">
            <v>204a</v>
          </cell>
          <cell r="B126" t="str">
            <v>作業原価控除/その他</v>
          </cell>
          <cell r="C126" t="str">
            <v>Deduction of other working cost</v>
          </cell>
        </row>
        <row r="127">
          <cell r="A127" t="str">
            <v>204b</v>
          </cell>
          <cell r="B127" t="str">
            <v>作業原価-構内（保全作業）</v>
          </cell>
          <cell r="C127" t="str">
            <v>Client's premises maintenance working cost</v>
          </cell>
        </row>
        <row r="128">
          <cell r="A128" t="str">
            <v>204c</v>
          </cell>
          <cell r="B128" t="str">
            <v>作業原価-構内（構内操業）</v>
          </cell>
          <cell r="C128" t="str">
            <v>Client's premises operating working cost</v>
          </cell>
        </row>
        <row r="129">
          <cell r="A129" t="str">
            <v>204d</v>
          </cell>
          <cell r="B129" t="str">
            <v>作業原価-構内（構内物流）</v>
          </cell>
          <cell r="C129" t="str">
            <v>Client's premises logistics working cost</v>
          </cell>
        </row>
        <row r="130">
          <cell r="A130" t="str">
            <v>204e</v>
          </cell>
          <cell r="B130" t="str">
            <v>作業原価-構内事業   計</v>
          </cell>
          <cell r="C130" t="str">
            <v>Total Client's premises working cost</v>
          </cell>
        </row>
        <row r="131">
          <cell r="A131" t="str">
            <v>2040</v>
          </cell>
          <cell r="B131" t="str">
            <v>作業原価合計</v>
          </cell>
          <cell r="C131" t="str">
            <v>Total working cost</v>
          </cell>
        </row>
        <row r="132">
          <cell r="A132" t="str">
            <v>2060</v>
          </cell>
          <cell r="B132" t="str">
            <v>売上総利益</v>
          </cell>
          <cell r="C132" t="str">
            <v>Gross profit on sales</v>
          </cell>
        </row>
        <row r="133">
          <cell r="A133" t="str">
            <v>2081</v>
          </cell>
          <cell r="B133" t="str">
            <v>役員報酬</v>
          </cell>
          <cell r="C133" t="str">
            <v>Director's salaries and remuneration</v>
          </cell>
        </row>
        <row r="134">
          <cell r="A134" t="str">
            <v>2082</v>
          </cell>
          <cell r="B134" t="str">
            <v>給料</v>
          </cell>
          <cell r="C134" t="str">
            <v>Salaries</v>
          </cell>
        </row>
        <row r="135">
          <cell r="A135" t="str">
            <v>2083</v>
          </cell>
          <cell r="B135" t="str">
            <v>賞与</v>
          </cell>
          <cell r="C135" t="str">
            <v>Bonus</v>
          </cell>
        </row>
        <row r="136">
          <cell r="A136" t="str">
            <v>2085</v>
          </cell>
          <cell r="B136" t="str">
            <v>退職金</v>
          </cell>
          <cell r="C136" t="str">
            <v>Retirement benefit paid</v>
          </cell>
        </row>
        <row r="137">
          <cell r="A137" t="str">
            <v>2086</v>
          </cell>
          <cell r="B137" t="str">
            <v>退職給付引当金繰入額</v>
          </cell>
          <cell r="C137" t="str">
            <v>Additions to reserve for retirement allowance</v>
          </cell>
        </row>
        <row r="138">
          <cell r="A138" t="str">
            <v>2135</v>
          </cell>
          <cell r="B138" t="str">
            <v>役員退職慰労引当金繰入額</v>
          </cell>
          <cell r="C138" t="str">
            <v>Additions to reserve for director's retirement allowance</v>
          </cell>
        </row>
        <row r="139">
          <cell r="A139" t="str">
            <v>2137</v>
          </cell>
          <cell r="B139" t="str">
            <v>年金掛金</v>
          </cell>
          <cell r="C139" t="str">
            <v>annuity contoribution</v>
          </cell>
        </row>
        <row r="140">
          <cell r="A140" t="str">
            <v>2087</v>
          </cell>
          <cell r="B140" t="str">
            <v>法定福利費</v>
          </cell>
          <cell r="C140" t="str">
            <v>Legal welfare expense</v>
          </cell>
        </row>
        <row r="141">
          <cell r="A141" t="str">
            <v>2088</v>
          </cell>
          <cell r="B141" t="str">
            <v>福利厚生費</v>
          </cell>
          <cell r="C141" t="str">
            <v>Welfare expenses</v>
          </cell>
        </row>
        <row r="142">
          <cell r="A142" t="str">
            <v>2089</v>
          </cell>
          <cell r="B142" t="str">
            <v>水道光熱費</v>
          </cell>
          <cell r="C142" t="str">
            <v>Water,light and fuel expenses</v>
          </cell>
        </row>
        <row r="143">
          <cell r="A143" t="str">
            <v>2099</v>
          </cell>
          <cell r="B143" t="str">
            <v>水道光熱費</v>
          </cell>
          <cell r="C143" t="str">
            <v>Water,light and fuel expenses</v>
          </cell>
        </row>
        <row r="144">
          <cell r="A144" t="str">
            <v>2100</v>
          </cell>
          <cell r="B144" t="str">
            <v>事務消耗品費</v>
          </cell>
          <cell r="C144" t="str">
            <v>Office supplies</v>
          </cell>
        </row>
        <row r="145">
          <cell r="A145" t="str">
            <v>2110</v>
          </cell>
          <cell r="B145" t="str">
            <v>修繕費</v>
          </cell>
          <cell r="C145" t="str">
            <v>Repairs expenses</v>
          </cell>
        </row>
        <row r="146">
          <cell r="A146" t="str">
            <v>2120</v>
          </cell>
          <cell r="B146" t="str">
            <v>賃借料</v>
          </cell>
          <cell r="C146" t="str">
            <v xml:space="preserve">Rent fee </v>
          </cell>
        </row>
        <row r="147">
          <cell r="A147" t="str">
            <v>2130</v>
          </cell>
          <cell r="B147" t="str">
            <v>保険料</v>
          </cell>
          <cell r="C147" t="str">
            <v>Insurance premium</v>
          </cell>
        </row>
        <row r="148">
          <cell r="A148" t="str">
            <v>2140</v>
          </cell>
          <cell r="B148" t="str">
            <v>租税公課</v>
          </cell>
          <cell r="C148" t="str">
            <v>Taxes and public dues</v>
          </cell>
        </row>
        <row r="149">
          <cell r="A149" t="str">
            <v>2150</v>
          </cell>
          <cell r="B149" t="str">
            <v>減価償却費</v>
          </cell>
          <cell r="C149" t="str">
            <v>Depreciation expenses</v>
          </cell>
        </row>
        <row r="150">
          <cell r="A150" t="str">
            <v>2160</v>
          </cell>
          <cell r="B150" t="str">
            <v>旅費通信費</v>
          </cell>
          <cell r="C150" t="str">
            <v>Travelling and communication expenses</v>
          </cell>
        </row>
        <row r="151">
          <cell r="A151" t="str">
            <v>2170</v>
          </cell>
          <cell r="B151" t="str">
            <v>交際費</v>
          </cell>
          <cell r="C151" t="str">
            <v>Entertainment expenses</v>
          </cell>
        </row>
        <row r="152">
          <cell r="A152" t="str">
            <v>2180</v>
          </cell>
          <cell r="B152" t="str">
            <v>会議費</v>
          </cell>
          <cell r="C152" t="str">
            <v>Convention expenses</v>
          </cell>
        </row>
        <row r="153">
          <cell r="A153" t="str">
            <v>2190</v>
          </cell>
          <cell r="B153" t="str">
            <v>広告宣伝費</v>
          </cell>
          <cell r="C153" t="str">
            <v>Advertising and general pubulicity expenses</v>
          </cell>
        </row>
        <row r="154">
          <cell r="A154" t="str">
            <v>2200</v>
          </cell>
          <cell r="B154" t="str">
            <v>研究開発費</v>
          </cell>
          <cell r="C154" t="str">
            <v>Reserch and development expenditures</v>
          </cell>
        </row>
        <row r="155">
          <cell r="A155" t="str">
            <v>2210</v>
          </cell>
          <cell r="B155" t="str">
            <v>手数料</v>
          </cell>
          <cell r="C155" t="str">
            <v>Commission</v>
          </cell>
        </row>
        <row r="156">
          <cell r="A156" t="str">
            <v>2215</v>
          </cell>
          <cell r="B156" t="str">
            <v>業務委託費</v>
          </cell>
          <cell r="C156" t="str">
            <v>Operational consignment expenses</v>
          </cell>
        </row>
        <row r="157">
          <cell r="A157" t="str">
            <v>2220</v>
          </cell>
          <cell r="B157" t="str">
            <v>寄付金</v>
          </cell>
          <cell r="C157" t="str">
            <v>Donations</v>
          </cell>
        </row>
        <row r="158">
          <cell r="A158" t="str">
            <v>2230</v>
          </cell>
          <cell r="B158" t="str">
            <v>雑費</v>
          </cell>
          <cell r="C158" t="str">
            <v>Miscellaneous expenses</v>
          </cell>
        </row>
        <row r="159">
          <cell r="A159" t="str">
            <v>2240</v>
          </cell>
          <cell r="B159" t="str">
            <v>貸倒引当金繰入</v>
          </cell>
          <cell r="C159" t="str">
            <v>Additions to reserve for doubtful account</v>
          </cell>
        </row>
        <row r="160">
          <cell r="A160" t="str">
            <v>2250</v>
          </cell>
          <cell r="B160" t="str">
            <v>その他</v>
          </cell>
          <cell r="C160" t="str">
            <v>Others</v>
          </cell>
        </row>
        <row r="161">
          <cell r="A161" t="str">
            <v>2070</v>
          </cell>
          <cell r="B161" t="str">
            <v>販売及び一般管理費計</v>
          </cell>
          <cell r="C161" t="str">
            <v>Total selling,general and administrative expenses</v>
          </cell>
        </row>
        <row r="162">
          <cell r="A162" t="str">
            <v>2300</v>
          </cell>
          <cell r="B162" t="str">
            <v>営業利益</v>
          </cell>
          <cell r="C162" t="str">
            <v>Operating profit</v>
          </cell>
        </row>
        <row r="163">
          <cell r="A163" t="str">
            <v>2400</v>
          </cell>
          <cell r="B163" t="str">
            <v>営業外収益合計</v>
          </cell>
          <cell r="C163" t="str">
            <v>Total non-operating income</v>
          </cell>
        </row>
        <row r="164">
          <cell r="A164" t="str">
            <v>2410</v>
          </cell>
          <cell r="B164" t="str">
            <v>受取利息</v>
          </cell>
          <cell r="C164" t="str">
            <v>Interest earned</v>
          </cell>
        </row>
        <row r="165">
          <cell r="A165" t="str">
            <v>2440</v>
          </cell>
          <cell r="B165" t="str">
            <v>受取配当金</v>
          </cell>
          <cell r="C165" t="str">
            <v>Dividends received</v>
          </cell>
        </row>
        <row r="166">
          <cell r="A166" t="str">
            <v>2443</v>
          </cell>
          <cell r="B166" t="str">
            <v>有価証券売却益</v>
          </cell>
          <cell r="C166" t="str">
            <v>Gain from sale of securities</v>
          </cell>
        </row>
        <row r="167">
          <cell r="A167" t="str">
            <v>2420</v>
          </cell>
          <cell r="B167" t="str">
            <v>受取保険金</v>
          </cell>
          <cell r="C167" t="str">
            <v>Insurance claims received</v>
          </cell>
        </row>
        <row r="168">
          <cell r="A168" t="str">
            <v>2430</v>
          </cell>
          <cell r="B168" t="str">
            <v>受取保険配当金</v>
          </cell>
          <cell r="C168" t="str">
            <v>Insurance claims dividends</v>
          </cell>
        </row>
        <row r="169">
          <cell r="A169" t="str">
            <v>2450</v>
          </cell>
          <cell r="B169" t="str">
            <v>その他の営業外収益</v>
          </cell>
          <cell r="C169" t="str">
            <v>Other non-operating income</v>
          </cell>
        </row>
        <row r="170">
          <cell r="A170" t="str">
            <v>2500</v>
          </cell>
          <cell r="B170" t="str">
            <v>営業外費用合計</v>
          </cell>
          <cell r="C170" t="str">
            <v>Total non-operating expenses</v>
          </cell>
        </row>
        <row r="171">
          <cell r="A171" t="str">
            <v>2510</v>
          </cell>
          <cell r="B171" t="str">
            <v>支払利息･割引料</v>
          </cell>
          <cell r="C171" t="str">
            <v>Interest and debt discount expenses</v>
          </cell>
        </row>
        <row r="172">
          <cell r="A172" t="str">
            <v>2513</v>
          </cell>
          <cell r="B172" t="str">
            <v>有価証券売却損</v>
          </cell>
          <cell r="C172" t="str">
            <v>Loss from sale of securities</v>
          </cell>
        </row>
        <row r="173">
          <cell r="A173" t="str">
            <v>2516</v>
          </cell>
          <cell r="B173" t="str">
            <v>有価証券評価損</v>
          </cell>
          <cell r="C173" t="str">
            <v>Loss from write down of securities</v>
          </cell>
        </row>
        <row r="174">
          <cell r="A174" t="str">
            <v>2520</v>
          </cell>
          <cell r="B174" t="str">
            <v>その他の営業外費用</v>
          </cell>
          <cell r="C174" t="str">
            <v>Other non-operating expenses</v>
          </cell>
        </row>
        <row r="175">
          <cell r="A175" t="str">
            <v>2600</v>
          </cell>
          <cell r="B175" t="str">
            <v>経常利益</v>
          </cell>
          <cell r="C175" t="str">
            <v>Ordinary profit</v>
          </cell>
        </row>
        <row r="176">
          <cell r="A176" t="str">
            <v>2700</v>
          </cell>
          <cell r="B176" t="str">
            <v>特別利益合計</v>
          </cell>
          <cell r="C176" t="str">
            <v>Total extraordinary credits</v>
          </cell>
        </row>
        <row r="177">
          <cell r="A177" t="str">
            <v>2711</v>
          </cell>
          <cell r="B177" t="str">
            <v>固定資産売却益(建物・構築物)</v>
          </cell>
          <cell r="C177" t="str">
            <v>Gain from sale of fixed assets(Buildings &amp; Structures)</v>
          </cell>
        </row>
        <row r="178">
          <cell r="A178" t="str">
            <v>2712</v>
          </cell>
          <cell r="B178" t="str">
            <v>固定資産売却益(土地)</v>
          </cell>
          <cell r="C178" t="str">
            <v>Gain from sale of fixed assets(Land)</v>
          </cell>
        </row>
        <row r="179">
          <cell r="A179" t="str">
            <v>2713</v>
          </cell>
          <cell r="B179" t="str">
            <v>固定資産売却益(その他)</v>
          </cell>
          <cell r="C179" t="str">
            <v>Gain from sale of fixed assets(Others)</v>
          </cell>
        </row>
        <row r="180">
          <cell r="A180" t="str">
            <v>2720</v>
          </cell>
          <cell r="B180" t="str">
            <v>前期損益修正益</v>
          </cell>
          <cell r="C180" t="str">
            <v>Gain from prior period adjustment</v>
          </cell>
        </row>
        <row r="181">
          <cell r="A181" t="str">
            <v>2723</v>
          </cell>
          <cell r="B181" t="str">
            <v>投資有価証券売却益</v>
          </cell>
          <cell r="C181" t="str">
            <v>Gain from sale of Investment securities</v>
          </cell>
        </row>
        <row r="182">
          <cell r="A182" t="str">
            <v>2730</v>
          </cell>
          <cell r="B182" t="str">
            <v>その他の特別利益</v>
          </cell>
          <cell r="C182" t="str">
            <v>Other extraordinary credits</v>
          </cell>
        </row>
        <row r="183">
          <cell r="A183" t="str">
            <v>2800</v>
          </cell>
          <cell r="B183" t="str">
            <v>特別損失合計</v>
          </cell>
          <cell r="C183" t="str">
            <v>Total extraordinary charges</v>
          </cell>
        </row>
        <row r="184">
          <cell r="A184" t="str">
            <v>2811</v>
          </cell>
          <cell r="B184" t="str">
            <v>固定資産売却損(建物・構築物)</v>
          </cell>
          <cell r="C184" t="str">
            <v>Loss from sale of fixed assets(Buildings &amp; Structures)</v>
          </cell>
        </row>
        <row r="185">
          <cell r="A185" t="str">
            <v>2812</v>
          </cell>
          <cell r="B185" t="str">
            <v>固定資産売却損(土地)</v>
          </cell>
          <cell r="C185" t="str">
            <v>Loss from sale of fixed assets(Land)</v>
          </cell>
        </row>
        <row r="186">
          <cell r="A186" t="str">
            <v>2814</v>
          </cell>
          <cell r="B186" t="str">
            <v>固定資産売却損(機械装置)</v>
          </cell>
          <cell r="C186" t="str">
            <v>Loss from sale of fixed assets(Machinery)</v>
          </cell>
        </row>
        <row r="187">
          <cell r="A187" t="str">
            <v>2813</v>
          </cell>
          <cell r="B187" t="str">
            <v>固定資産売却損(その他)</v>
          </cell>
          <cell r="C187" t="str">
            <v>Loss from sale of fixed assets(Others)</v>
          </cell>
        </row>
        <row r="188">
          <cell r="A188" t="str">
            <v>2820</v>
          </cell>
          <cell r="B188" t="str">
            <v>前期損益修正損</v>
          </cell>
          <cell r="C188" t="str">
            <v>Loss from prior period adjustment</v>
          </cell>
        </row>
        <row r="189">
          <cell r="A189" t="str">
            <v>2823</v>
          </cell>
          <cell r="B189" t="str">
            <v>投資有価証券売却損</v>
          </cell>
          <cell r="C189" t="str">
            <v>Loss from sale of Investment securities</v>
          </cell>
        </row>
        <row r="190">
          <cell r="A190" t="str">
            <v>2826</v>
          </cell>
          <cell r="B190" t="str">
            <v>投資有価証券評価損</v>
          </cell>
          <cell r="C190" t="str">
            <v>Loss from write down of Investment securities</v>
          </cell>
        </row>
        <row r="191">
          <cell r="A191" t="str">
            <v>2830</v>
          </cell>
          <cell r="B191" t="str">
            <v>その他の特別損失</v>
          </cell>
          <cell r="C191" t="str">
            <v>Other extraordinary charges</v>
          </cell>
        </row>
        <row r="192">
          <cell r="A192" t="str">
            <v>2570</v>
          </cell>
          <cell r="B192" t="str">
            <v>過去勤務債務の償却</v>
          </cell>
        </row>
        <row r="193">
          <cell r="A193" t="str">
            <v>2580</v>
          </cell>
          <cell r="B193" t="str">
            <v>役員退職慰労金</v>
          </cell>
        </row>
        <row r="194">
          <cell r="A194" t="str">
            <v>2590</v>
          </cell>
          <cell r="B194" t="str">
            <v>その他の特別損失</v>
          </cell>
        </row>
        <row r="195">
          <cell r="A195" t="str">
            <v>2600</v>
          </cell>
          <cell r="B195" t="str">
            <v>為替換算調整勘定(P/L)</v>
          </cell>
        </row>
        <row r="196">
          <cell r="A196" t="str">
            <v>2900</v>
          </cell>
          <cell r="B196" t="str">
            <v>税金等調整前当期利益</v>
          </cell>
          <cell r="C196" t="str">
            <v>Profit before taxation</v>
          </cell>
        </row>
        <row r="197">
          <cell r="A197" t="str">
            <v>3000</v>
          </cell>
          <cell r="B197" t="str">
            <v>法人税等</v>
          </cell>
          <cell r="C197" t="str">
            <v>Taxation</v>
          </cell>
        </row>
        <row r="198">
          <cell r="A198" t="str">
            <v>3050</v>
          </cell>
          <cell r="B198" t="str">
            <v>法人税等調整額</v>
          </cell>
          <cell r="C198" t="str">
            <v>Adjustment of taxation</v>
          </cell>
        </row>
        <row r="199">
          <cell r="A199" t="str">
            <v>2701</v>
          </cell>
          <cell r="B199" t="str">
            <v>法人税等－当期</v>
          </cell>
          <cell r="C199" t="str">
            <v>Taxation</v>
          </cell>
        </row>
        <row r="200">
          <cell r="A200" t="str">
            <v>2702</v>
          </cell>
          <cell r="B200" t="str">
            <v>法人税等－繰延</v>
          </cell>
        </row>
        <row r="201">
          <cell r="A201" t="str">
            <v>2710</v>
          </cell>
          <cell r="B201" t="str">
            <v>税効果当期配分額</v>
          </cell>
        </row>
        <row r="202">
          <cell r="A202" t="str">
            <v>2720</v>
          </cell>
          <cell r="B202" t="str">
            <v>少数株主持分利益</v>
          </cell>
        </row>
        <row r="203">
          <cell r="A203" t="str">
            <v>2785</v>
          </cell>
          <cell r="B203" t="str">
            <v>連結調整勘定償却</v>
          </cell>
        </row>
        <row r="204">
          <cell r="A204" t="str">
            <v>2786</v>
          </cell>
          <cell r="B204" t="str">
            <v>持分法による投資損益</v>
          </cell>
        </row>
        <row r="205">
          <cell r="A205" t="str">
            <v>2787</v>
          </cell>
          <cell r="B205" t="str">
            <v>ｾｸﾞﾒﾝﾄ振替勘定</v>
          </cell>
        </row>
        <row r="206">
          <cell r="A206" t="str">
            <v>3600</v>
          </cell>
          <cell r="B206" t="str">
            <v>当期利益</v>
          </cell>
          <cell r="C206" t="str">
            <v>Net income</v>
          </cell>
        </row>
        <row r="207">
          <cell r="A207" t="str">
            <v>3500</v>
          </cell>
          <cell r="B207" t="str">
            <v>当期純利益</v>
          </cell>
          <cell r="C207" t="str">
            <v>Net profit after taxation</v>
          </cell>
        </row>
        <row r="208">
          <cell r="A208" t="str">
            <v>3010</v>
          </cell>
          <cell r="B208" t="str">
            <v>その他の剰余金(期首残高)</v>
          </cell>
        </row>
        <row r="209">
          <cell r="A209" t="str">
            <v>3020</v>
          </cell>
          <cell r="B209" t="str">
            <v>その他の剰余金(増加高)</v>
          </cell>
        </row>
        <row r="210">
          <cell r="A210" t="str">
            <v>3029</v>
          </cell>
          <cell r="B210" t="str">
            <v>他剰余増－その他</v>
          </cell>
        </row>
        <row r="211">
          <cell r="A211" t="str">
            <v>3030</v>
          </cell>
          <cell r="B211" t="str">
            <v>その他の剰余金(減少高)</v>
          </cell>
        </row>
        <row r="212">
          <cell r="A212" t="str">
            <v>3031</v>
          </cell>
          <cell r="B212" t="str">
            <v>他剰余減－現金配当</v>
          </cell>
        </row>
        <row r="213">
          <cell r="A213" t="str">
            <v>3032</v>
          </cell>
          <cell r="B213" t="str">
            <v>他剰余減－株式配当</v>
          </cell>
        </row>
        <row r="214">
          <cell r="A214" t="str">
            <v>3033</v>
          </cell>
          <cell r="B214" t="str">
            <v>他剰余減－資本組入</v>
          </cell>
        </row>
        <row r="215">
          <cell r="A215" t="str">
            <v>3034</v>
          </cell>
          <cell r="B215" t="str">
            <v>他剰余減－利益準備金繰入</v>
          </cell>
        </row>
        <row r="216">
          <cell r="A216" t="str">
            <v>3035</v>
          </cell>
          <cell r="B216" t="str">
            <v>他剰余減－役員賞与</v>
          </cell>
        </row>
        <row r="217">
          <cell r="A217" t="str">
            <v>3036</v>
          </cell>
          <cell r="B217" t="str">
            <v>他剰余減－連結除外</v>
          </cell>
        </row>
        <row r="218">
          <cell r="A218" t="str">
            <v>3039</v>
          </cell>
          <cell r="B218" t="str">
            <v>他剰余減－その他</v>
          </cell>
        </row>
        <row r="219">
          <cell r="A219" t="str">
            <v>3040</v>
          </cell>
          <cell r="B219" t="str">
            <v>為替換算調整勘定(S/S)</v>
          </cell>
        </row>
        <row r="220">
          <cell r="A220" t="str">
            <v>3050</v>
          </cell>
          <cell r="B220" t="str">
            <v>その他の剰余金(期末残高)</v>
          </cell>
        </row>
        <row r="221">
          <cell r="A221" t="str">
            <v>7010</v>
          </cell>
          <cell r="B221" t="str">
            <v>売上高－その他－日本宛</v>
          </cell>
        </row>
        <row r="222">
          <cell r="A222" t="str">
            <v>7020</v>
          </cell>
          <cell r="B222" t="str">
            <v>売上高－その他－北米宛</v>
          </cell>
        </row>
        <row r="223">
          <cell r="A223" t="str">
            <v>7030</v>
          </cell>
          <cell r="B223" t="str">
            <v>売上高－その他－東南ｱｼﾞｱ宛</v>
          </cell>
        </row>
        <row r="224">
          <cell r="A224" t="str">
            <v>7040</v>
          </cell>
          <cell r="B224" t="str">
            <v>売上高－その他－欧州宛</v>
          </cell>
        </row>
        <row r="225">
          <cell r="A225" t="str">
            <v>7050</v>
          </cell>
          <cell r="B225" t="str">
            <v>売上高－その他－その他宛</v>
          </cell>
        </row>
        <row r="226">
          <cell r="A226" t="str">
            <v>7600</v>
          </cell>
          <cell r="B226" t="str">
            <v>人件費</v>
          </cell>
        </row>
        <row r="227">
          <cell r="A227" t="str">
            <v>8050</v>
          </cell>
          <cell r="B227" t="str">
            <v>換算資本金</v>
          </cell>
        </row>
        <row r="228">
          <cell r="A228" t="str">
            <v>8060</v>
          </cell>
          <cell r="B228" t="str">
            <v>換算資本準備金</v>
          </cell>
        </row>
        <row r="229">
          <cell r="A229" t="str">
            <v>8070</v>
          </cell>
          <cell r="B229" t="str">
            <v>換算利益準備金</v>
          </cell>
        </row>
        <row r="230">
          <cell r="A230" t="str">
            <v>8080</v>
          </cell>
          <cell r="B230" t="str">
            <v>換算長期貸付金</v>
          </cell>
        </row>
        <row r="231">
          <cell r="A231" t="str">
            <v>8090</v>
          </cell>
          <cell r="B231" t="str">
            <v>換算現金配当</v>
          </cell>
        </row>
        <row r="232">
          <cell r="A232" t="str">
            <v>8100</v>
          </cell>
          <cell r="B232" t="str">
            <v>換算関係会社株式</v>
          </cell>
        </row>
        <row r="233">
          <cell r="A233" t="str">
            <v>8110</v>
          </cell>
          <cell r="B233" t="str">
            <v>持分比率</v>
          </cell>
        </row>
        <row r="234">
          <cell r="A234" t="str">
            <v>9100</v>
          </cell>
          <cell r="B234" t="str">
            <v>資本金(B/S)</v>
          </cell>
        </row>
        <row r="235">
          <cell r="A235" t="str">
            <v>9110</v>
          </cell>
          <cell r="B235" t="str">
            <v>資本剰余金(B/S)</v>
          </cell>
        </row>
        <row r="236">
          <cell r="A236" t="str">
            <v>9120</v>
          </cell>
          <cell r="B236" t="str">
            <v>利益準備金(B/S)</v>
          </cell>
        </row>
        <row r="237">
          <cell r="A237" t="str">
            <v>9130</v>
          </cell>
          <cell r="B237" t="str">
            <v>剰余金資本繰入額(S/S)</v>
          </cell>
        </row>
        <row r="238">
          <cell r="A238" t="str">
            <v>9140</v>
          </cell>
          <cell r="B238" t="str">
            <v>利益準備金繰入)(S/S)</v>
          </cell>
        </row>
        <row r="239">
          <cell r="A239" t="str">
            <v>9150</v>
          </cell>
          <cell r="B239" t="str">
            <v>現金配当金(S/S)</v>
          </cell>
          <cell r="C239" t="str">
            <v>Cash dividended</v>
          </cell>
        </row>
        <row r="240">
          <cell r="A240" t="str">
            <v>9160</v>
          </cell>
          <cell r="B240" t="str">
            <v>役員賞与(S/S)</v>
          </cell>
          <cell r="C240" t="str">
            <v>Director's houses</v>
          </cell>
        </row>
        <row r="241">
          <cell r="A241" t="str">
            <v>9170</v>
          </cell>
          <cell r="B241" t="str">
            <v>株式配当(S/S)</v>
          </cell>
          <cell r="C241" t="str">
            <v>Stock dividend</v>
          </cell>
        </row>
        <row r="242">
          <cell r="A242" t="str">
            <v>9180</v>
          </cell>
          <cell r="B242" t="str">
            <v>その他の剰余金増加(S/S)</v>
          </cell>
          <cell r="C242" t="str">
            <v>Other dividend</v>
          </cell>
        </row>
        <row r="243">
          <cell r="A243" t="str">
            <v>9190</v>
          </cell>
          <cell r="B243" t="str">
            <v>連結除外による剰余金減少(S/)</v>
          </cell>
        </row>
        <row r="244">
          <cell r="A244" t="str">
            <v>9200</v>
          </cell>
          <cell r="B244" t="str">
            <v>為替換算調整(S/S)</v>
          </cell>
        </row>
        <row r="245">
          <cell r="A245" t="str">
            <v>9210</v>
          </cell>
          <cell r="B245" t="str">
            <v>為替換算調整(B/S)</v>
          </cell>
        </row>
        <row r="246">
          <cell r="A246" t="str">
            <v>9220</v>
          </cell>
          <cell r="B246" t="str">
            <v>少数株主持分</v>
          </cell>
        </row>
        <row r="247">
          <cell r="A247" t="str">
            <v>9230</v>
          </cell>
          <cell r="B247" t="str">
            <v>投資株式</v>
          </cell>
        </row>
        <row r="248">
          <cell r="A248" t="str">
            <v>9240</v>
          </cell>
          <cell r="B248" t="str">
            <v>連結調整勘定</v>
          </cell>
        </row>
        <row r="249">
          <cell r="A249" t="str">
            <v>9250</v>
          </cell>
          <cell r="B249" t="str">
            <v>連結調整勘定償却</v>
          </cell>
        </row>
        <row r="250">
          <cell r="A250" t="str">
            <v>9260</v>
          </cell>
          <cell r="B250" t="str">
            <v>その他の剰余金(期首）</v>
          </cell>
        </row>
        <row r="251">
          <cell r="A251" t="str">
            <v>9270</v>
          </cell>
          <cell r="B251" t="str">
            <v>受取配当金</v>
          </cell>
        </row>
        <row r="252">
          <cell r="A252" t="str">
            <v>9280</v>
          </cell>
          <cell r="B252" t="str">
            <v>少数株主持分損益</v>
          </cell>
        </row>
        <row r="253">
          <cell r="A253" t="str">
            <v>9290</v>
          </cell>
          <cell r="B253" t="str">
            <v>有価証券売却損益</v>
          </cell>
        </row>
        <row r="254">
          <cell r="A254" t="str">
            <v>9300</v>
          </cell>
          <cell r="B254" t="str">
            <v>連結調整勘定償却額当年度分</v>
          </cell>
        </row>
        <row r="255">
          <cell r="A255" t="str">
            <v>a010</v>
          </cell>
          <cell r="B255" t="str">
            <v>定期預金等期首残高</v>
          </cell>
        </row>
        <row r="256">
          <cell r="A256" t="str">
            <v>a020</v>
          </cell>
          <cell r="B256" t="str">
            <v>定期預金等預入</v>
          </cell>
        </row>
        <row r="257">
          <cell r="A257" t="str">
            <v>a030</v>
          </cell>
          <cell r="B257" t="str">
            <v>定期預金等その他増加</v>
          </cell>
        </row>
        <row r="258">
          <cell r="A258" t="str">
            <v>a040</v>
          </cell>
          <cell r="B258" t="str">
            <v>定期預金等払戻</v>
          </cell>
        </row>
        <row r="259">
          <cell r="A259" t="str">
            <v>a050</v>
          </cell>
          <cell r="B259" t="str">
            <v>定期預金等その他減少</v>
          </cell>
        </row>
        <row r="260">
          <cell r="A260" t="str">
            <v>a060</v>
          </cell>
          <cell r="B260" t="str">
            <v>定期預金等Ｔ／Ａ</v>
          </cell>
        </row>
        <row r="261">
          <cell r="A261" t="str">
            <v>a070</v>
          </cell>
          <cell r="B261" t="str">
            <v>定期預金等期末残高</v>
          </cell>
        </row>
        <row r="262">
          <cell r="A262" t="str">
            <v>a080</v>
          </cell>
          <cell r="B262" t="str">
            <v>有価証券期首残高</v>
          </cell>
        </row>
        <row r="263">
          <cell r="A263" t="str">
            <v>a090</v>
          </cell>
          <cell r="B263" t="str">
            <v>有価証券取得</v>
          </cell>
        </row>
        <row r="264">
          <cell r="A264" t="str">
            <v>a100</v>
          </cell>
          <cell r="B264" t="str">
            <v>有価証券その他増加</v>
          </cell>
        </row>
        <row r="265">
          <cell r="A265" t="str">
            <v>a110</v>
          </cell>
          <cell r="B265" t="str">
            <v>有価証券売却簿価</v>
          </cell>
        </row>
        <row r="266">
          <cell r="A266" t="str">
            <v>a120</v>
          </cell>
          <cell r="B266" t="str">
            <v>有価証券評価損</v>
          </cell>
        </row>
        <row r="267">
          <cell r="A267" t="str">
            <v>a130</v>
          </cell>
          <cell r="B267" t="str">
            <v>有価証券その他減少</v>
          </cell>
        </row>
        <row r="268">
          <cell r="A268" t="str">
            <v>a140</v>
          </cell>
          <cell r="B268" t="str">
            <v>有価証券Ｔ／Ａ</v>
          </cell>
        </row>
        <row r="269">
          <cell r="A269" t="str">
            <v>a150</v>
          </cell>
          <cell r="B269" t="str">
            <v>有価証券期末残高</v>
          </cell>
        </row>
        <row r="270">
          <cell r="A270" t="str">
            <v>a160</v>
          </cell>
          <cell r="B270" t="str">
            <v>有価証券売却損益</v>
          </cell>
          <cell r="C270" t="str">
            <v>Gain and loss from sale of securities</v>
          </cell>
        </row>
        <row r="271">
          <cell r="A271" t="str">
            <v>a170</v>
          </cell>
          <cell r="B271" t="str">
            <v>自己株式期首残高</v>
          </cell>
        </row>
        <row r="272">
          <cell r="A272" t="str">
            <v>a180</v>
          </cell>
          <cell r="B272" t="str">
            <v>自己株式取得</v>
          </cell>
        </row>
        <row r="273">
          <cell r="A273" t="str">
            <v>a185</v>
          </cell>
          <cell r="B273" t="str">
            <v>自己株式単位未満株式純増減</v>
          </cell>
        </row>
        <row r="274">
          <cell r="A274" t="str">
            <v>a190</v>
          </cell>
          <cell r="B274" t="str">
            <v>自己株式その他増加</v>
          </cell>
        </row>
        <row r="275">
          <cell r="A275" t="str">
            <v>a200</v>
          </cell>
          <cell r="B275" t="str">
            <v>自己株式売却簿価</v>
          </cell>
        </row>
        <row r="276">
          <cell r="A276" t="str">
            <v>a205</v>
          </cell>
          <cell r="B276" t="str">
            <v>自己株式消却</v>
          </cell>
        </row>
        <row r="277">
          <cell r="A277" t="str">
            <v>a210</v>
          </cell>
          <cell r="B277" t="str">
            <v>自己株式評価損</v>
          </cell>
        </row>
        <row r="278">
          <cell r="A278" t="str">
            <v>a220</v>
          </cell>
          <cell r="B278" t="str">
            <v>自己株式その他減少</v>
          </cell>
        </row>
        <row r="279">
          <cell r="A279" t="str">
            <v>a230</v>
          </cell>
          <cell r="B279" t="str">
            <v>自己株式Ｔ／Ａ</v>
          </cell>
        </row>
        <row r="280">
          <cell r="A280" t="str">
            <v>a240</v>
          </cell>
          <cell r="B280" t="str">
            <v>自己株式期末残高</v>
          </cell>
        </row>
        <row r="281">
          <cell r="A281" t="str">
            <v>a250</v>
          </cell>
          <cell r="B281" t="str">
            <v>自己株式売却損益</v>
          </cell>
        </row>
        <row r="282">
          <cell r="A282" t="str">
            <v>a161</v>
          </cell>
          <cell r="B282" t="str">
            <v>短期貸付金期首残高</v>
          </cell>
        </row>
        <row r="283">
          <cell r="A283" t="str">
            <v>a162</v>
          </cell>
          <cell r="B283" t="str">
            <v>短期貸付金貸付</v>
          </cell>
        </row>
        <row r="284">
          <cell r="A284" t="str">
            <v>a163</v>
          </cell>
          <cell r="B284" t="str">
            <v>短期貸付金その他増加</v>
          </cell>
        </row>
        <row r="285">
          <cell r="A285" t="str">
            <v>a164</v>
          </cell>
          <cell r="B285" t="str">
            <v>短期貸付金回収</v>
          </cell>
        </row>
        <row r="286">
          <cell r="A286" t="str">
            <v>a165</v>
          </cell>
          <cell r="B286" t="str">
            <v>短期貸付金その他減少</v>
          </cell>
        </row>
        <row r="287">
          <cell r="A287" t="str">
            <v>a166</v>
          </cell>
          <cell r="B287" t="str">
            <v>短期貸付金Ｔ／Ａ</v>
          </cell>
        </row>
        <row r="288">
          <cell r="A288" t="str">
            <v>a167</v>
          </cell>
          <cell r="B288" t="str">
            <v>短期貸付金期末残高</v>
          </cell>
        </row>
        <row r="289">
          <cell r="A289" t="str">
            <v>a260</v>
          </cell>
          <cell r="B289" t="str">
            <v>有形固定資産期首残高</v>
          </cell>
        </row>
        <row r="290">
          <cell r="A290" t="str">
            <v>a270</v>
          </cell>
          <cell r="B290" t="str">
            <v>有形固定資産取得</v>
          </cell>
        </row>
        <row r="291">
          <cell r="A291" t="str">
            <v>a280</v>
          </cell>
          <cell r="B291" t="str">
            <v>有形固定資産その他増加</v>
          </cell>
        </row>
        <row r="292">
          <cell r="A292" t="str">
            <v>a290</v>
          </cell>
          <cell r="B292" t="str">
            <v>有形固定資産償却費計上</v>
          </cell>
        </row>
        <row r="293">
          <cell r="A293" t="str">
            <v>a300</v>
          </cell>
          <cell r="B293" t="str">
            <v>有形固定資産除却簿価</v>
          </cell>
        </row>
        <row r="294">
          <cell r="A294" t="str">
            <v>a310</v>
          </cell>
          <cell r="B294" t="str">
            <v>有形固定資産売却簿価</v>
          </cell>
        </row>
        <row r="295">
          <cell r="A295" t="str">
            <v>a320</v>
          </cell>
          <cell r="B295" t="str">
            <v>有形固定資産その他減少</v>
          </cell>
        </row>
        <row r="296">
          <cell r="A296" t="str">
            <v>a330</v>
          </cell>
          <cell r="B296" t="str">
            <v>有形固定資産Ｔ／Ａ</v>
          </cell>
        </row>
        <row r="297">
          <cell r="A297" t="str">
            <v>a340</v>
          </cell>
          <cell r="B297" t="str">
            <v>有形固定資産期末残高</v>
          </cell>
        </row>
        <row r="298">
          <cell r="A298" t="str">
            <v>a350</v>
          </cell>
          <cell r="B298" t="str">
            <v>有形固定資産売却損益</v>
          </cell>
        </row>
        <row r="299">
          <cell r="A299" t="str">
            <v>a360</v>
          </cell>
          <cell r="B299" t="str">
            <v>無形固定資産期首残高</v>
          </cell>
        </row>
        <row r="300">
          <cell r="A300" t="str">
            <v>a370</v>
          </cell>
          <cell r="B300" t="str">
            <v>無形固定資産取得</v>
          </cell>
        </row>
        <row r="301">
          <cell r="A301" t="str">
            <v>a380</v>
          </cell>
          <cell r="B301" t="str">
            <v>無形固定資産その他増加</v>
          </cell>
        </row>
        <row r="302">
          <cell r="A302" t="str">
            <v>a390</v>
          </cell>
          <cell r="B302" t="str">
            <v>無形固定資産償却費計上</v>
          </cell>
        </row>
        <row r="303">
          <cell r="A303" t="str">
            <v>a400</v>
          </cell>
          <cell r="B303" t="str">
            <v>無形固定資産除却簿価</v>
          </cell>
        </row>
        <row r="304">
          <cell r="A304" t="str">
            <v>a410</v>
          </cell>
          <cell r="B304" t="str">
            <v>無形固定資産売却簿価</v>
          </cell>
        </row>
        <row r="305">
          <cell r="A305" t="str">
            <v>a420</v>
          </cell>
          <cell r="B305" t="str">
            <v>無形固定資産その他減少</v>
          </cell>
        </row>
        <row r="306">
          <cell r="A306" t="str">
            <v>a430</v>
          </cell>
          <cell r="B306" t="str">
            <v>無形固定資産Ｔ／Ａ</v>
          </cell>
        </row>
        <row r="307">
          <cell r="A307" t="str">
            <v>a440</v>
          </cell>
          <cell r="B307" t="str">
            <v>無形固定資産期末残高</v>
          </cell>
        </row>
        <row r="308">
          <cell r="A308" t="str">
            <v>a450</v>
          </cell>
          <cell r="B308" t="str">
            <v>無形固定資産売却損益</v>
          </cell>
        </row>
        <row r="309">
          <cell r="A309" t="str">
            <v>a451</v>
          </cell>
          <cell r="B309" t="str">
            <v>差入保証金期首残高</v>
          </cell>
        </row>
        <row r="310">
          <cell r="A310" t="str">
            <v>a452</v>
          </cell>
          <cell r="B310" t="str">
            <v>差入保証金払込</v>
          </cell>
        </row>
        <row r="311">
          <cell r="A311" t="str">
            <v>a453</v>
          </cell>
          <cell r="B311" t="str">
            <v>差入保証金その他増加</v>
          </cell>
        </row>
        <row r="312">
          <cell r="A312" t="str">
            <v>a454</v>
          </cell>
          <cell r="B312" t="str">
            <v>差入保証金回収</v>
          </cell>
        </row>
        <row r="313">
          <cell r="A313" t="str">
            <v>a455</v>
          </cell>
          <cell r="B313" t="str">
            <v>差入保証金その他減少</v>
          </cell>
        </row>
        <row r="314">
          <cell r="A314" t="str">
            <v>a456</v>
          </cell>
          <cell r="B314" t="str">
            <v>差入保証金Ｔ／Ａ</v>
          </cell>
        </row>
        <row r="315">
          <cell r="A315" t="str">
            <v>a457</v>
          </cell>
          <cell r="B315" t="str">
            <v>差入保証金期末残高</v>
          </cell>
        </row>
        <row r="316">
          <cell r="A316" t="str">
            <v>a460</v>
          </cell>
          <cell r="B316" t="str">
            <v>投資有価証券期首残高</v>
          </cell>
        </row>
        <row r="317">
          <cell r="A317" t="str">
            <v>a470</v>
          </cell>
          <cell r="B317" t="str">
            <v>投資有価証券取得</v>
          </cell>
        </row>
        <row r="318">
          <cell r="A318" t="str">
            <v>a475</v>
          </cell>
          <cell r="B318" t="str">
            <v>投資有価証券関係から振替</v>
          </cell>
        </row>
        <row r="319">
          <cell r="A319" t="str">
            <v>a480</v>
          </cell>
          <cell r="B319" t="str">
            <v>投資有価証券その他増加</v>
          </cell>
        </row>
        <row r="320">
          <cell r="A320" t="str">
            <v>a490</v>
          </cell>
          <cell r="B320" t="str">
            <v>投資有価証券売却簿価</v>
          </cell>
        </row>
        <row r="321">
          <cell r="A321" t="str">
            <v>a495</v>
          </cell>
          <cell r="B321" t="str">
            <v>投資有価証券連結へ振替</v>
          </cell>
        </row>
        <row r="322">
          <cell r="A322" t="str">
            <v>a496</v>
          </cell>
          <cell r="B322" t="str">
            <v>投資有価証券関連へ振替</v>
          </cell>
        </row>
        <row r="323">
          <cell r="A323" t="str">
            <v>a500</v>
          </cell>
          <cell r="B323" t="str">
            <v>投資有価証券評価損</v>
          </cell>
          <cell r="C323" t="str">
            <v>Loss from sale of write-down of investment securities</v>
          </cell>
        </row>
        <row r="324">
          <cell r="A324" t="str">
            <v>a510</v>
          </cell>
          <cell r="B324" t="str">
            <v>投資有価証券その他減少</v>
          </cell>
        </row>
        <row r="325">
          <cell r="A325" t="str">
            <v>a520</v>
          </cell>
          <cell r="B325" t="str">
            <v>投資有価証券Ｔ／Ａ</v>
          </cell>
        </row>
        <row r="326">
          <cell r="A326" t="str">
            <v>a530</v>
          </cell>
          <cell r="B326" t="str">
            <v>投資有価証券期末残高</v>
          </cell>
        </row>
        <row r="327">
          <cell r="A327" t="str">
            <v>a540</v>
          </cell>
          <cell r="B327" t="str">
            <v>投資有価証券売却損益</v>
          </cell>
          <cell r="C327" t="str">
            <v>Gain and loss from sale of investment securities</v>
          </cell>
        </row>
        <row r="328">
          <cell r="A328" t="str">
            <v>a541</v>
          </cell>
          <cell r="B328" t="str">
            <v>その他の投資期首残高</v>
          </cell>
        </row>
        <row r="329">
          <cell r="A329" t="str">
            <v>a542</v>
          </cell>
          <cell r="B329" t="str">
            <v>その他の投資増加</v>
          </cell>
        </row>
        <row r="330">
          <cell r="A330" t="str">
            <v>a543</v>
          </cell>
          <cell r="B330" t="str">
            <v>その他の投資その他増加</v>
          </cell>
        </row>
        <row r="331">
          <cell r="A331" t="str">
            <v>a544</v>
          </cell>
          <cell r="B331" t="str">
            <v>その他の投資減少</v>
          </cell>
        </row>
        <row r="332">
          <cell r="A332" t="str">
            <v>a545</v>
          </cell>
          <cell r="B332" t="str">
            <v>その他の投資その他減少</v>
          </cell>
        </row>
        <row r="333">
          <cell r="A333" t="str">
            <v>a546</v>
          </cell>
          <cell r="B333" t="str">
            <v>その他の投資Ｔ／Ａ</v>
          </cell>
        </row>
        <row r="334">
          <cell r="A334" t="str">
            <v>a547</v>
          </cell>
          <cell r="B334" t="str">
            <v>その他の投資期末残高</v>
          </cell>
        </row>
        <row r="335">
          <cell r="A335" t="str">
            <v>a550</v>
          </cell>
          <cell r="B335" t="str">
            <v>連結会社株式期首残高</v>
          </cell>
        </row>
        <row r="336">
          <cell r="A336" t="str">
            <v>a560</v>
          </cell>
          <cell r="B336" t="str">
            <v>連結会社株式取得</v>
          </cell>
        </row>
        <row r="337">
          <cell r="A337" t="str">
            <v>a565</v>
          </cell>
          <cell r="B337" t="str">
            <v>連結会社株式関係から振替</v>
          </cell>
        </row>
        <row r="338">
          <cell r="A338" t="str">
            <v>a566</v>
          </cell>
          <cell r="B338" t="str">
            <v>連結会社株式投資から振替</v>
          </cell>
        </row>
        <row r="339">
          <cell r="A339" t="str">
            <v>a570</v>
          </cell>
          <cell r="B339" t="str">
            <v>連結会社株式その他増加</v>
          </cell>
        </row>
        <row r="340">
          <cell r="A340" t="str">
            <v>a580</v>
          </cell>
          <cell r="B340" t="str">
            <v>連結会社株式売却簿価</v>
          </cell>
        </row>
        <row r="341">
          <cell r="A341" t="str">
            <v>a585</v>
          </cell>
          <cell r="B341" t="str">
            <v>連結会社株式関係へ振替減</v>
          </cell>
        </row>
        <row r="342">
          <cell r="A342" t="str">
            <v>a586</v>
          </cell>
          <cell r="B342" t="str">
            <v>連結会社株式投資へ振替減</v>
          </cell>
        </row>
        <row r="343">
          <cell r="A343" t="str">
            <v>a590</v>
          </cell>
          <cell r="B343" t="str">
            <v>連結会社株式評価損</v>
          </cell>
        </row>
        <row r="344">
          <cell r="A344" t="str">
            <v>a600</v>
          </cell>
          <cell r="B344" t="str">
            <v>連結会社株式その他減少</v>
          </cell>
        </row>
        <row r="345">
          <cell r="A345" t="str">
            <v>a610</v>
          </cell>
          <cell r="B345" t="str">
            <v>連結会社株式Ｔ／Ａ</v>
          </cell>
        </row>
        <row r="346">
          <cell r="A346" t="str">
            <v>a620</v>
          </cell>
          <cell r="B346" t="str">
            <v>連結会社株式期末残高</v>
          </cell>
        </row>
        <row r="347">
          <cell r="A347" t="str">
            <v>a630</v>
          </cell>
          <cell r="B347" t="str">
            <v>連結会社株式売却損益</v>
          </cell>
        </row>
        <row r="348">
          <cell r="A348" t="str">
            <v>a640</v>
          </cell>
          <cell r="B348" t="str">
            <v>関連会社株式期首残高</v>
          </cell>
        </row>
        <row r="349">
          <cell r="A349" t="str">
            <v>a650</v>
          </cell>
          <cell r="B349" t="str">
            <v>関連会社株式取得</v>
          </cell>
        </row>
        <row r="350">
          <cell r="A350" t="str">
            <v>a655</v>
          </cell>
          <cell r="B350" t="str">
            <v>関連会社株式関係から振替</v>
          </cell>
        </row>
        <row r="351">
          <cell r="A351" t="str">
            <v>a656</v>
          </cell>
          <cell r="B351" t="str">
            <v>関連会社株式投資から振替</v>
          </cell>
        </row>
        <row r="352">
          <cell r="A352" t="str">
            <v>a660</v>
          </cell>
          <cell r="B352" t="str">
            <v>関連会社株式その他増加</v>
          </cell>
        </row>
        <row r="353">
          <cell r="A353" t="str">
            <v>a670</v>
          </cell>
          <cell r="B353" t="str">
            <v>関連会社株式売却簿価</v>
          </cell>
        </row>
        <row r="354">
          <cell r="A354" t="str">
            <v>a675</v>
          </cell>
          <cell r="B354" t="str">
            <v>関連会社株式関係へ振替減</v>
          </cell>
        </row>
        <row r="355">
          <cell r="A355" t="str">
            <v>a676</v>
          </cell>
          <cell r="B355" t="str">
            <v>関連会社株式投資へ振替減</v>
          </cell>
        </row>
        <row r="356">
          <cell r="A356" t="str">
            <v>a680</v>
          </cell>
          <cell r="B356" t="str">
            <v>関連会社株式評価損</v>
          </cell>
        </row>
        <row r="357">
          <cell r="A357" t="str">
            <v>a690</v>
          </cell>
          <cell r="B357" t="str">
            <v>関連会社株式その他減少</v>
          </cell>
        </row>
        <row r="358">
          <cell r="A358" t="str">
            <v>a700</v>
          </cell>
          <cell r="B358" t="str">
            <v>関連会社株式Ｔ／Ａ</v>
          </cell>
        </row>
        <row r="359">
          <cell r="A359" t="str">
            <v>a710</v>
          </cell>
          <cell r="B359" t="str">
            <v>関連会社株式期末残高</v>
          </cell>
        </row>
        <row r="360">
          <cell r="A360" t="str">
            <v>a720</v>
          </cell>
          <cell r="B360" t="str">
            <v>関連会社株式売却損益</v>
          </cell>
        </row>
        <row r="361">
          <cell r="A361" t="str">
            <v>a730</v>
          </cell>
          <cell r="B361" t="str">
            <v>長期貸付金期首残高</v>
          </cell>
        </row>
        <row r="362">
          <cell r="A362" t="str">
            <v>a740</v>
          </cell>
          <cell r="B362" t="str">
            <v>長期貸付金貸付</v>
          </cell>
        </row>
        <row r="363">
          <cell r="A363" t="str">
            <v>a750</v>
          </cell>
          <cell r="B363" t="str">
            <v>長期貸付金その他増加</v>
          </cell>
        </row>
        <row r="364">
          <cell r="A364" t="str">
            <v>a760</v>
          </cell>
          <cell r="B364" t="str">
            <v>長期貸付金回収</v>
          </cell>
        </row>
        <row r="365">
          <cell r="A365" t="str">
            <v>a770</v>
          </cell>
          <cell r="B365" t="str">
            <v>長期貸付金その他減少</v>
          </cell>
        </row>
        <row r="366">
          <cell r="A366" t="str">
            <v>a780</v>
          </cell>
          <cell r="B366" t="str">
            <v>長期貸付金Ｔ／Ａ</v>
          </cell>
        </row>
        <row r="367">
          <cell r="A367" t="str">
            <v>a790</v>
          </cell>
          <cell r="B367" t="str">
            <v>長期貸付金期末残高</v>
          </cell>
        </row>
        <row r="368">
          <cell r="A368" t="str">
            <v>a800</v>
          </cell>
          <cell r="B368" t="str">
            <v>長期前払費用期首残高</v>
          </cell>
        </row>
        <row r="369">
          <cell r="A369" t="str">
            <v>a810</v>
          </cell>
          <cell r="B369" t="str">
            <v>長期前払費用取得</v>
          </cell>
        </row>
        <row r="370">
          <cell r="A370" t="str">
            <v>a820</v>
          </cell>
          <cell r="B370" t="str">
            <v>長期前払費用その他増加</v>
          </cell>
        </row>
        <row r="371">
          <cell r="A371" t="str">
            <v>a830</v>
          </cell>
          <cell r="B371" t="str">
            <v>長期前払費用償却費計上</v>
          </cell>
          <cell r="C371" t="str">
            <v>Loss from sale of securities</v>
          </cell>
        </row>
        <row r="372">
          <cell r="A372" t="str">
            <v>a840</v>
          </cell>
          <cell r="B372" t="str">
            <v>長期前払費用その他減少</v>
          </cell>
        </row>
        <row r="373">
          <cell r="A373" t="str">
            <v>a850</v>
          </cell>
          <cell r="B373" t="str">
            <v>長期前払費用Ｔ／Ａ</v>
          </cell>
        </row>
        <row r="374">
          <cell r="A374" t="str">
            <v>a860</v>
          </cell>
          <cell r="B374" t="str">
            <v>長期前払費用期末残高</v>
          </cell>
        </row>
        <row r="375">
          <cell r="A375" t="str">
            <v>a861</v>
          </cell>
          <cell r="B375" t="str">
            <v>繰延資産期首残高</v>
          </cell>
        </row>
        <row r="376">
          <cell r="A376" t="str">
            <v>a862</v>
          </cell>
          <cell r="B376" t="str">
            <v>繰延資産投資取得</v>
          </cell>
        </row>
        <row r="377">
          <cell r="A377" t="str">
            <v>a863</v>
          </cell>
          <cell r="B377" t="str">
            <v>繰延資産財務取得</v>
          </cell>
        </row>
        <row r="378">
          <cell r="A378" t="str">
            <v>a864</v>
          </cell>
          <cell r="B378" t="str">
            <v>繰延資産償却</v>
          </cell>
        </row>
        <row r="379">
          <cell r="A379" t="str">
            <v>a870</v>
          </cell>
          <cell r="B379" t="str">
            <v>連結調整勘定（資産）期首残高</v>
          </cell>
        </row>
        <row r="380">
          <cell r="A380" t="str">
            <v>a880</v>
          </cell>
          <cell r="B380" t="str">
            <v>連結調整勘定取得</v>
          </cell>
        </row>
        <row r="381">
          <cell r="A381" t="str">
            <v>a885</v>
          </cell>
          <cell r="B381" t="str">
            <v>連結調整勘定負債からの振替</v>
          </cell>
        </row>
        <row r="382">
          <cell r="A382" t="str">
            <v>a890</v>
          </cell>
          <cell r="B382" t="str">
            <v>連結調整勘定その他増加</v>
          </cell>
        </row>
        <row r="383">
          <cell r="A383" t="str">
            <v>a900</v>
          </cell>
          <cell r="B383" t="str">
            <v>連結調整勘定償却費計上</v>
          </cell>
        </row>
        <row r="384">
          <cell r="A384" t="str">
            <v>a910</v>
          </cell>
          <cell r="B384" t="str">
            <v>連結調整勘定その他減少</v>
          </cell>
        </row>
        <row r="385">
          <cell r="A385" t="str">
            <v>a920</v>
          </cell>
          <cell r="B385" t="str">
            <v>連結調整勘定Ｔ／Ａ</v>
          </cell>
        </row>
        <row r="386">
          <cell r="A386" t="str">
            <v>a930</v>
          </cell>
          <cell r="B386" t="str">
            <v>連結調整勘定期末残高</v>
          </cell>
        </row>
        <row r="387">
          <cell r="A387" t="str">
            <v>b001</v>
          </cell>
          <cell r="B387" t="str">
            <v>短期借入金期首残高</v>
          </cell>
        </row>
        <row r="388">
          <cell r="A388" t="str">
            <v>b002</v>
          </cell>
          <cell r="B388" t="str">
            <v>短期借入金借入</v>
          </cell>
        </row>
        <row r="389">
          <cell r="A389" t="str">
            <v>b003</v>
          </cell>
          <cell r="B389" t="str">
            <v>短期借入金返済</v>
          </cell>
        </row>
        <row r="390">
          <cell r="A390" t="str">
            <v>b004</v>
          </cell>
          <cell r="B390" t="str">
            <v>短期借入金その他減少</v>
          </cell>
        </row>
        <row r="391">
          <cell r="A391" t="str">
            <v>b005</v>
          </cell>
          <cell r="B391" t="str">
            <v>短期借入金Ｔ／Ａ</v>
          </cell>
        </row>
        <row r="392">
          <cell r="A392" t="str">
            <v>b006</v>
          </cell>
          <cell r="B392" t="str">
            <v>短期借入金期末残高</v>
          </cell>
        </row>
        <row r="393">
          <cell r="A393" t="str">
            <v>b010</v>
          </cell>
          <cell r="B393" t="str">
            <v>１年内長期借入金期首残高</v>
          </cell>
        </row>
        <row r="394">
          <cell r="A394" t="str">
            <v>b020</v>
          </cell>
          <cell r="B394" t="str">
            <v>１年内長期借入金借入</v>
          </cell>
        </row>
        <row r="395">
          <cell r="A395" t="str">
            <v>b030</v>
          </cell>
          <cell r="B395" t="str">
            <v>１年内長期借入金振替</v>
          </cell>
        </row>
        <row r="396">
          <cell r="A396" t="str">
            <v>b040</v>
          </cell>
          <cell r="B396" t="str">
            <v>１年内長期借入金返済</v>
          </cell>
        </row>
        <row r="397">
          <cell r="A397" t="str">
            <v>b050</v>
          </cell>
          <cell r="B397" t="str">
            <v>１年内長期借入金Ｔ／Ａ</v>
          </cell>
        </row>
        <row r="398">
          <cell r="A398" t="str">
            <v>b060</v>
          </cell>
          <cell r="B398" t="str">
            <v>１年内長期借入金期末残高</v>
          </cell>
        </row>
        <row r="399">
          <cell r="A399" t="str">
            <v>b070</v>
          </cell>
          <cell r="B399" t="str">
            <v>社債期首残高</v>
          </cell>
        </row>
        <row r="400">
          <cell r="A400" t="str">
            <v>b080</v>
          </cell>
          <cell r="B400" t="str">
            <v>社債発行</v>
          </cell>
        </row>
        <row r="401">
          <cell r="A401" t="str">
            <v>b090</v>
          </cell>
          <cell r="B401" t="str">
            <v>社債その他増加</v>
          </cell>
        </row>
        <row r="402">
          <cell r="A402" t="str">
            <v>b100</v>
          </cell>
          <cell r="B402" t="str">
            <v>社債償還</v>
          </cell>
        </row>
        <row r="403">
          <cell r="A403" t="str">
            <v>b110</v>
          </cell>
          <cell r="B403" t="str">
            <v>社債転換（資本金）</v>
          </cell>
        </row>
        <row r="404">
          <cell r="A404" t="str">
            <v>b115</v>
          </cell>
          <cell r="B404" t="str">
            <v>社債転換（資本金準備金）</v>
          </cell>
        </row>
        <row r="405">
          <cell r="A405" t="str">
            <v>b130</v>
          </cell>
          <cell r="B405" t="str">
            <v>社債Ｔ／Ａ</v>
          </cell>
        </row>
        <row r="406">
          <cell r="A406" t="str">
            <v>b140</v>
          </cell>
          <cell r="B406" t="str">
            <v>社債期末残高</v>
          </cell>
        </row>
        <row r="407">
          <cell r="A407" t="str">
            <v>b150</v>
          </cell>
          <cell r="B407" t="str">
            <v>転換社債買入消却損益</v>
          </cell>
        </row>
        <row r="408">
          <cell r="A408" t="str">
            <v>b160</v>
          </cell>
          <cell r="B408" t="str">
            <v>長期借入金期首残高</v>
          </cell>
        </row>
        <row r="409">
          <cell r="A409" t="str">
            <v>b170</v>
          </cell>
          <cell r="B409" t="str">
            <v>長期借入金借入</v>
          </cell>
        </row>
        <row r="410">
          <cell r="A410" t="str">
            <v>b180</v>
          </cell>
          <cell r="B410" t="str">
            <v>長期借入金返済</v>
          </cell>
        </row>
        <row r="411">
          <cell r="A411" t="str">
            <v>b190</v>
          </cell>
          <cell r="B411" t="str">
            <v>長期借入金振替</v>
          </cell>
        </row>
        <row r="412">
          <cell r="A412" t="str">
            <v>b200</v>
          </cell>
          <cell r="B412" t="str">
            <v>長期借入金Ｔ／Ａ</v>
          </cell>
        </row>
        <row r="413">
          <cell r="A413" t="str">
            <v>b210</v>
          </cell>
          <cell r="B413" t="str">
            <v>長期借入金期末残高</v>
          </cell>
        </row>
        <row r="414">
          <cell r="A414" t="str">
            <v>b211</v>
          </cell>
          <cell r="B414" t="str">
            <v>連結調整勘定（負債）期首残高</v>
          </cell>
        </row>
        <row r="415">
          <cell r="A415" t="str">
            <v>b212</v>
          </cell>
          <cell r="B415" t="str">
            <v>連結調整勘定取得</v>
          </cell>
        </row>
        <row r="416">
          <cell r="A416" t="str">
            <v>b213</v>
          </cell>
          <cell r="B416" t="str">
            <v>連結調整勘定その他増加</v>
          </cell>
        </row>
        <row r="417">
          <cell r="A417" t="str">
            <v>b214</v>
          </cell>
          <cell r="B417" t="str">
            <v>連結調整勘定償却費計上</v>
          </cell>
        </row>
        <row r="418">
          <cell r="A418" t="str">
            <v>b215</v>
          </cell>
          <cell r="B418" t="str">
            <v>連結調整勘定その他減少</v>
          </cell>
        </row>
        <row r="419">
          <cell r="A419" t="str">
            <v>b216</v>
          </cell>
          <cell r="B419" t="str">
            <v>連結調整勘定Ｔ／Ａ</v>
          </cell>
        </row>
        <row r="420">
          <cell r="A420" t="str">
            <v>b217</v>
          </cell>
          <cell r="B420" t="str">
            <v>連結調整勘定期末残高</v>
          </cell>
        </row>
        <row r="421">
          <cell r="A421" t="str">
            <v>b220</v>
          </cell>
          <cell r="B421" t="str">
            <v>少数株主持分期首残高</v>
          </cell>
        </row>
        <row r="422">
          <cell r="A422" t="str">
            <v>b221</v>
          </cell>
          <cell r="B422" t="str">
            <v>少数株主持分少数株主損益</v>
          </cell>
        </row>
        <row r="423">
          <cell r="A423" t="str">
            <v>b222</v>
          </cell>
          <cell r="B423" t="str">
            <v>少数株主持分増資による増加</v>
          </cell>
        </row>
        <row r="424">
          <cell r="A424" t="str">
            <v>b223</v>
          </cell>
          <cell r="B424" t="str">
            <v>少数株主持分株式売却・増加</v>
          </cell>
        </row>
        <row r="425">
          <cell r="A425" t="str">
            <v>a224</v>
          </cell>
          <cell r="B425" t="str">
            <v>少数株主持分配当金・減少</v>
          </cell>
        </row>
        <row r="426">
          <cell r="A426" t="str">
            <v>a225</v>
          </cell>
          <cell r="B426" t="str">
            <v>少数株主持分役員賞与・減少</v>
          </cell>
        </row>
        <row r="427">
          <cell r="A427" t="str">
            <v>a226</v>
          </cell>
          <cell r="B427" t="str">
            <v>少数株主持分株式購入・減少</v>
          </cell>
        </row>
        <row r="428">
          <cell r="A428" t="str">
            <v>a227</v>
          </cell>
          <cell r="B428" t="str">
            <v>少数株主持分Ｔ／Ａ</v>
          </cell>
        </row>
        <row r="429">
          <cell r="A429" t="str">
            <v>a228</v>
          </cell>
          <cell r="B429" t="str">
            <v>少数株主持分期末残高</v>
          </cell>
        </row>
        <row r="430">
          <cell r="A430" t="str">
            <v>b230</v>
          </cell>
          <cell r="B430" t="str">
            <v>資本金期首残高</v>
          </cell>
        </row>
        <row r="431">
          <cell r="A431" t="str">
            <v>b235</v>
          </cell>
          <cell r="B431" t="str">
            <v>資本金増資</v>
          </cell>
        </row>
        <row r="432">
          <cell r="A432" t="str">
            <v>b240</v>
          </cell>
          <cell r="B432" t="str">
            <v>資本金無償増資</v>
          </cell>
        </row>
        <row r="433">
          <cell r="A433" t="str">
            <v>b260</v>
          </cell>
          <cell r="B433" t="str">
            <v>資本金減少</v>
          </cell>
        </row>
        <row r="434">
          <cell r="A434" t="str">
            <v>b270</v>
          </cell>
          <cell r="B434" t="str">
            <v>資本金期末残高</v>
          </cell>
        </row>
        <row r="435">
          <cell r="A435" t="str">
            <v>b280</v>
          </cell>
          <cell r="B435" t="str">
            <v>資本金準備金期首残高</v>
          </cell>
        </row>
        <row r="436">
          <cell r="A436" t="str">
            <v>b290</v>
          </cell>
          <cell r="B436" t="str">
            <v>資本金準備金増資</v>
          </cell>
        </row>
        <row r="437">
          <cell r="A437" t="str">
            <v>b300</v>
          </cell>
          <cell r="B437" t="str">
            <v>資本金準備金転換社債の転換</v>
          </cell>
        </row>
        <row r="438">
          <cell r="A438" t="str">
            <v>b310</v>
          </cell>
          <cell r="B438" t="str">
            <v>資本金準備金減少</v>
          </cell>
        </row>
        <row r="439">
          <cell r="A439" t="str">
            <v>b330</v>
          </cell>
          <cell r="B439" t="str">
            <v>資本金準備金期末残高</v>
          </cell>
        </row>
        <row r="440">
          <cell r="A440" t="str">
            <v>b400</v>
          </cell>
          <cell r="B440" t="str">
            <v>利益剰余金期首残高</v>
          </cell>
        </row>
        <row r="441">
          <cell r="A441" t="str">
            <v>b410</v>
          </cell>
          <cell r="B441" t="str">
            <v>利益剰余金税引前利益</v>
          </cell>
        </row>
        <row r="442">
          <cell r="A442" t="str">
            <v>b420</v>
          </cell>
          <cell r="B442" t="str">
            <v>利益剰余金法人税等</v>
          </cell>
        </row>
        <row r="443">
          <cell r="A443" t="str">
            <v>b430</v>
          </cell>
          <cell r="B443" t="str">
            <v>利益剰余金法人税等調整額</v>
          </cell>
        </row>
        <row r="444">
          <cell r="A444" t="str">
            <v>b440</v>
          </cell>
          <cell r="B444" t="str">
            <v>利益剰余金少数損益</v>
          </cell>
        </row>
        <row r="445">
          <cell r="A445" t="str">
            <v>b450</v>
          </cell>
          <cell r="B445" t="str">
            <v>利益剰余金連調（旧）</v>
          </cell>
        </row>
        <row r="446">
          <cell r="A446" t="str">
            <v>b460</v>
          </cell>
          <cell r="B446" t="str">
            <v>利益剰余金持分法損益（旧）</v>
          </cell>
        </row>
        <row r="447">
          <cell r="A447" t="str">
            <v>b470</v>
          </cell>
          <cell r="B447" t="str">
            <v>利益剰余金その他の増加</v>
          </cell>
        </row>
        <row r="448">
          <cell r="A448" t="str">
            <v>b480</v>
          </cell>
          <cell r="B448" t="str">
            <v>利益剰余金配当金</v>
          </cell>
        </row>
        <row r="449">
          <cell r="A449" t="str">
            <v>b490</v>
          </cell>
          <cell r="B449" t="str">
            <v>利益剰余金役員賞与</v>
          </cell>
        </row>
        <row r="450">
          <cell r="A450" t="str">
            <v>b500</v>
          </cell>
          <cell r="B450" t="str">
            <v>利益剰余金無償増資</v>
          </cell>
        </row>
        <row r="451">
          <cell r="A451" t="str">
            <v>b510</v>
          </cell>
          <cell r="B451" t="str">
            <v>利益剰余金期末残高</v>
          </cell>
        </row>
        <row r="452">
          <cell r="A452" t="str">
            <v>c030</v>
          </cell>
          <cell r="B452" t="str">
            <v>前払利息・割引料（支払）純増</v>
          </cell>
        </row>
        <row r="453">
          <cell r="A453" t="str">
            <v>c040</v>
          </cell>
          <cell r="B453" t="str">
            <v>未収利息（受取）純増減</v>
          </cell>
        </row>
        <row r="454">
          <cell r="A454" t="str">
            <v>c050</v>
          </cell>
          <cell r="B454" t="str">
            <v>未収配当金（受取）純増</v>
          </cell>
        </row>
        <row r="455">
          <cell r="A455" t="str">
            <v>c060</v>
          </cell>
          <cell r="B455" t="str">
            <v>未払利息・割引料（支払）純増</v>
          </cell>
        </row>
        <row r="456">
          <cell r="A456" t="str">
            <v>c070</v>
          </cell>
          <cell r="B456" t="str">
            <v>前受利息（受取）純増減</v>
          </cell>
        </row>
        <row r="457">
          <cell r="A457" t="str">
            <v>c080</v>
          </cell>
          <cell r="B457" t="str">
            <v>未収入金（有形固定資産）純増減</v>
          </cell>
        </row>
        <row r="458">
          <cell r="A458" t="str">
            <v>c090</v>
          </cell>
          <cell r="B458" t="str">
            <v>未払金（有形固定資産）純増減</v>
          </cell>
        </row>
        <row r="459">
          <cell r="A459" t="str">
            <v>c100</v>
          </cell>
          <cell r="B459" t="str">
            <v>長前から無形への振替</v>
          </cell>
        </row>
        <row r="460">
          <cell r="A460" t="str">
            <v>c110</v>
          </cell>
          <cell r="B460" t="str">
            <v>その他流動から無形への振替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nfo"/>
      <sheetName val="Marshal"/>
      <sheetName val="Lampiran"/>
      <sheetName val="Attachment"/>
      <sheetName val="Neraca"/>
      <sheetName val="Balance Sheet"/>
      <sheetName val="Rugi Laba"/>
      <sheetName val="Income Statm"/>
      <sheetName val="Rek Fiskal"/>
      <sheetName val="Fiscal Rec"/>
      <sheetName val="Rek Fiskal-detail"/>
      <sheetName val="PPh 25"/>
      <sheetName val="Art.25"/>
      <sheetName val="PPh 22"/>
      <sheetName val="Art 22"/>
      <sheetName val="PPh 25 calc."/>
      <sheetName val="Art 25 calc"/>
      <sheetName val="Daftar Pengurus"/>
      <sheetName val="Comm. List"/>
      <sheetName val="Daftar Pemegang Saham"/>
      <sheetName val="Shareholder List"/>
      <sheetName val="Fiskal"/>
      <sheetName val="Entertainment"/>
      <sheetName val="Aktiva Tetap"/>
      <sheetName val="Fixed Assets"/>
      <sheetName val="FI-1771.P1"/>
      <sheetName val="FE-1771.P1"/>
      <sheetName val="FI-1771.P2"/>
      <sheetName val="FE-1771.P2"/>
      <sheetName val="FI-1771-I"/>
      <sheetName val="FE-1771-I"/>
      <sheetName val="FI-1771-II"/>
      <sheetName val="FE-1771-II"/>
      <sheetName val="FI-1771-III"/>
      <sheetName val="FE-1771-III"/>
      <sheetName val="FI-1771-IV"/>
      <sheetName val="FE-1771-IV"/>
      <sheetName val="FI-1771-V"/>
      <sheetName val="FE-1771-V"/>
      <sheetName val="FI-1771-VI"/>
      <sheetName val="FE-1771-VI"/>
    </sheetNames>
    <sheetDataSet>
      <sheetData sheetId="0">
        <row r="6">
          <cell r="I6" t="str">
            <v>Jl. Rawaterate I No. 1, Pulogadung Industrial Estate</v>
          </cell>
        </row>
        <row r="7">
          <cell r="I7" t="str">
            <v>Pulogadung</v>
          </cell>
        </row>
        <row r="19">
          <cell r="F19" t="str">
            <v>x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PO"/>
      <sheetName val="Mutation"/>
      <sheetName val="List of FA-Dec"/>
      <sheetName val="List Addition FA"/>
      <sheetName val="List Disposal FA"/>
      <sheetName val="Depre"/>
      <sheetName val="TOD FA"/>
      <sheetName val="Tickmarks"/>
      <sheetName val="Sheet1"/>
      <sheetName val="List of FA-Oct"/>
      <sheetName val="List-CIP"/>
      <sheetName val="Addition"/>
      <sheetName val="Disposal"/>
      <sheetName val="Worksheet in (C) 5611 FIxed Ass"/>
    </sheetNames>
    <sheetDataSet>
      <sheetData sheetId="0"/>
      <sheetData sheetId="1" refreshError="1">
        <row r="33">
          <cell r="K33">
            <v>88985366.550000191</v>
          </cell>
        </row>
      </sheetData>
      <sheetData sheetId="2"/>
      <sheetData sheetId="3" refreshError="1">
        <row r="16">
          <cell r="H16">
            <v>467752887</v>
          </cell>
        </row>
        <row r="100">
          <cell r="H100">
            <v>19122350</v>
          </cell>
        </row>
      </sheetData>
      <sheetData sheetId="4" refreshError="1">
        <row r="8">
          <cell r="J8">
            <v>75000000</v>
          </cell>
        </row>
        <row r="9">
          <cell r="J9">
            <v>325000000</v>
          </cell>
        </row>
        <row r="15">
          <cell r="N15">
            <v>-114568273.93000001</v>
          </cell>
        </row>
      </sheetData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RPO"/>
      <sheetName val="Rollforward"/>
      <sheetName val="List FA Final"/>
      <sheetName val="List FA Interim"/>
      <sheetName val="FA Addition"/>
      <sheetName val="TOD Addition"/>
      <sheetName val="Disposal"/>
      <sheetName val="Tie Up Exp"/>
      <sheetName val="Impairment"/>
      <sheetName val="Tickmarks"/>
    </sheetNames>
    <sheetDataSet>
      <sheetData sheetId="0" refreshError="1"/>
      <sheetData sheetId="1" refreshError="1"/>
      <sheetData sheetId="2" refreshError="1">
        <row r="9">
          <cell r="M9">
            <v>3065177975.9499998</v>
          </cell>
        </row>
        <row r="10">
          <cell r="M10">
            <v>1021446811</v>
          </cell>
        </row>
        <row r="11">
          <cell r="M11">
            <v>5524521730.0699997</v>
          </cell>
        </row>
        <row r="12">
          <cell r="M12">
            <v>2054527728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Tickmarks"/>
    </sheetNames>
    <sheetDataSet>
      <sheetData sheetId="0"/>
      <sheetData sheetId="1">
        <row r="1">
          <cell r="A1" t="str">
            <v>(reserved)</v>
          </cell>
          <cell r="B1" t="str">
            <v>Company</v>
          </cell>
          <cell r="C1" t="str">
            <v>Target Grouping</v>
          </cell>
          <cell r="D1" t="str">
            <v>#</v>
          </cell>
          <cell r="E1" t="str">
            <v>Name</v>
          </cell>
          <cell r="F1" t="str">
            <v>Preliminary</v>
          </cell>
          <cell r="G1" t="str">
            <v>AJE</v>
          </cell>
          <cell r="H1" t="str">
            <v>Adjusted</v>
          </cell>
          <cell r="I1" t="str">
            <v>RJE</v>
          </cell>
          <cell r="J1" t="str">
            <v>Final</v>
          </cell>
          <cell r="K1">
            <v>2006</v>
          </cell>
        </row>
        <row r="2">
          <cell r="A2"/>
          <cell r="C2" t="str">
            <v>5110.1</v>
          </cell>
        </row>
        <row r="3">
          <cell r="A3" t="str">
            <v>_/_5110.1_/_1010100</v>
          </cell>
          <cell r="B3"/>
          <cell r="C3" t="str">
            <v>5110.1</v>
          </cell>
          <cell r="D3" t="str">
            <v>1010100</v>
          </cell>
          <cell r="E3" t="str">
            <v>Cash IDR Head Office</v>
          </cell>
          <cell r="F3">
            <v>54596000</v>
          </cell>
          <cell r="G3">
            <v>0</v>
          </cell>
          <cell r="H3">
            <v>54596000</v>
          </cell>
          <cell r="I3">
            <v>0</v>
          </cell>
          <cell r="J3">
            <v>54596000</v>
          </cell>
          <cell r="K3">
            <v>51980000</v>
          </cell>
        </row>
        <row r="4">
          <cell r="A4" t="str">
            <v>_/_5110.1_/_1010101</v>
          </cell>
          <cell r="B4"/>
          <cell r="C4" t="str">
            <v>5110.1</v>
          </cell>
          <cell r="D4" t="str">
            <v>1010101</v>
          </cell>
          <cell r="E4" t="str">
            <v>Cash IDR Jakarta Logistics</v>
          </cell>
          <cell r="F4">
            <v>250659450</v>
          </cell>
          <cell r="G4">
            <v>0</v>
          </cell>
          <cell r="H4">
            <v>250659450</v>
          </cell>
          <cell r="I4">
            <v>0</v>
          </cell>
          <cell r="J4">
            <v>250659450</v>
          </cell>
          <cell r="K4">
            <v>302041575</v>
          </cell>
        </row>
        <row r="5">
          <cell r="A5" t="str">
            <v>_/_5110.1_/_1010102</v>
          </cell>
          <cell r="B5"/>
          <cell r="C5" t="str">
            <v>5110.1</v>
          </cell>
          <cell r="D5" t="str">
            <v>1010102</v>
          </cell>
          <cell r="E5" t="str">
            <v>Cash IDR AMG</v>
          </cell>
          <cell r="F5">
            <v>1007300</v>
          </cell>
          <cell r="G5">
            <v>0</v>
          </cell>
          <cell r="H5">
            <v>1007300</v>
          </cell>
          <cell r="I5">
            <v>0</v>
          </cell>
          <cell r="J5">
            <v>1007300</v>
          </cell>
          <cell r="K5">
            <v>4123000</v>
          </cell>
        </row>
        <row r="6">
          <cell r="A6" t="str">
            <v>_/_5110.1_/_1010104</v>
          </cell>
          <cell r="B6"/>
          <cell r="C6" t="str">
            <v>5110.1</v>
          </cell>
          <cell r="D6" t="str">
            <v>1010104</v>
          </cell>
          <cell r="E6" t="str">
            <v>Cash IDR MKI</v>
          </cell>
          <cell r="F6">
            <v>5202700</v>
          </cell>
          <cell r="G6">
            <v>0</v>
          </cell>
          <cell r="H6">
            <v>5202700</v>
          </cell>
          <cell r="I6">
            <v>0</v>
          </cell>
          <cell r="J6">
            <v>5202700</v>
          </cell>
          <cell r="K6">
            <v>6031500</v>
          </cell>
        </row>
        <row r="7">
          <cell r="A7" t="str">
            <v>_/_5110.1_/_1010110</v>
          </cell>
          <cell r="B7"/>
          <cell r="C7" t="str">
            <v>5110.1</v>
          </cell>
          <cell r="D7" t="str">
            <v>1010110</v>
          </cell>
          <cell r="E7" t="str">
            <v>Cash IDR Cilegon Branch</v>
          </cell>
          <cell r="F7">
            <v>157722900</v>
          </cell>
          <cell r="G7">
            <v>0</v>
          </cell>
          <cell r="H7">
            <v>157722900</v>
          </cell>
          <cell r="I7">
            <v>0</v>
          </cell>
          <cell r="J7">
            <v>157722900</v>
          </cell>
          <cell r="K7">
            <v>233486900</v>
          </cell>
        </row>
        <row r="8">
          <cell r="A8" t="str">
            <v>_/_5110.1_/_1010121</v>
          </cell>
          <cell r="B8"/>
          <cell r="C8" t="str">
            <v>5110.1</v>
          </cell>
          <cell r="D8" t="str">
            <v>1010121</v>
          </cell>
          <cell r="E8" t="str">
            <v>Cash IDR Asahan Branch</v>
          </cell>
          <cell r="F8">
            <v>126946500</v>
          </cell>
          <cell r="G8">
            <v>0</v>
          </cell>
          <cell r="H8">
            <v>126946500</v>
          </cell>
          <cell r="I8">
            <v>0</v>
          </cell>
          <cell r="J8">
            <v>126946500</v>
          </cell>
          <cell r="K8">
            <v>65149500</v>
          </cell>
        </row>
        <row r="9">
          <cell r="A9" t="str">
            <v>_/_5110.1_/_1010131</v>
          </cell>
          <cell r="B9"/>
          <cell r="C9" t="str">
            <v>5110.1</v>
          </cell>
          <cell r="D9" t="str">
            <v>1010131</v>
          </cell>
          <cell r="E9" t="str">
            <v>Cash IDR Surabaya Branch</v>
          </cell>
          <cell r="F9">
            <v>51855500</v>
          </cell>
          <cell r="G9">
            <v>0</v>
          </cell>
          <cell r="H9">
            <v>51855500</v>
          </cell>
          <cell r="I9">
            <v>0</v>
          </cell>
          <cell r="J9">
            <v>51855500</v>
          </cell>
          <cell r="K9">
            <v>49051800</v>
          </cell>
        </row>
        <row r="10">
          <cell r="A10" t="str">
            <v>_/_5110.1_/_1010141</v>
          </cell>
          <cell r="B10"/>
          <cell r="C10" t="str">
            <v>5110.1</v>
          </cell>
          <cell r="D10" t="str">
            <v>1010141</v>
          </cell>
          <cell r="E10" t="str">
            <v>Cash IDR Tangguh Project</v>
          </cell>
          <cell r="F10">
            <v>788662800</v>
          </cell>
          <cell r="G10">
            <v>0</v>
          </cell>
          <cell r="H10">
            <v>788662800</v>
          </cell>
          <cell r="I10">
            <v>0</v>
          </cell>
          <cell r="J10">
            <v>788662800</v>
          </cell>
          <cell r="K10">
            <v>109336200</v>
          </cell>
        </row>
        <row r="11">
          <cell r="A11" t="str">
            <v>_/_5110.1_/_101CVGIR</v>
          </cell>
          <cell r="B11"/>
          <cell r="C11" t="str">
            <v>5110.1</v>
          </cell>
          <cell r="D11" t="str">
            <v>101CVGIR</v>
          </cell>
          <cell r="E11" t="str">
            <v>Cash VGI Insite (IDR)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</row>
        <row r="12">
          <cell r="A12" t="str">
            <v>_/_5110.1_/_101TGR new</v>
          </cell>
          <cell r="B12"/>
          <cell r="C12" t="str">
            <v>5110.1</v>
          </cell>
          <cell r="D12" t="str">
            <v>101TGR new</v>
          </cell>
          <cell r="E12" t="str">
            <v>Cash Tangguh Project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</row>
        <row r="13">
          <cell r="A13" t="str">
            <v>_/_5110.1_/_</v>
          </cell>
          <cell r="C13" t="str">
            <v>5110.1</v>
          </cell>
          <cell r="E13" t="str">
            <v>TB Total - Cash on Hand (IDR)</v>
          </cell>
          <cell r="F13">
            <v>1436653150</v>
          </cell>
          <cell r="G13">
            <v>0</v>
          </cell>
          <cell r="H13">
            <v>1436653150</v>
          </cell>
          <cell r="I13">
            <v>0</v>
          </cell>
          <cell r="J13">
            <v>1436653150</v>
          </cell>
          <cell r="K13">
            <v>821200475</v>
          </cell>
        </row>
        <row r="14">
          <cell r="A14"/>
          <cell r="C14" t="str">
            <v>5110.2</v>
          </cell>
        </row>
        <row r="15">
          <cell r="A15" t="str">
            <v>_/_5110.2_/_1010200</v>
          </cell>
          <cell r="B15"/>
          <cell r="C15" t="str">
            <v>5110.2</v>
          </cell>
          <cell r="D15" t="str">
            <v>1010200</v>
          </cell>
          <cell r="E15" t="str">
            <v>Cash USD Head Office</v>
          </cell>
          <cell r="F15">
            <v>88661047</v>
          </cell>
          <cell r="G15">
            <v>0</v>
          </cell>
          <cell r="H15">
            <v>88661047</v>
          </cell>
          <cell r="I15">
            <v>0</v>
          </cell>
          <cell r="J15">
            <v>88661047</v>
          </cell>
          <cell r="K15">
            <v>84788000</v>
          </cell>
        </row>
        <row r="16">
          <cell r="A16" t="str">
            <v>_/_5110.2_/_1010201</v>
          </cell>
          <cell r="B16"/>
          <cell r="C16" t="str">
            <v>5110.2</v>
          </cell>
          <cell r="D16" t="str">
            <v>1010201</v>
          </cell>
          <cell r="E16" t="str">
            <v>Cash USD Jakarta Logistics</v>
          </cell>
          <cell r="F16">
            <v>277078723</v>
          </cell>
          <cell r="G16">
            <v>0</v>
          </cell>
          <cell r="H16">
            <v>277078723</v>
          </cell>
          <cell r="I16">
            <v>0</v>
          </cell>
          <cell r="J16">
            <v>277078723</v>
          </cell>
          <cell r="K16">
            <v>282298940</v>
          </cell>
        </row>
        <row r="17">
          <cell r="A17" t="str">
            <v>_/_5110.2_/_1010210</v>
          </cell>
          <cell r="B17"/>
          <cell r="C17" t="str">
            <v>5110.2</v>
          </cell>
          <cell r="D17" t="str">
            <v>1010210</v>
          </cell>
          <cell r="E17" t="str">
            <v>Cash USD Cilegon Branch</v>
          </cell>
          <cell r="F17">
            <v>24451724</v>
          </cell>
          <cell r="G17">
            <v>0</v>
          </cell>
          <cell r="H17">
            <v>24451724</v>
          </cell>
          <cell r="I17">
            <v>0</v>
          </cell>
          <cell r="J17">
            <v>24451724</v>
          </cell>
          <cell r="K17">
            <v>51395960</v>
          </cell>
        </row>
        <row r="18">
          <cell r="A18" t="str">
            <v>_/_5110.2_/_1010231</v>
          </cell>
          <cell r="B18"/>
          <cell r="C18" t="str">
            <v>5110.2</v>
          </cell>
          <cell r="D18" t="str">
            <v>1010231</v>
          </cell>
          <cell r="E18" t="str">
            <v>Cash USD Surabaya Branch</v>
          </cell>
          <cell r="F18">
            <v>2514873</v>
          </cell>
          <cell r="G18">
            <v>0</v>
          </cell>
          <cell r="H18">
            <v>2514873</v>
          </cell>
          <cell r="I18">
            <v>0</v>
          </cell>
          <cell r="J18">
            <v>2514873</v>
          </cell>
          <cell r="K18">
            <v>6593620</v>
          </cell>
        </row>
        <row r="19">
          <cell r="A19" t="str">
            <v>_/_5110.2_/_1010241</v>
          </cell>
          <cell r="B19"/>
          <cell r="C19" t="str">
            <v>5110.2</v>
          </cell>
          <cell r="D19" t="str">
            <v>1010241</v>
          </cell>
          <cell r="E19" t="str">
            <v>Cash USD Tangguh Pj</v>
          </cell>
          <cell r="F19">
            <v>195811591</v>
          </cell>
          <cell r="G19">
            <v>0</v>
          </cell>
          <cell r="H19">
            <v>195811591</v>
          </cell>
          <cell r="I19">
            <v>0</v>
          </cell>
          <cell r="J19">
            <v>195811591</v>
          </cell>
          <cell r="K19">
            <v>122861420</v>
          </cell>
        </row>
        <row r="20">
          <cell r="A20" t="str">
            <v>_/_5110.2_/_101TGRNEW$</v>
          </cell>
          <cell r="B20"/>
          <cell r="C20" t="str">
            <v>5110.2</v>
          </cell>
          <cell r="D20" t="str">
            <v>101TGRNEW$</v>
          </cell>
          <cell r="E20" t="str">
            <v>Cash Tangguh Project (USD)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</row>
        <row r="21">
          <cell r="A21" t="str">
            <v>_/_5110.2_/_</v>
          </cell>
          <cell r="C21" t="str">
            <v>5110.2</v>
          </cell>
          <cell r="E21" t="str">
            <v>TB Total - Cash on Hand (USD)</v>
          </cell>
          <cell r="F21">
            <v>588517958</v>
          </cell>
          <cell r="G21">
            <v>0</v>
          </cell>
          <cell r="H21">
            <v>588517958</v>
          </cell>
          <cell r="I21">
            <v>0</v>
          </cell>
          <cell r="J21">
            <v>588517958</v>
          </cell>
          <cell r="K21">
            <v>547937940</v>
          </cell>
        </row>
        <row r="22">
          <cell r="A22"/>
          <cell r="C22" t="str">
            <v>5110.3</v>
          </cell>
        </row>
        <row r="23">
          <cell r="A23" t="str">
            <v>_/_5110.3_/_1010300</v>
          </cell>
          <cell r="B23"/>
          <cell r="C23" t="str">
            <v>5110.3</v>
          </cell>
          <cell r="D23" t="str">
            <v>1010300</v>
          </cell>
          <cell r="E23" t="str">
            <v>Cash JPY Head Office</v>
          </cell>
          <cell r="F23">
            <v>36800010</v>
          </cell>
          <cell r="G23">
            <v>0</v>
          </cell>
          <cell r="H23">
            <v>36800010</v>
          </cell>
          <cell r="I23">
            <v>0</v>
          </cell>
          <cell r="J23">
            <v>36800010</v>
          </cell>
          <cell r="K23">
            <v>37596800</v>
          </cell>
        </row>
        <row r="24">
          <cell r="A24" t="str">
            <v>_/_5110.3_/_101CSBYY</v>
          </cell>
          <cell r="B24"/>
          <cell r="C24" t="str">
            <v>5110.3</v>
          </cell>
          <cell r="D24" t="str">
            <v>101CSBYY</v>
          </cell>
          <cell r="E24" t="str">
            <v>Cash Surabaya Insite (JPY)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</row>
        <row r="25">
          <cell r="A25" t="str">
            <v>_/_5110.3_/_</v>
          </cell>
          <cell r="C25" t="str">
            <v>5110.3</v>
          </cell>
          <cell r="E25" t="str">
            <v>TB Total - Cash on Hand (JPY)</v>
          </cell>
          <cell r="F25">
            <v>36800010</v>
          </cell>
          <cell r="G25">
            <v>0</v>
          </cell>
          <cell r="H25">
            <v>36800010</v>
          </cell>
          <cell r="I25">
            <v>0</v>
          </cell>
          <cell r="J25">
            <v>36800010</v>
          </cell>
          <cell r="K25">
            <v>37596800</v>
          </cell>
        </row>
        <row r="26">
          <cell r="A26"/>
          <cell r="C26" t="str">
            <v>5120.1</v>
          </cell>
        </row>
        <row r="27">
          <cell r="A27" t="str">
            <v>_/_5120.1_/_102010011</v>
          </cell>
          <cell r="B27"/>
          <cell r="C27" t="str">
            <v>5120.1</v>
          </cell>
          <cell r="D27" t="str">
            <v>102010011</v>
          </cell>
          <cell r="E27" t="str">
            <v>BOT Mitsubishi UFJ (Head Off.) : 405757</v>
          </cell>
          <cell r="F27">
            <v>7734398451.5100002</v>
          </cell>
          <cell r="G27">
            <v>0</v>
          </cell>
          <cell r="H27">
            <v>7734398451.5100002</v>
          </cell>
          <cell r="I27">
            <v>0</v>
          </cell>
          <cell r="J27">
            <v>7734398451.5100002</v>
          </cell>
          <cell r="K27">
            <v>9874382808.7199993</v>
          </cell>
        </row>
        <row r="28">
          <cell r="A28" t="str">
            <v>_/_5120.1_/_102010031</v>
          </cell>
          <cell r="B28"/>
          <cell r="C28" t="str">
            <v>5120.1</v>
          </cell>
          <cell r="D28" t="str">
            <v>102010031</v>
          </cell>
          <cell r="E28" t="str">
            <v>SMBC (Head Office) : 106-294-0101</v>
          </cell>
          <cell r="F28">
            <v>3882395481</v>
          </cell>
          <cell r="G28">
            <v>0</v>
          </cell>
          <cell r="H28">
            <v>3882395481</v>
          </cell>
          <cell r="I28">
            <v>0</v>
          </cell>
          <cell r="J28">
            <v>3882395481</v>
          </cell>
          <cell r="K28">
            <v>2783246834</v>
          </cell>
        </row>
        <row r="29">
          <cell r="A29" t="str">
            <v>_/_5120.1_/_102010041</v>
          </cell>
          <cell r="B29"/>
          <cell r="C29" t="str">
            <v>5120.1</v>
          </cell>
          <cell r="D29" t="str">
            <v>102010041</v>
          </cell>
          <cell r="E29" t="str">
            <v>Mandiri Jkt  : 102-00-009100432-2</v>
          </cell>
          <cell r="F29">
            <v>225081426.53999999</v>
          </cell>
          <cell r="G29">
            <v>0</v>
          </cell>
          <cell r="H29">
            <v>225081426.53999999</v>
          </cell>
          <cell r="I29">
            <v>0</v>
          </cell>
          <cell r="J29">
            <v>225081426.53999999</v>
          </cell>
          <cell r="K29">
            <v>132295890.37</v>
          </cell>
        </row>
        <row r="30">
          <cell r="A30" t="str">
            <v>_/_5120.1_/_102010051</v>
          </cell>
          <cell r="B30"/>
          <cell r="C30" t="str">
            <v>5120.1</v>
          </cell>
          <cell r="D30" t="str">
            <v>102010051</v>
          </cell>
          <cell r="E30" t="str">
            <v>BII Summitmas : 2-145-25394-1</v>
          </cell>
          <cell r="F30">
            <v>421767786.60000002</v>
          </cell>
          <cell r="G30">
            <v>0</v>
          </cell>
          <cell r="H30">
            <v>421767786.60000002</v>
          </cell>
          <cell r="I30">
            <v>0</v>
          </cell>
          <cell r="J30">
            <v>421767786.60000002</v>
          </cell>
          <cell r="K30">
            <v>287398267.60000002</v>
          </cell>
        </row>
        <row r="31">
          <cell r="A31" t="str">
            <v>_/_5120.1_/_102010061</v>
          </cell>
          <cell r="B31"/>
          <cell r="C31" t="str">
            <v>5120.1</v>
          </cell>
          <cell r="D31" t="str">
            <v>102010061</v>
          </cell>
          <cell r="E31" t="str">
            <v>Mizuho : 304147. 0150</v>
          </cell>
          <cell r="F31">
            <v>17473012</v>
          </cell>
          <cell r="G31">
            <v>0</v>
          </cell>
          <cell r="H31">
            <v>17473012</v>
          </cell>
          <cell r="I31">
            <v>0</v>
          </cell>
          <cell r="J31">
            <v>17473012</v>
          </cell>
          <cell r="K31">
            <v>11897239</v>
          </cell>
        </row>
        <row r="32">
          <cell r="A32" t="str">
            <v>_/_5120.1_/_102010171</v>
          </cell>
          <cell r="B32"/>
          <cell r="C32" t="str">
            <v>5120.1</v>
          </cell>
          <cell r="D32" t="str">
            <v>102010171</v>
          </cell>
          <cell r="E32" t="str">
            <v>BNI Tanjung Priok : 0008067570</v>
          </cell>
          <cell r="F32">
            <v>61163420</v>
          </cell>
          <cell r="G32">
            <v>0</v>
          </cell>
          <cell r="H32">
            <v>61163420</v>
          </cell>
          <cell r="I32">
            <v>0</v>
          </cell>
          <cell r="J32">
            <v>61163420</v>
          </cell>
          <cell r="K32">
            <v>306583289</v>
          </cell>
        </row>
        <row r="33">
          <cell r="A33" t="str">
            <v>_/_5120.1_/_102010191</v>
          </cell>
          <cell r="B33"/>
          <cell r="C33" t="str">
            <v>5120.1</v>
          </cell>
          <cell r="D33" t="str">
            <v>102010191</v>
          </cell>
          <cell r="E33" t="str">
            <v>BNI Cengkareng : 0109698489</v>
          </cell>
          <cell r="F33">
            <v>55241642</v>
          </cell>
          <cell r="G33">
            <v>0</v>
          </cell>
          <cell r="H33">
            <v>55241642</v>
          </cell>
          <cell r="I33">
            <v>0</v>
          </cell>
          <cell r="J33">
            <v>55241642</v>
          </cell>
          <cell r="K33">
            <v>153020401</v>
          </cell>
        </row>
        <row r="34">
          <cell r="A34" t="str">
            <v>_/_5120.1_/_102010251</v>
          </cell>
          <cell r="B34"/>
          <cell r="C34" t="str">
            <v>5120.1</v>
          </cell>
          <cell r="D34" t="str">
            <v>102010251</v>
          </cell>
          <cell r="E34" t="str">
            <v>BNI Jkt Kota :  0014136877</v>
          </cell>
          <cell r="F34">
            <v>13722515</v>
          </cell>
          <cell r="G34">
            <v>0</v>
          </cell>
          <cell r="H34">
            <v>13722515</v>
          </cell>
          <cell r="I34">
            <v>0</v>
          </cell>
          <cell r="J34">
            <v>13722515</v>
          </cell>
          <cell r="K34">
            <v>62005181</v>
          </cell>
        </row>
        <row r="35">
          <cell r="A35" t="str">
            <v>_/_5120.1_/_102010451</v>
          </cell>
          <cell r="B35"/>
          <cell r="C35" t="str">
            <v>5120.1</v>
          </cell>
          <cell r="D35" t="str">
            <v>102010451</v>
          </cell>
          <cell r="E35" t="str">
            <v>BII Cibitung : 2-235-001228</v>
          </cell>
          <cell r="F35">
            <v>187854688.09999999</v>
          </cell>
          <cell r="G35">
            <v>0</v>
          </cell>
          <cell r="H35">
            <v>187854688.09999999</v>
          </cell>
          <cell r="I35">
            <v>0</v>
          </cell>
          <cell r="J35">
            <v>187854688.09999999</v>
          </cell>
          <cell r="K35">
            <v>382851267.10000002</v>
          </cell>
        </row>
        <row r="36">
          <cell r="A36" t="str">
            <v>_/_5120.1_/_102011071</v>
          </cell>
          <cell r="B36"/>
          <cell r="C36" t="str">
            <v>5120.1</v>
          </cell>
          <cell r="D36" t="str">
            <v>102011071</v>
          </cell>
          <cell r="E36" t="str">
            <v>BNI Cilegon : 2305794</v>
          </cell>
          <cell r="F36">
            <v>3358534892</v>
          </cell>
          <cell r="G36">
            <v>0</v>
          </cell>
          <cell r="H36">
            <v>3358534892</v>
          </cell>
          <cell r="I36">
            <v>0</v>
          </cell>
          <cell r="J36">
            <v>3358534892</v>
          </cell>
          <cell r="K36">
            <v>1852047288</v>
          </cell>
        </row>
        <row r="37">
          <cell r="A37" t="str">
            <v>_/_5120.1_/_102012171</v>
          </cell>
          <cell r="B37"/>
          <cell r="C37" t="str">
            <v>5120.1</v>
          </cell>
          <cell r="D37" t="str">
            <v>102012171</v>
          </cell>
          <cell r="E37" t="str">
            <v>BNI Kuala Tanjung : 0061676147</v>
          </cell>
          <cell r="F37">
            <v>1424335786</v>
          </cell>
          <cell r="G37">
            <v>0</v>
          </cell>
          <cell r="H37">
            <v>1424335786</v>
          </cell>
          <cell r="I37">
            <v>0</v>
          </cell>
          <cell r="J37">
            <v>1424335786</v>
          </cell>
          <cell r="K37">
            <v>410921403</v>
          </cell>
        </row>
        <row r="38">
          <cell r="A38" t="str">
            <v>_/_5120.1_/_102012172</v>
          </cell>
          <cell r="B38"/>
          <cell r="C38" t="str">
            <v>5120.1</v>
          </cell>
          <cell r="D38" t="str">
            <v>102012172</v>
          </cell>
          <cell r="E38" t="str">
            <v>SMBC (Asahan Br) : 100-610-0101</v>
          </cell>
          <cell r="F38">
            <v>1066888115</v>
          </cell>
          <cell r="G38">
            <v>0</v>
          </cell>
          <cell r="H38">
            <v>1066888115</v>
          </cell>
          <cell r="I38">
            <v>0</v>
          </cell>
          <cell r="J38">
            <v>1066888115</v>
          </cell>
          <cell r="K38">
            <v>1291504875</v>
          </cell>
        </row>
        <row r="39">
          <cell r="A39" t="str">
            <v>_/_5120.1_/_102013111</v>
          </cell>
          <cell r="B39"/>
          <cell r="C39" t="str">
            <v>5120.1</v>
          </cell>
          <cell r="D39" t="str">
            <v>102013111</v>
          </cell>
          <cell r="E39" t="str">
            <v>BOT Mitsubishi UFJ (Surabaya) : 008325</v>
          </cell>
          <cell r="F39">
            <v>64059996.640000001</v>
          </cell>
          <cell r="G39">
            <v>0</v>
          </cell>
          <cell r="H39">
            <v>64059996.640000001</v>
          </cell>
          <cell r="I39">
            <v>0</v>
          </cell>
          <cell r="J39">
            <v>64059996.640000001</v>
          </cell>
          <cell r="K39">
            <v>57681207.640000001</v>
          </cell>
        </row>
        <row r="40">
          <cell r="A40" t="str">
            <v>_/_5120.1_/_102013171</v>
          </cell>
          <cell r="B40"/>
          <cell r="C40" t="str">
            <v>5120.1</v>
          </cell>
          <cell r="D40" t="str">
            <v>102013171</v>
          </cell>
          <cell r="E40" t="str">
            <v>BNI Tanjung Perak  : 0042297082</v>
          </cell>
          <cell r="F40">
            <v>414561</v>
          </cell>
          <cell r="G40">
            <v>0</v>
          </cell>
          <cell r="H40">
            <v>414561</v>
          </cell>
          <cell r="I40">
            <v>0</v>
          </cell>
          <cell r="J40">
            <v>414561</v>
          </cell>
          <cell r="K40">
            <v>1213657</v>
          </cell>
        </row>
        <row r="41">
          <cell r="A41" t="str">
            <v>_/_5120.1_/_102013172</v>
          </cell>
          <cell r="B41"/>
          <cell r="C41" t="str">
            <v>5120.1</v>
          </cell>
          <cell r="D41" t="str">
            <v>102013172</v>
          </cell>
          <cell r="E41" t="str">
            <v>BNI Gresik : 0044531724</v>
          </cell>
          <cell r="F41">
            <v>12196269</v>
          </cell>
          <cell r="G41">
            <v>0</v>
          </cell>
          <cell r="H41">
            <v>12196269</v>
          </cell>
          <cell r="I41">
            <v>0</v>
          </cell>
          <cell r="J41">
            <v>12196269</v>
          </cell>
          <cell r="K41">
            <v>12313383</v>
          </cell>
        </row>
        <row r="42">
          <cell r="A42" t="str">
            <v>_/_5120.1_/_102014111</v>
          </cell>
          <cell r="B42"/>
          <cell r="C42" t="str">
            <v>5120.1</v>
          </cell>
          <cell r="D42" t="str">
            <v>102014111</v>
          </cell>
          <cell r="E42" t="str">
            <v>SMBC (Tangguh) : 101-949-0101</v>
          </cell>
          <cell r="F42">
            <v>1396011973</v>
          </cell>
          <cell r="G42">
            <v>0</v>
          </cell>
          <cell r="H42">
            <v>1396011973</v>
          </cell>
          <cell r="I42">
            <v>0</v>
          </cell>
          <cell r="J42">
            <v>1396011973</v>
          </cell>
          <cell r="K42">
            <v>2073961525</v>
          </cell>
        </row>
        <row r="43">
          <cell r="A43" t="str">
            <v>_/_5120.1_/_102015111</v>
          </cell>
          <cell r="B43"/>
          <cell r="C43" t="str">
            <v>5120.1</v>
          </cell>
          <cell r="D43" t="str">
            <v>102015111</v>
          </cell>
          <cell r="E43" t="str">
            <v>BOT Mitsubishi UFJ(Project) : 665-164835</v>
          </cell>
          <cell r="F43">
            <v>5110782130</v>
          </cell>
          <cell r="G43">
            <v>0</v>
          </cell>
          <cell r="H43">
            <v>5110782130</v>
          </cell>
          <cell r="I43">
            <v>0</v>
          </cell>
          <cell r="J43">
            <v>5110782130</v>
          </cell>
          <cell r="K43">
            <v>246125</v>
          </cell>
        </row>
        <row r="44">
          <cell r="A44" t="str">
            <v>_/_5120.1_/_10250</v>
          </cell>
          <cell r="B44"/>
          <cell r="C44" t="str">
            <v>5120.1</v>
          </cell>
          <cell r="D44" t="str">
            <v>10250</v>
          </cell>
          <cell r="E44" t="str">
            <v>Sanwa Bank - 0010.006076.001 (IDR)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</row>
        <row r="45">
          <cell r="A45" t="str">
            <v>_/_5120.1_/_10252</v>
          </cell>
          <cell r="B45"/>
          <cell r="C45" t="str">
            <v>5120.1</v>
          </cell>
          <cell r="D45" t="str">
            <v>10252</v>
          </cell>
          <cell r="E45" t="str">
            <v>Daiwa Perdania Bank - 0103.3530.001 (IDR)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</row>
        <row r="46">
          <cell r="A46" t="str">
            <v>_/_5120.1_/_102TG01 new</v>
          </cell>
          <cell r="B46"/>
          <cell r="C46" t="str">
            <v>5120.1</v>
          </cell>
          <cell r="D46" t="str">
            <v>102TG01 new</v>
          </cell>
          <cell r="E46" t="str">
            <v>SMI - Tangguh : 1019490101 (IDR)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</row>
        <row r="47">
          <cell r="A47" t="str">
            <v>_/_5120.1_/_102VGIR</v>
          </cell>
          <cell r="B47"/>
          <cell r="C47" t="str">
            <v>5120.1</v>
          </cell>
          <cell r="D47" t="str">
            <v>102VGIR</v>
          </cell>
          <cell r="E47" t="str">
            <v>BNI - Bekasi: 181.004080468.051 (IDR)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</row>
        <row r="48">
          <cell r="A48" t="str">
            <v>_/_5120.1_/_102YGIR</v>
          </cell>
          <cell r="B48"/>
          <cell r="C48" t="str">
            <v>5120.1</v>
          </cell>
          <cell r="D48" t="str">
            <v>102YGIR</v>
          </cell>
          <cell r="E48" t="str">
            <v>BNI - 181.004080468.051 (IDR)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</row>
        <row r="49">
          <cell r="A49" t="str">
            <v>_/_5120.1_/_</v>
          </cell>
          <cell r="C49" t="str">
            <v>5120.1</v>
          </cell>
          <cell r="E49" t="str">
            <v>TB Total - Cash in Bank (IDR)</v>
          </cell>
          <cell r="F49">
            <v>25032322145.389999</v>
          </cell>
          <cell r="G49">
            <v>0</v>
          </cell>
          <cell r="H49">
            <v>25032322145.389999</v>
          </cell>
          <cell r="I49">
            <v>0</v>
          </cell>
          <cell r="J49">
            <v>25032322145.389999</v>
          </cell>
          <cell r="K49">
            <v>19693570641.43</v>
          </cell>
        </row>
        <row r="50">
          <cell r="A50"/>
          <cell r="C50" t="str">
            <v>5120.2</v>
          </cell>
        </row>
        <row r="51">
          <cell r="A51" t="str">
            <v>_/_5120.2_/_102020011</v>
          </cell>
          <cell r="B51"/>
          <cell r="C51" t="str">
            <v>5120.2</v>
          </cell>
          <cell r="D51" t="str">
            <v>102020011</v>
          </cell>
          <cell r="E51" t="str">
            <v>BOT Mitsubishi UFJ (Head Off.) : 505524</v>
          </cell>
          <cell r="F51">
            <v>7364862753.8299999</v>
          </cell>
          <cell r="G51">
            <v>0</v>
          </cell>
          <cell r="H51">
            <v>7364862753.8299999</v>
          </cell>
          <cell r="I51">
            <v>0</v>
          </cell>
          <cell r="J51">
            <v>7364862753.8299999</v>
          </cell>
          <cell r="K51">
            <v>6420364200.8000002</v>
          </cell>
        </row>
        <row r="52">
          <cell r="A52" t="str">
            <v>_/_5120.2_/_102020031</v>
          </cell>
          <cell r="B52"/>
          <cell r="C52" t="str">
            <v>5120.2</v>
          </cell>
          <cell r="D52" t="str">
            <v>102020031</v>
          </cell>
          <cell r="E52" t="str">
            <v>SMBC (Head Office) : 106-294-0102</v>
          </cell>
          <cell r="F52">
            <v>530988307.23000002</v>
          </cell>
          <cell r="G52">
            <v>0</v>
          </cell>
          <cell r="H52">
            <v>530988307.23000002</v>
          </cell>
          <cell r="I52">
            <v>0</v>
          </cell>
          <cell r="J52">
            <v>530988307.23000002</v>
          </cell>
          <cell r="K52">
            <v>923241829.39999998</v>
          </cell>
        </row>
        <row r="53">
          <cell r="A53" t="str">
            <v>_/_5120.2_/_102020032</v>
          </cell>
          <cell r="B53"/>
          <cell r="C53" t="str">
            <v>5120.2</v>
          </cell>
          <cell r="D53" t="str">
            <v>102020032</v>
          </cell>
          <cell r="E53" t="str">
            <v>SMBC (Asahan Br) : 100-610-0102</v>
          </cell>
          <cell r="F53">
            <v>2556222.41</v>
          </cell>
          <cell r="G53">
            <v>0</v>
          </cell>
          <cell r="H53">
            <v>2556222.41</v>
          </cell>
          <cell r="I53">
            <v>0</v>
          </cell>
          <cell r="J53">
            <v>2556222.41</v>
          </cell>
          <cell r="K53">
            <v>2519556.6</v>
          </cell>
        </row>
        <row r="54">
          <cell r="A54" t="str">
            <v>_/_5120.2_/_102020061</v>
          </cell>
          <cell r="B54"/>
          <cell r="C54" t="str">
            <v>5120.2</v>
          </cell>
          <cell r="D54" t="str">
            <v>102020061</v>
          </cell>
          <cell r="E54" t="str">
            <v>Mizuho : 304147.0201</v>
          </cell>
          <cell r="F54">
            <v>33522974.52</v>
          </cell>
          <cell r="G54">
            <v>0</v>
          </cell>
          <cell r="H54">
            <v>33522974.52</v>
          </cell>
          <cell r="I54">
            <v>0</v>
          </cell>
          <cell r="J54">
            <v>33522974.52</v>
          </cell>
          <cell r="K54">
            <v>32116882.600000001</v>
          </cell>
        </row>
        <row r="55">
          <cell r="A55" t="str">
            <v>_/_5120.2_/_102020171</v>
          </cell>
          <cell r="B55"/>
          <cell r="C55" t="str">
            <v>5120.2</v>
          </cell>
          <cell r="D55" t="str">
            <v>102020171</v>
          </cell>
          <cell r="E55" t="str">
            <v>BNI Tanjung Priok : 0008067581</v>
          </cell>
          <cell r="F55">
            <v>165171584</v>
          </cell>
          <cell r="G55">
            <v>0</v>
          </cell>
          <cell r="H55">
            <v>165171584</v>
          </cell>
          <cell r="I55">
            <v>0</v>
          </cell>
          <cell r="J55">
            <v>165171584</v>
          </cell>
          <cell r="K55">
            <v>2300551</v>
          </cell>
        </row>
        <row r="56">
          <cell r="A56" t="str">
            <v>_/_5120.2_/_102021031</v>
          </cell>
          <cell r="B56"/>
          <cell r="C56" t="str">
            <v>5120.2</v>
          </cell>
          <cell r="D56" t="str">
            <v>102021031</v>
          </cell>
          <cell r="E56" t="str">
            <v>BNI Cilegon : 2305783</v>
          </cell>
          <cell r="F56">
            <v>181382059.75999999</v>
          </cell>
          <cell r="G56">
            <v>0</v>
          </cell>
          <cell r="H56">
            <v>181382059.75999999</v>
          </cell>
          <cell r="I56">
            <v>0</v>
          </cell>
          <cell r="J56">
            <v>181382059.75999999</v>
          </cell>
          <cell r="K56">
            <v>120432965.40000001</v>
          </cell>
        </row>
        <row r="57">
          <cell r="A57" t="str">
            <v>_/_5120.2_/_102023111</v>
          </cell>
          <cell r="B57"/>
          <cell r="C57" t="str">
            <v>5120.2</v>
          </cell>
          <cell r="D57" t="str">
            <v>102023111</v>
          </cell>
          <cell r="E57" t="str">
            <v>BOT Mitsubishi UFJ (Surabaya) : 216998</v>
          </cell>
          <cell r="F57">
            <v>20513545.91</v>
          </cell>
          <cell r="G57">
            <v>0</v>
          </cell>
          <cell r="H57">
            <v>20513545.91</v>
          </cell>
          <cell r="I57">
            <v>0</v>
          </cell>
          <cell r="J57">
            <v>20513545.91</v>
          </cell>
          <cell r="K57">
            <v>60172961.200000003</v>
          </cell>
        </row>
        <row r="58">
          <cell r="A58" t="str">
            <v>_/_5120.2_/_102024111</v>
          </cell>
          <cell r="B58"/>
          <cell r="C58" t="str">
            <v>5120.2</v>
          </cell>
          <cell r="D58" t="str">
            <v>102024111</v>
          </cell>
          <cell r="E58" t="str">
            <v>SMBC (Tangguh) : 101-949-0102</v>
          </cell>
          <cell r="F58">
            <v>6707011725.21</v>
          </cell>
          <cell r="G58">
            <v>0</v>
          </cell>
          <cell r="H58">
            <v>6707011725.21</v>
          </cell>
          <cell r="I58">
            <v>0</v>
          </cell>
          <cell r="J58">
            <v>6707011725.21</v>
          </cell>
          <cell r="K58">
            <v>14025517578.6</v>
          </cell>
        </row>
        <row r="59">
          <cell r="A59" t="str">
            <v>_/_5120.2_/_102025111</v>
          </cell>
          <cell r="B59"/>
          <cell r="C59" t="str">
            <v>5120.2</v>
          </cell>
          <cell r="D59" t="str">
            <v>102025111</v>
          </cell>
          <cell r="E59" t="str">
            <v>BOT Mitsubishi UFJ(Project) : 665-910476</v>
          </cell>
          <cell r="F59">
            <v>1016767204.0700001</v>
          </cell>
          <cell r="G59">
            <v>0</v>
          </cell>
          <cell r="H59">
            <v>1016767204.0700001</v>
          </cell>
          <cell r="I59">
            <v>0</v>
          </cell>
          <cell r="J59">
            <v>1016767204.0700001</v>
          </cell>
          <cell r="K59">
            <v>24670511.800000001</v>
          </cell>
        </row>
        <row r="60">
          <cell r="A60" t="str">
            <v>_/_5120.2_/_10214</v>
          </cell>
          <cell r="B60"/>
          <cell r="C60" t="str">
            <v>5120.2</v>
          </cell>
          <cell r="D60" t="str">
            <v>10214</v>
          </cell>
          <cell r="E60" t="str">
            <v>Sumitomo Nihon Bashi - 0213206 (USD)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</row>
        <row r="61">
          <cell r="A61" t="str">
            <v>_/_5120.2_/_10251</v>
          </cell>
          <cell r="B61"/>
          <cell r="C61" t="str">
            <v>5120.2</v>
          </cell>
          <cell r="D61" t="str">
            <v>10251</v>
          </cell>
          <cell r="E61" t="str">
            <v>Sanwa Bank - 0010.006076.002 (USD)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</row>
        <row r="62">
          <cell r="A62" t="str">
            <v>_/_5120.2_/_</v>
          </cell>
          <cell r="C62" t="str">
            <v>5120.2</v>
          </cell>
          <cell r="E62" t="str">
            <v>TB Total - Cash in Bank (USD)</v>
          </cell>
          <cell r="F62">
            <v>16022776376.939999</v>
          </cell>
          <cell r="G62">
            <v>0</v>
          </cell>
          <cell r="H62">
            <v>16022776376.939999</v>
          </cell>
          <cell r="I62">
            <v>0</v>
          </cell>
          <cell r="J62">
            <v>16022776376.939999</v>
          </cell>
          <cell r="K62">
            <v>21611337037.399998</v>
          </cell>
        </row>
        <row r="63">
          <cell r="A63"/>
          <cell r="C63" t="str">
            <v>5120.3</v>
          </cell>
        </row>
        <row r="64">
          <cell r="A64" t="str">
            <v>_/_5120.3_/_102030011</v>
          </cell>
          <cell r="B64"/>
          <cell r="C64" t="str">
            <v>5120.3</v>
          </cell>
          <cell r="D64" t="str">
            <v>102030011</v>
          </cell>
          <cell r="E64" t="str">
            <v>BOT Mitsubishi UFJ (Head Off.) : 565979</v>
          </cell>
          <cell r="F64">
            <v>207807662.78999999</v>
          </cell>
          <cell r="G64">
            <v>0</v>
          </cell>
          <cell r="H64">
            <v>207807662.78999999</v>
          </cell>
          <cell r="I64">
            <v>0</v>
          </cell>
          <cell r="J64">
            <v>207807662.78999999</v>
          </cell>
          <cell r="K64">
            <v>205954739.80000001</v>
          </cell>
        </row>
        <row r="65">
          <cell r="A65" t="str">
            <v>_/_5120.3_/_102033111</v>
          </cell>
          <cell r="B65"/>
          <cell r="C65" t="str">
            <v>5120.3</v>
          </cell>
          <cell r="D65" t="str">
            <v>102033111</v>
          </cell>
          <cell r="E65" t="str">
            <v>BOT Mitsubishi UFJ (Surabaya) : 218894</v>
          </cell>
          <cell r="F65">
            <v>21687251.039999999</v>
          </cell>
          <cell r="G65">
            <v>0</v>
          </cell>
          <cell r="H65">
            <v>21687251.039999999</v>
          </cell>
          <cell r="I65">
            <v>0</v>
          </cell>
          <cell r="J65">
            <v>21687251.039999999</v>
          </cell>
          <cell r="K65">
            <v>19903260.800000001</v>
          </cell>
        </row>
        <row r="66">
          <cell r="A66" t="str">
            <v>_/_5120.3_/_10213</v>
          </cell>
          <cell r="B66"/>
          <cell r="C66" t="str">
            <v>5120.3</v>
          </cell>
          <cell r="D66" t="str">
            <v>10213</v>
          </cell>
          <cell r="E66" t="str">
            <v>Sumitomo Nihon Bashi - 0213206 (JPY)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</row>
        <row r="67">
          <cell r="A67" t="str">
            <v>_/_5120.3_/_</v>
          </cell>
          <cell r="C67" t="str">
            <v>5120.3</v>
          </cell>
          <cell r="E67" t="str">
            <v>TB Total - Cash in Bank (JPY)</v>
          </cell>
          <cell r="F67">
            <v>229494913.82999998</v>
          </cell>
          <cell r="G67">
            <v>0</v>
          </cell>
          <cell r="H67">
            <v>229494913.82999998</v>
          </cell>
          <cell r="I67">
            <v>0</v>
          </cell>
          <cell r="J67">
            <v>229494913.82999998</v>
          </cell>
          <cell r="K67">
            <v>225858000.60000002</v>
          </cell>
        </row>
        <row r="68">
          <cell r="A68"/>
          <cell r="C68" t="str">
            <v>5130.1</v>
          </cell>
        </row>
        <row r="69">
          <cell r="A69" t="str">
            <v>_/_5130.1_/_10401</v>
          </cell>
          <cell r="B69"/>
          <cell r="C69" t="str">
            <v>5130.1</v>
          </cell>
          <cell r="D69" t="str">
            <v>10401</v>
          </cell>
          <cell r="E69" t="str">
            <v>IDR BTD Short Term (&lt;3 Months)</v>
          </cell>
          <cell r="F69">
            <v>3126058056.96</v>
          </cell>
          <cell r="G69">
            <v>0</v>
          </cell>
          <cell r="H69">
            <v>3126058056.96</v>
          </cell>
          <cell r="I69">
            <v>0</v>
          </cell>
          <cell r="J69">
            <v>3126058056.96</v>
          </cell>
          <cell r="K69">
            <v>0</v>
          </cell>
        </row>
        <row r="70">
          <cell r="A70" t="str">
            <v>_/_5130.1_/_10421</v>
          </cell>
          <cell r="B70"/>
          <cell r="C70" t="str">
            <v>5130.1</v>
          </cell>
          <cell r="D70" t="str">
            <v>10421</v>
          </cell>
          <cell r="E70" t="str">
            <v>TD SMI   Periode  3 Month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A71" t="str">
            <v>_/_5130.1_/_10431</v>
          </cell>
          <cell r="B71"/>
          <cell r="C71" t="str">
            <v>5130.1</v>
          </cell>
          <cell r="D71" t="str">
            <v>10431</v>
          </cell>
          <cell r="E71" t="str">
            <v>TD Mandiri no.102-02-0402497-7  1 Month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</row>
        <row r="72">
          <cell r="A72" t="str">
            <v>_/_5130.1_/_10434</v>
          </cell>
          <cell r="B72"/>
          <cell r="C72" t="str">
            <v>5130.1</v>
          </cell>
          <cell r="D72" t="str">
            <v>10434</v>
          </cell>
          <cell r="E72" t="str">
            <v>TD UFJ  FDM24FEB030008 Periode  3 Month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</row>
        <row r="73">
          <cell r="A73" t="str">
            <v>_/_5130.1_/_10440</v>
          </cell>
          <cell r="B73"/>
          <cell r="C73" t="str">
            <v>5130.1</v>
          </cell>
          <cell r="D73" t="str">
            <v>10440</v>
          </cell>
          <cell r="E73" t="str">
            <v>TD UFJ  FDM20FEB040003 Periode  1 Month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</row>
        <row r="74">
          <cell r="A74" t="str">
            <v>_/_5130.1_/_10441</v>
          </cell>
          <cell r="B74"/>
          <cell r="C74" t="str">
            <v>5130.1</v>
          </cell>
          <cell r="D74" t="str">
            <v>10441</v>
          </cell>
          <cell r="E74" t="str">
            <v>TD UFJ  FDM20FEB040004 Periode  1 Month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</row>
        <row r="75">
          <cell r="A75" t="str">
            <v>_/_5130.1_/_10442</v>
          </cell>
          <cell r="B75"/>
          <cell r="C75" t="str">
            <v>5130.1</v>
          </cell>
          <cell r="D75" t="str">
            <v>10442</v>
          </cell>
          <cell r="E75" t="str">
            <v>TD UFJ  FDM20FEB040005 Periode  1 Month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</row>
        <row r="76">
          <cell r="A76" t="str">
            <v>_/_5130.1_/_10443</v>
          </cell>
          <cell r="B76"/>
          <cell r="C76" t="str">
            <v>5130.1</v>
          </cell>
          <cell r="D76" t="str">
            <v>10443</v>
          </cell>
          <cell r="E76" t="str">
            <v>TD UFJ  FDM20FEB040006 Periode  1 Month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</row>
        <row r="77">
          <cell r="A77" t="str">
            <v>_/_5130.1_/_10447</v>
          </cell>
          <cell r="B77"/>
          <cell r="C77" t="str">
            <v>5130.1</v>
          </cell>
          <cell r="D77" t="str">
            <v>10447</v>
          </cell>
          <cell r="E77" t="str">
            <v>TD Sumitomo Mitsui Ind. BG 3402/CB/04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25000000</v>
          </cell>
        </row>
        <row r="78">
          <cell r="A78" t="str">
            <v>_/_5130.1_/_10449</v>
          </cell>
          <cell r="B78"/>
          <cell r="C78" t="str">
            <v>5130.1</v>
          </cell>
          <cell r="D78" t="str">
            <v>10449</v>
          </cell>
          <cell r="E78" t="str">
            <v>TD Sumitomo Mitsui Ind. BG 3587/CB/04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150000000</v>
          </cell>
        </row>
        <row r="79">
          <cell r="A79" t="str">
            <v>_/_5130.1_/_10452</v>
          </cell>
          <cell r="B79"/>
          <cell r="C79" t="str">
            <v>5130.1</v>
          </cell>
          <cell r="D79" t="str">
            <v>10452</v>
          </cell>
          <cell r="E79" t="str">
            <v>TD BOT-M No. 034273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</row>
        <row r="80">
          <cell r="A80" t="str">
            <v>_/_5130.1_/_10453</v>
          </cell>
          <cell r="B80"/>
          <cell r="C80" t="str">
            <v>5130.1</v>
          </cell>
          <cell r="D80" t="str">
            <v>10453</v>
          </cell>
          <cell r="E80" t="str">
            <v>TD BOT-M No. 034274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</row>
        <row r="81">
          <cell r="A81" t="str">
            <v>_/_5130.1_/_10454</v>
          </cell>
          <cell r="B81"/>
          <cell r="C81" t="str">
            <v>5130.1</v>
          </cell>
          <cell r="D81" t="str">
            <v>10454</v>
          </cell>
          <cell r="E81" t="str">
            <v>TD BOT-M No. 034275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</row>
        <row r="82">
          <cell r="A82" t="str">
            <v>_/_5130.1_/_10455</v>
          </cell>
          <cell r="B82"/>
          <cell r="C82" t="str">
            <v>5130.1</v>
          </cell>
          <cell r="D82" t="str">
            <v>10455</v>
          </cell>
          <cell r="E82" t="str">
            <v>TD BOT-M No. 034276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</row>
        <row r="83">
          <cell r="A83" t="str">
            <v>_/_5130.1_/_10456</v>
          </cell>
          <cell r="B83"/>
          <cell r="C83" t="str">
            <v>5130.1</v>
          </cell>
          <cell r="D83" t="str">
            <v>10456</v>
          </cell>
          <cell r="E83" t="str">
            <v>TD BOT-M No. 034277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</row>
        <row r="84">
          <cell r="A84" t="str">
            <v>_/_5130.1_/_10457</v>
          </cell>
          <cell r="B84"/>
          <cell r="C84" t="str">
            <v>5130.1</v>
          </cell>
          <cell r="D84" t="str">
            <v>10457</v>
          </cell>
          <cell r="E84" t="str">
            <v>TD BOT-M No. 034248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</row>
        <row r="85">
          <cell r="A85" t="str">
            <v>_/_5130.1_/_104AB02</v>
          </cell>
          <cell r="B85"/>
          <cell r="C85" t="str">
            <v>5130.1</v>
          </cell>
          <cell r="D85" t="str">
            <v>104AB02</v>
          </cell>
          <cell r="E85" t="str">
            <v>TD SMI Periode  1 Month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</row>
        <row r="86">
          <cell r="A86" t="str">
            <v>_/_5130.1_/_</v>
          </cell>
          <cell r="C86" t="str">
            <v>5130.1</v>
          </cell>
          <cell r="E86" t="str">
            <v>TB Total - Time Deposit (IDR) (&lt; 3 months)</v>
          </cell>
          <cell r="F86">
            <v>3126058056.96</v>
          </cell>
          <cell r="G86">
            <v>0</v>
          </cell>
          <cell r="H86">
            <v>3126058056.96</v>
          </cell>
          <cell r="I86">
            <v>0</v>
          </cell>
          <cell r="J86">
            <v>3126058056.96</v>
          </cell>
          <cell r="K86">
            <v>175000000</v>
          </cell>
        </row>
        <row r="87">
          <cell r="A87"/>
          <cell r="C87" t="str">
            <v>5130.2</v>
          </cell>
        </row>
        <row r="88">
          <cell r="A88" t="str">
            <v>_/_5130.2_/_10402</v>
          </cell>
          <cell r="B88"/>
          <cell r="C88" t="str">
            <v>5130.2</v>
          </cell>
          <cell r="D88" t="str">
            <v>10402</v>
          </cell>
          <cell r="E88" t="str">
            <v>USD BTD Short Term (&lt;3 Months)</v>
          </cell>
          <cell r="F88">
            <v>7708519207.3800001</v>
          </cell>
          <cell r="G88">
            <v>0</v>
          </cell>
          <cell r="H88">
            <v>7708519207.3800001</v>
          </cell>
          <cell r="I88">
            <v>0</v>
          </cell>
          <cell r="J88">
            <v>7708519207.3800001</v>
          </cell>
          <cell r="K88">
            <v>0</v>
          </cell>
        </row>
        <row r="89">
          <cell r="A89" t="str">
            <v>_/_5130.2_/_10414</v>
          </cell>
          <cell r="B89"/>
          <cell r="C89" t="str">
            <v>5130.2</v>
          </cell>
          <cell r="D89" t="str">
            <v>10414</v>
          </cell>
          <cell r="E89" t="str">
            <v>TD BII  No. 3-02030-145-19761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</row>
        <row r="90">
          <cell r="A90" t="str">
            <v>_/_5130.2_/_10415</v>
          </cell>
          <cell r="B90"/>
          <cell r="C90" t="str">
            <v>5130.2</v>
          </cell>
          <cell r="D90" t="str">
            <v>10415</v>
          </cell>
          <cell r="E90" t="str">
            <v>TD BII  No. 3-02030-145-19762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</row>
        <row r="91">
          <cell r="A91" t="str">
            <v>_/_5130.2_/_10416</v>
          </cell>
          <cell r="B91"/>
          <cell r="C91" t="str">
            <v>5130.2</v>
          </cell>
          <cell r="D91" t="str">
            <v>10416</v>
          </cell>
          <cell r="E91" t="str">
            <v>TD BII  No. 3-02030-145-19763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</row>
        <row r="92">
          <cell r="A92" t="str">
            <v>_/_5130.2_/_10426</v>
          </cell>
          <cell r="B92"/>
          <cell r="C92" t="str">
            <v>5130.2</v>
          </cell>
          <cell r="D92" t="str">
            <v>10426</v>
          </cell>
          <cell r="E92" t="str">
            <v>TD UFJ (Sanwa Bank) FDM12NOV010004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</row>
        <row r="93">
          <cell r="A93" t="str">
            <v>_/_5130.2_/_10427</v>
          </cell>
          <cell r="B93"/>
          <cell r="C93" t="str">
            <v>5130.2</v>
          </cell>
          <cell r="D93" t="str">
            <v>10427</v>
          </cell>
          <cell r="E93" t="str">
            <v>TD BII  No. 3.02051.145.19828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</row>
        <row r="94">
          <cell r="A94" t="str">
            <v>_/_5130.2_/_10428</v>
          </cell>
          <cell r="B94"/>
          <cell r="C94" t="str">
            <v>5130.2</v>
          </cell>
          <cell r="D94" t="str">
            <v>10428</v>
          </cell>
          <cell r="E94" t="str">
            <v>TD BII  No. 3.02051.145.19829   1 Month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</row>
        <row r="95">
          <cell r="A95" t="str">
            <v>_/_5130.2_/_104AB01</v>
          </cell>
          <cell r="B95"/>
          <cell r="C95" t="str">
            <v>5130.2</v>
          </cell>
          <cell r="D95" t="str">
            <v>104AB01</v>
          </cell>
          <cell r="E95" t="str">
            <v>TD Sumitomo Indonesia (US$ 170,000)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</row>
        <row r="96">
          <cell r="A96" t="str">
            <v>_/_5130.2_/_</v>
          </cell>
          <cell r="C96" t="str">
            <v>5130.2</v>
          </cell>
          <cell r="E96" t="str">
            <v>TB Total - Time Deposit (USD) (&lt; 3 months)</v>
          </cell>
          <cell r="F96">
            <v>7708519207.3800001</v>
          </cell>
          <cell r="G96">
            <v>0</v>
          </cell>
          <cell r="H96">
            <v>7708519207.3800001</v>
          </cell>
          <cell r="I96">
            <v>0</v>
          </cell>
          <cell r="J96">
            <v>7708519207.3800001</v>
          </cell>
          <cell r="K96">
            <v>0</v>
          </cell>
        </row>
        <row r="97">
          <cell r="A97"/>
          <cell r="C97" t="str">
            <v>5140</v>
          </cell>
        </row>
        <row r="98">
          <cell r="A98" t="str">
            <v>_/_5140_/_104AB02.1HTM</v>
          </cell>
          <cell r="B98"/>
          <cell r="C98" t="str">
            <v>5140</v>
          </cell>
          <cell r="D98" t="str">
            <v>104AB02.1HTM</v>
          </cell>
          <cell r="E98" t="str">
            <v>TD Sumitomo Indonesia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</row>
        <row r="99">
          <cell r="A99" t="str">
            <v>_/_5140_/_163.1HTM</v>
          </cell>
          <cell r="B99"/>
          <cell r="C99" t="str">
            <v>5140</v>
          </cell>
          <cell r="D99" t="str">
            <v>163.1HTM</v>
          </cell>
          <cell r="E99" t="str">
            <v>Bank Guarantee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</row>
        <row r="100">
          <cell r="A100" t="str">
            <v>_/_5140_/_</v>
          </cell>
          <cell r="C100" t="str">
            <v>5140</v>
          </cell>
          <cell r="E100" t="str">
            <v>TB Total - Restricted cash and cash equivalents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</row>
        <row r="101">
          <cell r="A101"/>
          <cell r="C101" t="str">
            <v>5150.1</v>
          </cell>
        </row>
        <row r="102">
          <cell r="A102" t="str">
            <v>_/_5150.1_/_10423</v>
          </cell>
          <cell r="B102"/>
          <cell r="C102" t="str">
            <v>5150.1</v>
          </cell>
          <cell r="D102" t="str">
            <v>10423</v>
          </cell>
          <cell r="E102" t="str">
            <v>TD UFJ  FDM08FEB010004 Periode  1 Year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</row>
        <row r="103">
          <cell r="A103" t="str">
            <v>_/_5150.1_/_10424</v>
          </cell>
          <cell r="B103"/>
          <cell r="C103" t="str">
            <v>5150.1</v>
          </cell>
          <cell r="D103" t="str">
            <v>10424</v>
          </cell>
          <cell r="E103" t="str">
            <v>TD UFJ  FDM12FEB010010 Periode  1 Year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</row>
        <row r="104">
          <cell r="A104" t="str">
            <v>_/_5150.1_/_10437</v>
          </cell>
          <cell r="B104"/>
          <cell r="C104" t="str">
            <v>5150.1</v>
          </cell>
          <cell r="D104" t="str">
            <v>10437</v>
          </cell>
          <cell r="E104" t="str">
            <v>TD BII  No. 3.02211.145.25329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</row>
        <row r="105">
          <cell r="A105" t="str">
            <v>_/_5150.1_/_10451</v>
          </cell>
          <cell r="B105"/>
          <cell r="C105" t="str">
            <v>5150.1</v>
          </cell>
          <cell r="D105" t="str">
            <v>10451</v>
          </cell>
          <cell r="E105" t="str">
            <v>IDR BTD Long Term (&gt;3 Months)</v>
          </cell>
          <cell r="F105">
            <v>425000000</v>
          </cell>
          <cell r="G105">
            <v>0</v>
          </cell>
          <cell r="H105">
            <v>425000000</v>
          </cell>
          <cell r="I105">
            <v>0</v>
          </cell>
          <cell r="J105">
            <v>425000000</v>
          </cell>
          <cell r="K105">
            <v>0</v>
          </cell>
        </row>
        <row r="106">
          <cell r="A106" t="str">
            <v>_/_5150.1_/_</v>
          </cell>
          <cell r="C106" t="str">
            <v>5150.1</v>
          </cell>
          <cell r="E106" t="str">
            <v>TB Total - Time Deposit (IDR) (&gt; 3 months)</v>
          </cell>
          <cell r="F106">
            <v>425000000</v>
          </cell>
          <cell r="G106">
            <v>0</v>
          </cell>
          <cell r="H106">
            <v>425000000</v>
          </cell>
          <cell r="I106">
            <v>0</v>
          </cell>
          <cell r="J106">
            <v>425000000</v>
          </cell>
          <cell r="K106">
            <v>0</v>
          </cell>
        </row>
        <row r="107">
          <cell r="A107"/>
          <cell r="C107" t="str">
            <v>5150.2</v>
          </cell>
        </row>
        <row r="108">
          <cell r="A108" t="str">
            <v>_/_5150.2_/_10418</v>
          </cell>
          <cell r="B108"/>
          <cell r="C108" t="str">
            <v>5150.2</v>
          </cell>
          <cell r="D108" t="str">
            <v>10418</v>
          </cell>
          <cell r="E108" t="str">
            <v>TD Sumitomo Indonesia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</row>
        <row r="109">
          <cell r="A109" t="str">
            <v>_/_5150.2_/_</v>
          </cell>
          <cell r="C109" t="str">
            <v>5150.2</v>
          </cell>
          <cell r="E109" t="str">
            <v>TB Total - Time Deposit (USD) (&gt; 3 months)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</row>
        <row r="110">
          <cell r="A110"/>
          <cell r="C110" t="str">
            <v>5150.3</v>
          </cell>
        </row>
        <row r="111">
          <cell r="A111" t="str">
            <v>_/_5150.3_/_161</v>
          </cell>
          <cell r="B111"/>
          <cell r="C111" t="str">
            <v>5150.3</v>
          </cell>
          <cell r="D111" t="str">
            <v>161</v>
          </cell>
          <cell r="E111" t="str">
            <v>Investment Securities</v>
          </cell>
          <cell r="F111">
            <v>47600000</v>
          </cell>
          <cell r="G111">
            <v>0</v>
          </cell>
          <cell r="H111">
            <v>47600000</v>
          </cell>
          <cell r="I111">
            <v>0</v>
          </cell>
          <cell r="J111">
            <v>47600000</v>
          </cell>
          <cell r="K111">
            <v>42600000</v>
          </cell>
        </row>
        <row r="112">
          <cell r="A112" t="str">
            <v>_/_5150.3_/_</v>
          </cell>
          <cell r="C112" t="str">
            <v>5150.3</v>
          </cell>
          <cell r="E112" t="str">
            <v>TB Total - Available for sale securities</v>
          </cell>
          <cell r="F112">
            <v>47600000</v>
          </cell>
          <cell r="G112">
            <v>0</v>
          </cell>
          <cell r="H112">
            <v>47600000</v>
          </cell>
          <cell r="I112">
            <v>0</v>
          </cell>
          <cell r="J112">
            <v>47600000</v>
          </cell>
          <cell r="K112">
            <v>42600000</v>
          </cell>
        </row>
        <row r="113">
          <cell r="A113"/>
          <cell r="C113" t="str">
            <v>5200</v>
          </cell>
        </row>
        <row r="114">
          <cell r="A114" t="str">
            <v>_/_5200_/_11401</v>
          </cell>
          <cell r="B114"/>
          <cell r="C114" t="str">
            <v>5200</v>
          </cell>
          <cell r="D114" t="str">
            <v>11401</v>
          </cell>
          <cell r="E114" t="str">
            <v>Bimantara citra (12,000 shares of stock)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</row>
        <row r="115">
          <cell r="A115" t="str">
            <v>_/_5200_/_161.1 HTM</v>
          </cell>
          <cell r="B115"/>
          <cell r="C115" t="str">
            <v>5200</v>
          </cell>
          <cell r="D115" t="str">
            <v>161.1 HTM</v>
          </cell>
          <cell r="E115" t="str">
            <v>Investment Langen Kridha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</row>
        <row r="116">
          <cell r="A116" t="str">
            <v>_/_5200_/_16101</v>
          </cell>
          <cell r="B116"/>
          <cell r="C116" t="str">
            <v>5200</v>
          </cell>
          <cell r="D116" t="str">
            <v>16101</v>
          </cell>
          <cell r="E116" t="str">
            <v>Handfast Forwarders (BSA) US$350,000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</row>
        <row r="117">
          <cell r="A117" t="str">
            <v>_/_5200_/_16102 new</v>
          </cell>
          <cell r="B117"/>
          <cell r="C117" t="str">
            <v>5200</v>
          </cell>
          <cell r="D117" t="str">
            <v>16102 new</v>
          </cell>
          <cell r="E117" t="str">
            <v>Shares of Stock-Langen Krida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5000000</v>
          </cell>
        </row>
        <row r="118">
          <cell r="A118" t="str">
            <v>_/_5200_/_16103 new</v>
          </cell>
          <cell r="B118"/>
          <cell r="C118" t="str">
            <v>5200</v>
          </cell>
          <cell r="D118" t="str">
            <v>16103 new</v>
          </cell>
          <cell r="E118" t="str">
            <v>Langen Krida (Bandung Girigahana)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</row>
        <row r="119">
          <cell r="A119" t="str">
            <v>_/_5200_/_</v>
          </cell>
          <cell r="C119" t="str">
            <v>5200</v>
          </cell>
          <cell r="E119" t="str">
            <v>TB Total - Investments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5000000</v>
          </cell>
        </row>
        <row r="120">
          <cell r="A120"/>
          <cell r="C120" t="str">
            <v>5310.1</v>
          </cell>
        </row>
        <row r="121">
          <cell r="A121" t="str">
            <v>_/_5310.1_/_105</v>
          </cell>
          <cell r="B121"/>
          <cell r="C121" t="str">
            <v>5310.1</v>
          </cell>
          <cell r="D121" t="str">
            <v>105</v>
          </cell>
          <cell r="E121" t="str">
            <v>Account Receivable Trade</v>
          </cell>
          <cell r="F121">
            <v>55898932150.07</v>
          </cell>
          <cell r="G121">
            <v>0</v>
          </cell>
          <cell r="H121">
            <v>55898932150.07</v>
          </cell>
          <cell r="I121">
            <v>0</v>
          </cell>
          <cell r="J121">
            <v>55898932150.07</v>
          </cell>
          <cell r="K121">
            <v>87829889154.580002</v>
          </cell>
        </row>
        <row r="122">
          <cell r="A122" t="str">
            <v>_/_5310.1_/_105AI</v>
          </cell>
          <cell r="B122"/>
          <cell r="C122" t="str">
            <v>5310.1</v>
          </cell>
          <cell r="D122" t="str">
            <v>105AI</v>
          </cell>
          <cell r="E122" t="str">
            <v>Accrued income for invoice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</row>
        <row r="123">
          <cell r="A123" t="str">
            <v>_/_5310.1_/_</v>
          </cell>
          <cell r="C123" t="str">
            <v>5310.1</v>
          </cell>
          <cell r="E123" t="str">
            <v>TB Total - Trade A/R - Third Parties</v>
          </cell>
          <cell r="F123">
            <v>55898932150.07</v>
          </cell>
          <cell r="G123">
            <v>0</v>
          </cell>
          <cell r="H123">
            <v>55898932150.07</v>
          </cell>
          <cell r="I123">
            <v>0</v>
          </cell>
          <cell r="J123">
            <v>55898932150.07</v>
          </cell>
          <cell r="K123">
            <v>87829889154.580002</v>
          </cell>
        </row>
        <row r="124">
          <cell r="A124"/>
          <cell r="C124" t="str">
            <v>5310.2</v>
          </cell>
        </row>
        <row r="125">
          <cell r="A125" t="str">
            <v>_/_5310.2_/_10701</v>
          </cell>
          <cell r="B125"/>
          <cell r="C125" t="str">
            <v>5310.2</v>
          </cell>
          <cell r="D125" t="str">
            <v>10701</v>
          </cell>
          <cell r="E125" t="str">
            <v>Sankyu Inc Technical Center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</row>
        <row r="126">
          <cell r="A126" t="str">
            <v>_/_5310.2_/_10702</v>
          </cell>
          <cell r="B126"/>
          <cell r="C126" t="str">
            <v>5310.2</v>
          </cell>
          <cell r="D126" t="str">
            <v>10702</v>
          </cell>
          <cell r="E126" t="str">
            <v>Sankyu Inc Yokohama Branch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</row>
        <row r="127">
          <cell r="A127" t="str">
            <v>_/_5310.2_/_10704</v>
          </cell>
          <cell r="B127"/>
          <cell r="C127" t="str">
            <v>5310.2</v>
          </cell>
          <cell r="D127" t="str">
            <v>10704</v>
          </cell>
          <cell r="E127" t="str">
            <v>Sankyu Tokyo Branch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</row>
        <row r="128">
          <cell r="A128" t="str">
            <v>_/_5310.2_/_10707</v>
          </cell>
          <cell r="B128"/>
          <cell r="C128" t="str">
            <v>5310.2</v>
          </cell>
          <cell r="D128" t="str">
            <v>10707</v>
          </cell>
          <cell r="E128" t="str">
            <v>Sankyu Chiba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</row>
        <row r="129">
          <cell r="A129" t="str">
            <v>_/_5310.2_/_10710</v>
          </cell>
          <cell r="B129"/>
          <cell r="C129" t="str">
            <v>5310.2</v>
          </cell>
          <cell r="D129" t="str">
            <v>10710</v>
          </cell>
          <cell r="E129" t="str">
            <v>Sankyu Inc Kobe Branch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</row>
        <row r="130">
          <cell r="A130" t="str">
            <v>_/_5310.2_/_10711</v>
          </cell>
          <cell r="B130"/>
          <cell r="C130" t="str">
            <v>5310.2</v>
          </cell>
          <cell r="D130" t="str">
            <v>10711</v>
          </cell>
          <cell r="E130" t="str">
            <v>Sankyu Inc, Osaka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</row>
        <row r="131">
          <cell r="A131" t="str">
            <v>_/_5310.2_/_10712</v>
          </cell>
          <cell r="B131"/>
          <cell r="C131" t="str">
            <v>5310.2</v>
          </cell>
          <cell r="D131" t="str">
            <v>10712</v>
          </cell>
          <cell r="E131" t="str">
            <v>Sankyu Eastern HK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80367117.599999994</v>
          </cell>
        </row>
        <row r="132">
          <cell r="A132" t="str">
            <v>_/_5310.2_/_10714</v>
          </cell>
          <cell r="B132"/>
          <cell r="C132" t="str">
            <v>5310.2</v>
          </cell>
          <cell r="D132" t="str">
            <v>10714</v>
          </cell>
          <cell r="E132" t="str">
            <v>Sankyu Air Tokyo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</row>
        <row r="133">
          <cell r="A133" t="str">
            <v>_/_5310.2_/_10716</v>
          </cell>
          <cell r="B133"/>
          <cell r="C133" t="str">
            <v>5310.2</v>
          </cell>
          <cell r="D133" t="str">
            <v>10716</v>
          </cell>
          <cell r="E133" t="str">
            <v xml:space="preserve">Sankyu Inc. Kyobayashi Branch 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</row>
        <row r="134">
          <cell r="A134" t="str">
            <v>_/_5310.2_/_10718</v>
          </cell>
          <cell r="B134"/>
          <cell r="C134" t="str">
            <v>5310.2</v>
          </cell>
          <cell r="D134" t="str">
            <v>10718</v>
          </cell>
          <cell r="E134" t="str">
            <v>Sankyu Fukuoka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</row>
        <row r="135">
          <cell r="A135" t="str">
            <v>_/_5310.2_/_10724</v>
          </cell>
          <cell r="B135"/>
          <cell r="C135" t="str">
            <v>5310.2</v>
          </cell>
          <cell r="D135" t="str">
            <v>10724</v>
          </cell>
          <cell r="E135" t="str">
            <v>Sankyu Inc, Kitakyushu Branch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</row>
        <row r="136">
          <cell r="A136" t="str">
            <v>_/_5310.2_/_10726</v>
          </cell>
          <cell r="B136"/>
          <cell r="C136" t="str">
            <v>5310.2</v>
          </cell>
          <cell r="D136" t="str">
            <v>10726</v>
          </cell>
          <cell r="E136" t="str">
            <v>Sankyu Air Nagoya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</row>
        <row r="137">
          <cell r="A137" t="str">
            <v>_/_5310.2_/_10727</v>
          </cell>
          <cell r="B137"/>
          <cell r="C137" t="str">
            <v>5310.2</v>
          </cell>
          <cell r="D137" t="str">
            <v>10727</v>
          </cell>
          <cell r="E137" t="str">
            <v>Sankyu Wakamatsu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</row>
        <row r="138">
          <cell r="A138" t="str">
            <v>_/_5310.2_/_10733</v>
          </cell>
          <cell r="B138"/>
          <cell r="C138" t="str">
            <v>5310.2</v>
          </cell>
          <cell r="D138" t="str">
            <v>10733</v>
          </cell>
          <cell r="E138" t="str">
            <v>Sankyu Inc, Logistics Services Division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1168766500</v>
          </cell>
        </row>
        <row r="139">
          <cell r="A139" t="str">
            <v>_/_5310.2_/_10734</v>
          </cell>
          <cell r="B139"/>
          <cell r="C139" t="str">
            <v>5310.2</v>
          </cell>
          <cell r="D139" t="str">
            <v>10734</v>
          </cell>
          <cell r="E139" t="str">
            <v>Sankyu Laemchabang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</row>
        <row r="140">
          <cell r="A140" t="str">
            <v>_/_5310.2_/_10735</v>
          </cell>
          <cell r="B140"/>
          <cell r="C140" t="str">
            <v>5310.2</v>
          </cell>
          <cell r="D140" t="str">
            <v>10735</v>
          </cell>
          <cell r="E140" t="str">
            <v>Sankyu Inc, Kansai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</row>
        <row r="141">
          <cell r="A141" t="str">
            <v>_/_5310.2_/_10736</v>
          </cell>
          <cell r="B141"/>
          <cell r="C141" t="str">
            <v>5310.2</v>
          </cell>
          <cell r="D141" t="str">
            <v>10736</v>
          </cell>
          <cell r="E141" t="str">
            <v>Sankyu Logistics Philippines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</row>
        <row r="142">
          <cell r="A142" t="str">
            <v>_/_5310.2_/_10740</v>
          </cell>
          <cell r="B142"/>
          <cell r="C142" t="str">
            <v>5310.2</v>
          </cell>
          <cell r="D142" t="str">
            <v>10740</v>
          </cell>
          <cell r="E142" t="str">
            <v>Sankyu Inc IPF Dept.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</row>
        <row r="143">
          <cell r="A143" t="str">
            <v>_/_5310.2_/_10741</v>
          </cell>
          <cell r="B143"/>
          <cell r="C143" t="str">
            <v>5310.2</v>
          </cell>
          <cell r="D143" t="str">
            <v>10741</v>
          </cell>
          <cell r="E143" t="str">
            <v>Sankyu Inc Nagoya Branch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</row>
        <row r="144">
          <cell r="A144" t="str">
            <v>_/_5310.2_/_10743</v>
          </cell>
          <cell r="B144"/>
          <cell r="C144" t="str">
            <v>5310.2</v>
          </cell>
          <cell r="D144" t="str">
            <v>10743</v>
          </cell>
          <cell r="E144" t="str">
            <v>Tianjin Tianshan International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</row>
        <row r="145">
          <cell r="A145" t="str">
            <v>_/_5310.2_/_10748</v>
          </cell>
          <cell r="B145"/>
          <cell r="C145" t="str">
            <v>5310.2</v>
          </cell>
          <cell r="D145" t="str">
            <v>10748</v>
          </cell>
          <cell r="E145" t="str">
            <v>Sankyu Inc Hamamatsu Office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</row>
        <row r="146">
          <cell r="A146" t="str">
            <v>_/_5310.2_/_10750 new</v>
          </cell>
          <cell r="B146"/>
          <cell r="C146" t="str">
            <v>5310.2</v>
          </cell>
          <cell r="D146" t="str">
            <v>10750 new</v>
          </cell>
          <cell r="E146" t="str">
            <v>Sankyu  Guang Zhou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</row>
        <row r="147">
          <cell r="A147" t="str">
            <v>_/_5310.2_/_107A1</v>
          </cell>
          <cell r="B147"/>
          <cell r="C147" t="str">
            <v>5310.2</v>
          </cell>
          <cell r="D147" t="str">
            <v>107A1</v>
          </cell>
          <cell r="E147" t="str">
            <v>Accrued income for invoice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</row>
        <row r="148">
          <cell r="A148" t="str">
            <v>_/_5310.2_/_107SG101000</v>
          </cell>
          <cell r="B148"/>
          <cell r="C148" t="str">
            <v>5310.2</v>
          </cell>
          <cell r="D148" t="str">
            <v>107SG101000</v>
          </cell>
          <cell r="E148" t="str">
            <v>Sankyu INC.</v>
          </cell>
          <cell r="F148">
            <v>2958337177.0100002</v>
          </cell>
          <cell r="G148">
            <v>0</v>
          </cell>
          <cell r="H148">
            <v>2958337177.0100002</v>
          </cell>
          <cell r="I148">
            <v>0</v>
          </cell>
          <cell r="J148">
            <v>2958337177.0100002</v>
          </cell>
          <cell r="K148">
            <v>3071254006.8000002</v>
          </cell>
        </row>
        <row r="149">
          <cell r="A149" t="str">
            <v>_/_5310.2_/_107SG260100</v>
          </cell>
          <cell r="B149"/>
          <cell r="C149" t="str">
            <v>5310.2</v>
          </cell>
          <cell r="D149" t="str">
            <v>107SG260100</v>
          </cell>
          <cell r="E149" t="str">
            <v>Sankyu (Malaysia) SDN. BHD.</v>
          </cell>
          <cell r="F149">
            <v>33287970.469999999</v>
          </cell>
          <cell r="G149">
            <v>0</v>
          </cell>
          <cell r="H149">
            <v>33287970.469999999</v>
          </cell>
          <cell r="I149">
            <v>0</v>
          </cell>
          <cell r="J149">
            <v>33287970.469999999</v>
          </cell>
          <cell r="K149">
            <v>28744936</v>
          </cell>
        </row>
        <row r="150">
          <cell r="A150" t="str">
            <v>_/_5310.2_/_107SG263100</v>
          </cell>
          <cell r="B150"/>
          <cell r="C150" t="str">
            <v>5310.2</v>
          </cell>
          <cell r="D150" t="str">
            <v>107SG263100</v>
          </cell>
          <cell r="E150" t="str">
            <v>Sankyu Philippines, Inc.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</row>
        <row r="151">
          <cell r="A151" t="str">
            <v>_/_5310.2_/_107SG265100</v>
          </cell>
          <cell r="B151"/>
          <cell r="C151" t="str">
            <v>5310.2</v>
          </cell>
          <cell r="D151" t="str">
            <v>107SG265100</v>
          </cell>
          <cell r="E151" t="str">
            <v>Sankyu (Singapore) PTE. LTD.</v>
          </cell>
          <cell r="F151">
            <v>24413953.809999999</v>
          </cell>
          <cell r="G151">
            <v>0</v>
          </cell>
          <cell r="H151">
            <v>24413953.809999999</v>
          </cell>
          <cell r="I151">
            <v>0</v>
          </cell>
          <cell r="J151">
            <v>24413953.809999999</v>
          </cell>
          <cell r="K151">
            <v>25609854.600000001</v>
          </cell>
        </row>
        <row r="152">
          <cell r="A152" t="str">
            <v>_/_5310.2_/_107SG266100</v>
          </cell>
          <cell r="B152"/>
          <cell r="C152" t="str">
            <v>5310.2</v>
          </cell>
          <cell r="D152" t="str">
            <v>107SG266100</v>
          </cell>
          <cell r="E152" t="str">
            <v>Sankyu (Thailand) Co.,Ltd</v>
          </cell>
          <cell r="F152">
            <v>5651400</v>
          </cell>
          <cell r="G152">
            <v>0</v>
          </cell>
          <cell r="H152">
            <v>5651400</v>
          </cell>
          <cell r="I152">
            <v>0</v>
          </cell>
          <cell r="J152">
            <v>5651400</v>
          </cell>
          <cell r="K152">
            <v>0</v>
          </cell>
        </row>
        <row r="153">
          <cell r="A153" t="str">
            <v>_/_5310.2_/_107SG267100</v>
          </cell>
          <cell r="B153"/>
          <cell r="C153" t="str">
            <v>5310.2</v>
          </cell>
          <cell r="D153" t="str">
            <v>107SG267100</v>
          </cell>
          <cell r="E153" t="str">
            <v>Sankyu Vietnam</v>
          </cell>
          <cell r="F153">
            <v>70101849.400000006</v>
          </cell>
          <cell r="G153">
            <v>0</v>
          </cell>
          <cell r="H153">
            <v>70101849.400000006</v>
          </cell>
          <cell r="I153">
            <v>0</v>
          </cell>
          <cell r="J153">
            <v>70101849.400000006</v>
          </cell>
          <cell r="K153">
            <v>167188135.40000001</v>
          </cell>
        </row>
        <row r="154">
          <cell r="A154" t="str">
            <v>_/_5310.2_/_107SG385200</v>
          </cell>
          <cell r="B154"/>
          <cell r="C154" t="str">
            <v>5310.2</v>
          </cell>
          <cell r="D154" t="str">
            <v>107SG385200</v>
          </cell>
          <cell r="E154" t="str">
            <v>Sankyu Air (Hong Kong) Limted.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24391974.199999999</v>
          </cell>
        </row>
        <row r="155">
          <cell r="A155" t="str">
            <v>_/_5310.2_/_107SG386200</v>
          </cell>
          <cell r="B155"/>
          <cell r="C155" t="str">
            <v>5310.2</v>
          </cell>
          <cell r="D155" t="str">
            <v>107SG386200</v>
          </cell>
          <cell r="E155" t="str">
            <v>Sankyu Shanghai E&amp;T Sankyu Logistics</v>
          </cell>
          <cell r="F155">
            <v>3666063.18</v>
          </cell>
          <cell r="G155">
            <v>0</v>
          </cell>
          <cell r="H155">
            <v>3666063.18</v>
          </cell>
          <cell r="I155">
            <v>0</v>
          </cell>
          <cell r="J155">
            <v>3666063.18</v>
          </cell>
          <cell r="K155">
            <v>61021202</v>
          </cell>
        </row>
        <row r="156">
          <cell r="A156" t="str">
            <v>_/_5310.2_/_107SG455100</v>
          </cell>
          <cell r="B156"/>
          <cell r="C156" t="str">
            <v>5310.2</v>
          </cell>
          <cell r="D156" t="str">
            <v>107SG455100</v>
          </cell>
          <cell r="E156" t="str">
            <v>Sankyu Logistics Despachos Aduaneiros LT</v>
          </cell>
          <cell r="F156">
            <v>60912673</v>
          </cell>
          <cell r="G156">
            <v>0</v>
          </cell>
          <cell r="H156">
            <v>60912673</v>
          </cell>
          <cell r="I156">
            <v>0</v>
          </cell>
          <cell r="J156">
            <v>60912673</v>
          </cell>
          <cell r="K156">
            <v>0</v>
          </cell>
        </row>
        <row r="157">
          <cell r="A157" t="str">
            <v>_/_5310.2_/_</v>
          </cell>
          <cell r="C157" t="str">
            <v>5310.2</v>
          </cell>
          <cell r="E157" t="str">
            <v>TB Total - Trade A/R - Related Parties</v>
          </cell>
          <cell r="F157">
            <v>3156371086.8699999</v>
          </cell>
          <cell r="G157">
            <v>0</v>
          </cell>
          <cell r="H157">
            <v>3156371086.8699999</v>
          </cell>
          <cell r="I157">
            <v>0</v>
          </cell>
          <cell r="J157">
            <v>3156371086.8699999</v>
          </cell>
          <cell r="K157">
            <v>4627343726.5999994</v>
          </cell>
        </row>
        <row r="158">
          <cell r="A158"/>
          <cell r="C158" t="str">
            <v>5320.1</v>
          </cell>
        </row>
        <row r="159">
          <cell r="A159" t="str">
            <v>_/_5320.1_/_123.1 HTM</v>
          </cell>
          <cell r="B159"/>
          <cell r="C159" t="str">
            <v>5320.1</v>
          </cell>
          <cell r="D159" t="str">
            <v>123.1 HTM</v>
          </cell>
          <cell r="E159" t="str">
            <v>Advance Account - Koperasi karyawan PT Sankyu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658837568.5</v>
          </cell>
        </row>
        <row r="160">
          <cell r="A160" t="str">
            <v>_/_5320.1_/_</v>
          </cell>
          <cell r="C160" t="str">
            <v>5320.1</v>
          </cell>
          <cell r="E160" t="str">
            <v>TB Total - Other A/R - Koperasi Karyawan PT Sankyu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658837568.5</v>
          </cell>
        </row>
        <row r="161">
          <cell r="A161"/>
          <cell r="C161" t="str">
            <v>5320.10</v>
          </cell>
        </row>
        <row r="162">
          <cell r="A162" t="str">
            <v>_/_5320.10_/_</v>
          </cell>
          <cell r="C162" t="str">
            <v>5320.10</v>
          </cell>
          <cell r="E162" t="str">
            <v>TB Total - Other A/R - Telkomsel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</row>
        <row r="163">
          <cell r="A163"/>
          <cell r="C163" t="str">
            <v>5320.11</v>
          </cell>
        </row>
        <row r="164">
          <cell r="A164" t="str">
            <v>_/_5320.11_/_</v>
          </cell>
          <cell r="C164" t="str">
            <v>5320.11</v>
          </cell>
          <cell r="E164" t="str">
            <v>TB Total - Other A/R -  Other Related Party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</row>
        <row r="165">
          <cell r="A165"/>
          <cell r="C165" t="str">
            <v>5320.2</v>
          </cell>
        </row>
        <row r="166">
          <cell r="A166" t="str">
            <v>_/_5320.2_/_121036</v>
          </cell>
          <cell r="B166"/>
          <cell r="C166" t="str">
            <v>5320.2</v>
          </cell>
          <cell r="D166" t="str">
            <v>121036</v>
          </cell>
          <cell r="E166" t="str">
            <v>Sankyu Inc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274192278.39999998</v>
          </cell>
        </row>
        <row r="167">
          <cell r="A167" t="str">
            <v>_/_5320.2_/_123.2 HTM</v>
          </cell>
          <cell r="B167"/>
          <cell r="C167" t="str">
            <v>5320.2</v>
          </cell>
          <cell r="D167" t="str">
            <v>123.2 HTM</v>
          </cell>
          <cell r="E167" t="str">
            <v>Advance Account - Sankyu Inc., Japan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</row>
        <row r="168">
          <cell r="A168" t="str">
            <v>_/_5320.2_/_</v>
          </cell>
          <cell r="C168" t="str">
            <v>5320.2</v>
          </cell>
          <cell r="E168" t="str">
            <v>TB Total - Other A/R - Sankyu Inc., Japan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274192278.39999998</v>
          </cell>
        </row>
        <row r="169">
          <cell r="A169"/>
          <cell r="C169" t="str">
            <v>5320.3</v>
          </cell>
        </row>
        <row r="170">
          <cell r="A170" t="str">
            <v>_/_5320.3_/_106</v>
          </cell>
          <cell r="B170"/>
          <cell r="C170" t="str">
            <v>5320.3</v>
          </cell>
          <cell r="D170" t="str">
            <v>106</v>
          </cell>
          <cell r="E170" t="str">
            <v>Notes Receivable</v>
          </cell>
          <cell r="F170">
            <v>59209443.130000003</v>
          </cell>
          <cell r="G170">
            <v>0</v>
          </cell>
          <cell r="H170">
            <v>59209443.130000003</v>
          </cell>
          <cell r="I170">
            <v>0</v>
          </cell>
          <cell r="J170">
            <v>59209443.130000003</v>
          </cell>
          <cell r="K170">
            <v>316985550</v>
          </cell>
        </row>
        <row r="171">
          <cell r="A171" t="str">
            <v>_/_5320.3_/_10601</v>
          </cell>
          <cell r="B171"/>
          <cell r="C171" t="str">
            <v>5320.3</v>
          </cell>
          <cell r="D171" t="str">
            <v>10601</v>
          </cell>
          <cell r="E171" t="str">
            <v>Interest receivable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2648709</v>
          </cell>
        </row>
        <row r="172">
          <cell r="A172" t="str">
            <v>_/_5320.3_/_10603</v>
          </cell>
          <cell r="B172"/>
          <cell r="C172" t="str">
            <v>5320.3</v>
          </cell>
          <cell r="D172" t="str">
            <v>10603</v>
          </cell>
          <cell r="E172" t="str">
            <v>Asuransi Jiwa Bakrie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</row>
        <row r="173">
          <cell r="A173" t="str">
            <v>_/_5320.3_/_121</v>
          </cell>
          <cell r="B173"/>
          <cell r="C173" t="str">
            <v>5320.3</v>
          </cell>
          <cell r="D173" t="str">
            <v>121</v>
          </cell>
          <cell r="E173" t="str">
            <v>Advance Money</v>
          </cell>
          <cell r="F173">
            <v>6946400601.3199997</v>
          </cell>
          <cell r="G173">
            <v>0</v>
          </cell>
          <cell r="H173">
            <v>6946400601.3199997</v>
          </cell>
          <cell r="I173">
            <v>0</v>
          </cell>
          <cell r="J173">
            <v>6946400601.3199997</v>
          </cell>
          <cell r="K173">
            <v>7550303096.6199999</v>
          </cell>
        </row>
        <row r="174">
          <cell r="A174" t="str">
            <v>_/_5320.3_/_121152</v>
          </cell>
          <cell r="B174"/>
          <cell r="C174" t="str">
            <v>5320.3</v>
          </cell>
          <cell r="D174" t="str">
            <v>121152</v>
          </cell>
          <cell r="E174" t="str">
            <v>TELKOMSEL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</row>
        <row r="175">
          <cell r="A175" t="str">
            <v>_/_5320.3_/_121ORS</v>
          </cell>
          <cell r="B175"/>
          <cell r="C175" t="str">
            <v>5320.3</v>
          </cell>
          <cell r="D175" t="str">
            <v>121ORS</v>
          </cell>
          <cell r="E175" t="str">
            <v>Tax receivable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333985613</v>
          </cell>
        </row>
        <row r="176">
          <cell r="A176" t="str">
            <v>_/_5320.3_/_123</v>
          </cell>
          <cell r="B176"/>
          <cell r="C176" t="str">
            <v>5320.3</v>
          </cell>
          <cell r="D176" t="str">
            <v>123</v>
          </cell>
          <cell r="E176" t="str">
            <v>Advance Account</v>
          </cell>
          <cell r="F176">
            <v>2758326436.1500001</v>
          </cell>
          <cell r="G176">
            <v>0</v>
          </cell>
          <cell r="H176">
            <v>2758326436.1500001</v>
          </cell>
          <cell r="I176">
            <v>0</v>
          </cell>
          <cell r="J176">
            <v>2758326436.1500001</v>
          </cell>
          <cell r="K176">
            <v>2383166031</v>
          </cell>
        </row>
        <row r="177">
          <cell r="A177" t="str">
            <v>_/_5320.3_/_124</v>
          </cell>
          <cell r="B177"/>
          <cell r="C177" t="str">
            <v>5320.3</v>
          </cell>
          <cell r="D177" t="str">
            <v>124</v>
          </cell>
          <cell r="E177" t="str">
            <v>Account Receivable Others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</row>
        <row r="178">
          <cell r="A178" t="str">
            <v>_/_5320.3_/_124AMOCO</v>
          </cell>
          <cell r="B178"/>
          <cell r="C178" t="str">
            <v>5320.3</v>
          </cell>
          <cell r="D178" t="str">
            <v>124AMOCO</v>
          </cell>
          <cell r="E178" t="str">
            <v>Amoco Mitsui Indonesia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</row>
        <row r="179">
          <cell r="A179" t="str">
            <v>_/_5320.3_/_125</v>
          </cell>
          <cell r="B179"/>
          <cell r="C179" t="str">
            <v>5320.3</v>
          </cell>
          <cell r="D179" t="str">
            <v>125</v>
          </cell>
          <cell r="E179" t="str">
            <v>Accrued Income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1867724000</v>
          </cell>
        </row>
        <row r="180">
          <cell r="A180" t="str">
            <v>_/_5320.3_/_</v>
          </cell>
          <cell r="C180" t="str">
            <v>5320.3</v>
          </cell>
          <cell r="E180" t="str">
            <v>TB Total - Notes Receivable</v>
          </cell>
          <cell r="F180">
            <v>9763936480.6000004</v>
          </cell>
          <cell r="G180">
            <v>0</v>
          </cell>
          <cell r="H180">
            <v>9763936480.6000004</v>
          </cell>
          <cell r="I180">
            <v>0</v>
          </cell>
          <cell r="J180">
            <v>9763936480.6000004</v>
          </cell>
          <cell r="K180">
            <v>12454812999.619999</v>
          </cell>
        </row>
        <row r="181">
          <cell r="A181"/>
          <cell r="C181" t="str">
            <v>5320.4</v>
          </cell>
        </row>
        <row r="182">
          <cell r="A182" t="str">
            <v>_/_5320.4_/_121006</v>
          </cell>
          <cell r="B182"/>
          <cell r="C182" t="str">
            <v>5320.4</v>
          </cell>
          <cell r="D182" t="str">
            <v>121006</v>
          </cell>
          <cell r="E182" t="str">
            <v>Sankyu Singapore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5396355</v>
          </cell>
        </row>
        <row r="183">
          <cell r="A183" t="str">
            <v>_/_5320.4_/_</v>
          </cell>
          <cell r="C183" t="str">
            <v>5320.4</v>
          </cell>
          <cell r="E183" t="str">
            <v>TB Total - Other A/R - Sankyu Singapore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5396355</v>
          </cell>
        </row>
        <row r="184">
          <cell r="A184"/>
          <cell r="C184" t="str">
            <v>5320.5</v>
          </cell>
        </row>
        <row r="185">
          <cell r="A185" t="str">
            <v>_/_5320.5_/_</v>
          </cell>
          <cell r="C185" t="str">
            <v>5320.5</v>
          </cell>
          <cell r="E185" t="str">
            <v>TB Total - Other A/R - Sankyu Thailand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</row>
        <row r="186">
          <cell r="A186"/>
          <cell r="C186" t="str">
            <v>5320.6</v>
          </cell>
        </row>
        <row r="187">
          <cell r="A187" t="str">
            <v>_/_5320.6_/_</v>
          </cell>
          <cell r="C187" t="str">
            <v>5320.6</v>
          </cell>
          <cell r="E187" t="str">
            <v>TB Total - Other A/R - Sankyu Eastern Int'l Hongkong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</row>
        <row r="188">
          <cell r="A188"/>
          <cell r="C188" t="str">
            <v>5320.7</v>
          </cell>
        </row>
        <row r="189">
          <cell r="A189" t="str">
            <v>_/_5320.7_/_</v>
          </cell>
          <cell r="C189" t="str">
            <v>5320.7</v>
          </cell>
          <cell r="E189" t="str">
            <v>TB Total - Other A/R - Sankyu Inc Tokyo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</row>
        <row r="190">
          <cell r="A190"/>
          <cell r="C190" t="str">
            <v>5320.8</v>
          </cell>
        </row>
        <row r="191">
          <cell r="A191" t="str">
            <v>_/_5320.8_/_</v>
          </cell>
          <cell r="C191" t="str">
            <v>5320.8</v>
          </cell>
          <cell r="E191" t="str">
            <v>TB Total - Other A/R - Sankyu Philipine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</row>
        <row r="192">
          <cell r="A192"/>
          <cell r="C192" t="str">
            <v>5320.9</v>
          </cell>
        </row>
        <row r="193">
          <cell r="A193" t="str">
            <v>_/_5320.9_/_</v>
          </cell>
          <cell r="C193" t="str">
            <v>5320.9</v>
          </cell>
          <cell r="E193" t="str">
            <v>TB Total - Other A/R -  Sankyu Kansai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</row>
        <row r="194">
          <cell r="A194"/>
          <cell r="C194" t="str">
            <v>5330</v>
          </cell>
        </row>
        <row r="195">
          <cell r="A195" t="str">
            <v>_/_5330_/_105AFDA</v>
          </cell>
          <cell r="B195"/>
          <cell r="C195" t="str">
            <v>5330</v>
          </cell>
          <cell r="D195" t="str">
            <v>105AFDA</v>
          </cell>
          <cell r="E195" t="str">
            <v>Allowance for Doubtful a/c.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-486587713.25</v>
          </cell>
        </row>
        <row r="196">
          <cell r="A196" t="str">
            <v>_/_5330_/_</v>
          </cell>
          <cell r="C196" t="str">
            <v>5330</v>
          </cell>
          <cell r="E196" t="str">
            <v>TB Total - Allowance for bad debt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-486587713.25</v>
          </cell>
        </row>
        <row r="197">
          <cell r="A197"/>
          <cell r="C197" t="str">
            <v>5340.1</v>
          </cell>
        </row>
        <row r="198">
          <cell r="A198" t="str">
            <v>_/_5340.1_/_12510</v>
          </cell>
          <cell r="B198"/>
          <cell r="C198" t="str">
            <v>5340.1</v>
          </cell>
          <cell r="D198" t="str">
            <v>12510</v>
          </cell>
          <cell r="E198" t="str">
            <v>Accrued income - related parties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</row>
        <row r="199">
          <cell r="A199" t="str">
            <v>_/_5340.1_/_</v>
          </cell>
          <cell r="C199" t="str">
            <v>5340.1</v>
          </cell>
          <cell r="E199" t="str">
            <v>TB Total - Unbilled receivable - Related Parties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</row>
        <row r="200">
          <cell r="A200"/>
          <cell r="C200" t="str">
            <v>5340.2</v>
          </cell>
        </row>
        <row r="201">
          <cell r="A201" t="str">
            <v>_/_5340.2_/_12510.1 HTM</v>
          </cell>
          <cell r="B201"/>
          <cell r="C201" t="str">
            <v>5340.2</v>
          </cell>
          <cell r="D201" t="str">
            <v>12510.1 HTM</v>
          </cell>
          <cell r="E201" t="str">
            <v>Accrued income - third parties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</row>
        <row r="202">
          <cell r="A202" t="str">
            <v>_/_5340.2_/_</v>
          </cell>
          <cell r="C202" t="str">
            <v>5340.2</v>
          </cell>
          <cell r="E202" t="str">
            <v>TB Total - Unbilled receivable - Third Parties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</row>
        <row r="203">
          <cell r="A203"/>
          <cell r="C203" t="str">
            <v>5411</v>
          </cell>
        </row>
        <row r="204">
          <cell r="A204" t="str">
            <v>_/_5411_/_111</v>
          </cell>
          <cell r="B204"/>
          <cell r="C204" t="str">
            <v>5411</v>
          </cell>
          <cell r="D204" t="str">
            <v>111</v>
          </cell>
          <cell r="E204" t="str">
            <v>Work in Process</v>
          </cell>
          <cell r="F204">
            <v>11214895197.620001</v>
          </cell>
          <cell r="G204">
            <v>0</v>
          </cell>
          <cell r="H204">
            <v>11214895197.620001</v>
          </cell>
          <cell r="I204">
            <v>0</v>
          </cell>
          <cell r="J204">
            <v>11214895197.620001</v>
          </cell>
          <cell r="K204">
            <v>2500625688.5999999</v>
          </cell>
        </row>
        <row r="205">
          <cell r="A205" t="str">
            <v>_/_5411_/_</v>
          </cell>
          <cell r="C205" t="str">
            <v>5411</v>
          </cell>
          <cell r="E205" t="str">
            <v>TB Total - Work in Process</v>
          </cell>
          <cell r="F205">
            <v>11214895197.620001</v>
          </cell>
          <cell r="G205">
            <v>0</v>
          </cell>
          <cell r="H205">
            <v>11214895197.620001</v>
          </cell>
          <cell r="I205">
            <v>0</v>
          </cell>
          <cell r="J205">
            <v>11214895197.620001</v>
          </cell>
          <cell r="K205">
            <v>2500625688.5999999</v>
          </cell>
        </row>
        <row r="206">
          <cell r="A206"/>
          <cell r="C206" t="str">
            <v>5412</v>
          </cell>
        </row>
        <row r="207">
          <cell r="A207" t="str">
            <v>_/_5412_/_113</v>
          </cell>
          <cell r="B207"/>
          <cell r="C207" t="str">
            <v>5412</v>
          </cell>
          <cell r="D207" t="str">
            <v>113</v>
          </cell>
          <cell r="E207" t="str">
            <v>Supplies</v>
          </cell>
          <cell r="F207">
            <v>641441131.67999995</v>
          </cell>
          <cell r="G207">
            <v>0</v>
          </cell>
          <cell r="H207">
            <v>641441131.67999995</v>
          </cell>
          <cell r="I207">
            <v>0</v>
          </cell>
          <cell r="J207">
            <v>641441131.67999995</v>
          </cell>
          <cell r="K207">
            <v>1726421537.4000001</v>
          </cell>
        </row>
        <row r="208">
          <cell r="A208" t="str">
            <v>_/_5412_/_</v>
          </cell>
          <cell r="C208" t="str">
            <v>5412</v>
          </cell>
          <cell r="E208" t="str">
            <v>TB Total - Inventories</v>
          </cell>
          <cell r="F208">
            <v>641441131.67999995</v>
          </cell>
          <cell r="G208">
            <v>0</v>
          </cell>
          <cell r="H208">
            <v>641441131.67999995</v>
          </cell>
          <cell r="I208">
            <v>0</v>
          </cell>
          <cell r="J208">
            <v>641441131.67999995</v>
          </cell>
          <cell r="K208">
            <v>1726421537.4000001</v>
          </cell>
        </row>
        <row r="209">
          <cell r="A209"/>
          <cell r="C209" t="str">
            <v>5510.1</v>
          </cell>
        </row>
        <row r="210">
          <cell r="A210" t="str">
            <v>_/_5510.1_/_122</v>
          </cell>
          <cell r="B210"/>
          <cell r="C210" t="str">
            <v>5510.1</v>
          </cell>
          <cell r="D210" t="str">
            <v>122</v>
          </cell>
          <cell r="E210" t="str">
            <v>Prepaid Expenses</v>
          </cell>
          <cell r="F210">
            <v>4836715516.8000002</v>
          </cell>
          <cell r="G210">
            <v>0</v>
          </cell>
          <cell r="H210">
            <v>4836715516.8000002</v>
          </cell>
          <cell r="I210">
            <v>0</v>
          </cell>
          <cell r="J210">
            <v>4836715516.8000002</v>
          </cell>
          <cell r="K210">
            <v>1861906224.1700001</v>
          </cell>
        </row>
        <row r="211">
          <cell r="A211" t="str">
            <v>_/_5510.1_/_122-1HTM</v>
          </cell>
          <cell r="B211"/>
          <cell r="C211" t="str">
            <v>5510.1</v>
          </cell>
          <cell r="D211" t="str">
            <v>122-1HTM</v>
          </cell>
          <cell r="E211" t="str">
            <v>Prepaid Rent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1760122067.8099999</v>
          </cell>
        </row>
        <row r="212">
          <cell r="A212" t="str">
            <v>_/_5510.1_/_122-2 HTM</v>
          </cell>
          <cell r="B212"/>
          <cell r="C212" t="str">
            <v>5510.1</v>
          </cell>
          <cell r="D212" t="str">
            <v>122-2 HTM</v>
          </cell>
          <cell r="E212" t="str">
            <v>Prepaid Other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105676100</v>
          </cell>
        </row>
        <row r="213">
          <cell r="A213" t="str">
            <v>_/_5510.1_/_</v>
          </cell>
          <cell r="C213" t="str">
            <v>5510.1</v>
          </cell>
          <cell r="E213" t="str">
            <v>TB Total - Prepaid Expenses - Current portion</v>
          </cell>
          <cell r="F213">
            <v>4836715516.8000002</v>
          </cell>
          <cell r="G213">
            <v>0</v>
          </cell>
          <cell r="H213">
            <v>4836715516.8000002</v>
          </cell>
          <cell r="I213">
            <v>0</v>
          </cell>
          <cell r="J213">
            <v>4836715516.8000002</v>
          </cell>
          <cell r="K213">
            <v>3727704391.98</v>
          </cell>
        </row>
        <row r="214">
          <cell r="A214"/>
          <cell r="C214" t="str">
            <v>5510.2</v>
          </cell>
        </row>
        <row r="215">
          <cell r="A215" t="str">
            <v>_/_5510.2_/_164</v>
          </cell>
          <cell r="B215"/>
          <cell r="C215" t="str">
            <v>5510.2</v>
          </cell>
          <cell r="D215" t="str">
            <v>164</v>
          </cell>
          <cell r="E215" t="str">
            <v>Long Term Prepaid Expense</v>
          </cell>
          <cell r="F215">
            <v>133860750</v>
          </cell>
          <cell r="G215">
            <v>0</v>
          </cell>
          <cell r="H215">
            <v>133860750</v>
          </cell>
          <cell r="I215">
            <v>0</v>
          </cell>
          <cell r="J215">
            <v>133860750</v>
          </cell>
          <cell r="K215">
            <v>0</v>
          </cell>
        </row>
        <row r="216">
          <cell r="A216" t="str">
            <v>_/_5510.2_/_16401</v>
          </cell>
          <cell r="B216"/>
          <cell r="C216" t="str">
            <v>5510.2</v>
          </cell>
          <cell r="D216" t="str">
            <v>16401</v>
          </cell>
          <cell r="E216" t="str">
            <v>Rental House Jl.Pelabuhan, Babo Sorong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72916673</v>
          </cell>
        </row>
        <row r="217">
          <cell r="A217" t="str">
            <v>_/_5510.2_/_16419</v>
          </cell>
          <cell r="B217"/>
          <cell r="C217" t="str">
            <v>5510.2</v>
          </cell>
          <cell r="D217" t="str">
            <v>16419</v>
          </cell>
          <cell r="E217" t="str">
            <v>Mess.Cikajang No.48 (Yamamoto)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36300000</v>
          </cell>
        </row>
        <row r="218">
          <cell r="A218" t="str">
            <v>_/_5510.2_/_16426</v>
          </cell>
          <cell r="B218"/>
          <cell r="C218" t="str">
            <v>5510.2</v>
          </cell>
          <cell r="D218" t="str">
            <v>16426</v>
          </cell>
          <cell r="E218" t="str">
            <v>Mess Villa Bonakarta  (Matsumura)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24502500</v>
          </cell>
        </row>
        <row r="219">
          <cell r="A219" t="str">
            <v>_/_5510.2_/_</v>
          </cell>
          <cell r="C219" t="str">
            <v>5510.2</v>
          </cell>
          <cell r="E219" t="str">
            <v>TB Total - Prepaid expenses - Long term portion</v>
          </cell>
          <cell r="F219">
            <v>133860750</v>
          </cell>
          <cell r="G219">
            <v>0</v>
          </cell>
          <cell r="H219">
            <v>133860750</v>
          </cell>
          <cell r="I219">
            <v>0</v>
          </cell>
          <cell r="J219">
            <v>133860750</v>
          </cell>
          <cell r="K219">
            <v>133719173</v>
          </cell>
        </row>
        <row r="220">
          <cell r="A220"/>
          <cell r="C220" t="str">
            <v>5510.3</v>
          </cell>
        </row>
        <row r="221">
          <cell r="A221" t="str">
            <v>_/_5510.3_/_127</v>
          </cell>
          <cell r="B221"/>
          <cell r="C221" t="str">
            <v>5510.3</v>
          </cell>
          <cell r="D221" t="str">
            <v>127</v>
          </cell>
          <cell r="E221" t="str">
            <v>Indirect cost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</row>
        <row r="222">
          <cell r="A222" t="str">
            <v>_/_5510.3_/_165-HTM</v>
          </cell>
          <cell r="B222"/>
          <cell r="C222" t="str">
            <v>5510.3</v>
          </cell>
          <cell r="D222" t="str">
            <v>165-HTM</v>
          </cell>
          <cell r="E222" t="str">
            <v>Other Asset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</row>
        <row r="223">
          <cell r="A223" t="str">
            <v>_/_5510.3_/_</v>
          </cell>
          <cell r="C223" t="str">
            <v>5510.3</v>
          </cell>
          <cell r="E223" t="str">
            <v>TB Total - Other Asset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</row>
        <row r="224">
          <cell r="A224"/>
          <cell r="C224" t="str">
            <v>5510.4</v>
          </cell>
        </row>
        <row r="225">
          <cell r="A225" t="str">
            <v>_/_5510.4_/_</v>
          </cell>
          <cell r="C225" t="str">
            <v>5510.4</v>
          </cell>
          <cell r="E225" t="str">
            <v>TB Total - Diferred Charges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</row>
        <row r="226">
          <cell r="A226"/>
          <cell r="C226" t="str">
            <v>5540</v>
          </cell>
        </row>
        <row r="227">
          <cell r="A227" t="str">
            <v>_/_5540_/_126</v>
          </cell>
          <cell r="B227"/>
          <cell r="C227" t="str">
            <v>5540</v>
          </cell>
          <cell r="D227" t="str">
            <v>126</v>
          </cell>
          <cell r="E227" t="str">
            <v>Prepaid Taxes</v>
          </cell>
          <cell r="F227">
            <v>14345314999.030001</v>
          </cell>
          <cell r="G227">
            <v>0</v>
          </cell>
          <cell r="H227">
            <v>14345314999.030001</v>
          </cell>
          <cell r="I227">
            <v>0</v>
          </cell>
          <cell r="J227">
            <v>14345314999.030001</v>
          </cell>
          <cell r="K227">
            <v>0</v>
          </cell>
        </row>
        <row r="228">
          <cell r="A228" t="str">
            <v>_/_5540_/_</v>
          </cell>
          <cell r="C228" t="str">
            <v>5540</v>
          </cell>
          <cell r="E228" t="str">
            <v>TB Total - Prepaid Tax art. 21</v>
          </cell>
          <cell r="F228">
            <v>14345314999.030001</v>
          </cell>
          <cell r="G228">
            <v>0</v>
          </cell>
          <cell r="H228">
            <v>14345314999.030001</v>
          </cell>
          <cell r="I228">
            <v>0</v>
          </cell>
          <cell r="J228">
            <v>14345314999.030001</v>
          </cell>
          <cell r="K228">
            <v>0</v>
          </cell>
        </row>
        <row r="229">
          <cell r="A229"/>
          <cell r="C229" t="str">
            <v>5541</v>
          </cell>
        </row>
        <row r="230">
          <cell r="A230" t="str">
            <v>_/_5541_/_1260201</v>
          </cell>
          <cell r="B230"/>
          <cell r="C230" t="str">
            <v>5541</v>
          </cell>
          <cell r="D230" t="str">
            <v>1260201</v>
          </cell>
          <cell r="E230" t="str">
            <v>Prepaid Tax PPH22 Fuel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</row>
        <row r="231">
          <cell r="A231" t="str">
            <v>_/_5541_/_</v>
          </cell>
          <cell r="C231" t="str">
            <v>5541</v>
          </cell>
          <cell r="E231" t="str">
            <v>TB Total - Prepaid Tax art. 22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</row>
        <row r="232">
          <cell r="A232"/>
          <cell r="C232" t="str">
            <v>5542</v>
          </cell>
        </row>
        <row r="233">
          <cell r="A233" t="str">
            <v>_/_5542_/_1260303</v>
          </cell>
          <cell r="B233"/>
          <cell r="C233" t="str">
            <v>5542</v>
          </cell>
          <cell r="D233" t="str">
            <v>1260303</v>
          </cell>
          <cell r="E233" t="str">
            <v>Prepaid Tax PPH23 for Professional Fee,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-0.06</v>
          </cell>
        </row>
        <row r="234">
          <cell r="A234" t="str">
            <v>_/_5542_/_</v>
          </cell>
          <cell r="C234" t="str">
            <v>5542</v>
          </cell>
          <cell r="E234" t="str">
            <v>TB Total - Prepaid Tax art. 23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-0.06</v>
          </cell>
        </row>
        <row r="235">
          <cell r="A235"/>
          <cell r="C235" t="str">
            <v>5543</v>
          </cell>
        </row>
        <row r="236">
          <cell r="A236" t="str">
            <v>_/_5543_/_1260501</v>
          </cell>
          <cell r="B236"/>
          <cell r="C236" t="str">
            <v>5543</v>
          </cell>
          <cell r="D236" t="str">
            <v>1260501</v>
          </cell>
          <cell r="E236" t="str">
            <v>Prepaid Tax PPH25 Corporate income Tax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</row>
        <row r="237">
          <cell r="A237" t="str">
            <v>_/_5543_/_</v>
          </cell>
          <cell r="C237" t="str">
            <v>5543</v>
          </cell>
          <cell r="E237" t="str">
            <v>TB Total - Prepaid Tax art. 25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</row>
        <row r="238">
          <cell r="A238"/>
          <cell r="C238" t="str">
            <v>5544</v>
          </cell>
        </row>
        <row r="239">
          <cell r="A239" t="str">
            <v>_/_5544_/_1260202</v>
          </cell>
          <cell r="B239"/>
          <cell r="C239" t="str">
            <v>5544</v>
          </cell>
          <cell r="D239" t="str">
            <v>1260202</v>
          </cell>
          <cell r="E239" t="str">
            <v>Prepaid Tax PPH22 Import Goods Coporate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</row>
        <row r="240">
          <cell r="A240" t="str">
            <v>_/_5544_/_12606</v>
          </cell>
          <cell r="B240"/>
          <cell r="C240" t="str">
            <v>5544</v>
          </cell>
          <cell r="D240" t="str">
            <v>12606</v>
          </cell>
          <cell r="E240" t="str">
            <v>VAT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</row>
        <row r="241">
          <cell r="A241" t="str">
            <v>_/_5544_/_1260802</v>
          </cell>
          <cell r="B241"/>
          <cell r="C241" t="str">
            <v>5544</v>
          </cell>
          <cell r="D241" t="str">
            <v>1260802</v>
          </cell>
          <cell r="E241" t="str">
            <v>Prepaid Tax VAT of Oversea Client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</row>
        <row r="242">
          <cell r="A242" t="str">
            <v>_/_5544_/_126VC</v>
          </cell>
          <cell r="B242"/>
          <cell r="C242" t="str">
            <v>5544</v>
          </cell>
          <cell r="D242" t="str">
            <v>126VC</v>
          </cell>
          <cell r="E242" t="str">
            <v>Claim for Tax refund (VAT )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</row>
        <row r="243">
          <cell r="A243" t="str">
            <v>_/_5544_/_</v>
          </cell>
          <cell r="C243" t="str">
            <v>5544</v>
          </cell>
          <cell r="E243" t="str">
            <v>TB Total - Prepaid VAT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</row>
        <row r="244">
          <cell r="A244"/>
          <cell r="C244" t="str">
            <v>5545.1</v>
          </cell>
        </row>
        <row r="245">
          <cell r="A245" t="str">
            <v>_/_5545.1_/_124TC</v>
          </cell>
          <cell r="B245"/>
          <cell r="C245" t="str">
            <v>5545.1</v>
          </cell>
          <cell r="D245" t="str">
            <v>124TC</v>
          </cell>
          <cell r="E245" t="str">
            <v>Calim for Tax Refund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</row>
        <row r="246">
          <cell r="A246" t="str">
            <v>_/_5545.1_/_</v>
          </cell>
          <cell r="C246" t="str">
            <v>5545.1</v>
          </cell>
          <cell r="E246" t="str">
            <v>TB Total - Prepaid Tax art. 28A (Year 2001)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</row>
        <row r="247">
          <cell r="A247"/>
          <cell r="C247" t="str">
            <v>5545.2</v>
          </cell>
        </row>
        <row r="248">
          <cell r="A248" t="str">
            <v>_/_5545.2_/_126TC</v>
          </cell>
          <cell r="B248"/>
          <cell r="C248" t="str">
            <v>5545.2</v>
          </cell>
          <cell r="D248" t="str">
            <v>126TC</v>
          </cell>
          <cell r="E248" t="str">
            <v>Claim for Tax refund (Pph-25/Pph-29)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</row>
        <row r="249">
          <cell r="A249" t="str">
            <v>_/_5545.2_/_</v>
          </cell>
          <cell r="C249" t="str">
            <v>5545.2</v>
          </cell>
          <cell r="E249" t="str">
            <v>TB Total - Prepaid Tax art. 28A (Year 2002)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</row>
        <row r="250">
          <cell r="A250"/>
          <cell r="C250" t="str">
            <v>5545.3</v>
          </cell>
        </row>
        <row r="251">
          <cell r="A251" t="str">
            <v>_/_5545.3_/_126.HTM</v>
          </cell>
          <cell r="B251"/>
          <cell r="C251" t="str">
            <v>5545.3</v>
          </cell>
          <cell r="D251" t="str">
            <v>126.HTM</v>
          </cell>
          <cell r="E251" t="str">
            <v>Claim for Tax Refund - Year 2003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</row>
        <row r="252">
          <cell r="A252" t="str">
            <v>_/_5545.3_/_126TC04</v>
          </cell>
          <cell r="B252"/>
          <cell r="C252" t="str">
            <v>5545.3</v>
          </cell>
          <cell r="D252" t="str">
            <v>126TC04</v>
          </cell>
          <cell r="E252" t="str">
            <v>Claim for Tax refund (Pph-25/Pph-29)-04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239069787</v>
          </cell>
        </row>
        <row r="253">
          <cell r="A253" t="str">
            <v>_/_5545.3_/_126TC04 new</v>
          </cell>
          <cell r="B253"/>
          <cell r="C253" t="str">
            <v>5545.3</v>
          </cell>
          <cell r="D253" t="str">
            <v>126TC04 new</v>
          </cell>
          <cell r="E253" t="str">
            <v>Claim for Tax refund (Pph-25/Pph-29) -04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</row>
        <row r="254">
          <cell r="A254" t="str">
            <v>_/_5545.3_/_</v>
          </cell>
          <cell r="C254" t="str">
            <v>5545.3</v>
          </cell>
          <cell r="E254" t="str">
            <v>TB Total - Prepaid Tax art. 28A (Year 2003)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239069787</v>
          </cell>
        </row>
        <row r="255">
          <cell r="A255"/>
          <cell r="C255" t="str">
            <v>5546</v>
          </cell>
        </row>
        <row r="256">
          <cell r="A256" t="str">
            <v>_/_5546_/_</v>
          </cell>
          <cell r="C256" t="str">
            <v>5546</v>
          </cell>
          <cell r="E256" t="str">
            <v>TB Total - Prepaid Tax art. 26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</row>
        <row r="257">
          <cell r="A257"/>
          <cell r="C257" t="str">
            <v>5546.1</v>
          </cell>
        </row>
        <row r="258">
          <cell r="A258" t="str">
            <v>_/_5546.1_/_1260502</v>
          </cell>
          <cell r="B258"/>
          <cell r="C258" t="str">
            <v>5546.1</v>
          </cell>
          <cell r="D258" t="str">
            <v>1260502</v>
          </cell>
          <cell r="E258" t="str">
            <v>Prepaid Tax PPH25 Fiscal Tax Airport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</row>
        <row r="259">
          <cell r="A259" t="str">
            <v>_/_5546.1_/_</v>
          </cell>
          <cell r="C259" t="str">
            <v>5546.1</v>
          </cell>
          <cell r="E259" t="str">
            <v>TB Total - Prepaid Tax fiscal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</row>
        <row r="260">
          <cell r="A260"/>
          <cell r="C260" t="str">
            <v>5547</v>
          </cell>
        </row>
        <row r="261">
          <cell r="A261" t="str">
            <v>_/_5547_/_12607</v>
          </cell>
          <cell r="B261"/>
          <cell r="C261" t="str">
            <v>5547</v>
          </cell>
          <cell r="D261" t="str">
            <v>12607</v>
          </cell>
          <cell r="E261" t="str">
            <v>Insurance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</row>
        <row r="262">
          <cell r="A262" t="str">
            <v>_/_5547_/_</v>
          </cell>
          <cell r="C262" t="str">
            <v>5547</v>
          </cell>
          <cell r="E262" t="str">
            <v>TB Total - Suspense payment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</row>
        <row r="263">
          <cell r="A263"/>
          <cell r="C263" t="str">
            <v>5611</v>
          </cell>
        </row>
        <row r="264">
          <cell r="A264" t="str">
            <v>_/_5611_/_139</v>
          </cell>
          <cell r="B264"/>
          <cell r="C264" t="str">
            <v>5611</v>
          </cell>
          <cell r="D264" t="str">
            <v>139</v>
          </cell>
          <cell r="E264" t="str">
            <v>Land</v>
          </cell>
          <cell r="F264">
            <v>5649341674</v>
          </cell>
          <cell r="G264">
            <v>0</v>
          </cell>
          <cell r="H264">
            <v>5649341674</v>
          </cell>
          <cell r="I264">
            <v>0</v>
          </cell>
          <cell r="J264">
            <v>5649341674</v>
          </cell>
          <cell r="K264">
            <v>4963603674</v>
          </cell>
        </row>
        <row r="265">
          <cell r="A265" t="str">
            <v>_/_5611_/_</v>
          </cell>
          <cell r="C265" t="str">
            <v>5611</v>
          </cell>
          <cell r="E265" t="str">
            <v>TB Total - Land</v>
          </cell>
          <cell r="F265">
            <v>5649341674</v>
          </cell>
          <cell r="G265">
            <v>0</v>
          </cell>
          <cell r="H265">
            <v>5649341674</v>
          </cell>
          <cell r="I265">
            <v>0</v>
          </cell>
          <cell r="J265">
            <v>5649341674</v>
          </cell>
          <cell r="K265">
            <v>4963603674</v>
          </cell>
        </row>
        <row r="266">
          <cell r="A266"/>
          <cell r="C266" t="str">
            <v>5613</v>
          </cell>
        </row>
        <row r="267">
          <cell r="A267" t="str">
            <v>_/_5613_/_131</v>
          </cell>
          <cell r="B267"/>
          <cell r="C267" t="str">
            <v>5613</v>
          </cell>
          <cell r="D267" t="str">
            <v>131</v>
          </cell>
          <cell r="E267" t="str">
            <v>Building</v>
          </cell>
          <cell r="F267">
            <v>8015767327</v>
          </cell>
          <cell r="G267">
            <v>0</v>
          </cell>
          <cell r="H267">
            <v>8015767327</v>
          </cell>
          <cell r="I267">
            <v>0</v>
          </cell>
          <cell r="J267">
            <v>8015767327</v>
          </cell>
          <cell r="K267">
            <v>7843943937</v>
          </cell>
        </row>
        <row r="268">
          <cell r="A268" t="str">
            <v>_/_5613_/_133</v>
          </cell>
          <cell r="B268"/>
          <cell r="C268" t="str">
            <v>5613</v>
          </cell>
          <cell r="D268" t="str">
            <v>133</v>
          </cell>
          <cell r="E268" t="str">
            <v>Structures</v>
          </cell>
          <cell r="F268">
            <v>376872784</v>
          </cell>
          <cell r="G268">
            <v>0</v>
          </cell>
          <cell r="H268">
            <v>376872784</v>
          </cell>
          <cell r="I268">
            <v>0</v>
          </cell>
          <cell r="J268">
            <v>376872784</v>
          </cell>
          <cell r="K268">
            <v>376872784</v>
          </cell>
        </row>
        <row r="269">
          <cell r="A269" t="str">
            <v>_/_5613_/_</v>
          </cell>
          <cell r="C269" t="str">
            <v>5613</v>
          </cell>
          <cell r="E269" t="str">
            <v>TB Total - Building &amp; Structures</v>
          </cell>
          <cell r="F269">
            <v>8392640111</v>
          </cell>
          <cell r="G269">
            <v>0</v>
          </cell>
          <cell r="H269">
            <v>8392640111</v>
          </cell>
          <cell r="I269">
            <v>0</v>
          </cell>
          <cell r="J269">
            <v>8392640111</v>
          </cell>
          <cell r="K269">
            <v>8220816721</v>
          </cell>
        </row>
        <row r="270">
          <cell r="A270"/>
          <cell r="C270" t="str">
            <v>5614</v>
          </cell>
        </row>
        <row r="271">
          <cell r="A271" t="str">
            <v>_/_5614_/_134</v>
          </cell>
          <cell r="B271"/>
          <cell r="C271" t="str">
            <v>5614</v>
          </cell>
          <cell r="D271" t="str">
            <v>134</v>
          </cell>
          <cell r="E271" t="str">
            <v>Machinary and Equipment</v>
          </cell>
          <cell r="F271">
            <v>12938640557.950001</v>
          </cell>
          <cell r="G271">
            <v>0</v>
          </cell>
          <cell r="H271">
            <v>12938640557.950001</v>
          </cell>
          <cell r="I271">
            <v>0</v>
          </cell>
          <cell r="J271">
            <v>12938640557.950001</v>
          </cell>
          <cell r="K271">
            <v>11727093750.309999</v>
          </cell>
        </row>
        <row r="272">
          <cell r="A272" t="str">
            <v>_/_5614_/_135</v>
          </cell>
          <cell r="B272"/>
          <cell r="C272" t="str">
            <v>5614</v>
          </cell>
          <cell r="D272" t="str">
            <v>135</v>
          </cell>
          <cell r="E272" t="str">
            <v>Vessels</v>
          </cell>
          <cell r="F272">
            <v>820000000</v>
          </cell>
          <cell r="G272">
            <v>0</v>
          </cell>
          <cell r="H272">
            <v>820000000</v>
          </cell>
          <cell r="I272">
            <v>0</v>
          </cell>
          <cell r="J272">
            <v>820000000</v>
          </cell>
          <cell r="K272">
            <v>820000000</v>
          </cell>
        </row>
        <row r="273">
          <cell r="A273" t="str">
            <v>_/_5614_/_135 new</v>
          </cell>
          <cell r="B273"/>
          <cell r="C273" t="str">
            <v>5614</v>
          </cell>
          <cell r="D273" t="str">
            <v>135 new</v>
          </cell>
          <cell r="E273" t="str">
            <v>Vessels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</row>
        <row r="274">
          <cell r="A274" t="str">
            <v>_/_5614_/_</v>
          </cell>
          <cell r="C274" t="str">
            <v>5614</v>
          </cell>
          <cell r="E274" t="str">
            <v>TB Total - Machinery &amp; Equipments</v>
          </cell>
          <cell r="F274">
            <v>13758640557.950001</v>
          </cell>
          <cell r="G274">
            <v>0</v>
          </cell>
          <cell r="H274">
            <v>13758640557.950001</v>
          </cell>
          <cell r="I274">
            <v>0</v>
          </cell>
          <cell r="J274">
            <v>13758640557.950001</v>
          </cell>
          <cell r="K274">
            <v>12547093750.309999</v>
          </cell>
        </row>
        <row r="275">
          <cell r="A275"/>
          <cell r="C275" t="str">
            <v>5615</v>
          </cell>
        </row>
        <row r="276">
          <cell r="A276" t="str">
            <v>_/_5615_/_136</v>
          </cell>
          <cell r="B276"/>
          <cell r="C276" t="str">
            <v>5615</v>
          </cell>
          <cell r="D276" t="str">
            <v>136</v>
          </cell>
          <cell r="E276" t="str">
            <v>Vehicles</v>
          </cell>
          <cell r="F276">
            <v>121097855364.10001</v>
          </cell>
          <cell r="G276">
            <v>0</v>
          </cell>
          <cell r="H276">
            <v>121097855364.10001</v>
          </cell>
          <cell r="I276">
            <v>0</v>
          </cell>
          <cell r="J276">
            <v>121097855364.10001</v>
          </cell>
          <cell r="K276">
            <v>110696115652.10001</v>
          </cell>
        </row>
        <row r="277">
          <cell r="A277" t="str">
            <v>_/_5615_/_</v>
          </cell>
          <cell r="C277" t="str">
            <v>5615</v>
          </cell>
          <cell r="E277" t="str">
            <v>TB Total - Vehicles</v>
          </cell>
          <cell r="F277">
            <v>121097855364.10001</v>
          </cell>
          <cell r="G277">
            <v>0</v>
          </cell>
          <cell r="H277">
            <v>121097855364.10001</v>
          </cell>
          <cell r="I277">
            <v>0</v>
          </cell>
          <cell r="J277">
            <v>121097855364.10001</v>
          </cell>
          <cell r="K277">
            <v>110696115652.10001</v>
          </cell>
        </row>
        <row r="278">
          <cell r="A278"/>
          <cell r="C278" t="str">
            <v>5616</v>
          </cell>
        </row>
        <row r="279">
          <cell r="A279" t="str">
            <v>_/_5616_/_137</v>
          </cell>
          <cell r="B279"/>
          <cell r="C279" t="str">
            <v>5616</v>
          </cell>
          <cell r="D279" t="str">
            <v>137</v>
          </cell>
          <cell r="E279" t="str">
            <v>Tools, Furniture &amp; Fixtures</v>
          </cell>
          <cell r="F279">
            <v>4933234304.1000004</v>
          </cell>
          <cell r="G279">
            <v>0</v>
          </cell>
          <cell r="H279">
            <v>4933234304.1000004</v>
          </cell>
          <cell r="I279">
            <v>0</v>
          </cell>
          <cell r="J279">
            <v>4933234304.1000004</v>
          </cell>
          <cell r="K279">
            <v>4895225972.1000004</v>
          </cell>
        </row>
        <row r="280">
          <cell r="A280" t="str">
            <v>_/_5616_/_151</v>
          </cell>
          <cell r="B280"/>
          <cell r="C280" t="str">
            <v>5616</v>
          </cell>
          <cell r="D280" t="str">
            <v>151</v>
          </cell>
          <cell r="E280" t="str">
            <v>Intangible Fixed Assets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</row>
        <row r="281">
          <cell r="A281" t="str">
            <v>_/_5616_/_</v>
          </cell>
          <cell r="C281" t="str">
            <v>5616</v>
          </cell>
          <cell r="E281" t="str">
            <v>TB Total - Tools, Furniture &amp; Fixtures</v>
          </cell>
          <cell r="F281">
            <v>4933234304.1000004</v>
          </cell>
          <cell r="G281">
            <v>0</v>
          </cell>
          <cell r="H281">
            <v>4933234304.1000004</v>
          </cell>
          <cell r="I281">
            <v>0</v>
          </cell>
          <cell r="J281">
            <v>4933234304.1000004</v>
          </cell>
          <cell r="K281">
            <v>4895225972.1000004</v>
          </cell>
        </row>
        <row r="282">
          <cell r="A282"/>
          <cell r="C282" t="str">
            <v>5617</v>
          </cell>
        </row>
        <row r="283">
          <cell r="A283" t="str">
            <v>_/_5617_/_140</v>
          </cell>
          <cell r="B283"/>
          <cell r="C283" t="str">
            <v>5617</v>
          </cell>
          <cell r="D283" t="str">
            <v>140</v>
          </cell>
          <cell r="E283" t="str">
            <v>Construction in Progress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</row>
        <row r="284">
          <cell r="A284" t="str">
            <v>_/_5617_/_</v>
          </cell>
          <cell r="C284" t="str">
            <v>5617</v>
          </cell>
          <cell r="E284" t="str">
            <v>TB Total - Construction In Progress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</row>
        <row r="285">
          <cell r="A285"/>
          <cell r="C285" t="str">
            <v>5618</v>
          </cell>
        </row>
        <row r="286">
          <cell r="A286" t="str">
            <v>_/_5618_/_141</v>
          </cell>
          <cell r="B286"/>
          <cell r="C286" t="str">
            <v>5618</v>
          </cell>
          <cell r="D286" t="str">
            <v>141</v>
          </cell>
          <cell r="E286" t="str">
            <v>Fixed Assets Under Capital Lease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</row>
        <row r="287">
          <cell r="A287" t="str">
            <v>_/_5618_/_</v>
          </cell>
          <cell r="C287" t="str">
            <v>5618</v>
          </cell>
          <cell r="E287" t="str">
            <v>TB Total - Leased Asset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</row>
        <row r="288">
          <cell r="A288"/>
          <cell r="C288" t="str">
            <v>5620</v>
          </cell>
        </row>
        <row r="289">
          <cell r="A289" t="str">
            <v>_/_5620_/_219131</v>
          </cell>
          <cell r="B289"/>
          <cell r="C289" t="str">
            <v>5620</v>
          </cell>
          <cell r="D289" t="str">
            <v>219131</v>
          </cell>
          <cell r="E289" t="str">
            <v>Acc. Depr. building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-3250642016.0900002</v>
          </cell>
        </row>
        <row r="290">
          <cell r="A290" t="str">
            <v>_/_5620_/_219133</v>
          </cell>
          <cell r="B290"/>
          <cell r="C290" t="str">
            <v>5620</v>
          </cell>
          <cell r="D290" t="str">
            <v>219133</v>
          </cell>
          <cell r="E290" t="str">
            <v>Acc. Depr. Structures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-376872784</v>
          </cell>
        </row>
        <row r="291">
          <cell r="A291" t="str">
            <v>_/_5620_/_21931</v>
          </cell>
          <cell r="B291"/>
          <cell r="C291" t="str">
            <v>5620</v>
          </cell>
          <cell r="D291" t="str">
            <v>21931</v>
          </cell>
          <cell r="E291" t="str">
            <v>Accumulated Depreciation: Building</v>
          </cell>
          <cell r="F291">
            <v>-3663049649.8200002</v>
          </cell>
          <cell r="G291">
            <v>0</v>
          </cell>
          <cell r="H291">
            <v>-3663049649.8200002</v>
          </cell>
          <cell r="I291">
            <v>0</v>
          </cell>
          <cell r="J291">
            <v>-3663049649.8200002</v>
          </cell>
          <cell r="K291">
            <v>0</v>
          </cell>
        </row>
        <row r="292">
          <cell r="A292" t="str">
            <v>_/_5620_/_21933</v>
          </cell>
          <cell r="B292"/>
          <cell r="C292" t="str">
            <v>5620</v>
          </cell>
          <cell r="D292" t="str">
            <v>21933</v>
          </cell>
          <cell r="E292" t="str">
            <v>Accumulated Depreciation: Structures</v>
          </cell>
          <cell r="F292">
            <v>-376872784</v>
          </cell>
          <cell r="G292">
            <v>0</v>
          </cell>
          <cell r="H292">
            <v>-376872784</v>
          </cell>
          <cell r="I292">
            <v>0</v>
          </cell>
          <cell r="J292">
            <v>-376872784</v>
          </cell>
          <cell r="K292">
            <v>0</v>
          </cell>
        </row>
        <row r="293">
          <cell r="A293" t="str">
            <v>_/_5620_/_</v>
          </cell>
          <cell r="C293" t="str">
            <v>5620</v>
          </cell>
          <cell r="E293" t="str">
            <v>TB Total - Acc. Depr - Building &amp; Structures</v>
          </cell>
          <cell r="F293">
            <v>-4039922433.8200002</v>
          </cell>
          <cell r="G293">
            <v>0</v>
          </cell>
          <cell r="H293">
            <v>-4039922433.8200002</v>
          </cell>
          <cell r="I293">
            <v>0</v>
          </cell>
          <cell r="J293">
            <v>-4039922433.8200002</v>
          </cell>
          <cell r="K293">
            <v>-3627514800.0900002</v>
          </cell>
        </row>
        <row r="294">
          <cell r="A294"/>
          <cell r="C294" t="str">
            <v>5621</v>
          </cell>
        </row>
        <row r="295">
          <cell r="A295" t="str">
            <v>_/_5621_/_219134</v>
          </cell>
          <cell r="B295"/>
          <cell r="C295" t="str">
            <v>5621</v>
          </cell>
          <cell r="D295" t="str">
            <v>219134</v>
          </cell>
          <cell r="E295" t="str">
            <v>Acc. depr. Machine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-6857650477.2799997</v>
          </cell>
        </row>
        <row r="296">
          <cell r="A296" t="str">
            <v>_/_5621_/_219135</v>
          </cell>
          <cell r="B296"/>
          <cell r="C296" t="str">
            <v>5621</v>
          </cell>
          <cell r="D296" t="str">
            <v>219135</v>
          </cell>
          <cell r="E296" t="str">
            <v>Acc. depr. Vessels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-266333335.66</v>
          </cell>
        </row>
        <row r="297">
          <cell r="A297" t="str">
            <v>_/_5621_/_219135 new</v>
          </cell>
          <cell r="B297"/>
          <cell r="C297" t="str">
            <v>5621</v>
          </cell>
          <cell r="D297" t="str">
            <v>219135 new</v>
          </cell>
          <cell r="E297" t="str">
            <v>Acc. Depr. Vessels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</row>
        <row r="298">
          <cell r="A298" t="str">
            <v>_/_5621_/_21934</v>
          </cell>
          <cell r="B298"/>
          <cell r="C298" t="str">
            <v>5621</v>
          </cell>
          <cell r="D298" t="str">
            <v>21934</v>
          </cell>
          <cell r="E298" t="str">
            <v>A. Depreciation: Machine</v>
          </cell>
          <cell r="F298">
            <v>-8266440728</v>
          </cell>
          <cell r="G298">
            <v>0</v>
          </cell>
          <cell r="H298">
            <v>-8266440728</v>
          </cell>
          <cell r="I298">
            <v>0</v>
          </cell>
          <cell r="J298">
            <v>-8266440728</v>
          </cell>
          <cell r="K298">
            <v>0</v>
          </cell>
        </row>
        <row r="299">
          <cell r="A299" t="str">
            <v>_/_5621_/_21935</v>
          </cell>
          <cell r="B299"/>
          <cell r="C299" t="str">
            <v>5621</v>
          </cell>
          <cell r="D299" t="str">
            <v>21935</v>
          </cell>
          <cell r="E299" t="str">
            <v>Accumlated Depreciation: Vessels</v>
          </cell>
          <cell r="F299">
            <v>-430333335.69999999</v>
          </cell>
          <cell r="G299">
            <v>0</v>
          </cell>
          <cell r="H299">
            <v>-430333335.69999999</v>
          </cell>
          <cell r="I299">
            <v>0</v>
          </cell>
          <cell r="J299">
            <v>-430333335.69999999</v>
          </cell>
          <cell r="K299">
            <v>0</v>
          </cell>
        </row>
        <row r="300">
          <cell r="A300" t="str">
            <v>_/_5621_/_</v>
          </cell>
          <cell r="C300" t="str">
            <v>5621</v>
          </cell>
          <cell r="E300" t="str">
            <v>TB Total - Acc. Depr - Machinery &amp; Equipments</v>
          </cell>
          <cell r="F300">
            <v>-8696774063.7000008</v>
          </cell>
          <cell r="G300">
            <v>0</v>
          </cell>
          <cell r="H300">
            <v>-8696774063.7000008</v>
          </cell>
          <cell r="I300">
            <v>0</v>
          </cell>
          <cell r="J300">
            <v>-8696774063.7000008</v>
          </cell>
          <cell r="K300">
            <v>-7123983812.9399996</v>
          </cell>
        </row>
        <row r="301">
          <cell r="A301"/>
          <cell r="C301" t="str">
            <v>5622</v>
          </cell>
        </row>
        <row r="302">
          <cell r="A302" t="str">
            <v>_/_5622_/_219136</v>
          </cell>
          <cell r="B302"/>
          <cell r="C302" t="str">
            <v>5622</v>
          </cell>
          <cell r="D302" t="str">
            <v>219136</v>
          </cell>
          <cell r="E302" t="str">
            <v>Acc. depr. Vehicles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-64109716110.089996</v>
          </cell>
        </row>
        <row r="303">
          <cell r="A303" t="str">
            <v>_/_5622_/_21936</v>
          </cell>
          <cell r="B303"/>
          <cell r="C303" t="str">
            <v>5622</v>
          </cell>
          <cell r="D303" t="str">
            <v>21936</v>
          </cell>
          <cell r="E303" t="str">
            <v>Accumlated Depreciation: Vehicles</v>
          </cell>
          <cell r="F303">
            <v>-72804670944.300003</v>
          </cell>
          <cell r="G303">
            <v>0</v>
          </cell>
          <cell r="H303">
            <v>-72804670944.300003</v>
          </cell>
          <cell r="I303">
            <v>0</v>
          </cell>
          <cell r="J303">
            <v>-72804670944.300003</v>
          </cell>
          <cell r="K303">
            <v>0</v>
          </cell>
        </row>
        <row r="304">
          <cell r="A304" t="str">
            <v>_/_5622_/_</v>
          </cell>
          <cell r="C304" t="str">
            <v>5622</v>
          </cell>
          <cell r="E304" t="str">
            <v>TB Total - Acc. Depr - Vehicles</v>
          </cell>
          <cell r="F304">
            <v>-72804670944.300003</v>
          </cell>
          <cell r="G304">
            <v>0</v>
          </cell>
          <cell r="H304">
            <v>-72804670944.300003</v>
          </cell>
          <cell r="I304">
            <v>0</v>
          </cell>
          <cell r="J304">
            <v>-72804670944.300003</v>
          </cell>
          <cell r="K304">
            <v>-64109716110.089996</v>
          </cell>
        </row>
        <row r="305">
          <cell r="A305"/>
          <cell r="C305" t="str">
            <v>5623</v>
          </cell>
        </row>
        <row r="306">
          <cell r="A306" t="str">
            <v>_/_5623_/_219137</v>
          </cell>
          <cell r="B306"/>
          <cell r="C306" t="str">
            <v>5623</v>
          </cell>
          <cell r="D306" t="str">
            <v>219137</v>
          </cell>
          <cell r="E306" t="str">
            <v>Acc. depr. Tools, Furniture &amp; Fictures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-3724641250.8600001</v>
          </cell>
        </row>
        <row r="307">
          <cell r="A307" t="str">
            <v>_/_5623_/_219151</v>
          </cell>
          <cell r="B307"/>
          <cell r="C307" t="str">
            <v>5623</v>
          </cell>
          <cell r="D307" t="str">
            <v>219151</v>
          </cell>
          <cell r="E307" t="str">
            <v>Acc. depr. Intangible Fix Asset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</row>
        <row r="308">
          <cell r="A308" t="str">
            <v>_/_5623_/_21937</v>
          </cell>
          <cell r="B308"/>
          <cell r="C308" t="str">
            <v>5623</v>
          </cell>
          <cell r="D308" t="str">
            <v>21937</v>
          </cell>
          <cell r="E308" t="str">
            <v>A. Depreciation: Tools, Furniture &amp; Pict</v>
          </cell>
          <cell r="F308">
            <v>-3921496322.0500002</v>
          </cell>
          <cell r="G308">
            <v>0</v>
          </cell>
          <cell r="H308">
            <v>-3921496322.0500002</v>
          </cell>
          <cell r="I308">
            <v>0</v>
          </cell>
          <cell r="J308">
            <v>-3921496322.0500002</v>
          </cell>
          <cell r="K308">
            <v>0</v>
          </cell>
        </row>
        <row r="309">
          <cell r="A309" t="str">
            <v>_/_5623_/_</v>
          </cell>
          <cell r="C309" t="str">
            <v>5623</v>
          </cell>
          <cell r="E309" t="str">
            <v>TB Total - Acc. Depr - Tools, Furniture &amp; Fixtures</v>
          </cell>
          <cell r="F309">
            <v>-3921496322.0500002</v>
          </cell>
          <cell r="G309">
            <v>0</v>
          </cell>
          <cell r="H309">
            <v>-3921496322.0500002</v>
          </cell>
          <cell r="I309">
            <v>0</v>
          </cell>
          <cell r="J309">
            <v>-3921496322.0500002</v>
          </cell>
          <cell r="K309">
            <v>-3724641250.8600001</v>
          </cell>
        </row>
        <row r="310">
          <cell r="A310"/>
          <cell r="C310" t="str">
            <v>5700</v>
          </cell>
        </row>
        <row r="311">
          <cell r="A311" t="str">
            <v>_/_5700_/_162</v>
          </cell>
          <cell r="B311"/>
          <cell r="C311" t="str">
            <v>5700</v>
          </cell>
          <cell r="D311" t="str">
            <v>162</v>
          </cell>
          <cell r="E311" t="str">
            <v>Investment in Partnerships</v>
          </cell>
          <cell r="F311">
            <v>2641140893.3000002</v>
          </cell>
          <cell r="G311">
            <v>0</v>
          </cell>
          <cell r="H311">
            <v>2641140893.3000002</v>
          </cell>
          <cell r="I311">
            <v>0</v>
          </cell>
          <cell r="J311">
            <v>2641140893.3000002</v>
          </cell>
          <cell r="K311">
            <v>2535984864</v>
          </cell>
        </row>
        <row r="312">
          <cell r="A312" t="str">
            <v>_/_5700_/_</v>
          </cell>
          <cell r="C312" t="str">
            <v>5700</v>
          </cell>
          <cell r="E312" t="str">
            <v>TB Total - Other Assets</v>
          </cell>
          <cell r="F312">
            <v>2641140893.3000002</v>
          </cell>
          <cell r="G312">
            <v>0</v>
          </cell>
          <cell r="H312">
            <v>2641140893.3000002</v>
          </cell>
          <cell r="I312">
            <v>0</v>
          </cell>
          <cell r="J312">
            <v>2641140893.3000002</v>
          </cell>
          <cell r="K312">
            <v>2535984864</v>
          </cell>
        </row>
        <row r="313">
          <cell r="A313"/>
          <cell r="C313" t="str">
            <v>5715</v>
          </cell>
        </row>
        <row r="314">
          <cell r="A314" t="str">
            <v>_/_5715_/_163</v>
          </cell>
          <cell r="B314"/>
          <cell r="C314" t="str">
            <v>5715</v>
          </cell>
          <cell r="D314" t="str">
            <v>163</v>
          </cell>
          <cell r="E314" t="str">
            <v>Other Investment</v>
          </cell>
          <cell r="F314">
            <v>317570000</v>
          </cell>
          <cell r="G314">
            <v>0</v>
          </cell>
          <cell r="H314">
            <v>317570000</v>
          </cell>
          <cell r="I314">
            <v>0</v>
          </cell>
          <cell r="J314">
            <v>317570000</v>
          </cell>
          <cell r="K314">
            <v>5000000</v>
          </cell>
        </row>
        <row r="315">
          <cell r="A315" t="str">
            <v>_/_5715_/_16323</v>
          </cell>
          <cell r="B315"/>
          <cell r="C315" t="str">
            <v>5715</v>
          </cell>
          <cell r="D315" t="str">
            <v>16323</v>
          </cell>
          <cell r="E315" t="str">
            <v>Guarantee Bea Cukai 000397/JT/PPJK/04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</row>
        <row r="316">
          <cell r="A316" t="str">
            <v>_/_5715_/_163ADJ</v>
          </cell>
          <cell r="B316"/>
          <cell r="C316" t="str">
            <v>5715</v>
          </cell>
          <cell r="D316" t="str">
            <v>163ADJ</v>
          </cell>
          <cell r="E316" t="str">
            <v>Auditor Adjusment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</row>
        <row r="317">
          <cell r="A317" t="str">
            <v>_/_5715_/_</v>
          </cell>
          <cell r="C317" t="str">
            <v>5715</v>
          </cell>
          <cell r="E317" t="str">
            <v>TB Total - Refundable Deposits</v>
          </cell>
          <cell r="F317">
            <v>317570000</v>
          </cell>
          <cell r="G317">
            <v>0</v>
          </cell>
          <cell r="H317">
            <v>317570000</v>
          </cell>
          <cell r="I317">
            <v>0</v>
          </cell>
          <cell r="J317">
            <v>317570000</v>
          </cell>
          <cell r="K317">
            <v>5000000</v>
          </cell>
        </row>
        <row r="318">
          <cell r="A318"/>
          <cell r="C318" t="str">
            <v>5716</v>
          </cell>
        </row>
        <row r="319">
          <cell r="A319" t="str">
            <v>_/_5716_/_</v>
          </cell>
          <cell r="C319" t="str">
            <v>5716</v>
          </cell>
          <cell r="E319" t="str">
            <v>TB Total - Long-Term Prepaid Expense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</row>
        <row r="320">
          <cell r="A320"/>
          <cell r="C320" t="str">
            <v>5800</v>
          </cell>
        </row>
        <row r="321">
          <cell r="A321" t="str">
            <v>_/_5800_/_115</v>
          </cell>
          <cell r="B321"/>
          <cell r="C321" t="str">
            <v>5800</v>
          </cell>
          <cell r="D321" t="str">
            <v>115</v>
          </cell>
          <cell r="E321" t="str">
            <v>Deffered TAX Assets (Current)</v>
          </cell>
          <cell r="F321">
            <v>4761137861</v>
          </cell>
          <cell r="G321">
            <v>0</v>
          </cell>
          <cell r="H321">
            <v>4761137861</v>
          </cell>
          <cell r="I321">
            <v>0</v>
          </cell>
          <cell r="J321">
            <v>4761137861</v>
          </cell>
          <cell r="K321">
            <v>4761137861</v>
          </cell>
        </row>
        <row r="322">
          <cell r="A322" t="str">
            <v>_/_5800_/_</v>
          </cell>
          <cell r="C322" t="str">
            <v>5800</v>
          </cell>
          <cell r="E322" t="str">
            <v xml:space="preserve">TB Total - Deferred Tax Asset </v>
          </cell>
          <cell r="F322">
            <v>4761137861</v>
          </cell>
          <cell r="G322">
            <v>0</v>
          </cell>
          <cell r="H322">
            <v>4761137861</v>
          </cell>
          <cell r="I322">
            <v>0</v>
          </cell>
          <cell r="J322">
            <v>4761137861</v>
          </cell>
          <cell r="K322">
            <v>4761137861</v>
          </cell>
        </row>
        <row r="323">
          <cell r="A323"/>
          <cell r="C323" t="str">
            <v>6111</v>
          </cell>
        </row>
        <row r="324">
          <cell r="A324" t="str">
            <v>_/_6111_/_203</v>
          </cell>
          <cell r="B324"/>
          <cell r="C324" t="str">
            <v>6111</v>
          </cell>
          <cell r="D324" t="str">
            <v>203</v>
          </cell>
          <cell r="E324" t="str">
            <v>Account Payable Trade</v>
          </cell>
          <cell r="F324">
            <v>-13511455765.700001</v>
          </cell>
          <cell r="G324">
            <v>0</v>
          </cell>
          <cell r="H324">
            <v>-13511455765.700001</v>
          </cell>
          <cell r="I324">
            <v>0</v>
          </cell>
          <cell r="J324">
            <v>-13511455765.700001</v>
          </cell>
          <cell r="K324">
            <v>0</v>
          </cell>
        </row>
        <row r="325">
          <cell r="A325" t="str">
            <v>_/_6111_/_203AB</v>
          </cell>
          <cell r="B325"/>
          <cell r="C325" t="str">
            <v>6111</v>
          </cell>
          <cell r="D325" t="str">
            <v>203AB</v>
          </cell>
          <cell r="E325" t="str">
            <v>A/P Trade Asahan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-102523120</v>
          </cell>
        </row>
        <row r="326">
          <cell r="A326" t="str">
            <v>_/_6111_/_203CL</v>
          </cell>
          <cell r="B326"/>
          <cell r="C326" t="str">
            <v>6111</v>
          </cell>
          <cell r="D326" t="str">
            <v>203CL</v>
          </cell>
          <cell r="E326" t="str">
            <v>A/P Trade Cilegon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-18944946210.43</v>
          </cell>
        </row>
        <row r="327">
          <cell r="A327" t="str">
            <v>_/_6111_/_203JK</v>
          </cell>
          <cell r="B327"/>
          <cell r="C327" t="str">
            <v>6111</v>
          </cell>
          <cell r="D327" t="str">
            <v>203JK</v>
          </cell>
          <cell r="E327" t="str">
            <v>A/P Trade Jakarta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-7468883753.6000004</v>
          </cell>
        </row>
        <row r="328">
          <cell r="A328" t="str">
            <v>_/_6111_/_</v>
          </cell>
          <cell r="C328" t="str">
            <v>6111</v>
          </cell>
          <cell r="E328" t="str">
            <v>TB Total - Accounts Payable - Trade</v>
          </cell>
          <cell r="F328">
            <v>-13511455765.700001</v>
          </cell>
          <cell r="G328">
            <v>0</v>
          </cell>
          <cell r="H328">
            <v>-13511455765.700001</v>
          </cell>
          <cell r="I328">
            <v>0</v>
          </cell>
          <cell r="J328">
            <v>-13511455765.700001</v>
          </cell>
          <cell r="K328">
            <v>-26516353084.029999</v>
          </cell>
        </row>
        <row r="329">
          <cell r="A329"/>
          <cell r="C329" t="str">
            <v>6112</v>
          </cell>
        </row>
        <row r="330">
          <cell r="A330" t="str">
            <v>_/_6112_/_211010</v>
          </cell>
          <cell r="B330"/>
          <cell r="C330" t="str">
            <v>6112</v>
          </cell>
          <cell r="D330" t="str">
            <v>211010</v>
          </cell>
          <cell r="E330" t="str">
            <v>Sankyu Yokohama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</row>
        <row r="331">
          <cell r="A331" t="str">
            <v>_/_6112_/_211015</v>
          </cell>
          <cell r="B331"/>
          <cell r="C331" t="str">
            <v>6112</v>
          </cell>
          <cell r="D331" t="str">
            <v>211015</v>
          </cell>
          <cell r="E331" t="str">
            <v>Sankyu Kobe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</row>
        <row r="332">
          <cell r="A332" t="str">
            <v>_/_6112_/_211024</v>
          </cell>
          <cell r="B332"/>
          <cell r="C332" t="str">
            <v>6112</v>
          </cell>
          <cell r="D332" t="str">
            <v>211024</v>
          </cell>
          <cell r="E332" t="str">
            <v>Sankyu Inc Fukuoka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</row>
        <row r="333">
          <cell r="A333" t="str">
            <v>_/_6112_/_211025</v>
          </cell>
          <cell r="B333"/>
          <cell r="C333" t="str">
            <v>6112</v>
          </cell>
          <cell r="D333" t="str">
            <v>211025</v>
          </cell>
          <cell r="E333" t="str">
            <v>Sankyu Europe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</row>
        <row r="334">
          <cell r="A334" t="str">
            <v>_/_6112_/_211028</v>
          </cell>
          <cell r="B334"/>
          <cell r="C334" t="str">
            <v>6112</v>
          </cell>
          <cell r="D334" t="str">
            <v>211028</v>
          </cell>
          <cell r="E334" t="str">
            <v>Sankyu Amerika (USA)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</row>
        <row r="335">
          <cell r="A335" t="str">
            <v>_/_6112_/_211029</v>
          </cell>
          <cell r="B335"/>
          <cell r="C335" t="str">
            <v>6112</v>
          </cell>
          <cell r="D335" t="str">
            <v>211029</v>
          </cell>
          <cell r="E335" t="str">
            <v>Tianjin International Freight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</row>
        <row r="336">
          <cell r="A336" t="str">
            <v>_/_6112_/_211036</v>
          </cell>
          <cell r="B336"/>
          <cell r="C336" t="str">
            <v>6112</v>
          </cell>
          <cell r="D336" t="str">
            <v>211036</v>
          </cell>
          <cell r="E336" t="str">
            <v>Sankyu Nagoya Branch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</row>
        <row r="337">
          <cell r="A337" t="str">
            <v>_/_6112_/_211050 new</v>
          </cell>
          <cell r="B337"/>
          <cell r="C337" t="str">
            <v>6112</v>
          </cell>
          <cell r="D337" t="str">
            <v>211050 new</v>
          </cell>
          <cell r="E337" t="str">
            <v>Sankyu Inc (Tangguh Project)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</row>
        <row r="338">
          <cell r="A338" t="str">
            <v>_/_6112_/_211SG101000</v>
          </cell>
          <cell r="B338"/>
          <cell r="C338" t="str">
            <v>6112</v>
          </cell>
          <cell r="D338" t="str">
            <v>211SG101000</v>
          </cell>
          <cell r="E338" t="str">
            <v>Sankyu INC.</v>
          </cell>
          <cell r="F338">
            <v>-1502440938.3399999</v>
          </cell>
          <cell r="G338">
            <v>0</v>
          </cell>
          <cell r="H338">
            <v>-1502440938.3399999</v>
          </cell>
          <cell r="I338">
            <v>0</v>
          </cell>
          <cell r="J338">
            <v>-1502440938.3399999</v>
          </cell>
          <cell r="K338">
            <v>-1860196400.4000001</v>
          </cell>
        </row>
        <row r="339">
          <cell r="A339" t="str">
            <v>_/_6112_/_211SG101001</v>
          </cell>
          <cell r="B339"/>
          <cell r="C339" t="str">
            <v>6112</v>
          </cell>
          <cell r="D339" t="str">
            <v>211SG101001</v>
          </cell>
          <cell r="E339" t="str">
            <v>Sankyu Inc. (Tangguh PJ)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-244240247.80000001</v>
          </cell>
        </row>
        <row r="340">
          <cell r="A340" t="str">
            <v>_/_6112_/_211SG260100</v>
          </cell>
          <cell r="B340"/>
          <cell r="C340" t="str">
            <v>6112</v>
          </cell>
          <cell r="D340" t="str">
            <v>211SG260100</v>
          </cell>
          <cell r="E340" t="str">
            <v>Sankyu (Malaysia) SDN. BHD.</v>
          </cell>
          <cell r="F340">
            <v>-15959082.65</v>
          </cell>
          <cell r="G340">
            <v>0</v>
          </cell>
          <cell r="H340">
            <v>-15959082.65</v>
          </cell>
          <cell r="I340">
            <v>0</v>
          </cell>
          <cell r="J340">
            <v>-15959082.65</v>
          </cell>
          <cell r="K340">
            <v>-9834055</v>
          </cell>
        </row>
        <row r="341">
          <cell r="A341" t="str">
            <v>_/_6112_/_211SG265100</v>
          </cell>
          <cell r="B341"/>
          <cell r="C341" t="str">
            <v>6112</v>
          </cell>
          <cell r="D341" t="str">
            <v>211SG265100</v>
          </cell>
          <cell r="E341" t="str">
            <v>Sankyu (Singapore) PTE. LTD.</v>
          </cell>
          <cell r="F341">
            <v>-22228190.98</v>
          </cell>
          <cell r="G341">
            <v>0</v>
          </cell>
          <cell r="H341">
            <v>-22228190.98</v>
          </cell>
          <cell r="I341">
            <v>0</v>
          </cell>
          <cell r="J341">
            <v>-22228190.98</v>
          </cell>
          <cell r="K341">
            <v>-23123514.16</v>
          </cell>
        </row>
        <row r="342">
          <cell r="A342" t="str">
            <v>_/_6112_/_211SG266100</v>
          </cell>
          <cell r="B342"/>
          <cell r="C342" t="str">
            <v>6112</v>
          </cell>
          <cell r="D342" t="str">
            <v>211SG266100</v>
          </cell>
          <cell r="E342" t="str">
            <v>Sankyu (Thailand) Co.,Ltd</v>
          </cell>
          <cell r="F342">
            <v>-5180450</v>
          </cell>
          <cell r="G342">
            <v>0</v>
          </cell>
          <cell r="H342">
            <v>-5180450</v>
          </cell>
          <cell r="I342">
            <v>0</v>
          </cell>
          <cell r="J342">
            <v>-5180450</v>
          </cell>
          <cell r="K342">
            <v>-18940425.949999999</v>
          </cell>
        </row>
        <row r="343">
          <cell r="A343" t="str">
            <v>_/_6112_/_211SG266300</v>
          </cell>
          <cell r="B343"/>
          <cell r="C343" t="str">
            <v>6112</v>
          </cell>
          <cell r="D343" t="str">
            <v>211SG266300</v>
          </cell>
          <cell r="E343" t="str">
            <v>Sankyu Leam Chabang (Thailand) Co., Ltd.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</row>
        <row r="344">
          <cell r="A344" t="str">
            <v>_/_6112_/_211SG267100</v>
          </cell>
          <cell r="B344"/>
          <cell r="C344" t="str">
            <v>6112</v>
          </cell>
          <cell r="D344" t="str">
            <v>211SG267100</v>
          </cell>
          <cell r="E344" t="str">
            <v>Sankyu Vietnam</v>
          </cell>
          <cell r="F344">
            <v>-19297647.199999999</v>
          </cell>
          <cell r="G344">
            <v>0</v>
          </cell>
          <cell r="H344">
            <v>-19297647.199999999</v>
          </cell>
          <cell r="I344">
            <v>0</v>
          </cell>
          <cell r="J344">
            <v>-19297647.199999999</v>
          </cell>
          <cell r="K344">
            <v>0</v>
          </cell>
        </row>
        <row r="345">
          <cell r="A345" t="str">
            <v>_/_6112_/_211SG385100</v>
          </cell>
          <cell r="B345"/>
          <cell r="C345" t="str">
            <v>6112</v>
          </cell>
          <cell r="D345" t="str">
            <v>211SG385100</v>
          </cell>
          <cell r="E345" t="str">
            <v>Sankyu Eastern International (Hong Kong)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-440176</v>
          </cell>
        </row>
        <row r="346">
          <cell r="A346" t="str">
            <v>_/_6112_/_211SG385200</v>
          </cell>
          <cell r="B346"/>
          <cell r="C346" t="str">
            <v>6112</v>
          </cell>
          <cell r="D346" t="str">
            <v>211SG385200</v>
          </cell>
          <cell r="E346" t="str">
            <v>Sankyu Air (Hong Kong) Limted.</v>
          </cell>
          <cell r="F346">
            <v>-2680929.9700000002</v>
          </cell>
          <cell r="G346">
            <v>0</v>
          </cell>
          <cell r="H346">
            <v>-2680929.9700000002</v>
          </cell>
          <cell r="I346">
            <v>0</v>
          </cell>
          <cell r="J346">
            <v>-2680929.9700000002</v>
          </cell>
          <cell r="K346">
            <v>0</v>
          </cell>
        </row>
        <row r="347">
          <cell r="A347" t="str">
            <v>_/_6112_/_211SG386200</v>
          </cell>
          <cell r="B347"/>
          <cell r="C347" t="str">
            <v>6112</v>
          </cell>
          <cell r="D347" t="str">
            <v>211SG386200</v>
          </cell>
          <cell r="E347" t="str">
            <v>Sankyu Shanghai E&amp;T Sankyu Logistics</v>
          </cell>
          <cell r="F347">
            <v>-116050839.67</v>
          </cell>
          <cell r="G347">
            <v>0</v>
          </cell>
          <cell r="H347">
            <v>-116050839.67</v>
          </cell>
          <cell r="I347">
            <v>0</v>
          </cell>
          <cell r="J347">
            <v>-116050839.67</v>
          </cell>
          <cell r="K347">
            <v>-69209107</v>
          </cell>
        </row>
        <row r="348">
          <cell r="A348" t="str">
            <v>_/_6112_/_</v>
          </cell>
          <cell r="C348" t="str">
            <v>6112</v>
          </cell>
          <cell r="E348" t="str">
            <v>TB Total - Accounts Payable - Related Party</v>
          </cell>
          <cell r="F348">
            <v>-1683838078.8100002</v>
          </cell>
          <cell r="G348">
            <v>0</v>
          </cell>
          <cell r="H348">
            <v>-1683838078.8100002</v>
          </cell>
          <cell r="I348">
            <v>0</v>
          </cell>
          <cell r="J348">
            <v>-1683838078.8100002</v>
          </cell>
          <cell r="K348">
            <v>-2225983926.3099999</v>
          </cell>
        </row>
        <row r="349">
          <cell r="A349"/>
          <cell r="C349" t="str">
            <v>6113</v>
          </cell>
        </row>
        <row r="350">
          <cell r="A350" t="str">
            <v>_/_6113_/_21002</v>
          </cell>
          <cell r="B350"/>
          <cell r="C350" t="str">
            <v>6113</v>
          </cell>
          <cell r="D350" t="str">
            <v>21002</v>
          </cell>
          <cell r="E350" t="str">
            <v>Sankyu Inc (Tangguh Project)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</row>
        <row r="351">
          <cell r="A351" t="str">
            <v>_/_6113_/_211005HTM</v>
          </cell>
          <cell r="B351"/>
          <cell r="C351" t="str">
            <v>6113</v>
          </cell>
          <cell r="D351" t="str">
            <v>211005HTM</v>
          </cell>
          <cell r="E351" t="str">
            <v>Sankyu Inc - Other AP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</row>
        <row r="352">
          <cell r="A352" t="str">
            <v>_/_6113_/_218-HTM</v>
          </cell>
          <cell r="B352"/>
          <cell r="C352" t="str">
            <v>6113</v>
          </cell>
          <cell r="D352" t="str">
            <v>218-HTM</v>
          </cell>
          <cell r="E352" t="str">
            <v>Temporary Receipts-Related Party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</row>
        <row r="353">
          <cell r="A353" t="str">
            <v>_/_6113_/_</v>
          </cell>
          <cell r="C353" t="str">
            <v>6113</v>
          </cell>
          <cell r="E353" t="str">
            <v>TB Total - Other Payables - Related Party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</row>
        <row r="354">
          <cell r="A354"/>
          <cell r="C354" t="str">
            <v>6114</v>
          </cell>
        </row>
        <row r="355">
          <cell r="A355" t="str">
            <v>_/_6114_/_205</v>
          </cell>
          <cell r="B355"/>
          <cell r="C355" t="str">
            <v>6114</v>
          </cell>
          <cell r="D355" t="str">
            <v>205</v>
          </cell>
          <cell r="E355" t="str">
            <v>Account Payable Other (Non-Trade)</v>
          </cell>
          <cell r="F355">
            <v>-2553100064.5999999</v>
          </cell>
          <cell r="G355">
            <v>0</v>
          </cell>
          <cell r="H355">
            <v>-2553100064.5999999</v>
          </cell>
          <cell r="I355">
            <v>0</v>
          </cell>
          <cell r="J355">
            <v>-2553100064.5999999</v>
          </cell>
          <cell r="K355">
            <v>-2155992223</v>
          </cell>
        </row>
        <row r="356">
          <cell r="A356" t="str">
            <v>_/_6114_/_209</v>
          </cell>
          <cell r="B356"/>
          <cell r="C356" t="str">
            <v>6114</v>
          </cell>
          <cell r="D356" t="str">
            <v>209</v>
          </cell>
          <cell r="E356" t="str">
            <v>Deposit Received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</row>
        <row r="357">
          <cell r="A357" t="str">
            <v>_/_6114_/_2090101</v>
          </cell>
          <cell r="B357"/>
          <cell r="C357" t="str">
            <v>6114</v>
          </cell>
          <cell r="D357" t="str">
            <v>2090101</v>
          </cell>
          <cell r="E357" t="str">
            <v>Received PPH21 Salary,Bonus,THR,etc.</v>
          </cell>
          <cell r="F357">
            <v>-1227401839.9400001</v>
          </cell>
          <cell r="G357">
            <v>0</v>
          </cell>
          <cell r="H357">
            <v>-1227401839.9400001</v>
          </cell>
          <cell r="I357">
            <v>0</v>
          </cell>
          <cell r="J357">
            <v>-1227401839.9400001</v>
          </cell>
          <cell r="K357">
            <v>0</v>
          </cell>
        </row>
        <row r="358">
          <cell r="A358" t="str">
            <v>_/_6114_/_2090302</v>
          </cell>
          <cell r="B358"/>
          <cell r="C358" t="str">
            <v>6114</v>
          </cell>
          <cell r="D358" t="str">
            <v>2090302</v>
          </cell>
          <cell r="E358" t="str">
            <v>Received PPH23 for Rental Building /Land</v>
          </cell>
          <cell r="F358">
            <v>-35995105.890000001</v>
          </cell>
          <cell r="G358">
            <v>0</v>
          </cell>
          <cell r="H358">
            <v>-35995105.890000001</v>
          </cell>
          <cell r="I358">
            <v>0</v>
          </cell>
          <cell r="J358">
            <v>-35995105.890000001</v>
          </cell>
          <cell r="K358">
            <v>0</v>
          </cell>
        </row>
        <row r="359">
          <cell r="A359" t="str">
            <v>_/_6114_/_2090303</v>
          </cell>
          <cell r="B359"/>
          <cell r="C359" t="str">
            <v>6114</v>
          </cell>
          <cell r="D359" t="str">
            <v>2090303</v>
          </cell>
          <cell r="E359" t="str">
            <v>Received PPH23 for Professional /Consult</v>
          </cell>
          <cell r="F359">
            <v>-1463878</v>
          </cell>
          <cell r="G359">
            <v>0</v>
          </cell>
          <cell r="H359">
            <v>-1463878</v>
          </cell>
          <cell r="I359">
            <v>0</v>
          </cell>
          <cell r="J359">
            <v>-1463878</v>
          </cell>
          <cell r="K359">
            <v>0</v>
          </cell>
        </row>
        <row r="360">
          <cell r="A360" t="str">
            <v>_/_6114_/_2090304</v>
          </cell>
          <cell r="B360"/>
          <cell r="C360" t="str">
            <v>6114</v>
          </cell>
          <cell r="D360" t="str">
            <v>2090304</v>
          </cell>
          <cell r="E360" t="str">
            <v>Received PPH23 for Services Work</v>
          </cell>
          <cell r="F360">
            <v>-271098618.20999998</v>
          </cell>
          <cell r="G360">
            <v>0</v>
          </cell>
          <cell r="H360">
            <v>-271098618.20999998</v>
          </cell>
          <cell r="I360">
            <v>0</v>
          </cell>
          <cell r="J360">
            <v>-271098618.20999998</v>
          </cell>
          <cell r="K360">
            <v>0</v>
          </cell>
        </row>
        <row r="361">
          <cell r="A361" t="str">
            <v>_/_6114_/_2090305</v>
          </cell>
          <cell r="B361"/>
          <cell r="C361" t="str">
            <v>6114</v>
          </cell>
          <cell r="D361" t="str">
            <v>2090305</v>
          </cell>
          <cell r="E361" t="str">
            <v>Received PPH23 for Rental Equipment</v>
          </cell>
          <cell r="F361">
            <v>-2378385</v>
          </cell>
          <cell r="G361">
            <v>0</v>
          </cell>
          <cell r="H361">
            <v>-2378385</v>
          </cell>
          <cell r="I361">
            <v>0</v>
          </cell>
          <cell r="J361">
            <v>-2378385</v>
          </cell>
          <cell r="K361">
            <v>0</v>
          </cell>
        </row>
        <row r="362">
          <cell r="A362" t="str">
            <v>_/_6114_/_2090306</v>
          </cell>
          <cell r="B362"/>
          <cell r="C362" t="str">
            <v>6114</v>
          </cell>
          <cell r="D362" t="str">
            <v>2090306</v>
          </cell>
          <cell r="E362" t="str">
            <v>Received PPH23 for Rental Car, Truck</v>
          </cell>
          <cell r="F362">
            <v>-24432179.859999999</v>
          </cell>
          <cell r="G362">
            <v>0</v>
          </cell>
          <cell r="H362">
            <v>-24432179.859999999</v>
          </cell>
          <cell r="I362">
            <v>0</v>
          </cell>
          <cell r="J362">
            <v>-24432179.859999999</v>
          </cell>
          <cell r="K362">
            <v>0</v>
          </cell>
        </row>
        <row r="363">
          <cell r="A363" t="str">
            <v>_/_6114_/_2090311</v>
          </cell>
          <cell r="B363"/>
          <cell r="C363" t="str">
            <v>6114</v>
          </cell>
          <cell r="D363" t="str">
            <v>2090311</v>
          </cell>
          <cell r="E363" t="str">
            <v>Received PPH23 for Meal / Catering</v>
          </cell>
          <cell r="F363">
            <v>-1647900</v>
          </cell>
          <cell r="G363">
            <v>0</v>
          </cell>
          <cell r="H363">
            <v>-1647900</v>
          </cell>
          <cell r="I363">
            <v>0</v>
          </cell>
          <cell r="J363">
            <v>-1647900</v>
          </cell>
          <cell r="K363">
            <v>0</v>
          </cell>
        </row>
        <row r="364">
          <cell r="A364" t="str">
            <v>_/_6114_/_2090401</v>
          </cell>
          <cell r="B364"/>
          <cell r="C364" t="str">
            <v>6114</v>
          </cell>
          <cell r="D364" t="str">
            <v>2090401</v>
          </cell>
          <cell r="E364" t="str">
            <v>Received PPH26 Overesea Job / Sprvsr</v>
          </cell>
          <cell r="F364">
            <v>-10312194.300000001</v>
          </cell>
          <cell r="G364">
            <v>0</v>
          </cell>
          <cell r="H364">
            <v>-10312194.300000001</v>
          </cell>
          <cell r="I364">
            <v>0</v>
          </cell>
          <cell r="J364">
            <v>-10312194.300000001</v>
          </cell>
          <cell r="K364">
            <v>0</v>
          </cell>
        </row>
        <row r="365">
          <cell r="A365" t="str">
            <v>_/_6114_/_2090901</v>
          </cell>
          <cell r="B365"/>
          <cell r="C365" t="str">
            <v>6114</v>
          </cell>
          <cell r="D365" t="str">
            <v>2090901</v>
          </cell>
          <cell r="E365" t="str">
            <v>Deposit Received KOKARSI</v>
          </cell>
          <cell r="F365">
            <v>-1064000</v>
          </cell>
          <cell r="G365">
            <v>0</v>
          </cell>
          <cell r="H365">
            <v>-1064000</v>
          </cell>
          <cell r="I365">
            <v>0</v>
          </cell>
          <cell r="J365">
            <v>-1064000</v>
          </cell>
          <cell r="K365">
            <v>0</v>
          </cell>
        </row>
        <row r="366">
          <cell r="A366" t="str">
            <v>_/_6114_/_2099901</v>
          </cell>
          <cell r="B366"/>
          <cell r="C366" t="str">
            <v>6114</v>
          </cell>
          <cell r="D366" t="str">
            <v>2099901</v>
          </cell>
          <cell r="E366" t="str">
            <v>Deposite Received Logistic</v>
          </cell>
          <cell r="F366">
            <v>-743000</v>
          </cell>
          <cell r="G366">
            <v>0</v>
          </cell>
          <cell r="H366">
            <v>-743000</v>
          </cell>
          <cell r="I366">
            <v>0</v>
          </cell>
          <cell r="J366">
            <v>-743000</v>
          </cell>
          <cell r="K366">
            <v>0</v>
          </cell>
        </row>
        <row r="367">
          <cell r="A367" t="str">
            <v>_/_6114_/_2099902</v>
          </cell>
          <cell r="B367"/>
          <cell r="C367" t="str">
            <v>6114</v>
          </cell>
          <cell r="D367" t="str">
            <v>2099902</v>
          </cell>
          <cell r="E367" t="str">
            <v>Deposite Received Medical</v>
          </cell>
          <cell r="F367">
            <v>-1779350</v>
          </cell>
          <cell r="G367">
            <v>0</v>
          </cell>
          <cell r="H367">
            <v>-1779350</v>
          </cell>
          <cell r="I367">
            <v>0</v>
          </cell>
          <cell r="J367">
            <v>-1779350</v>
          </cell>
          <cell r="K367">
            <v>0</v>
          </cell>
        </row>
        <row r="368">
          <cell r="A368" t="str">
            <v>_/_6114_/_2099903</v>
          </cell>
          <cell r="B368"/>
          <cell r="C368" t="str">
            <v>6114</v>
          </cell>
          <cell r="D368" t="str">
            <v>2099903</v>
          </cell>
          <cell r="E368" t="str">
            <v>Deposite Received SPSI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</row>
        <row r="369">
          <cell r="A369" t="str">
            <v>_/_6114_/_2099909</v>
          </cell>
          <cell r="B369"/>
          <cell r="C369" t="str">
            <v>6114</v>
          </cell>
          <cell r="D369" t="str">
            <v>2099909</v>
          </cell>
          <cell r="E369" t="str">
            <v>Deposite Received Other</v>
          </cell>
          <cell r="F369">
            <v>-280218629.48000002</v>
          </cell>
          <cell r="G369">
            <v>0</v>
          </cell>
          <cell r="H369">
            <v>-280218629.48000002</v>
          </cell>
          <cell r="I369">
            <v>0</v>
          </cell>
          <cell r="J369">
            <v>-280218629.48000002</v>
          </cell>
          <cell r="K369">
            <v>0</v>
          </cell>
        </row>
        <row r="370">
          <cell r="A370" t="str">
            <v>_/_6114_/_209KBY</v>
          </cell>
          <cell r="B370"/>
          <cell r="C370" t="str">
            <v>6114</v>
          </cell>
          <cell r="D370" t="str">
            <v>209KBY</v>
          </cell>
          <cell r="E370" t="str">
            <v>Kobayashi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-200000</v>
          </cell>
        </row>
        <row r="371">
          <cell r="A371" t="str">
            <v>_/_6114_/_209KOKAR</v>
          </cell>
          <cell r="B371"/>
          <cell r="C371" t="str">
            <v>6114</v>
          </cell>
          <cell r="D371" t="str">
            <v>209KOKAR</v>
          </cell>
          <cell r="E371" t="str">
            <v>KOKARSI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-1423000</v>
          </cell>
        </row>
        <row r="372">
          <cell r="A372" t="str">
            <v>_/_6114_/_209LOGIS</v>
          </cell>
          <cell r="B372"/>
          <cell r="C372" t="str">
            <v>6114</v>
          </cell>
          <cell r="D372" t="str">
            <v>209LOGIS</v>
          </cell>
          <cell r="E372" t="str">
            <v>Logistic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-2636809.5</v>
          </cell>
        </row>
        <row r="373">
          <cell r="A373" t="str">
            <v>_/_6114_/_209MEDIC</v>
          </cell>
          <cell r="B373"/>
          <cell r="C373" t="str">
            <v>6114</v>
          </cell>
          <cell r="D373" t="str">
            <v>209MEDIC</v>
          </cell>
          <cell r="E373" t="str">
            <v>Medical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-1572500</v>
          </cell>
        </row>
        <row r="374">
          <cell r="A374" t="str">
            <v>_/_6114_/_209NOH</v>
          </cell>
          <cell r="B374"/>
          <cell r="C374" t="str">
            <v>6114</v>
          </cell>
          <cell r="D374" t="str">
            <v>209NOH</v>
          </cell>
          <cell r="E374" t="str">
            <v>Nohno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-200000</v>
          </cell>
        </row>
        <row r="375">
          <cell r="A375" t="str">
            <v>_/_6114_/_209PBBS</v>
          </cell>
          <cell r="B375"/>
          <cell r="C375" t="str">
            <v>6114</v>
          </cell>
          <cell r="D375" t="str">
            <v>209PBBS</v>
          </cell>
          <cell r="E375" t="str">
            <v>Pelayaran Buana Bintan Samudera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-757868000</v>
          </cell>
        </row>
        <row r="376">
          <cell r="A376" t="str">
            <v>_/_6114_/_209SPSI</v>
          </cell>
          <cell r="B376"/>
          <cell r="C376" t="str">
            <v>6114</v>
          </cell>
          <cell r="D376" t="str">
            <v>209SPSI</v>
          </cell>
          <cell r="E376" t="str">
            <v>Serikat Pekerja Seluruh Ind.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-16000</v>
          </cell>
        </row>
        <row r="377">
          <cell r="A377" t="str">
            <v>_/_6114_/_</v>
          </cell>
          <cell r="C377" t="str">
            <v>6114</v>
          </cell>
          <cell r="E377" t="str">
            <v>TB Total - Other Payables - Third Party</v>
          </cell>
          <cell r="F377">
            <v>-4411635145.2800007</v>
          </cell>
          <cell r="G377">
            <v>0</v>
          </cell>
          <cell r="H377">
            <v>-4411635145.2800007</v>
          </cell>
          <cell r="I377">
            <v>0</v>
          </cell>
          <cell r="J377">
            <v>-4411635145.2800007</v>
          </cell>
          <cell r="K377">
            <v>-2919908532.5</v>
          </cell>
        </row>
        <row r="378">
          <cell r="A378"/>
          <cell r="C378" t="str">
            <v>6211</v>
          </cell>
        </row>
        <row r="379">
          <cell r="A379" t="str">
            <v>_/_6211_/_206</v>
          </cell>
          <cell r="B379"/>
          <cell r="C379" t="str">
            <v>6211</v>
          </cell>
          <cell r="D379" t="str">
            <v>206</v>
          </cell>
          <cell r="E379" t="str">
            <v>Accrued Expenses</v>
          </cell>
          <cell r="F379">
            <v>-7739364576.0799999</v>
          </cell>
          <cell r="G379">
            <v>0</v>
          </cell>
          <cell r="H379">
            <v>-7739364576.0799999</v>
          </cell>
          <cell r="I379">
            <v>0</v>
          </cell>
          <cell r="J379">
            <v>-7739364576.0799999</v>
          </cell>
          <cell r="K379">
            <v>0</v>
          </cell>
        </row>
        <row r="380">
          <cell r="A380" t="str">
            <v>_/_6211_/_206AB</v>
          </cell>
          <cell r="B380"/>
          <cell r="C380" t="str">
            <v>6211</v>
          </cell>
          <cell r="D380" t="str">
            <v>206AB</v>
          </cell>
          <cell r="E380" t="str">
            <v>Accrued Expenses Asahan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-421448800</v>
          </cell>
        </row>
        <row r="381">
          <cell r="A381" t="str">
            <v>_/_6211_/_206CL</v>
          </cell>
          <cell r="B381"/>
          <cell r="C381" t="str">
            <v>6211</v>
          </cell>
          <cell r="D381" t="str">
            <v>206CL</v>
          </cell>
          <cell r="E381" t="str">
            <v>Accrued Expenses Cilegon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-2966625417</v>
          </cell>
        </row>
        <row r="382">
          <cell r="A382" t="str">
            <v>_/_6211_/_206JK</v>
          </cell>
          <cell r="B382"/>
          <cell r="C382" t="str">
            <v>6211</v>
          </cell>
          <cell r="D382" t="str">
            <v>206JK</v>
          </cell>
          <cell r="E382" t="str">
            <v>Accrued Expenses JKT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-6424952147.6000004</v>
          </cell>
        </row>
        <row r="383">
          <cell r="A383" t="str">
            <v>_/_6211_/_206ORS</v>
          </cell>
          <cell r="B383"/>
          <cell r="C383" t="str">
            <v>6211</v>
          </cell>
          <cell r="D383" t="str">
            <v>206ORS</v>
          </cell>
          <cell r="E383" t="str">
            <v>Accrued Expenses SSWJ (Retention)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-543906000</v>
          </cell>
        </row>
        <row r="384">
          <cell r="A384" t="str">
            <v>_/_6211_/_</v>
          </cell>
          <cell r="C384" t="str">
            <v>6211</v>
          </cell>
          <cell r="E384" t="str">
            <v>TB Total - Accrued Expenses</v>
          </cell>
          <cell r="F384">
            <v>-7739364576.0799999</v>
          </cell>
          <cell r="G384">
            <v>0</v>
          </cell>
          <cell r="H384">
            <v>-7739364576.0799999</v>
          </cell>
          <cell r="I384">
            <v>0</v>
          </cell>
          <cell r="J384">
            <v>-7739364576.0799999</v>
          </cell>
          <cell r="K384">
            <v>-10356932364.6</v>
          </cell>
        </row>
        <row r="385">
          <cell r="A385"/>
          <cell r="C385" t="str">
            <v>6212</v>
          </cell>
        </row>
        <row r="386">
          <cell r="A386" t="str">
            <v>_/_6212_/_207</v>
          </cell>
          <cell r="B386"/>
          <cell r="C386" t="str">
            <v>6212</v>
          </cell>
          <cell r="D386" t="str">
            <v>207</v>
          </cell>
          <cell r="E386" t="str">
            <v>Advance Received</v>
          </cell>
          <cell r="F386">
            <v>-797373537</v>
          </cell>
          <cell r="G386">
            <v>0</v>
          </cell>
          <cell r="H386">
            <v>-797373537</v>
          </cell>
          <cell r="I386">
            <v>0</v>
          </cell>
          <cell r="J386">
            <v>-797373537</v>
          </cell>
          <cell r="K386">
            <v>2151500641.4000001</v>
          </cell>
        </row>
        <row r="387">
          <cell r="A387" t="str">
            <v>_/_6212_/_20707</v>
          </cell>
          <cell r="B387"/>
          <cell r="C387" t="str">
            <v>6212</v>
          </cell>
          <cell r="D387" t="str">
            <v>20707</v>
          </cell>
          <cell r="E387" t="str">
            <v>JGC/PT BRI Joint Operation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-26518800000</v>
          </cell>
        </row>
        <row r="388">
          <cell r="A388" t="str">
            <v>_/_6212_/_20709</v>
          </cell>
          <cell r="B388"/>
          <cell r="C388" t="str">
            <v>6212</v>
          </cell>
          <cell r="D388" t="str">
            <v>20709</v>
          </cell>
          <cell r="E388" t="str">
            <v>BUT.JFE Engineering Corporation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-2151500641.4000001</v>
          </cell>
        </row>
        <row r="389">
          <cell r="A389" t="str">
            <v>_/_6212_/_</v>
          </cell>
          <cell r="C389" t="str">
            <v>6212</v>
          </cell>
          <cell r="E389" t="str">
            <v>TB Total - Advance Received</v>
          </cell>
          <cell r="F389">
            <v>-797373537</v>
          </cell>
          <cell r="G389">
            <v>0</v>
          </cell>
          <cell r="H389">
            <v>-797373537</v>
          </cell>
          <cell r="I389">
            <v>0</v>
          </cell>
          <cell r="J389">
            <v>-797373537</v>
          </cell>
          <cell r="K389">
            <v>-26518800000</v>
          </cell>
        </row>
        <row r="390">
          <cell r="A390"/>
          <cell r="C390" t="str">
            <v>6214</v>
          </cell>
        </row>
        <row r="391">
          <cell r="A391" t="str">
            <v>_/_6214_/_</v>
          </cell>
          <cell r="C391" t="str">
            <v>6214</v>
          </cell>
          <cell r="E391" t="str">
            <v>TB Total - Deposit Received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</row>
        <row r="392">
          <cell r="A392"/>
          <cell r="C392" t="str">
            <v>6311</v>
          </cell>
        </row>
        <row r="393">
          <cell r="A393" t="str">
            <v>_/_6311_/_</v>
          </cell>
          <cell r="C393" t="str">
            <v>6311</v>
          </cell>
          <cell r="E393" t="str">
            <v>TB Total - Long-Term Debt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</row>
        <row r="394">
          <cell r="A394"/>
          <cell r="C394" t="str">
            <v>6312</v>
          </cell>
        </row>
        <row r="395">
          <cell r="A395" t="str">
            <v>_/_6312_/_</v>
          </cell>
          <cell r="C395" t="str">
            <v>6312</v>
          </cell>
          <cell r="E395" t="str">
            <v>TB Total - Long-Term Debt Current Portion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</row>
        <row r="396">
          <cell r="A396"/>
          <cell r="C396" t="str">
            <v>6313</v>
          </cell>
        </row>
        <row r="397">
          <cell r="A397" t="str">
            <v>_/_6313_/_217</v>
          </cell>
          <cell r="B397"/>
          <cell r="C397" t="str">
            <v>6313</v>
          </cell>
          <cell r="D397" t="str">
            <v>217</v>
          </cell>
          <cell r="E397" t="str">
            <v>Temporary Receipts</v>
          </cell>
          <cell r="F397">
            <v>-84766327.950000003</v>
          </cell>
          <cell r="G397">
            <v>0</v>
          </cell>
          <cell r="H397">
            <v>-84766327.950000003</v>
          </cell>
          <cell r="I397">
            <v>0</v>
          </cell>
          <cell r="J397">
            <v>-84766327.950000003</v>
          </cell>
          <cell r="K397">
            <v>0</v>
          </cell>
        </row>
        <row r="398">
          <cell r="A398" t="str">
            <v>_/_6313_/_217369</v>
          </cell>
          <cell r="B398"/>
          <cell r="C398" t="str">
            <v>6313</v>
          </cell>
          <cell r="D398" t="str">
            <v>217369</v>
          </cell>
          <cell r="E398" t="str">
            <v>OOCL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-1318815</v>
          </cell>
        </row>
        <row r="399">
          <cell r="A399" t="str">
            <v>_/_6313_/_217ATM</v>
          </cell>
          <cell r="B399"/>
          <cell r="C399" t="str">
            <v>6313</v>
          </cell>
          <cell r="D399" t="str">
            <v>217ATM</v>
          </cell>
          <cell r="E399" t="str">
            <v>Asuransi Tokio Marine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-9776900</v>
          </cell>
        </row>
        <row r="400">
          <cell r="A400" t="str">
            <v>_/_6313_/_</v>
          </cell>
          <cell r="C400" t="str">
            <v>6313</v>
          </cell>
          <cell r="E400" t="str">
            <v>TB Total - Temporary Receipt</v>
          </cell>
          <cell r="F400">
            <v>-84766327.950000003</v>
          </cell>
          <cell r="G400">
            <v>0</v>
          </cell>
          <cell r="H400">
            <v>-84766327.950000003</v>
          </cell>
          <cell r="I400">
            <v>0</v>
          </cell>
          <cell r="J400">
            <v>-84766327.950000003</v>
          </cell>
          <cell r="K400">
            <v>-11095715</v>
          </cell>
        </row>
        <row r="401">
          <cell r="A401"/>
          <cell r="C401" t="str">
            <v>6315</v>
          </cell>
        </row>
        <row r="402">
          <cell r="A402" t="str">
            <v>_/_6315_/_</v>
          </cell>
          <cell r="C402" t="str">
            <v>6315</v>
          </cell>
          <cell r="E402" t="str">
            <v>TB Total - Capital Lease Obligations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</row>
        <row r="403">
          <cell r="A403"/>
          <cell r="C403" t="str">
            <v>6411</v>
          </cell>
        </row>
        <row r="404">
          <cell r="A404" t="str">
            <v>_/_6411_/_20906</v>
          </cell>
          <cell r="B404"/>
          <cell r="C404" t="str">
            <v>6411</v>
          </cell>
          <cell r="D404" t="str">
            <v>20906</v>
          </cell>
          <cell r="E404" t="str">
            <v>PPH - 21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-1429844590.71</v>
          </cell>
        </row>
        <row r="405">
          <cell r="A405" t="str">
            <v>_/_6411_/_22202</v>
          </cell>
          <cell r="B405"/>
          <cell r="C405" t="str">
            <v>6411</v>
          </cell>
          <cell r="D405" t="str">
            <v>22202</v>
          </cell>
          <cell r="E405" t="str">
            <v>PPh - 21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-5400721</v>
          </cell>
        </row>
        <row r="406">
          <cell r="A406" t="str">
            <v>_/_6411_/_</v>
          </cell>
          <cell r="C406" t="str">
            <v>6411</v>
          </cell>
          <cell r="E406" t="str">
            <v>TB Total - Tax Payable art. 21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-1435245311.71</v>
          </cell>
        </row>
        <row r="407">
          <cell r="A407"/>
          <cell r="C407" t="str">
            <v>6412</v>
          </cell>
        </row>
        <row r="408">
          <cell r="A408" t="str">
            <v>_/_6412_/_20903</v>
          </cell>
          <cell r="B408"/>
          <cell r="C408" t="str">
            <v>6412</v>
          </cell>
          <cell r="D408" t="str">
            <v>20903</v>
          </cell>
          <cell r="E408" t="str">
            <v>PPH - 23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-1013086420.37</v>
          </cell>
        </row>
        <row r="409">
          <cell r="A409" t="str">
            <v>_/_6412_/_</v>
          </cell>
          <cell r="C409" t="str">
            <v>6412</v>
          </cell>
          <cell r="E409" t="str">
            <v>TB Total - Tax Payable art. 23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-1013086420.37</v>
          </cell>
        </row>
        <row r="410">
          <cell r="A410"/>
          <cell r="C410" t="str">
            <v>6413</v>
          </cell>
        </row>
        <row r="411">
          <cell r="A411" t="str">
            <v>_/_6413_/_22203</v>
          </cell>
          <cell r="B411"/>
          <cell r="C411" t="str">
            <v>6413</v>
          </cell>
          <cell r="D411" t="str">
            <v>22203</v>
          </cell>
          <cell r="E411" t="str">
            <v>PPh - 25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</row>
        <row r="412">
          <cell r="A412" t="str">
            <v>_/_6413_/_</v>
          </cell>
          <cell r="C412" t="str">
            <v>6413</v>
          </cell>
          <cell r="E412" t="str">
            <v>TB Total - Tax Payable art. 25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</row>
        <row r="413">
          <cell r="A413"/>
          <cell r="C413" t="str">
            <v>6414</v>
          </cell>
        </row>
        <row r="414">
          <cell r="A414" t="str">
            <v>_/_6414_/_20904</v>
          </cell>
          <cell r="B414"/>
          <cell r="C414" t="str">
            <v>6414</v>
          </cell>
          <cell r="D414" t="str">
            <v>20904</v>
          </cell>
          <cell r="E414" t="str">
            <v>PPH - 26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-28120538.219999999</v>
          </cell>
        </row>
        <row r="415">
          <cell r="A415" t="str">
            <v>_/_6414_/_</v>
          </cell>
          <cell r="C415" t="str">
            <v>6414</v>
          </cell>
          <cell r="E415" t="str">
            <v>TB Total - Tax Payable art. 26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-28120538.219999999</v>
          </cell>
        </row>
        <row r="416">
          <cell r="A416"/>
          <cell r="C416" t="str">
            <v>6415</v>
          </cell>
        </row>
        <row r="417">
          <cell r="A417" t="str">
            <v>_/_6415_/_22201</v>
          </cell>
          <cell r="B417"/>
          <cell r="C417" t="str">
            <v>6415</v>
          </cell>
          <cell r="D417" t="str">
            <v>22201</v>
          </cell>
          <cell r="E417" t="str">
            <v>VAT - Miscellaneous Jobs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-769279924.25</v>
          </cell>
        </row>
        <row r="418">
          <cell r="A418" t="str">
            <v>_/_6415_/_22201-HTM</v>
          </cell>
          <cell r="B418"/>
          <cell r="C418" t="str">
            <v>6415</v>
          </cell>
          <cell r="D418" t="str">
            <v>22201-HTM</v>
          </cell>
          <cell r="E418" t="str">
            <v>VAT Payable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</row>
        <row r="419">
          <cell r="A419" t="str">
            <v>_/_6415_/_22206</v>
          </cell>
          <cell r="B419"/>
          <cell r="C419" t="str">
            <v>6415</v>
          </cell>
          <cell r="D419" t="str">
            <v>22206</v>
          </cell>
          <cell r="E419" t="str">
            <v>VAT - LN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-407748713.41000003</v>
          </cell>
        </row>
        <row r="420">
          <cell r="A420" t="str">
            <v>_/_6415_/_</v>
          </cell>
          <cell r="C420" t="str">
            <v>6415</v>
          </cell>
          <cell r="E420" t="str">
            <v>TB Total - VAT Payable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-1177028637.6600001</v>
          </cell>
        </row>
        <row r="421">
          <cell r="A421"/>
          <cell r="C421" t="str">
            <v>6416</v>
          </cell>
        </row>
        <row r="422">
          <cell r="A422" t="str">
            <v>_/_6416_/_20907</v>
          </cell>
          <cell r="B422"/>
          <cell r="C422" t="str">
            <v>6416</v>
          </cell>
          <cell r="D422" t="str">
            <v>20907</v>
          </cell>
          <cell r="E422" t="str">
            <v>PPH - 29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-3003214838</v>
          </cell>
        </row>
        <row r="423">
          <cell r="A423" t="str">
            <v>_/_6416_/_</v>
          </cell>
          <cell r="C423" t="str">
            <v>6416</v>
          </cell>
          <cell r="E423" t="str">
            <v>TB Total - Corporate Tax Payable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-3003214838</v>
          </cell>
        </row>
        <row r="424">
          <cell r="A424"/>
          <cell r="C424" t="str">
            <v>6417</v>
          </cell>
        </row>
        <row r="425">
          <cell r="A425" t="str">
            <v>_/_6417_/_222</v>
          </cell>
          <cell r="B425"/>
          <cell r="C425" t="str">
            <v>6417</v>
          </cell>
          <cell r="D425" t="str">
            <v>222</v>
          </cell>
          <cell r="E425" t="str">
            <v>Accrued Taxes</v>
          </cell>
          <cell r="F425">
            <v>-4120402077.29</v>
          </cell>
          <cell r="G425">
            <v>0</v>
          </cell>
          <cell r="H425">
            <v>-4120402077.29</v>
          </cell>
          <cell r="I425">
            <v>0</v>
          </cell>
          <cell r="J425">
            <v>-4120402077.29</v>
          </cell>
          <cell r="K425">
            <v>-7533183547</v>
          </cell>
        </row>
        <row r="426">
          <cell r="A426" t="str">
            <v>_/_6417_/_</v>
          </cell>
          <cell r="C426" t="str">
            <v>6417</v>
          </cell>
          <cell r="E426" t="str">
            <v>TB Total - Tax Payable- Others</v>
          </cell>
          <cell r="F426">
            <v>-4120402077.29</v>
          </cell>
          <cell r="G426">
            <v>0</v>
          </cell>
          <cell r="H426">
            <v>-4120402077.29</v>
          </cell>
          <cell r="I426">
            <v>0</v>
          </cell>
          <cell r="J426">
            <v>-4120402077.29</v>
          </cell>
          <cell r="K426">
            <v>-7533183547</v>
          </cell>
        </row>
        <row r="427">
          <cell r="A427"/>
          <cell r="C427" t="str">
            <v>6511</v>
          </cell>
        </row>
        <row r="428">
          <cell r="A428" t="str">
            <v>_/_6511_/_220</v>
          </cell>
          <cell r="B428"/>
          <cell r="C428" t="str">
            <v>6511</v>
          </cell>
          <cell r="D428" t="str">
            <v>220</v>
          </cell>
          <cell r="E428" t="str">
            <v>Retirement Allowance</v>
          </cell>
          <cell r="F428">
            <v>-16593932760</v>
          </cell>
          <cell r="G428">
            <v>0</v>
          </cell>
          <cell r="H428">
            <v>-16593932760</v>
          </cell>
          <cell r="I428">
            <v>0</v>
          </cell>
          <cell r="J428">
            <v>-16593932760</v>
          </cell>
          <cell r="K428">
            <v>-13770056153</v>
          </cell>
        </row>
        <row r="429">
          <cell r="A429" t="str">
            <v>_/_6511_/_</v>
          </cell>
          <cell r="C429" t="str">
            <v>6511</v>
          </cell>
          <cell r="E429" t="str">
            <v>TB Total - Retirement Allowance</v>
          </cell>
          <cell r="F429">
            <v>-16593932760</v>
          </cell>
          <cell r="G429">
            <v>0</v>
          </cell>
          <cell r="H429">
            <v>-16593932760</v>
          </cell>
          <cell r="I429">
            <v>0</v>
          </cell>
          <cell r="J429">
            <v>-16593932760</v>
          </cell>
          <cell r="K429">
            <v>-13770056153</v>
          </cell>
        </row>
        <row r="430">
          <cell r="A430"/>
          <cell r="C430" t="str">
            <v>6600</v>
          </cell>
        </row>
        <row r="431">
          <cell r="A431" t="str">
            <v>_/_6600_/_208</v>
          </cell>
          <cell r="B431"/>
          <cell r="C431" t="str">
            <v>6600</v>
          </cell>
          <cell r="D431" t="str">
            <v>208</v>
          </cell>
          <cell r="E431" t="str">
            <v>Working Advance Received</v>
          </cell>
          <cell r="F431">
            <v>-9285727137</v>
          </cell>
          <cell r="G431">
            <v>0</v>
          </cell>
          <cell r="H431">
            <v>-9285727137</v>
          </cell>
          <cell r="I431">
            <v>0</v>
          </cell>
          <cell r="J431">
            <v>-9285727137</v>
          </cell>
          <cell r="K431">
            <v>404992500</v>
          </cell>
        </row>
        <row r="432">
          <cell r="A432" t="str">
            <v>_/_6600_/_208xx</v>
          </cell>
          <cell r="B432"/>
          <cell r="C432" t="str">
            <v>6600</v>
          </cell>
          <cell r="D432" t="str">
            <v>208xx</v>
          </cell>
          <cell r="E432" t="str">
            <v>Working Advanced Received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-2877045094.5900002</v>
          </cell>
        </row>
        <row r="433">
          <cell r="A433" t="str">
            <v>_/_6600_/_</v>
          </cell>
          <cell r="C433" t="str">
            <v>6600</v>
          </cell>
          <cell r="E433" t="str">
            <v>TB Total - Billings on uncompleted works</v>
          </cell>
          <cell r="F433">
            <v>-9285727137</v>
          </cell>
          <cell r="G433">
            <v>0</v>
          </cell>
          <cell r="H433">
            <v>-9285727137</v>
          </cell>
          <cell r="I433">
            <v>0</v>
          </cell>
          <cell r="J433">
            <v>-9285727137</v>
          </cell>
          <cell r="K433">
            <v>-2472052594.5900002</v>
          </cell>
        </row>
        <row r="434">
          <cell r="A434"/>
          <cell r="C434" t="str">
            <v>6612</v>
          </cell>
        </row>
        <row r="435">
          <cell r="A435" t="str">
            <v>_/_6612_/_</v>
          </cell>
          <cell r="C435" t="str">
            <v>6612</v>
          </cell>
          <cell r="E435" t="str">
            <v>TB Total - Dividend Payable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</row>
        <row r="436">
          <cell r="A436"/>
          <cell r="C436" t="str">
            <v>7111</v>
          </cell>
        </row>
        <row r="437">
          <cell r="A437" t="str">
            <v>_/_7111_/_301</v>
          </cell>
          <cell r="B437"/>
          <cell r="C437" t="str">
            <v>7111</v>
          </cell>
          <cell r="D437" t="str">
            <v>301</v>
          </cell>
          <cell r="E437" t="str">
            <v>Capital Stock</v>
          </cell>
          <cell r="F437">
            <v>-3234770000</v>
          </cell>
          <cell r="G437">
            <v>0</v>
          </cell>
          <cell r="H437">
            <v>-3234770000</v>
          </cell>
          <cell r="I437">
            <v>0</v>
          </cell>
          <cell r="J437">
            <v>-3234770000</v>
          </cell>
          <cell r="K437">
            <v>-3234770000</v>
          </cell>
        </row>
        <row r="438">
          <cell r="A438" t="str">
            <v>_/_7111_/_</v>
          </cell>
          <cell r="C438" t="str">
            <v>7111</v>
          </cell>
          <cell r="E438" t="str">
            <v>TB Total - Capital Stock</v>
          </cell>
          <cell r="F438">
            <v>-3234770000</v>
          </cell>
          <cell r="G438">
            <v>0</v>
          </cell>
          <cell r="H438">
            <v>-3234770000</v>
          </cell>
          <cell r="I438">
            <v>0</v>
          </cell>
          <cell r="J438">
            <v>-3234770000</v>
          </cell>
          <cell r="K438">
            <v>-3234770000</v>
          </cell>
        </row>
        <row r="439">
          <cell r="A439"/>
          <cell r="C439" t="str">
            <v>7112</v>
          </cell>
        </row>
        <row r="440">
          <cell r="A440" t="str">
            <v>_/_7112_/_309</v>
          </cell>
          <cell r="B440"/>
          <cell r="C440" t="str">
            <v>7112</v>
          </cell>
          <cell r="D440" t="str">
            <v>309</v>
          </cell>
          <cell r="E440" t="str">
            <v>Unappropriated RE at Beginning</v>
          </cell>
          <cell r="F440">
            <v>-116666416699.38</v>
          </cell>
          <cell r="G440">
            <v>0</v>
          </cell>
          <cell r="H440">
            <v>-116666416699.38</v>
          </cell>
          <cell r="I440">
            <v>0</v>
          </cell>
          <cell r="J440">
            <v>-116666416699.38</v>
          </cell>
          <cell r="K440">
            <v>-95978645107.5</v>
          </cell>
        </row>
        <row r="441">
          <cell r="A441" t="str">
            <v>_/_7112_/_</v>
          </cell>
          <cell r="C441" t="str">
            <v>7112</v>
          </cell>
          <cell r="E441" t="str">
            <v>TB Total - Retained Earnings b.o.y.</v>
          </cell>
          <cell r="F441">
            <v>-116666416699.38</v>
          </cell>
          <cell r="G441">
            <v>0</v>
          </cell>
          <cell r="H441">
            <v>-116666416699.38</v>
          </cell>
          <cell r="I441">
            <v>0</v>
          </cell>
          <cell r="J441">
            <v>-116666416699.38</v>
          </cell>
          <cell r="K441">
            <v>-95978645107.5</v>
          </cell>
        </row>
        <row r="442">
          <cell r="A442"/>
          <cell r="C442" t="str">
            <v>7113</v>
          </cell>
        </row>
        <row r="443">
          <cell r="A443" t="str">
            <v>_/_7113_/_</v>
          </cell>
          <cell r="C443" t="str">
            <v>7113</v>
          </cell>
          <cell r="E443" t="str">
            <v>TB Total - Dividend Paid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</row>
        <row r="444">
          <cell r="A444"/>
          <cell r="C444" t="str">
            <v>7114</v>
          </cell>
        </row>
        <row r="445">
          <cell r="A445" t="str">
            <v>_/_7114_/_304</v>
          </cell>
          <cell r="B445"/>
          <cell r="C445" t="str">
            <v>7114</v>
          </cell>
          <cell r="D445" t="str">
            <v>304</v>
          </cell>
          <cell r="E445" t="str">
            <v>Earned Surplus Reserve</v>
          </cell>
          <cell r="F445">
            <v>-8400000</v>
          </cell>
          <cell r="G445">
            <v>0</v>
          </cell>
          <cell r="H445">
            <v>-8400000</v>
          </cell>
          <cell r="I445">
            <v>0</v>
          </cell>
          <cell r="J445">
            <v>-8400000</v>
          </cell>
          <cell r="K445">
            <v>0</v>
          </cell>
        </row>
        <row r="446">
          <cell r="A446" t="str">
            <v>_/_7114_/_30401</v>
          </cell>
          <cell r="B446"/>
          <cell r="C446" t="str">
            <v>7114</v>
          </cell>
          <cell r="D446" t="str">
            <v>30401</v>
          </cell>
          <cell r="E446" t="str">
            <v>Unrealized gain on increase in value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-8400000</v>
          </cell>
        </row>
        <row r="447">
          <cell r="A447" t="str">
            <v>_/_7114_/_524HTM</v>
          </cell>
          <cell r="B447"/>
          <cell r="C447" t="str">
            <v>7114</v>
          </cell>
          <cell r="D447" t="str">
            <v>524HTM</v>
          </cell>
          <cell r="E447" t="str">
            <v>Unrealized loss on decrease in value of investment in shars\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</row>
        <row r="448">
          <cell r="A448" t="str">
            <v>_/_7114_/_524ORS</v>
          </cell>
          <cell r="B448"/>
          <cell r="C448" t="str">
            <v>7114</v>
          </cell>
          <cell r="D448" t="str">
            <v>524ORS</v>
          </cell>
          <cell r="E448" t="str">
            <v>Unrealized gain on decrease in value of investment in share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</row>
        <row r="449">
          <cell r="A449" t="str">
            <v>_/_7114_/_</v>
          </cell>
          <cell r="C449" t="str">
            <v>7114</v>
          </cell>
          <cell r="E449" t="str">
            <v>TB Total - Unrealized gain (loss) on decrease in value of investment in shars\</v>
          </cell>
          <cell r="F449">
            <v>-8400000</v>
          </cell>
          <cell r="G449">
            <v>0</v>
          </cell>
          <cell r="H449">
            <v>-8400000</v>
          </cell>
          <cell r="I449">
            <v>0</v>
          </cell>
          <cell r="J449">
            <v>-8400000</v>
          </cell>
          <cell r="K449">
            <v>-8400000</v>
          </cell>
        </row>
        <row r="450">
          <cell r="A450"/>
          <cell r="C450" t="str">
            <v>7115</v>
          </cell>
        </row>
        <row r="451">
          <cell r="A451" t="str">
            <v>_/_7115_/_</v>
          </cell>
          <cell r="C451" t="str">
            <v>7115</v>
          </cell>
          <cell r="E451" t="str">
            <v>TB Total - Earned Surplus Reserve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</row>
        <row r="452">
          <cell r="A452"/>
          <cell r="C452" t="str">
            <v>8111</v>
          </cell>
        </row>
        <row r="453">
          <cell r="A453" t="str">
            <v>_/_8111_/_401</v>
          </cell>
          <cell r="B453"/>
          <cell r="C453" t="str">
            <v>8111</v>
          </cell>
          <cell r="D453" t="str">
            <v>401</v>
          </cell>
          <cell r="E453" t="str">
            <v>Working Sales</v>
          </cell>
          <cell r="F453">
            <v>-365131194136.29999</v>
          </cell>
          <cell r="G453">
            <v>0</v>
          </cell>
          <cell r="H453">
            <v>-365131194136.29999</v>
          </cell>
          <cell r="I453">
            <v>0</v>
          </cell>
          <cell r="J453">
            <v>-365131194136.29999</v>
          </cell>
          <cell r="K453">
            <v>-457296315020.02002</v>
          </cell>
        </row>
        <row r="454">
          <cell r="A454" t="str">
            <v>_/_8111_/_</v>
          </cell>
          <cell r="C454" t="str">
            <v>8111</v>
          </cell>
          <cell r="E454" t="str">
            <v>TB Total - Net Sales</v>
          </cell>
          <cell r="F454">
            <v>-365131194136.29999</v>
          </cell>
          <cell r="G454">
            <v>0</v>
          </cell>
          <cell r="H454">
            <v>-365131194136.29999</v>
          </cell>
          <cell r="I454">
            <v>0</v>
          </cell>
          <cell r="J454">
            <v>-365131194136.29999</v>
          </cell>
          <cell r="K454">
            <v>-457296315020.02002</v>
          </cell>
        </row>
        <row r="455">
          <cell r="A455"/>
          <cell r="C455" t="str">
            <v>8211</v>
          </cell>
        </row>
        <row r="456">
          <cell r="A456" t="str">
            <v>_/_8211_/_50101</v>
          </cell>
          <cell r="B456"/>
          <cell r="C456" t="str">
            <v>8211</v>
          </cell>
          <cell r="D456" t="str">
            <v>50101</v>
          </cell>
          <cell r="E456" t="str">
            <v>Officer`s Salary wc</v>
          </cell>
          <cell r="F456">
            <v>899274098.48000002</v>
          </cell>
          <cell r="G456">
            <v>0</v>
          </cell>
          <cell r="H456">
            <v>899274098.48000002</v>
          </cell>
          <cell r="I456">
            <v>0</v>
          </cell>
          <cell r="J456">
            <v>899274098.48000002</v>
          </cell>
          <cell r="K456">
            <v>8899499816.2000008</v>
          </cell>
        </row>
        <row r="457">
          <cell r="A457" t="str">
            <v>_/_8211_/_50102</v>
          </cell>
          <cell r="B457"/>
          <cell r="C457" t="str">
            <v>8211</v>
          </cell>
          <cell r="D457" t="str">
            <v>50102</v>
          </cell>
          <cell r="E457" t="str">
            <v>Employee Salary wc</v>
          </cell>
          <cell r="F457">
            <v>10085518627.67</v>
          </cell>
          <cell r="G457">
            <v>0</v>
          </cell>
          <cell r="H457">
            <v>10085518627.67</v>
          </cell>
          <cell r="I457">
            <v>0</v>
          </cell>
          <cell r="J457">
            <v>10085518627.67</v>
          </cell>
          <cell r="K457">
            <v>41799373245</v>
          </cell>
        </row>
        <row r="458">
          <cell r="A458" t="str">
            <v>_/_8211_/_50103</v>
          </cell>
          <cell r="B458"/>
          <cell r="C458" t="str">
            <v>8211</v>
          </cell>
          <cell r="D458" t="str">
            <v>50103</v>
          </cell>
          <cell r="E458" t="str">
            <v>Worker Salary wc</v>
          </cell>
          <cell r="F458">
            <v>44078966160</v>
          </cell>
          <cell r="G458">
            <v>0</v>
          </cell>
          <cell r="H458">
            <v>44078966160</v>
          </cell>
          <cell r="I458">
            <v>0</v>
          </cell>
          <cell r="J458">
            <v>44078966160</v>
          </cell>
          <cell r="K458">
            <v>0</v>
          </cell>
        </row>
        <row r="459">
          <cell r="A459" t="str">
            <v>_/_8211_/_50104</v>
          </cell>
          <cell r="B459"/>
          <cell r="C459" t="str">
            <v>8211</v>
          </cell>
          <cell r="D459" t="str">
            <v>50104</v>
          </cell>
          <cell r="E459" t="str">
            <v>Supervisor Fee wc</v>
          </cell>
          <cell r="F459">
            <v>32708751.879999999</v>
          </cell>
          <cell r="G459">
            <v>0</v>
          </cell>
          <cell r="H459">
            <v>32708751.879999999</v>
          </cell>
          <cell r="I459">
            <v>0</v>
          </cell>
          <cell r="J459">
            <v>32708751.879999999</v>
          </cell>
          <cell r="K459">
            <v>3543121507</v>
          </cell>
        </row>
        <row r="460">
          <cell r="A460" t="str">
            <v>_/_8211_/_50105</v>
          </cell>
          <cell r="B460"/>
          <cell r="C460" t="str">
            <v>8211</v>
          </cell>
          <cell r="D460" t="str">
            <v>50105</v>
          </cell>
          <cell r="E460" t="str">
            <v>Bonus wc</v>
          </cell>
          <cell r="F460">
            <v>5137685892</v>
          </cell>
          <cell r="G460">
            <v>0</v>
          </cell>
          <cell r="H460">
            <v>5137685892</v>
          </cell>
          <cell r="I460">
            <v>0</v>
          </cell>
          <cell r="J460">
            <v>5137685892</v>
          </cell>
          <cell r="K460">
            <v>4271674496</v>
          </cell>
        </row>
        <row r="461">
          <cell r="A461" t="str">
            <v>_/_8211_/_50106</v>
          </cell>
          <cell r="B461"/>
          <cell r="C461" t="str">
            <v>8211</v>
          </cell>
          <cell r="D461" t="str">
            <v>50106</v>
          </cell>
          <cell r="E461" t="str">
            <v>Retirement Payment wc</v>
          </cell>
          <cell r="F461">
            <v>4241939218</v>
          </cell>
          <cell r="G461">
            <v>0</v>
          </cell>
          <cell r="H461">
            <v>4241939218</v>
          </cell>
          <cell r="I461">
            <v>0</v>
          </cell>
          <cell r="J461">
            <v>4241939218</v>
          </cell>
          <cell r="K461">
            <v>762010348</v>
          </cell>
        </row>
        <row r="462">
          <cell r="A462" t="str">
            <v>_/_8211_/_50108</v>
          </cell>
          <cell r="B462"/>
          <cell r="C462" t="str">
            <v>8211</v>
          </cell>
          <cell r="D462" t="str">
            <v>50108</v>
          </cell>
          <cell r="E462" t="str">
            <v>Legal Welfare Expenses wc</v>
          </cell>
          <cell r="F462">
            <v>1746985054</v>
          </cell>
          <cell r="G462">
            <v>0</v>
          </cell>
          <cell r="H462">
            <v>1746985054</v>
          </cell>
          <cell r="I462">
            <v>0</v>
          </cell>
          <cell r="J462">
            <v>1746985054</v>
          </cell>
          <cell r="K462">
            <v>3140561038.5</v>
          </cell>
        </row>
        <row r="463">
          <cell r="A463" t="str">
            <v>_/_8211_/_50110</v>
          </cell>
          <cell r="B463"/>
          <cell r="C463" t="str">
            <v>8211</v>
          </cell>
          <cell r="D463" t="str">
            <v>50110</v>
          </cell>
          <cell r="E463" t="str">
            <v>Welfare Expenses wc</v>
          </cell>
          <cell r="F463">
            <v>3642309701.3400002</v>
          </cell>
          <cell r="G463">
            <v>0</v>
          </cell>
          <cell r="H463">
            <v>3642309701.3400002</v>
          </cell>
          <cell r="I463">
            <v>0</v>
          </cell>
          <cell r="J463">
            <v>3642309701.3400002</v>
          </cell>
          <cell r="K463">
            <v>1347783046.95</v>
          </cell>
        </row>
        <row r="464">
          <cell r="A464" t="str">
            <v>_/_8211_/_50121</v>
          </cell>
          <cell r="B464"/>
          <cell r="C464" t="str">
            <v>8211</v>
          </cell>
          <cell r="D464" t="str">
            <v>50121</v>
          </cell>
          <cell r="E464" t="str">
            <v>Materials Charge wc</v>
          </cell>
          <cell r="F464">
            <v>8094300908.79</v>
          </cell>
          <cell r="G464">
            <v>0</v>
          </cell>
          <cell r="H464">
            <v>8094300908.79</v>
          </cell>
          <cell r="I464">
            <v>0</v>
          </cell>
          <cell r="J464">
            <v>8094300908.79</v>
          </cell>
          <cell r="K464">
            <v>6286194955</v>
          </cell>
        </row>
        <row r="465">
          <cell r="A465" t="str">
            <v>_/_8211_/_50124</v>
          </cell>
          <cell r="B465"/>
          <cell r="C465" t="str">
            <v>8211</v>
          </cell>
          <cell r="D465" t="str">
            <v>50124</v>
          </cell>
          <cell r="E465" t="str">
            <v>Working Supplies wc</v>
          </cell>
          <cell r="F465">
            <v>18915751381.080002</v>
          </cell>
          <cell r="G465">
            <v>0</v>
          </cell>
          <cell r="H465">
            <v>18915751381.080002</v>
          </cell>
          <cell r="I465">
            <v>0</v>
          </cell>
          <cell r="J465">
            <v>18915751381.080002</v>
          </cell>
          <cell r="K465">
            <v>30768845730.310001</v>
          </cell>
        </row>
        <row r="466">
          <cell r="A466" t="str">
            <v>_/_8211_/_50131</v>
          </cell>
          <cell r="B466"/>
          <cell r="C466" t="str">
            <v>8211</v>
          </cell>
          <cell r="D466" t="str">
            <v>50131</v>
          </cell>
          <cell r="E466" t="str">
            <v>Subcontractor Expenses wc</v>
          </cell>
          <cell r="F466">
            <v>132958203668.94</v>
          </cell>
          <cell r="G466">
            <v>0</v>
          </cell>
          <cell r="H466">
            <v>132958203668.94</v>
          </cell>
          <cell r="I466">
            <v>0</v>
          </cell>
          <cell r="J466">
            <v>132958203668.94</v>
          </cell>
          <cell r="K466">
            <v>219035664731.79001</v>
          </cell>
        </row>
        <row r="467">
          <cell r="A467" t="str">
            <v>_/_8211_/_50141</v>
          </cell>
          <cell r="B467"/>
          <cell r="C467" t="str">
            <v>8211</v>
          </cell>
          <cell r="D467" t="str">
            <v>50141</v>
          </cell>
          <cell r="E467" t="str">
            <v>Installation Cost wc</v>
          </cell>
          <cell r="F467">
            <v>650000</v>
          </cell>
          <cell r="G467">
            <v>0</v>
          </cell>
          <cell r="H467">
            <v>650000</v>
          </cell>
          <cell r="I467">
            <v>0</v>
          </cell>
          <cell r="J467">
            <v>650000</v>
          </cell>
          <cell r="K467">
            <v>20819500</v>
          </cell>
        </row>
        <row r="468">
          <cell r="A468" t="str">
            <v>_/_8211_/_50142</v>
          </cell>
          <cell r="B468"/>
          <cell r="C468" t="str">
            <v>8211</v>
          </cell>
          <cell r="D468" t="str">
            <v>50142</v>
          </cell>
          <cell r="E468" t="str">
            <v>Office Supplies Expenses wc</v>
          </cell>
          <cell r="F468">
            <v>3126963293.46</v>
          </cell>
          <cell r="G468">
            <v>0</v>
          </cell>
          <cell r="H468">
            <v>3126963293.46</v>
          </cell>
          <cell r="I468">
            <v>0</v>
          </cell>
          <cell r="J468">
            <v>3126963293.46</v>
          </cell>
          <cell r="K468">
            <v>4660544141.3699999</v>
          </cell>
        </row>
        <row r="469">
          <cell r="A469" t="str">
            <v>_/_8211_/_50143</v>
          </cell>
          <cell r="B469"/>
          <cell r="C469" t="str">
            <v>8211</v>
          </cell>
          <cell r="D469" t="str">
            <v>50143</v>
          </cell>
          <cell r="E469" t="str">
            <v>Power Fuel Expenses wc</v>
          </cell>
          <cell r="F469">
            <v>12867817992.02</v>
          </cell>
          <cell r="G469">
            <v>0</v>
          </cell>
          <cell r="H469">
            <v>12867817992.02</v>
          </cell>
          <cell r="I469">
            <v>0</v>
          </cell>
          <cell r="J469">
            <v>12867817992.02</v>
          </cell>
          <cell r="K469">
            <v>12668750911.200001</v>
          </cell>
        </row>
        <row r="470">
          <cell r="A470" t="str">
            <v>_/_8211_/_50144</v>
          </cell>
          <cell r="B470"/>
          <cell r="C470" t="str">
            <v>8211</v>
          </cell>
          <cell r="D470" t="str">
            <v>50144</v>
          </cell>
          <cell r="E470" t="str">
            <v>Repaires Charges wc</v>
          </cell>
          <cell r="F470">
            <v>12411510616.15</v>
          </cell>
          <cell r="G470">
            <v>0</v>
          </cell>
          <cell r="H470">
            <v>12411510616.15</v>
          </cell>
          <cell r="I470">
            <v>0</v>
          </cell>
          <cell r="J470">
            <v>12411510616.15</v>
          </cell>
          <cell r="K470">
            <v>11337734102.76</v>
          </cell>
        </row>
        <row r="471">
          <cell r="A471" t="str">
            <v>_/_8211_/_50145</v>
          </cell>
          <cell r="B471"/>
          <cell r="C471" t="str">
            <v>8211</v>
          </cell>
          <cell r="D471" t="str">
            <v>50145</v>
          </cell>
          <cell r="E471" t="str">
            <v>Water, Electricity and Gas Charges wc</v>
          </cell>
          <cell r="F471">
            <v>962388186.89999998</v>
          </cell>
          <cell r="G471">
            <v>0</v>
          </cell>
          <cell r="H471">
            <v>962388186.89999998</v>
          </cell>
          <cell r="I471">
            <v>0</v>
          </cell>
          <cell r="J471">
            <v>962388186.89999998</v>
          </cell>
          <cell r="K471">
            <v>0</v>
          </cell>
        </row>
        <row r="472">
          <cell r="A472" t="str">
            <v>_/_8211_/_50147</v>
          </cell>
          <cell r="B472"/>
          <cell r="C472" t="str">
            <v>8211</v>
          </cell>
          <cell r="D472" t="str">
            <v>50147</v>
          </cell>
          <cell r="E472" t="str">
            <v>Transportation Expenses wc</v>
          </cell>
          <cell r="F472">
            <v>7516704333.5100002</v>
          </cell>
          <cell r="G472">
            <v>0</v>
          </cell>
          <cell r="H472">
            <v>7516704333.5100002</v>
          </cell>
          <cell r="I472">
            <v>0</v>
          </cell>
          <cell r="J472">
            <v>7516704333.5100002</v>
          </cell>
          <cell r="K472">
            <v>6813158672.8999996</v>
          </cell>
        </row>
        <row r="473">
          <cell r="A473" t="str">
            <v>_/_8211_/_50150</v>
          </cell>
          <cell r="B473"/>
          <cell r="C473" t="str">
            <v>8211</v>
          </cell>
          <cell r="D473" t="str">
            <v>50150</v>
          </cell>
          <cell r="E473" t="str">
            <v>Rental Expenses wc</v>
          </cell>
          <cell r="F473">
            <v>3847652539.23</v>
          </cell>
          <cell r="G473">
            <v>0</v>
          </cell>
          <cell r="H473">
            <v>3847652539.23</v>
          </cell>
          <cell r="I473">
            <v>0</v>
          </cell>
          <cell r="J473">
            <v>3847652539.23</v>
          </cell>
          <cell r="K473">
            <v>5116268491.9200001</v>
          </cell>
        </row>
        <row r="474">
          <cell r="A474" t="str">
            <v>_/_8211_/_50151</v>
          </cell>
          <cell r="B474"/>
          <cell r="C474" t="str">
            <v>8211</v>
          </cell>
          <cell r="D474" t="str">
            <v>50151</v>
          </cell>
          <cell r="E474" t="str">
            <v>Leasing Charges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</row>
        <row r="475">
          <cell r="A475" t="str">
            <v>_/_8211_/_50152</v>
          </cell>
          <cell r="B475"/>
          <cell r="C475" t="str">
            <v>8211</v>
          </cell>
          <cell r="D475" t="str">
            <v>50152</v>
          </cell>
          <cell r="E475" t="str">
            <v>Proffesional Fee wc</v>
          </cell>
          <cell r="F475">
            <v>28537000</v>
          </cell>
          <cell r="G475">
            <v>0</v>
          </cell>
          <cell r="H475">
            <v>28537000</v>
          </cell>
          <cell r="I475">
            <v>0</v>
          </cell>
          <cell r="J475">
            <v>28537000</v>
          </cell>
          <cell r="K475">
            <v>0</v>
          </cell>
        </row>
        <row r="476">
          <cell r="A476" t="str">
            <v>_/_8211_/_50153</v>
          </cell>
          <cell r="B476"/>
          <cell r="C476" t="str">
            <v>8211</v>
          </cell>
          <cell r="D476" t="str">
            <v>50153</v>
          </cell>
          <cell r="E476" t="str">
            <v>Travel Expenses wc</v>
          </cell>
          <cell r="F476">
            <v>4970825714.75</v>
          </cell>
          <cell r="G476">
            <v>0</v>
          </cell>
          <cell r="H476">
            <v>4970825714.75</v>
          </cell>
          <cell r="I476">
            <v>0</v>
          </cell>
          <cell r="J476">
            <v>4970825714.75</v>
          </cell>
          <cell r="K476">
            <v>5987147358.8000002</v>
          </cell>
        </row>
        <row r="477">
          <cell r="A477" t="str">
            <v>_/_8211_/_50156</v>
          </cell>
          <cell r="B477"/>
          <cell r="C477" t="str">
            <v>8211</v>
          </cell>
          <cell r="D477" t="str">
            <v>50156</v>
          </cell>
          <cell r="E477" t="str">
            <v>Communication Expenses wc</v>
          </cell>
          <cell r="F477">
            <v>2441162765.3699999</v>
          </cell>
          <cell r="G477">
            <v>0</v>
          </cell>
          <cell r="H477">
            <v>2441162765.3699999</v>
          </cell>
          <cell r="I477">
            <v>0</v>
          </cell>
          <cell r="J477">
            <v>2441162765.3699999</v>
          </cell>
          <cell r="K477">
            <v>2794393165.0300002</v>
          </cell>
        </row>
        <row r="478">
          <cell r="A478" t="str">
            <v>_/_8211_/_50157</v>
          </cell>
          <cell r="B478"/>
          <cell r="C478" t="str">
            <v>8211</v>
          </cell>
          <cell r="D478" t="str">
            <v>50157</v>
          </cell>
          <cell r="E478" t="str">
            <v>Insurance Expenses wc</v>
          </cell>
          <cell r="F478">
            <v>751975196.25999999</v>
          </cell>
          <cell r="G478">
            <v>0</v>
          </cell>
          <cell r="H478">
            <v>751975196.25999999</v>
          </cell>
          <cell r="I478">
            <v>0</v>
          </cell>
          <cell r="J478">
            <v>751975196.25999999</v>
          </cell>
          <cell r="K478">
            <v>1001503416.87</v>
          </cell>
        </row>
        <row r="479">
          <cell r="A479" t="str">
            <v>_/_8211_/_50158</v>
          </cell>
          <cell r="B479"/>
          <cell r="C479" t="str">
            <v>8211</v>
          </cell>
          <cell r="D479" t="str">
            <v>50158</v>
          </cell>
          <cell r="E479" t="str">
            <v>Entertainment Expenses wc</v>
          </cell>
          <cell r="F479">
            <v>848882561.34000003</v>
          </cell>
          <cell r="G479">
            <v>0</v>
          </cell>
          <cell r="H479">
            <v>848882561.34000003</v>
          </cell>
          <cell r="I479">
            <v>0</v>
          </cell>
          <cell r="J479">
            <v>848882561.34000003</v>
          </cell>
          <cell r="K479">
            <v>825720085</v>
          </cell>
        </row>
        <row r="480">
          <cell r="A480" t="str">
            <v>_/_8211_/_50161</v>
          </cell>
          <cell r="B480"/>
          <cell r="C480" t="str">
            <v>8211</v>
          </cell>
          <cell r="D480" t="str">
            <v>50161</v>
          </cell>
          <cell r="E480" t="str">
            <v>Taxes and Public due Charges wc</v>
          </cell>
          <cell r="F480">
            <v>4528739674.1899996</v>
          </cell>
          <cell r="G480">
            <v>0</v>
          </cell>
          <cell r="H480">
            <v>4528739674.1899996</v>
          </cell>
          <cell r="I480">
            <v>0</v>
          </cell>
          <cell r="J480">
            <v>4528739674.1899996</v>
          </cell>
          <cell r="K480">
            <v>3037643908.8099999</v>
          </cell>
        </row>
        <row r="481">
          <cell r="A481" t="str">
            <v>_/_8211_/_50162</v>
          </cell>
          <cell r="B481"/>
          <cell r="C481" t="str">
            <v>8211</v>
          </cell>
          <cell r="D481" t="str">
            <v>50162</v>
          </cell>
          <cell r="E481" t="str">
            <v>Miscellaneous Expenses wc</v>
          </cell>
          <cell r="F481">
            <v>7120938478.0100002</v>
          </cell>
          <cell r="G481">
            <v>0</v>
          </cell>
          <cell r="H481">
            <v>7120938478.0100002</v>
          </cell>
          <cell r="I481">
            <v>0</v>
          </cell>
          <cell r="J481">
            <v>7120938478.0100002</v>
          </cell>
          <cell r="K481">
            <v>8454247073.9700003</v>
          </cell>
        </row>
        <row r="482">
          <cell r="A482" t="str">
            <v>_/_8211_/_50163</v>
          </cell>
          <cell r="B482"/>
          <cell r="C482" t="str">
            <v>8211</v>
          </cell>
          <cell r="D482" t="str">
            <v>50163</v>
          </cell>
          <cell r="E482" t="str">
            <v>Books and Newspaper Fee wc</v>
          </cell>
          <cell r="F482">
            <v>83517800</v>
          </cell>
          <cell r="G482">
            <v>0</v>
          </cell>
          <cell r="H482">
            <v>83517800</v>
          </cell>
          <cell r="I482">
            <v>0</v>
          </cell>
          <cell r="J482">
            <v>83517800</v>
          </cell>
          <cell r="K482">
            <v>0</v>
          </cell>
        </row>
        <row r="483">
          <cell r="A483" t="str">
            <v>_/_8211_/_50165</v>
          </cell>
          <cell r="B483"/>
          <cell r="C483" t="str">
            <v>8211</v>
          </cell>
          <cell r="D483" t="str">
            <v>50165</v>
          </cell>
          <cell r="E483" t="str">
            <v>Depreciation Expenses wc</v>
          </cell>
          <cell r="F483">
            <v>17469808474.59</v>
          </cell>
          <cell r="G483">
            <v>0</v>
          </cell>
          <cell r="H483">
            <v>17469808474.59</v>
          </cell>
          <cell r="I483">
            <v>0</v>
          </cell>
          <cell r="J483">
            <v>17469808474.59</v>
          </cell>
          <cell r="K483">
            <v>15507757237.16</v>
          </cell>
        </row>
        <row r="484">
          <cell r="A484" t="str">
            <v>_/_8211_/_50166</v>
          </cell>
          <cell r="B484"/>
          <cell r="C484" t="str">
            <v>8211</v>
          </cell>
          <cell r="D484" t="str">
            <v>50166</v>
          </cell>
          <cell r="E484" t="str">
            <v>Advertisement Expenses wc</v>
          </cell>
          <cell r="F484">
            <v>8900000</v>
          </cell>
          <cell r="G484">
            <v>0</v>
          </cell>
          <cell r="H484">
            <v>8900000</v>
          </cell>
          <cell r="I484">
            <v>0</v>
          </cell>
          <cell r="J484">
            <v>8900000</v>
          </cell>
          <cell r="K484">
            <v>0</v>
          </cell>
        </row>
        <row r="485">
          <cell r="A485" t="str">
            <v>_/_8211_/_50171</v>
          </cell>
          <cell r="B485"/>
          <cell r="C485" t="str">
            <v>8211</v>
          </cell>
          <cell r="D485" t="str">
            <v>50171</v>
          </cell>
          <cell r="E485" t="str">
            <v>Donation Fee wc</v>
          </cell>
          <cell r="F485">
            <v>94120000</v>
          </cell>
          <cell r="G485">
            <v>0</v>
          </cell>
          <cell r="H485">
            <v>94120000</v>
          </cell>
          <cell r="I485">
            <v>0</v>
          </cell>
          <cell r="J485">
            <v>94120000</v>
          </cell>
          <cell r="K485">
            <v>156280000</v>
          </cell>
        </row>
        <row r="486">
          <cell r="A486" t="str">
            <v>_/_8211_/_50172</v>
          </cell>
          <cell r="B486"/>
          <cell r="C486" t="str">
            <v>8211</v>
          </cell>
          <cell r="D486" t="str">
            <v>50172</v>
          </cell>
          <cell r="E486" t="str">
            <v>Convention Expenses wc</v>
          </cell>
          <cell r="F486">
            <v>214260675</v>
          </cell>
          <cell r="G486">
            <v>0</v>
          </cell>
          <cell r="H486">
            <v>214260675</v>
          </cell>
          <cell r="I486">
            <v>0</v>
          </cell>
          <cell r="J486">
            <v>214260675</v>
          </cell>
          <cell r="K486">
            <v>68395000</v>
          </cell>
        </row>
        <row r="487">
          <cell r="A487" t="str">
            <v>_/_8211_/_50174</v>
          </cell>
          <cell r="B487"/>
          <cell r="C487" t="str">
            <v>8211</v>
          </cell>
          <cell r="D487" t="str">
            <v>50174</v>
          </cell>
          <cell r="E487" t="str">
            <v>Education Expenses wc</v>
          </cell>
          <cell r="F487">
            <v>258125444.86000001</v>
          </cell>
          <cell r="G487">
            <v>0</v>
          </cell>
          <cell r="H487">
            <v>258125444.86000001</v>
          </cell>
          <cell r="I487">
            <v>0</v>
          </cell>
          <cell r="J487">
            <v>258125444.86000001</v>
          </cell>
          <cell r="K487">
            <v>164667128</v>
          </cell>
        </row>
        <row r="488">
          <cell r="A488" t="str">
            <v>_/_8211_/_50175</v>
          </cell>
          <cell r="B488"/>
          <cell r="C488" t="str">
            <v>8211</v>
          </cell>
          <cell r="D488" t="str">
            <v>50175</v>
          </cell>
          <cell r="E488" t="str">
            <v>Meal Allowance Expenses wc</v>
          </cell>
          <cell r="F488">
            <v>1920062095</v>
          </cell>
          <cell r="G488">
            <v>0</v>
          </cell>
          <cell r="H488">
            <v>1920062095</v>
          </cell>
          <cell r="I488">
            <v>0</v>
          </cell>
          <cell r="J488">
            <v>1920062095</v>
          </cell>
          <cell r="K488">
            <v>1852459850</v>
          </cell>
        </row>
        <row r="489">
          <cell r="A489" t="str">
            <v>_/_8211_/_50176</v>
          </cell>
          <cell r="B489"/>
          <cell r="C489" t="str">
            <v>8211</v>
          </cell>
          <cell r="D489" t="str">
            <v>50176</v>
          </cell>
          <cell r="E489" t="str">
            <v>Commission Expenses wc</v>
          </cell>
          <cell r="F489">
            <v>50425449.969999999</v>
          </cell>
          <cell r="G489">
            <v>0</v>
          </cell>
          <cell r="H489">
            <v>50425449.969999999</v>
          </cell>
          <cell r="I489">
            <v>0</v>
          </cell>
          <cell r="J489">
            <v>50425449.969999999</v>
          </cell>
          <cell r="K489">
            <v>264697100</v>
          </cell>
        </row>
        <row r="490">
          <cell r="A490" t="str">
            <v>_/_8211_/_</v>
          </cell>
          <cell r="C490" t="str">
            <v>8211</v>
          </cell>
          <cell r="E490" t="str">
            <v>TB Total - Cost of Sales</v>
          </cell>
          <cell r="F490">
            <v>311357611752.78998</v>
          </cell>
          <cell r="G490">
            <v>0</v>
          </cell>
          <cell r="H490">
            <v>311357611752.78998</v>
          </cell>
          <cell r="I490">
            <v>0</v>
          </cell>
          <cell r="J490">
            <v>311357611752.78998</v>
          </cell>
          <cell r="K490">
            <v>400586916058.53998</v>
          </cell>
        </row>
        <row r="491">
          <cell r="A491"/>
          <cell r="C491" t="str">
            <v>8311</v>
          </cell>
        </row>
        <row r="492">
          <cell r="A492" t="str">
            <v>_/_8311_/_50201</v>
          </cell>
          <cell r="B492"/>
          <cell r="C492" t="str">
            <v>8311</v>
          </cell>
          <cell r="D492" t="str">
            <v>50201</v>
          </cell>
          <cell r="E492" t="str">
            <v>Officer`s Salary ae</v>
          </cell>
          <cell r="F492">
            <v>2517372474</v>
          </cell>
          <cell r="G492">
            <v>0</v>
          </cell>
          <cell r="H492">
            <v>2517372474</v>
          </cell>
          <cell r="I492">
            <v>0</v>
          </cell>
          <cell r="J492">
            <v>2517372474</v>
          </cell>
          <cell r="K492">
            <v>3559440143</v>
          </cell>
        </row>
        <row r="493">
          <cell r="A493" t="str">
            <v>_/_8311_/_50202</v>
          </cell>
          <cell r="B493"/>
          <cell r="C493" t="str">
            <v>8311</v>
          </cell>
          <cell r="D493" t="str">
            <v>50202</v>
          </cell>
          <cell r="E493" t="str">
            <v>Employee Salary ae</v>
          </cell>
          <cell r="F493">
            <v>641375811</v>
          </cell>
          <cell r="G493">
            <v>0</v>
          </cell>
          <cell r="H493">
            <v>641375811</v>
          </cell>
          <cell r="I493">
            <v>0</v>
          </cell>
          <cell r="J493">
            <v>641375811</v>
          </cell>
          <cell r="K493">
            <v>647909774</v>
          </cell>
        </row>
        <row r="494">
          <cell r="A494" t="str">
            <v>_/_8311_/_50203</v>
          </cell>
          <cell r="B494"/>
          <cell r="C494" t="str">
            <v>8311</v>
          </cell>
          <cell r="D494" t="str">
            <v>50203</v>
          </cell>
          <cell r="E494" t="str">
            <v>Worker Salary ae</v>
          </cell>
          <cell r="F494">
            <v>647120125</v>
          </cell>
          <cell r="G494">
            <v>0</v>
          </cell>
          <cell r="H494">
            <v>647120125</v>
          </cell>
          <cell r="I494">
            <v>0</v>
          </cell>
          <cell r="J494">
            <v>647120125</v>
          </cell>
          <cell r="K494">
            <v>0</v>
          </cell>
        </row>
        <row r="495">
          <cell r="A495" t="str">
            <v>_/_8311_/_50205</v>
          </cell>
          <cell r="B495"/>
          <cell r="C495" t="str">
            <v>8311</v>
          </cell>
          <cell r="D495" t="str">
            <v>50205</v>
          </cell>
          <cell r="E495" t="str">
            <v>Bonus ae &amp; THR ae</v>
          </cell>
          <cell r="F495">
            <v>498144169</v>
          </cell>
          <cell r="G495">
            <v>0</v>
          </cell>
          <cell r="H495">
            <v>498144169</v>
          </cell>
          <cell r="I495">
            <v>0</v>
          </cell>
          <cell r="J495">
            <v>498144169</v>
          </cell>
          <cell r="K495">
            <v>71918656</v>
          </cell>
        </row>
        <row r="496">
          <cell r="A496" t="str">
            <v>_/_8311_/_50206</v>
          </cell>
          <cell r="B496"/>
          <cell r="C496" t="str">
            <v>8311</v>
          </cell>
          <cell r="D496" t="str">
            <v>50206</v>
          </cell>
          <cell r="E496" t="str">
            <v>Retirement Payment ae</v>
          </cell>
          <cell r="F496">
            <v>42328543</v>
          </cell>
          <cell r="G496">
            <v>0</v>
          </cell>
          <cell r="H496">
            <v>42328543</v>
          </cell>
          <cell r="I496">
            <v>0</v>
          </cell>
          <cell r="J496">
            <v>42328543</v>
          </cell>
          <cell r="K496">
            <v>45000000</v>
          </cell>
        </row>
        <row r="497">
          <cell r="A497" t="str">
            <v>_/_8311_/_50208</v>
          </cell>
          <cell r="B497"/>
          <cell r="C497" t="str">
            <v>8311</v>
          </cell>
          <cell r="D497" t="str">
            <v>50208</v>
          </cell>
          <cell r="E497" t="str">
            <v>Leagal Welfare Expenses ae</v>
          </cell>
          <cell r="F497">
            <v>39643660</v>
          </cell>
          <cell r="G497">
            <v>0</v>
          </cell>
          <cell r="H497">
            <v>39643660</v>
          </cell>
          <cell r="I497">
            <v>0</v>
          </cell>
          <cell r="J497">
            <v>39643660</v>
          </cell>
          <cell r="K497">
            <v>63714839</v>
          </cell>
        </row>
        <row r="498">
          <cell r="A498" t="str">
            <v>_/_8311_/_50210</v>
          </cell>
          <cell r="B498"/>
          <cell r="C498" t="str">
            <v>8311</v>
          </cell>
          <cell r="D498" t="str">
            <v>50210</v>
          </cell>
          <cell r="E498" t="str">
            <v>Welfare Expenses ae</v>
          </cell>
          <cell r="F498">
            <v>125648380</v>
          </cell>
          <cell r="G498">
            <v>0</v>
          </cell>
          <cell r="H498">
            <v>125648380</v>
          </cell>
          <cell r="I498">
            <v>0</v>
          </cell>
          <cell r="J498">
            <v>125648380</v>
          </cell>
          <cell r="K498">
            <v>101043344</v>
          </cell>
        </row>
        <row r="499">
          <cell r="A499" t="str">
            <v>_/_8311_/_50223</v>
          </cell>
          <cell r="B499"/>
          <cell r="C499" t="str">
            <v>8311</v>
          </cell>
          <cell r="D499" t="str">
            <v>50223</v>
          </cell>
          <cell r="E499" t="str">
            <v>Book &amp; Newspapers Fee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68118597</v>
          </cell>
        </row>
        <row r="500">
          <cell r="A500" t="str">
            <v>_/_8311_/_50231</v>
          </cell>
          <cell r="B500"/>
          <cell r="C500" t="str">
            <v>8311</v>
          </cell>
          <cell r="D500" t="str">
            <v>50231</v>
          </cell>
          <cell r="E500" t="str">
            <v>Subcontractor Expenses ae</v>
          </cell>
          <cell r="F500">
            <v>76313863</v>
          </cell>
          <cell r="G500">
            <v>0</v>
          </cell>
          <cell r="H500">
            <v>76313863</v>
          </cell>
          <cell r="I500">
            <v>0</v>
          </cell>
          <cell r="J500">
            <v>76313863</v>
          </cell>
          <cell r="K500">
            <v>0</v>
          </cell>
        </row>
        <row r="501">
          <cell r="A501" t="str">
            <v>_/_8311_/_50242</v>
          </cell>
          <cell r="B501"/>
          <cell r="C501" t="str">
            <v>8311</v>
          </cell>
          <cell r="D501" t="str">
            <v>50242</v>
          </cell>
          <cell r="E501" t="str">
            <v>Office Supplies Expenses ae</v>
          </cell>
          <cell r="F501">
            <v>655822764</v>
          </cell>
          <cell r="G501">
            <v>0</v>
          </cell>
          <cell r="H501">
            <v>655822764</v>
          </cell>
          <cell r="I501">
            <v>0</v>
          </cell>
          <cell r="J501">
            <v>655822764</v>
          </cell>
          <cell r="K501">
            <v>1139285337.25</v>
          </cell>
        </row>
        <row r="502">
          <cell r="A502" t="str">
            <v>_/_8311_/_50243</v>
          </cell>
          <cell r="B502"/>
          <cell r="C502" t="str">
            <v>8311</v>
          </cell>
          <cell r="D502" t="str">
            <v>50243</v>
          </cell>
          <cell r="E502" t="str">
            <v>Power Fuel Expenses ae</v>
          </cell>
          <cell r="F502">
            <v>160746316</v>
          </cell>
          <cell r="G502">
            <v>0</v>
          </cell>
          <cell r="H502">
            <v>160746316</v>
          </cell>
          <cell r="I502">
            <v>0</v>
          </cell>
          <cell r="J502">
            <v>160746316</v>
          </cell>
          <cell r="K502">
            <v>0</v>
          </cell>
        </row>
        <row r="503">
          <cell r="A503" t="str">
            <v>_/_8311_/_50244</v>
          </cell>
          <cell r="B503"/>
          <cell r="C503" t="str">
            <v>8311</v>
          </cell>
          <cell r="D503" t="str">
            <v>50244</v>
          </cell>
          <cell r="E503" t="str">
            <v>Repair Charges ae</v>
          </cell>
          <cell r="F503">
            <v>70427641</v>
          </cell>
          <cell r="G503">
            <v>0</v>
          </cell>
          <cell r="H503">
            <v>70427641</v>
          </cell>
          <cell r="I503">
            <v>0</v>
          </cell>
          <cell r="J503">
            <v>70427641</v>
          </cell>
          <cell r="K503">
            <v>89586499</v>
          </cell>
        </row>
        <row r="504">
          <cell r="A504" t="str">
            <v>_/_8311_/_50245</v>
          </cell>
          <cell r="B504"/>
          <cell r="C504" t="str">
            <v>8311</v>
          </cell>
          <cell r="D504" t="str">
            <v>50245</v>
          </cell>
          <cell r="E504" t="str">
            <v>Water, Electricity and Gas Charges ae</v>
          </cell>
          <cell r="F504">
            <v>54406825</v>
          </cell>
          <cell r="G504">
            <v>0</v>
          </cell>
          <cell r="H504">
            <v>54406825</v>
          </cell>
          <cell r="I504">
            <v>0</v>
          </cell>
          <cell r="J504">
            <v>54406825</v>
          </cell>
          <cell r="K504">
            <v>40909485</v>
          </cell>
        </row>
        <row r="505">
          <cell r="A505" t="str">
            <v>_/_8311_/_50246</v>
          </cell>
          <cell r="B505"/>
          <cell r="C505" t="str">
            <v>8311</v>
          </cell>
          <cell r="D505" t="str">
            <v>50246</v>
          </cell>
          <cell r="E505" t="str">
            <v>Membership Fee &amp; Subcription ae</v>
          </cell>
          <cell r="F505">
            <v>24692301</v>
          </cell>
          <cell r="G505">
            <v>0</v>
          </cell>
          <cell r="H505">
            <v>24692301</v>
          </cell>
          <cell r="I505">
            <v>0</v>
          </cell>
          <cell r="J505">
            <v>24692301</v>
          </cell>
          <cell r="K505">
            <v>0</v>
          </cell>
        </row>
        <row r="506">
          <cell r="A506" t="str">
            <v>_/_8311_/_50250</v>
          </cell>
          <cell r="B506"/>
          <cell r="C506" t="str">
            <v>8311</v>
          </cell>
          <cell r="D506" t="str">
            <v>50250</v>
          </cell>
          <cell r="E506" t="str">
            <v>Rental Expenses ae</v>
          </cell>
          <cell r="F506">
            <v>1448965112.9000001</v>
          </cell>
          <cell r="G506">
            <v>0</v>
          </cell>
          <cell r="H506">
            <v>1448965112.9000001</v>
          </cell>
          <cell r="I506">
            <v>0</v>
          </cell>
          <cell r="J506">
            <v>1448965112.9000001</v>
          </cell>
          <cell r="K506">
            <v>1597277945.8499999</v>
          </cell>
        </row>
        <row r="507">
          <cell r="A507" t="str">
            <v>_/_8311_/_50252</v>
          </cell>
          <cell r="B507"/>
          <cell r="C507" t="str">
            <v>8311</v>
          </cell>
          <cell r="D507" t="str">
            <v>50252</v>
          </cell>
          <cell r="E507" t="str">
            <v>Professional Fee ae</v>
          </cell>
          <cell r="F507">
            <v>540904200</v>
          </cell>
          <cell r="G507">
            <v>0</v>
          </cell>
          <cell r="H507">
            <v>540904200</v>
          </cell>
          <cell r="I507">
            <v>0</v>
          </cell>
          <cell r="J507">
            <v>540904200</v>
          </cell>
          <cell r="K507">
            <v>687517250</v>
          </cell>
        </row>
        <row r="508">
          <cell r="A508" t="str">
            <v>_/_8311_/_50253</v>
          </cell>
          <cell r="B508"/>
          <cell r="C508" t="str">
            <v>8311</v>
          </cell>
          <cell r="D508" t="str">
            <v>50253</v>
          </cell>
          <cell r="E508" t="str">
            <v>Travel Expenses ae</v>
          </cell>
          <cell r="F508">
            <v>704527228.55999994</v>
          </cell>
          <cell r="G508">
            <v>0</v>
          </cell>
          <cell r="H508">
            <v>704527228.55999994</v>
          </cell>
          <cell r="I508">
            <v>0</v>
          </cell>
          <cell r="J508">
            <v>704527228.55999994</v>
          </cell>
          <cell r="K508">
            <v>562726443.20000005</v>
          </cell>
        </row>
        <row r="509">
          <cell r="A509" t="str">
            <v>_/_8311_/_50256</v>
          </cell>
          <cell r="B509"/>
          <cell r="C509" t="str">
            <v>8311</v>
          </cell>
          <cell r="D509" t="str">
            <v>50256</v>
          </cell>
          <cell r="E509" t="str">
            <v>Communication Expenses ae</v>
          </cell>
          <cell r="F509">
            <v>321196846</v>
          </cell>
          <cell r="G509">
            <v>0</v>
          </cell>
          <cell r="H509">
            <v>321196846</v>
          </cell>
          <cell r="I509">
            <v>0</v>
          </cell>
          <cell r="J509">
            <v>321196846</v>
          </cell>
          <cell r="K509">
            <v>269660718.25999999</v>
          </cell>
        </row>
        <row r="510">
          <cell r="A510" t="str">
            <v>_/_8311_/_50257</v>
          </cell>
          <cell r="B510"/>
          <cell r="C510" t="str">
            <v>8311</v>
          </cell>
          <cell r="D510" t="str">
            <v>50257</v>
          </cell>
          <cell r="E510" t="str">
            <v>Insurance Expenses ae</v>
          </cell>
          <cell r="F510">
            <v>161795304.77000001</v>
          </cell>
          <cell r="G510">
            <v>0</v>
          </cell>
          <cell r="H510">
            <v>161795304.77000001</v>
          </cell>
          <cell r="I510">
            <v>0</v>
          </cell>
          <cell r="J510">
            <v>161795304.77000001</v>
          </cell>
          <cell r="K510">
            <v>93928313.650000006</v>
          </cell>
        </row>
        <row r="511">
          <cell r="A511" t="str">
            <v>_/_8311_/_50258</v>
          </cell>
          <cell r="B511"/>
          <cell r="C511" t="str">
            <v>8311</v>
          </cell>
          <cell r="D511" t="str">
            <v>50258</v>
          </cell>
          <cell r="E511" t="str">
            <v>Entertainment Expenses ae</v>
          </cell>
          <cell r="F511">
            <v>313353642</v>
          </cell>
          <cell r="G511">
            <v>0</v>
          </cell>
          <cell r="H511">
            <v>313353642</v>
          </cell>
          <cell r="I511">
            <v>0</v>
          </cell>
          <cell r="J511">
            <v>313353642</v>
          </cell>
          <cell r="K511">
            <v>316947037</v>
          </cell>
        </row>
        <row r="512">
          <cell r="A512" t="str">
            <v>_/_8311_/_50261</v>
          </cell>
          <cell r="B512"/>
          <cell r="C512" t="str">
            <v>8311</v>
          </cell>
          <cell r="D512" t="str">
            <v>50261</v>
          </cell>
          <cell r="E512" t="str">
            <v>Taxes and Public due Charges ae</v>
          </cell>
          <cell r="F512">
            <v>38349387.07</v>
          </cell>
          <cell r="G512">
            <v>0</v>
          </cell>
          <cell r="H512">
            <v>38349387.07</v>
          </cell>
          <cell r="I512">
            <v>0</v>
          </cell>
          <cell r="J512">
            <v>38349387.07</v>
          </cell>
          <cell r="K512">
            <v>287141722.51999998</v>
          </cell>
        </row>
        <row r="513">
          <cell r="A513" t="str">
            <v>_/_8311_/_50262</v>
          </cell>
          <cell r="B513"/>
          <cell r="C513" t="str">
            <v>8311</v>
          </cell>
          <cell r="D513" t="str">
            <v>50262</v>
          </cell>
          <cell r="E513" t="str">
            <v>Miscellaneous Expenses ae</v>
          </cell>
          <cell r="F513">
            <v>59231686.719999999</v>
          </cell>
          <cell r="G513">
            <v>0</v>
          </cell>
          <cell r="H513">
            <v>59231686.719999999</v>
          </cell>
          <cell r="I513">
            <v>0</v>
          </cell>
          <cell r="J513">
            <v>59231686.719999999</v>
          </cell>
          <cell r="K513">
            <v>335607733.88</v>
          </cell>
        </row>
        <row r="514">
          <cell r="A514" t="str">
            <v>_/_8311_/_50263</v>
          </cell>
          <cell r="B514"/>
          <cell r="C514" t="str">
            <v>8311</v>
          </cell>
          <cell r="D514" t="str">
            <v>50263</v>
          </cell>
          <cell r="E514" t="str">
            <v>Books and Newspaper Fee AE</v>
          </cell>
          <cell r="F514">
            <v>115457983.69</v>
          </cell>
          <cell r="G514">
            <v>0</v>
          </cell>
          <cell r="H514">
            <v>115457983.69</v>
          </cell>
          <cell r="I514">
            <v>0</v>
          </cell>
          <cell r="J514">
            <v>115457983.69</v>
          </cell>
          <cell r="K514">
            <v>0</v>
          </cell>
        </row>
        <row r="515">
          <cell r="A515" t="str">
            <v>_/_8311_/_50265</v>
          </cell>
          <cell r="B515"/>
          <cell r="C515" t="str">
            <v>8311</v>
          </cell>
          <cell r="D515" t="str">
            <v>50265</v>
          </cell>
          <cell r="E515" t="str">
            <v>Depreciation Expenses ae</v>
          </cell>
          <cell r="F515">
            <v>538202928.16999996</v>
          </cell>
          <cell r="G515">
            <v>0</v>
          </cell>
          <cell r="H515">
            <v>538202928.16999996</v>
          </cell>
          <cell r="I515">
            <v>0</v>
          </cell>
          <cell r="J515">
            <v>538202928.16999996</v>
          </cell>
          <cell r="K515">
            <v>437719592.41000003</v>
          </cell>
        </row>
        <row r="516">
          <cell r="A516" t="str">
            <v>_/_8311_/_50266</v>
          </cell>
          <cell r="B516"/>
          <cell r="C516" t="str">
            <v>8311</v>
          </cell>
          <cell r="D516" t="str">
            <v>50266</v>
          </cell>
          <cell r="E516" t="str">
            <v>Advertisement Expenses ae</v>
          </cell>
          <cell r="F516">
            <v>16250000</v>
          </cell>
          <cell r="G516">
            <v>0</v>
          </cell>
          <cell r="H516">
            <v>16250000</v>
          </cell>
          <cell r="I516">
            <v>0</v>
          </cell>
          <cell r="J516">
            <v>16250000</v>
          </cell>
          <cell r="K516">
            <v>1100000</v>
          </cell>
        </row>
        <row r="517">
          <cell r="A517" t="str">
            <v>_/_8311_/_50267-HTMH</v>
          </cell>
          <cell r="B517"/>
          <cell r="C517" t="str">
            <v>8311</v>
          </cell>
          <cell r="D517" t="str">
            <v>50267-HTMH</v>
          </cell>
          <cell r="E517" t="str">
            <v>Operating expense - others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</row>
        <row r="518">
          <cell r="A518" t="str">
            <v>_/_8311_/_50271</v>
          </cell>
          <cell r="B518"/>
          <cell r="C518" t="str">
            <v>8311</v>
          </cell>
          <cell r="D518" t="str">
            <v>50271</v>
          </cell>
          <cell r="E518" t="str">
            <v>Donation Fee ae</v>
          </cell>
          <cell r="F518">
            <v>13468936</v>
          </cell>
          <cell r="G518">
            <v>0</v>
          </cell>
          <cell r="H518">
            <v>13468936</v>
          </cell>
          <cell r="I518">
            <v>0</v>
          </cell>
          <cell r="J518">
            <v>13468936</v>
          </cell>
          <cell r="K518">
            <v>50000000</v>
          </cell>
        </row>
        <row r="519">
          <cell r="A519" t="str">
            <v>_/_8311_/_50272</v>
          </cell>
          <cell r="B519"/>
          <cell r="C519" t="str">
            <v>8311</v>
          </cell>
          <cell r="D519" t="str">
            <v>50272</v>
          </cell>
          <cell r="E519" t="str">
            <v>Convention Expenses ae</v>
          </cell>
          <cell r="F519">
            <v>267371129.91</v>
          </cell>
          <cell r="G519">
            <v>0</v>
          </cell>
          <cell r="H519">
            <v>267371129.91</v>
          </cell>
          <cell r="I519">
            <v>0</v>
          </cell>
          <cell r="J519">
            <v>267371129.91</v>
          </cell>
          <cell r="K519">
            <v>258823480.40000001</v>
          </cell>
        </row>
        <row r="520">
          <cell r="A520" t="str">
            <v>_/_8311_/_50274</v>
          </cell>
          <cell r="B520"/>
          <cell r="C520" t="str">
            <v>8311</v>
          </cell>
          <cell r="D520" t="str">
            <v>50274</v>
          </cell>
          <cell r="E520" t="str">
            <v>Education Expenses ae</v>
          </cell>
          <cell r="F520">
            <v>14311825</v>
          </cell>
          <cell r="G520">
            <v>0</v>
          </cell>
          <cell r="H520">
            <v>14311825</v>
          </cell>
          <cell r="I520">
            <v>0</v>
          </cell>
          <cell r="J520">
            <v>14311825</v>
          </cell>
          <cell r="K520">
            <v>46306050</v>
          </cell>
        </row>
        <row r="521">
          <cell r="A521" t="str">
            <v>_/_8311_/_50276</v>
          </cell>
          <cell r="B521"/>
          <cell r="C521" t="str">
            <v>8311</v>
          </cell>
          <cell r="D521" t="str">
            <v>50276</v>
          </cell>
          <cell r="E521" t="str">
            <v>Commission Expenses ae</v>
          </cell>
          <cell r="F521">
            <v>115804236.86</v>
          </cell>
          <cell r="G521">
            <v>0</v>
          </cell>
          <cell r="H521">
            <v>115804236.86</v>
          </cell>
          <cell r="I521">
            <v>0</v>
          </cell>
          <cell r="J521">
            <v>115804236.86</v>
          </cell>
          <cell r="K521">
            <v>0</v>
          </cell>
        </row>
        <row r="522">
          <cell r="A522" t="str">
            <v>_/_8311_/_51309</v>
          </cell>
          <cell r="B522"/>
          <cell r="C522" t="str">
            <v>8311</v>
          </cell>
          <cell r="D522" t="str">
            <v>51309</v>
          </cell>
          <cell r="E522" t="str">
            <v>M. Loss for Other</v>
          </cell>
          <cell r="F522">
            <v>1516624083.9100001</v>
          </cell>
          <cell r="G522">
            <v>0</v>
          </cell>
          <cell r="H522">
            <v>1516624083.9100001</v>
          </cell>
          <cell r="I522">
            <v>0</v>
          </cell>
          <cell r="J522">
            <v>1516624083.9100001</v>
          </cell>
          <cell r="K522">
            <v>0</v>
          </cell>
        </row>
        <row r="523">
          <cell r="A523" t="str">
            <v>_/_8311_/_51311 ORS</v>
          </cell>
          <cell r="B523"/>
          <cell r="C523" t="str">
            <v>8311</v>
          </cell>
          <cell r="D523" t="str">
            <v>51311 ORS</v>
          </cell>
          <cell r="E523" t="str">
            <v>Tax penalty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7587673547</v>
          </cell>
        </row>
        <row r="524">
          <cell r="A524" t="str">
            <v>_/_8311_/_Blank (4164)</v>
          </cell>
          <cell r="B524"/>
          <cell r="C524" t="str">
            <v>8311</v>
          </cell>
          <cell r="D524" t="str">
            <v>Blank (4164)</v>
          </cell>
          <cell r="E524" t="str">
            <v>Bank Commission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108527504.43000001</v>
          </cell>
        </row>
        <row r="525">
          <cell r="A525" t="str">
            <v>_/_8311_/_Blank (4823)</v>
          </cell>
          <cell r="B525"/>
          <cell r="C525" t="str">
            <v>8311</v>
          </cell>
          <cell r="D525" t="str">
            <v>Blank (4823)</v>
          </cell>
          <cell r="E525" t="str">
            <v>Supervisor fee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</row>
        <row r="526">
          <cell r="A526" t="str">
            <v>_/_8311_/_</v>
          </cell>
          <cell r="C526" t="str">
            <v>8311</v>
          </cell>
          <cell r="E526" t="str">
            <v>TB Total - Operating Expenses</v>
          </cell>
          <cell r="F526">
            <v>11739857403.559999</v>
          </cell>
          <cell r="G526">
            <v>0</v>
          </cell>
          <cell r="H526">
            <v>11739857403.559999</v>
          </cell>
          <cell r="I526">
            <v>0</v>
          </cell>
          <cell r="J526">
            <v>11739857403.559999</v>
          </cell>
          <cell r="K526">
            <v>18467884012.849998</v>
          </cell>
        </row>
        <row r="527">
          <cell r="A527"/>
          <cell r="C527" t="str">
            <v>8411</v>
          </cell>
        </row>
        <row r="528">
          <cell r="A528" t="str">
            <v>_/_8411_/_411</v>
          </cell>
          <cell r="B528"/>
          <cell r="C528" t="str">
            <v>8411</v>
          </cell>
          <cell r="D528" t="str">
            <v>411</v>
          </cell>
          <cell r="E528" t="str">
            <v>Interest Income</v>
          </cell>
          <cell r="F528">
            <v>-637874811.52999997</v>
          </cell>
          <cell r="G528">
            <v>0</v>
          </cell>
          <cell r="H528">
            <v>-637874811.52999997</v>
          </cell>
          <cell r="I528">
            <v>0</v>
          </cell>
          <cell r="J528">
            <v>-637874811.52999997</v>
          </cell>
          <cell r="K528">
            <v>-1308517808.9400001</v>
          </cell>
        </row>
        <row r="529">
          <cell r="A529" t="str">
            <v>_/_8411_/_</v>
          </cell>
          <cell r="C529" t="str">
            <v>8411</v>
          </cell>
          <cell r="E529" t="str">
            <v>TB Total - Interest Income</v>
          </cell>
          <cell r="F529">
            <v>-637874811.52999997</v>
          </cell>
          <cell r="G529">
            <v>0</v>
          </cell>
          <cell r="H529">
            <v>-637874811.52999997</v>
          </cell>
          <cell r="I529">
            <v>0</v>
          </cell>
          <cell r="J529">
            <v>-637874811.52999997</v>
          </cell>
          <cell r="K529">
            <v>-1308517808.9400001</v>
          </cell>
        </row>
        <row r="530">
          <cell r="A530"/>
          <cell r="C530" t="str">
            <v>8412</v>
          </cell>
        </row>
        <row r="531">
          <cell r="A531" t="str">
            <v>_/_8412_/_41302</v>
          </cell>
          <cell r="B531"/>
          <cell r="C531" t="str">
            <v>8412</v>
          </cell>
          <cell r="D531" t="str">
            <v>41302</v>
          </cell>
          <cell r="E531" t="str">
            <v>M. Income Securites Trade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-16723113.51</v>
          </cell>
        </row>
        <row r="532">
          <cell r="A532" t="str">
            <v>_/_8412_/_41303</v>
          </cell>
          <cell r="B532"/>
          <cell r="C532" t="str">
            <v>8412</v>
          </cell>
          <cell r="D532" t="str">
            <v>41303</v>
          </cell>
          <cell r="E532" t="str">
            <v>M. Income Settlement Advance</v>
          </cell>
          <cell r="F532">
            <v>-29592951.640000001</v>
          </cell>
          <cell r="G532">
            <v>0</v>
          </cell>
          <cell r="H532">
            <v>-29592951.640000001</v>
          </cell>
          <cell r="I532">
            <v>0</v>
          </cell>
          <cell r="J532">
            <v>-29592951.640000001</v>
          </cell>
          <cell r="K532">
            <v>-1257299</v>
          </cell>
        </row>
        <row r="533">
          <cell r="A533" t="str">
            <v>_/_8412_/_41309</v>
          </cell>
          <cell r="B533"/>
          <cell r="C533" t="str">
            <v>8412</v>
          </cell>
          <cell r="D533" t="str">
            <v>41309</v>
          </cell>
          <cell r="E533" t="str">
            <v>M. Income Other</v>
          </cell>
          <cell r="F533">
            <v>-5179844892.2299995</v>
          </cell>
          <cell r="G533">
            <v>0</v>
          </cell>
          <cell r="H533">
            <v>-5179844892.2299995</v>
          </cell>
          <cell r="I533">
            <v>0</v>
          </cell>
          <cell r="J533">
            <v>-5179844892.2299995</v>
          </cell>
          <cell r="K533">
            <v>0</v>
          </cell>
        </row>
        <row r="534">
          <cell r="A534" t="str">
            <v>_/_8412_/_41310</v>
          </cell>
          <cell r="B534"/>
          <cell r="C534" t="str">
            <v>8412</v>
          </cell>
          <cell r="D534" t="str">
            <v>41310</v>
          </cell>
          <cell r="E534" t="str">
            <v>Retirement Expenses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</row>
        <row r="535">
          <cell r="A535" t="str">
            <v>_/_8412_/_41311</v>
          </cell>
          <cell r="B535"/>
          <cell r="C535" t="str">
            <v>8412</v>
          </cell>
          <cell r="D535" t="str">
            <v>41311</v>
          </cell>
          <cell r="E535" t="str">
            <v>Tax Correction of SKPKB 2003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-1148256882</v>
          </cell>
        </row>
        <row r="536">
          <cell r="A536" t="str">
            <v>_/_8412_/_</v>
          </cell>
          <cell r="C536" t="str">
            <v>8412</v>
          </cell>
          <cell r="E536" t="str">
            <v>TB Total - Other Income</v>
          </cell>
          <cell r="F536">
            <v>-5209437843.8699999</v>
          </cell>
          <cell r="G536">
            <v>0</v>
          </cell>
          <cell r="H536">
            <v>-5209437843.8699999</v>
          </cell>
          <cell r="I536">
            <v>0</v>
          </cell>
          <cell r="J536">
            <v>-5209437843.8699999</v>
          </cell>
          <cell r="K536">
            <v>-1166237294.51</v>
          </cell>
        </row>
        <row r="537">
          <cell r="A537"/>
          <cell r="C537" t="str">
            <v>8413</v>
          </cell>
        </row>
        <row r="538">
          <cell r="A538" t="str">
            <v>_/_8413_/_41301</v>
          </cell>
          <cell r="B538"/>
          <cell r="C538" t="str">
            <v>8413</v>
          </cell>
          <cell r="D538" t="str">
            <v>41301</v>
          </cell>
          <cell r="E538" t="str">
            <v>M. Income Gains on Foreign Exchange</v>
          </cell>
          <cell r="F538">
            <v>-5245984376.2799997</v>
          </cell>
          <cell r="G538">
            <v>0</v>
          </cell>
          <cell r="H538">
            <v>-5245984376.2799997</v>
          </cell>
          <cell r="I538">
            <v>0</v>
          </cell>
          <cell r="J538">
            <v>-5245984376.2799997</v>
          </cell>
          <cell r="K538">
            <v>-11358663841.790001</v>
          </cell>
        </row>
        <row r="539">
          <cell r="A539" t="str">
            <v>_/_8413_/_</v>
          </cell>
          <cell r="C539" t="str">
            <v>8413</v>
          </cell>
          <cell r="E539" t="str">
            <v>TB Total - Gain on Foreign Exchange</v>
          </cell>
          <cell r="F539">
            <v>-5245984376.2799997</v>
          </cell>
          <cell r="G539">
            <v>0</v>
          </cell>
          <cell r="H539">
            <v>-5245984376.2799997</v>
          </cell>
          <cell r="I539">
            <v>0</v>
          </cell>
          <cell r="J539">
            <v>-5245984376.2799997</v>
          </cell>
          <cell r="K539">
            <v>-11358663841.790001</v>
          </cell>
        </row>
        <row r="540">
          <cell r="A540"/>
          <cell r="C540" t="str">
            <v>8414</v>
          </cell>
        </row>
        <row r="541">
          <cell r="A541" t="str">
            <v>_/_8414_/_421</v>
          </cell>
          <cell r="B541"/>
          <cell r="C541" t="str">
            <v>8414</v>
          </cell>
          <cell r="D541" t="str">
            <v>421</v>
          </cell>
          <cell r="E541" t="str">
            <v>Gain from Sales of Fixed Assets</v>
          </cell>
          <cell r="F541">
            <v>-1958257586</v>
          </cell>
          <cell r="G541">
            <v>0</v>
          </cell>
          <cell r="H541">
            <v>-1958257586</v>
          </cell>
          <cell r="I541">
            <v>0</v>
          </cell>
          <cell r="J541">
            <v>-1958257586</v>
          </cell>
          <cell r="K541">
            <v>-875549997</v>
          </cell>
        </row>
        <row r="542">
          <cell r="A542" t="str">
            <v>_/_8414_/_Dup10027 - 421210</v>
          </cell>
          <cell r="B542"/>
          <cell r="C542" t="str">
            <v>8414</v>
          </cell>
          <cell r="D542" t="str">
            <v>Dup10027 - 421210</v>
          </cell>
          <cell r="E542" t="str">
            <v>Wheeloader 65 Z4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-62500000</v>
          </cell>
        </row>
        <row r="543">
          <cell r="A543" t="str">
            <v>_/_8414_/_</v>
          </cell>
          <cell r="C543" t="str">
            <v>8414</v>
          </cell>
          <cell r="E543" t="str">
            <v>TB Total - Gain on Sale of Fixed Assets</v>
          </cell>
          <cell r="F543">
            <v>-1958257586</v>
          </cell>
          <cell r="G543">
            <v>0</v>
          </cell>
          <cell r="H543">
            <v>-1958257586</v>
          </cell>
          <cell r="I543">
            <v>0</v>
          </cell>
          <cell r="J543">
            <v>-1958257586</v>
          </cell>
          <cell r="K543">
            <v>-938049997</v>
          </cell>
        </row>
        <row r="544">
          <cell r="A544"/>
          <cell r="C544" t="str">
            <v>8415</v>
          </cell>
        </row>
        <row r="545">
          <cell r="A545" t="str">
            <v>_/_8415_/_601</v>
          </cell>
          <cell r="B545"/>
          <cell r="C545" t="str">
            <v>8415</v>
          </cell>
          <cell r="D545" t="str">
            <v>601</v>
          </cell>
          <cell r="E545" t="str">
            <v>Inter Office Account (Debit)</v>
          </cell>
          <cell r="F545">
            <v>15279279754.52</v>
          </cell>
          <cell r="G545">
            <v>0</v>
          </cell>
          <cell r="H545">
            <v>15279279754.52</v>
          </cell>
          <cell r="I545">
            <v>0</v>
          </cell>
          <cell r="J545">
            <v>15279279754.52</v>
          </cell>
          <cell r="K545">
            <v>13560664147.27</v>
          </cell>
        </row>
        <row r="546">
          <cell r="A546" t="str">
            <v>_/_8415_/_701</v>
          </cell>
          <cell r="B546"/>
          <cell r="C546" t="str">
            <v>8415</v>
          </cell>
          <cell r="D546" t="str">
            <v>701</v>
          </cell>
          <cell r="E546" t="str">
            <v>Inter Office Account (Credit)</v>
          </cell>
          <cell r="F546">
            <v>-15279279754.52</v>
          </cell>
          <cell r="G546">
            <v>0</v>
          </cell>
          <cell r="H546">
            <v>-15279279754.52</v>
          </cell>
          <cell r="I546">
            <v>0</v>
          </cell>
          <cell r="J546">
            <v>-15279279754.52</v>
          </cell>
          <cell r="K546">
            <v>-13560664147.27</v>
          </cell>
        </row>
        <row r="547">
          <cell r="A547" t="str">
            <v>_/_8415_/_</v>
          </cell>
          <cell r="C547" t="str">
            <v>8415</v>
          </cell>
          <cell r="E547" t="str">
            <v>TB Total - Inter Office Account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</row>
        <row r="548">
          <cell r="A548"/>
          <cell r="C548" t="str">
            <v>8416</v>
          </cell>
        </row>
        <row r="549">
          <cell r="A549" t="str">
            <v>_/_8416_/_412</v>
          </cell>
          <cell r="B549"/>
          <cell r="C549" t="str">
            <v>8416</v>
          </cell>
          <cell r="D549" t="str">
            <v>412</v>
          </cell>
          <cell r="E549" t="str">
            <v>Dividend Received</v>
          </cell>
          <cell r="F549">
            <v>-1971600</v>
          </cell>
          <cell r="G549">
            <v>0</v>
          </cell>
          <cell r="H549">
            <v>-1971600</v>
          </cell>
          <cell r="I549">
            <v>0</v>
          </cell>
          <cell r="J549">
            <v>-1971600</v>
          </cell>
          <cell r="K549">
            <v>0</v>
          </cell>
        </row>
        <row r="550">
          <cell r="A550" t="str">
            <v>_/_8416_/_</v>
          </cell>
          <cell r="C550" t="str">
            <v>8416</v>
          </cell>
          <cell r="E550" t="str">
            <v>TB Total - Dividend Income</v>
          </cell>
          <cell r="F550">
            <v>-1971600</v>
          </cell>
          <cell r="G550">
            <v>0</v>
          </cell>
          <cell r="H550">
            <v>-1971600</v>
          </cell>
          <cell r="I550">
            <v>0</v>
          </cell>
          <cell r="J550">
            <v>-1971600</v>
          </cell>
          <cell r="K550">
            <v>0</v>
          </cell>
        </row>
        <row r="551">
          <cell r="A551"/>
          <cell r="C551" t="str">
            <v>8417</v>
          </cell>
        </row>
        <row r="552">
          <cell r="A552" t="str">
            <v>_/_8417_/_41308</v>
          </cell>
          <cell r="B552"/>
          <cell r="C552" t="str">
            <v>8417</v>
          </cell>
          <cell r="D552" t="str">
            <v>41308</v>
          </cell>
          <cell r="E552" t="str">
            <v>Sankyu Share at BSA (US$.350.000)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</row>
        <row r="553">
          <cell r="A553" t="str">
            <v>_/_8417_/_</v>
          </cell>
          <cell r="C553" t="str">
            <v>8417</v>
          </cell>
          <cell r="E553" t="str">
            <v>TB Total - Gain on Sale of Investment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</row>
        <row r="554">
          <cell r="A554"/>
          <cell r="C554" t="str">
            <v>8511</v>
          </cell>
        </row>
        <row r="555">
          <cell r="A555" t="str">
            <v>_/_8511_/_51105</v>
          </cell>
          <cell r="B555"/>
          <cell r="C555" t="str">
            <v>8511</v>
          </cell>
          <cell r="D555" t="str">
            <v>51105</v>
          </cell>
          <cell r="E555" t="str">
            <v>Interest of Tax (Finalty)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275572675</v>
          </cell>
        </row>
        <row r="556">
          <cell r="A556" t="str">
            <v>_/_8511_/_51107</v>
          </cell>
          <cell r="B556"/>
          <cell r="C556" t="str">
            <v>8511</v>
          </cell>
          <cell r="D556" t="str">
            <v>51107</v>
          </cell>
          <cell r="E556" t="str">
            <v>Discount and interest paid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167993807.30000001</v>
          </cell>
        </row>
        <row r="557">
          <cell r="A557" t="str">
            <v>_/_8511_/_</v>
          </cell>
          <cell r="C557" t="str">
            <v>8511</v>
          </cell>
          <cell r="E557" t="str">
            <v>TB Total - Interest Expense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443566482.30000001</v>
          </cell>
        </row>
        <row r="558">
          <cell r="A558"/>
          <cell r="C558" t="str">
            <v>8512</v>
          </cell>
        </row>
        <row r="559">
          <cell r="A559" t="str">
            <v>_/_8512_/_511</v>
          </cell>
          <cell r="B559"/>
          <cell r="C559" t="str">
            <v>8512</v>
          </cell>
          <cell r="D559" t="str">
            <v>511</v>
          </cell>
          <cell r="E559" t="str">
            <v>Discount and Interest Paid</v>
          </cell>
          <cell r="F559">
            <v>41535470.399999999</v>
          </cell>
          <cell r="G559">
            <v>0</v>
          </cell>
          <cell r="H559">
            <v>41535470.399999999</v>
          </cell>
          <cell r="I559">
            <v>0</v>
          </cell>
          <cell r="J559">
            <v>41535470.399999999</v>
          </cell>
          <cell r="K559">
            <v>0</v>
          </cell>
        </row>
        <row r="560">
          <cell r="A560" t="str">
            <v>_/_8512_/_51102</v>
          </cell>
          <cell r="B560"/>
          <cell r="C560" t="str">
            <v>8512</v>
          </cell>
          <cell r="D560" t="str">
            <v>51102</v>
          </cell>
          <cell r="E560" t="str">
            <v>Interest of Loan to Sankyu Inc.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13140121.52</v>
          </cell>
        </row>
        <row r="561">
          <cell r="A561" t="str">
            <v>_/_8512_/_51114</v>
          </cell>
          <cell r="B561"/>
          <cell r="C561" t="str">
            <v>8512</v>
          </cell>
          <cell r="D561" t="str">
            <v>51114</v>
          </cell>
          <cell r="E561" t="str">
            <v>JGC Corporation (Tuban PJ.Facility)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29423845.5</v>
          </cell>
        </row>
        <row r="562">
          <cell r="A562" t="str">
            <v>_/_8512_/_513</v>
          </cell>
          <cell r="B562"/>
          <cell r="C562" t="str">
            <v>8512</v>
          </cell>
          <cell r="D562" t="str">
            <v>513</v>
          </cell>
          <cell r="E562" t="str">
            <v>Miscellaneous Losses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</row>
        <row r="563">
          <cell r="A563" t="str">
            <v>_/_8512_/_51302</v>
          </cell>
          <cell r="B563"/>
          <cell r="C563" t="str">
            <v>8512</v>
          </cell>
          <cell r="D563" t="str">
            <v>51302</v>
          </cell>
          <cell r="E563" t="str">
            <v>M. Loss for Securities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1258119436.05</v>
          </cell>
        </row>
        <row r="564">
          <cell r="A564" t="str">
            <v>_/_8512_/_51303</v>
          </cell>
          <cell r="B564"/>
          <cell r="C564" t="str">
            <v>8512</v>
          </cell>
          <cell r="D564" t="str">
            <v>51303</v>
          </cell>
          <cell r="E564" t="str">
            <v>M. Loss for Settlement Advance</v>
          </cell>
          <cell r="F564">
            <v>13047988.640000001</v>
          </cell>
          <cell r="G564">
            <v>0</v>
          </cell>
          <cell r="H564">
            <v>13047988.640000001</v>
          </cell>
          <cell r="I564">
            <v>0</v>
          </cell>
          <cell r="J564">
            <v>13047988.640000001</v>
          </cell>
          <cell r="K564">
            <v>0</v>
          </cell>
        </row>
        <row r="565">
          <cell r="A565" t="str">
            <v>_/_8512_/_51304</v>
          </cell>
          <cell r="B565"/>
          <cell r="C565" t="str">
            <v>8512</v>
          </cell>
          <cell r="D565" t="str">
            <v>51304</v>
          </cell>
          <cell r="E565" t="str">
            <v>M. Loss for Salary Shortage</v>
          </cell>
          <cell r="F565">
            <v>2746278.12</v>
          </cell>
          <cell r="G565">
            <v>0</v>
          </cell>
          <cell r="H565">
            <v>2746278.12</v>
          </cell>
          <cell r="I565">
            <v>0</v>
          </cell>
          <cell r="J565">
            <v>2746278.12</v>
          </cell>
          <cell r="K565">
            <v>1029189</v>
          </cell>
        </row>
        <row r="566">
          <cell r="A566" t="str">
            <v>_/_8512_/_51305</v>
          </cell>
          <cell r="B566"/>
          <cell r="C566" t="str">
            <v>8512</v>
          </cell>
          <cell r="D566" t="str">
            <v>51305</v>
          </cell>
          <cell r="E566" t="str">
            <v>M. Loss for Finalty</v>
          </cell>
          <cell r="F566">
            <v>109664037</v>
          </cell>
          <cell r="G566">
            <v>0</v>
          </cell>
          <cell r="H566">
            <v>109664037</v>
          </cell>
          <cell r="I566">
            <v>0</v>
          </cell>
          <cell r="J566">
            <v>109664037</v>
          </cell>
          <cell r="K566">
            <v>0</v>
          </cell>
        </row>
        <row r="567">
          <cell r="A567" t="str">
            <v>_/_8512_/_51311</v>
          </cell>
          <cell r="B567"/>
          <cell r="C567" t="str">
            <v>8512</v>
          </cell>
          <cell r="D567" t="str">
            <v>51311</v>
          </cell>
          <cell r="E567" t="str">
            <v>Finalty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100000</v>
          </cell>
        </row>
        <row r="568">
          <cell r="A568" t="str">
            <v>_/_8512_/_deloitte-1</v>
          </cell>
          <cell r="B568"/>
          <cell r="C568" t="str">
            <v>8512</v>
          </cell>
          <cell r="D568" t="str">
            <v>deloitte-1</v>
          </cell>
          <cell r="E568" t="str">
            <v>rounding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0.88</v>
          </cell>
        </row>
        <row r="569">
          <cell r="A569" t="str">
            <v>_/_8512_/_</v>
          </cell>
          <cell r="C569" t="str">
            <v>8512</v>
          </cell>
          <cell r="E569" t="str">
            <v>TB Total - Other Expense</v>
          </cell>
          <cell r="F569">
            <v>166993774.16</v>
          </cell>
          <cell r="G569">
            <v>0</v>
          </cell>
          <cell r="H569">
            <v>166993774.16</v>
          </cell>
          <cell r="I569">
            <v>0</v>
          </cell>
          <cell r="J569">
            <v>166993774.16</v>
          </cell>
          <cell r="K569">
            <v>1301812592.95</v>
          </cell>
        </row>
        <row r="570">
          <cell r="A570"/>
          <cell r="C570" t="str">
            <v>8513</v>
          </cell>
        </row>
        <row r="571">
          <cell r="A571" t="str">
            <v>_/_8513_/_51301</v>
          </cell>
          <cell r="B571"/>
          <cell r="C571" t="str">
            <v>8513</v>
          </cell>
          <cell r="D571" t="str">
            <v>51301</v>
          </cell>
          <cell r="E571" t="str">
            <v>M. Loss for Foreign Exchange</v>
          </cell>
          <cell r="F571">
            <v>5847444864.21</v>
          </cell>
          <cell r="G571">
            <v>0</v>
          </cell>
          <cell r="H571">
            <v>5847444864.21</v>
          </cell>
          <cell r="I571">
            <v>0</v>
          </cell>
          <cell r="J571">
            <v>5847444864.21</v>
          </cell>
          <cell r="K571">
            <v>12963681660.780001</v>
          </cell>
        </row>
        <row r="572">
          <cell r="A572" t="str">
            <v>_/_8513_/_</v>
          </cell>
          <cell r="C572" t="str">
            <v>8513</v>
          </cell>
          <cell r="E572" t="str">
            <v>TB Total - Loss on Foreign Exchange</v>
          </cell>
          <cell r="F572">
            <v>5847444864.21</v>
          </cell>
          <cell r="G572">
            <v>0</v>
          </cell>
          <cell r="H572">
            <v>5847444864.21</v>
          </cell>
          <cell r="I572">
            <v>0</v>
          </cell>
          <cell r="J572">
            <v>5847444864.21</v>
          </cell>
          <cell r="K572">
            <v>12963681660.780001</v>
          </cell>
        </row>
        <row r="573">
          <cell r="A573"/>
          <cell r="C573" t="str">
            <v>8514</v>
          </cell>
        </row>
        <row r="574">
          <cell r="A574" t="str">
            <v>_/_8514_/_521</v>
          </cell>
          <cell r="B574"/>
          <cell r="C574" t="str">
            <v>8514</v>
          </cell>
          <cell r="D574" t="str">
            <v>521</v>
          </cell>
          <cell r="E574" t="str">
            <v>Loss from Sold Fixed Assets</v>
          </cell>
          <cell r="F574">
            <v>476988531</v>
          </cell>
          <cell r="G574">
            <v>0</v>
          </cell>
          <cell r="H574">
            <v>476988531</v>
          </cell>
          <cell r="I574">
            <v>0</v>
          </cell>
          <cell r="J574">
            <v>476988531</v>
          </cell>
          <cell r="K574">
            <v>164821000</v>
          </cell>
        </row>
        <row r="575">
          <cell r="A575" t="str">
            <v>_/_8514_/_</v>
          </cell>
          <cell r="C575" t="str">
            <v>8514</v>
          </cell>
          <cell r="E575" t="str">
            <v>TB Total - Loss on Sale of Fixed Assets</v>
          </cell>
          <cell r="F575">
            <v>476988531</v>
          </cell>
          <cell r="G575">
            <v>0</v>
          </cell>
          <cell r="H575">
            <v>476988531</v>
          </cell>
          <cell r="I575">
            <v>0</v>
          </cell>
          <cell r="J575">
            <v>476988531</v>
          </cell>
          <cell r="K575">
            <v>164821000</v>
          </cell>
        </row>
        <row r="576">
          <cell r="A576"/>
          <cell r="C576" t="str">
            <v>8515</v>
          </cell>
        </row>
        <row r="577">
          <cell r="A577" t="str">
            <v>_/_8515_/_</v>
          </cell>
          <cell r="C577" t="str">
            <v>8515</v>
          </cell>
          <cell r="E577" t="str">
            <v>TB Total - Inter Office Account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</row>
        <row r="578">
          <cell r="A578"/>
          <cell r="C578" t="str">
            <v>8516</v>
          </cell>
        </row>
        <row r="579">
          <cell r="A579" t="str">
            <v>_/_8516_/_522HTM</v>
          </cell>
          <cell r="B579"/>
          <cell r="C579" t="str">
            <v>8516</v>
          </cell>
          <cell r="D579" t="str">
            <v>522HTM</v>
          </cell>
          <cell r="E579" t="str">
            <v>Loss on disposal Fixed Asset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</row>
        <row r="580">
          <cell r="A580" t="str">
            <v>_/_8516_/_</v>
          </cell>
          <cell r="C580" t="str">
            <v>8516</v>
          </cell>
          <cell r="E580" t="str">
            <v>TB Total - Loss on disposal Fixed Asset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</row>
        <row r="581">
          <cell r="A581"/>
          <cell r="C581" t="str">
            <v>8611</v>
          </cell>
        </row>
        <row r="582">
          <cell r="A582" t="str">
            <v>_/_8611_/_520</v>
          </cell>
          <cell r="B582"/>
          <cell r="C582" t="str">
            <v>8611</v>
          </cell>
          <cell r="D582" t="str">
            <v>520</v>
          </cell>
          <cell r="E582" t="str">
            <v>Income  Tax Expenses - Current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9132509600</v>
          </cell>
        </row>
        <row r="583">
          <cell r="A583" t="str">
            <v>_/_8611_/_</v>
          </cell>
          <cell r="C583" t="str">
            <v>8611</v>
          </cell>
          <cell r="E583" t="str">
            <v>TB Total - Taxes on Income - Current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9132509600</v>
          </cell>
        </row>
        <row r="584">
          <cell r="A584"/>
          <cell r="C584" t="str">
            <v>8612</v>
          </cell>
        </row>
        <row r="585">
          <cell r="A585" t="str">
            <v>_/_8612_/_520.HTM</v>
          </cell>
          <cell r="B585"/>
          <cell r="C585" t="str">
            <v>8612</v>
          </cell>
          <cell r="D585" t="str">
            <v>520.HTM</v>
          </cell>
          <cell r="E585" t="str">
            <v>Income Tax Expense - Deferred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318820963</v>
          </cell>
        </row>
        <row r="586">
          <cell r="A586" t="str">
            <v>_/_8612_/_</v>
          </cell>
          <cell r="C586" t="str">
            <v>8612</v>
          </cell>
          <cell r="E586" t="str">
            <v>TB Total - Deferred Income Taxes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318820963</v>
          </cell>
        </row>
        <row r="587">
          <cell r="A587"/>
          <cell r="C587" t="str">
            <v>8613</v>
          </cell>
        </row>
        <row r="588">
          <cell r="A588" t="str">
            <v>_/_8613_/_</v>
          </cell>
          <cell r="C588" t="str">
            <v>8613</v>
          </cell>
          <cell r="E588" t="str">
            <v>TB Total - Income Tax Final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</row>
        <row r="589">
          <cell r="A589" t="str">
            <v>_/_GrandTotal_/_</v>
          </cell>
          <cell r="C589" t="str">
            <v>Grand Total</v>
          </cell>
          <cell r="F589">
            <v>-9.059906005859375E-5</v>
          </cell>
          <cell r="G589">
            <v>0</v>
          </cell>
          <cell r="H589">
            <v>-9.059906005859375E-5</v>
          </cell>
          <cell r="I589">
            <v>0</v>
          </cell>
          <cell r="J589">
            <v>-9.059906005859375E-5</v>
          </cell>
          <cell r="K589">
            <v>-4.00543212890625E-5</v>
          </cell>
        </row>
      </sheetData>
      <sheetData sheetId="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manent info"/>
      <sheetName val="B"/>
      <sheetName val="A"/>
    </sheetNames>
    <sheetDataSet>
      <sheetData sheetId="0"/>
      <sheetData sheetId="1"/>
      <sheetData sheetId="2" refreshError="1">
        <row r="17">
          <cell r="A17" t="str">
            <v>A.</v>
          </cell>
          <cell r="B17" t="str">
            <v>TAXPAYER'S ID NO.</v>
          </cell>
          <cell r="E17" t="str">
            <v xml:space="preserve"> :</v>
          </cell>
          <cell r="F17" t="str">
            <v>1.001.695.4-054</v>
          </cell>
          <cell r="AA17" t="str">
            <v xml:space="preserve"> 1.  TGL SPT DISAMPAIKAN  .......</v>
          </cell>
        </row>
        <row r="19">
          <cell r="A19" t="str">
            <v>B.</v>
          </cell>
          <cell r="B19" t="str">
            <v>NAME OF TAXPAYER</v>
          </cell>
          <cell r="E19" t="str">
            <v xml:space="preserve"> :</v>
          </cell>
          <cell r="F19" t="str">
            <v>PT SQUIBB INDONESIA</v>
          </cell>
          <cell r="AA19" t="str">
            <v xml:space="preserve"> 2.  STATUS SPT</v>
          </cell>
        </row>
        <row r="21">
          <cell r="A21" t="str">
            <v>C.</v>
          </cell>
          <cell r="B21" t="str">
            <v>ADDRESS</v>
          </cell>
          <cell r="E21" t="str">
            <v xml:space="preserve"> :</v>
          </cell>
          <cell r="F21" t="str">
            <v>Jl. Jendral Sudirman Kav. 24 Tamara Centre 10 th</v>
          </cell>
          <cell r="AA21" t="str">
            <v xml:space="preserve"> 3.  KLASIFIKASI BADAN</v>
          </cell>
        </row>
        <row r="23">
          <cell r="A23" t="str">
            <v>D.</v>
          </cell>
          <cell r="B23" t="str">
            <v>REGENCY</v>
          </cell>
          <cell r="E23" t="str">
            <v>:</v>
          </cell>
          <cell r="F23" t="str">
            <v>Karet/Setiabudi</v>
          </cell>
          <cell r="AA23" t="str">
            <v xml:space="preserve"> 4.  ALAT PEMB</v>
          </cell>
        </row>
        <row r="26">
          <cell r="A26" t="str">
            <v>E.</v>
          </cell>
          <cell r="B26" t="str">
            <v>CITY/POST CODE</v>
          </cell>
          <cell r="E26" t="str">
            <v>:</v>
          </cell>
          <cell r="F26" t="str">
            <v>Jakarta Selatan</v>
          </cell>
          <cell r="Q26">
            <v>1</v>
          </cell>
          <cell r="R26">
            <v>2</v>
          </cell>
          <cell r="S26">
            <v>9</v>
          </cell>
          <cell r="T26">
            <v>2</v>
          </cell>
          <cell r="U26">
            <v>0</v>
          </cell>
          <cell r="AA26" t="str">
            <v xml:space="preserve"> 5.  N/K/L (M.10)</v>
          </cell>
        </row>
        <row r="28">
          <cell r="A28" t="str">
            <v>F.</v>
          </cell>
          <cell r="B28" t="str">
            <v>TYPE OF BUSINESS</v>
          </cell>
          <cell r="E28" t="str">
            <v xml:space="preserve"> :</v>
          </cell>
          <cell r="AA28" t="str">
            <v xml:space="preserve"> 6.  N/K/L (N.12)</v>
          </cell>
        </row>
        <row r="30">
          <cell r="B30" t="str">
            <v>CODE OF BUSINESS</v>
          </cell>
          <cell r="E30" t="str">
            <v xml:space="preserve"> :</v>
          </cell>
          <cell r="AA30" t="str">
            <v xml:space="preserve"> 7.  PERMOHONAN </v>
          </cell>
        </row>
        <row r="31">
          <cell r="AA31" t="str">
            <v xml:space="preserve">      ATAS LB</v>
          </cell>
        </row>
        <row r="32">
          <cell r="A32" t="str">
            <v>G.</v>
          </cell>
          <cell r="B32" t="str">
            <v>NAME OF MANAGER</v>
          </cell>
          <cell r="E32" t="str">
            <v xml:space="preserve"> :</v>
          </cell>
          <cell r="F32" t="str">
            <v>Dr. Syed Mukhtar Haider</v>
          </cell>
          <cell r="AA32" t="str">
            <v xml:space="preserve"> 8.  LAMPIRAN</v>
          </cell>
        </row>
        <row r="33">
          <cell r="B33" t="str">
            <v>ADDRESS</v>
          </cell>
          <cell r="E33" t="str">
            <v xml:space="preserve"> :</v>
          </cell>
          <cell r="F33" t="str">
            <v>Jl. Pejaten Barat I/5B Jakarta</v>
          </cell>
        </row>
        <row r="34">
          <cell r="B34" t="str">
            <v>TELEPHONE</v>
          </cell>
          <cell r="E34" t="str">
            <v xml:space="preserve"> :</v>
          </cell>
          <cell r="G34" t="str">
            <v xml:space="preserve">RESIDENCE  </v>
          </cell>
          <cell r="P34" t="str">
            <v xml:space="preserve">OFFICE </v>
          </cell>
          <cell r="S34" t="str">
            <v>5206727</v>
          </cell>
        </row>
        <row r="37">
          <cell r="A37" t="str">
            <v>H.</v>
          </cell>
          <cell r="B37" t="str">
            <v xml:space="preserve">CORPORATE </v>
          </cell>
          <cell r="E37" t="str">
            <v xml:space="preserve"> :</v>
          </cell>
          <cell r="I37" t="str">
            <v>X</v>
          </cell>
          <cell r="J37" t="str">
            <v>PRIVATE LTD</v>
          </cell>
          <cell r="Q37" t="str">
            <v>FOUNDATION</v>
          </cell>
          <cell r="W37" t="str">
            <v>COOPERATIVE</v>
          </cell>
        </row>
        <row r="38">
          <cell r="B38" t="str">
            <v>CLASIFICATION</v>
          </cell>
          <cell r="J38" t="str">
            <v>VENTURE CAPITAL</v>
          </cell>
          <cell r="Q38" t="str">
            <v>BANK</v>
          </cell>
          <cell r="W38" t="str">
            <v>REKSA DANA</v>
          </cell>
        </row>
        <row r="39">
          <cell r="W39" t="str">
            <v>(INVESTMENT FUND)</v>
          </cell>
        </row>
        <row r="41">
          <cell r="A41" t="str">
            <v>I.</v>
          </cell>
          <cell r="B41" t="str">
            <v>BOOKKEEPING</v>
          </cell>
          <cell r="E41" t="str">
            <v xml:space="preserve"> :</v>
          </cell>
          <cell r="G41" t="str">
            <v>CASH</v>
          </cell>
          <cell r="O41" t="str">
            <v>MANUAL</v>
          </cell>
          <cell r="T41" t="str">
            <v xml:space="preserve">INVENTORY VALUATION </v>
          </cell>
        </row>
        <row r="42">
          <cell r="F42" t="str">
            <v>X</v>
          </cell>
          <cell r="G42" t="str">
            <v>ACCRUAL</v>
          </cell>
          <cell r="N42" t="str">
            <v>X</v>
          </cell>
          <cell r="O42" t="str">
            <v>COMPUTERIZED</v>
          </cell>
          <cell r="T42" t="str">
            <v>METHOD</v>
          </cell>
        </row>
        <row r="43">
          <cell r="E43" t="str">
            <v xml:space="preserve"> :</v>
          </cell>
        </row>
        <row r="44">
          <cell r="G44" t="str">
            <v>INDONESIAN LANGUAGE</v>
          </cell>
          <cell r="N44" t="str">
            <v>X</v>
          </cell>
          <cell r="O44" t="str">
            <v>RUPIAH</v>
          </cell>
          <cell r="T44" t="str">
            <v>DEPRECIATION METHOD</v>
          </cell>
        </row>
        <row r="45">
          <cell r="G45" t="str">
            <v>ENGLISH LANGUANGE</v>
          </cell>
          <cell r="O45" t="str">
            <v>US DOLLAR</v>
          </cell>
        </row>
        <row r="47">
          <cell r="AA47" t="str">
            <v>IN RUPIAH</v>
          </cell>
        </row>
        <row r="49">
          <cell r="A49" t="str">
            <v>J.</v>
          </cell>
          <cell r="B49" t="str">
            <v>NET INCOME</v>
          </cell>
          <cell r="D49" t="str">
            <v>1.</v>
          </cell>
          <cell r="G49" t="str">
            <v xml:space="preserve">DOMESTIC NET INCOME (FORM 1771-I SECTION D NUMBER 5) </v>
          </cell>
          <cell r="Z49" t="str">
            <v>1.</v>
          </cell>
          <cell r="AA49">
            <v>-28309487385</v>
          </cell>
        </row>
        <row r="51">
          <cell r="D51" t="str">
            <v>2.</v>
          </cell>
          <cell r="G51" t="str">
            <v xml:space="preserve">FOREIGN NET INCOME (FORM 1771-III COLUMN 5) </v>
          </cell>
          <cell r="Z51" t="str">
            <v>2.</v>
          </cell>
          <cell r="AA51" t="str">
            <v>-</v>
          </cell>
        </row>
        <row r="53">
          <cell r="D53" t="str">
            <v>3.</v>
          </cell>
          <cell r="G53" t="str">
            <v xml:space="preserve">TOTAL NET INCOME (1+2) </v>
          </cell>
          <cell r="Z53" t="str">
            <v>3.</v>
          </cell>
          <cell r="AA53">
            <v>-28309487385</v>
          </cell>
        </row>
        <row r="56">
          <cell r="A56" t="str">
            <v>K.</v>
          </cell>
          <cell r="B56" t="str">
            <v>TAXABLE INCOME</v>
          </cell>
          <cell r="D56" t="str">
            <v>4.</v>
          </cell>
          <cell r="G56" t="str">
            <v xml:space="preserve">COMPENSATION OF FISCAL LOSS </v>
          </cell>
          <cell r="Z56" t="str">
            <v>4.</v>
          </cell>
          <cell r="AA56" t="str">
            <v>-</v>
          </cell>
        </row>
        <row r="58">
          <cell r="D58" t="str">
            <v>5.</v>
          </cell>
          <cell r="G58" t="str">
            <v xml:space="preserve">TAXABLE INCOME (3-4) </v>
          </cell>
          <cell r="Z58" t="str">
            <v>5.</v>
          </cell>
          <cell r="AA58">
            <v>-28309487385</v>
          </cell>
        </row>
        <row r="60">
          <cell r="A60" t="str">
            <v>L.</v>
          </cell>
          <cell r="B60" t="str">
            <v>INCOME TAX DUE</v>
          </cell>
          <cell r="D60" t="str">
            <v>6.</v>
          </cell>
          <cell r="G60" t="str">
            <v xml:space="preserve">INCOME TAX DUE (ARTICLE 17 RATES X NUMBER 5) </v>
          </cell>
          <cell r="Z60" t="str">
            <v>6.</v>
          </cell>
          <cell r="AA60" t="str">
            <v>-</v>
          </cell>
        </row>
        <row r="62">
          <cell r="D62" t="str">
            <v>7.</v>
          </cell>
          <cell r="G62" t="str">
            <v xml:space="preserve">REFUND/DEDUCTION OF CREDITABLE INCOME TAX (ARTICLE 24) </v>
          </cell>
          <cell r="Z62" t="str">
            <v>7.</v>
          </cell>
          <cell r="AA62" t="str">
            <v>-</v>
          </cell>
        </row>
        <row r="64">
          <cell r="D64" t="str">
            <v>8.</v>
          </cell>
          <cell r="G64" t="str">
            <v xml:space="preserve">TOTAL INCOME TAX DUE (6+7) </v>
          </cell>
          <cell r="Z64" t="str">
            <v>8.</v>
          </cell>
          <cell r="AA64" t="str">
            <v>-</v>
          </cell>
        </row>
        <row r="66">
          <cell r="A66" t="str">
            <v>M.</v>
          </cell>
          <cell r="B66" t="str">
            <v>INCOME TAX</v>
          </cell>
          <cell r="D66" t="str">
            <v>9.</v>
          </cell>
          <cell r="G66" t="str">
            <v xml:space="preserve">INCOME TAX (PPh) WITHHELD BY OTHER PARTIES </v>
          </cell>
          <cell r="Z66" t="str">
            <v>9.</v>
          </cell>
          <cell r="AA66">
            <v>1428546902</v>
          </cell>
        </row>
        <row r="67">
          <cell r="B67" t="str">
            <v>CREDITS</v>
          </cell>
          <cell r="G67" t="str">
            <v>(FROM 1771-II AND 1771-III)</v>
          </cell>
        </row>
        <row r="69">
          <cell r="D69" t="str">
            <v>10.</v>
          </cell>
          <cell r="E69" t="str">
            <v>a.</v>
          </cell>
          <cell r="I69" t="str">
            <v>PPh TO BE PAID BY THE COMPANY ITSELF</v>
          </cell>
          <cell r="U69" t="str">
            <v xml:space="preserve">     (8-9)</v>
          </cell>
          <cell r="Z69" t="str">
            <v>10.</v>
          </cell>
        </row>
        <row r="72">
          <cell r="E72" t="str">
            <v>b.</v>
          </cell>
          <cell r="I72" t="str">
            <v>PPh OVERWITHHELD/OVERPAID</v>
          </cell>
        </row>
        <row r="74">
          <cell r="D74" t="str">
            <v>11.</v>
          </cell>
          <cell r="G74" t="str">
            <v>PPh PAID BY THE COMPANY ITSELF</v>
          </cell>
        </row>
        <row r="75">
          <cell r="G75" t="str">
            <v>a.  Income Tax (PPh) Article 25</v>
          </cell>
          <cell r="T75" t="str">
            <v>a</v>
          </cell>
          <cell r="U75">
            <v>821210853</v>
          </cell>
        </row>
        <row r="77">
          <cell r="G77" t="str">
            <v>b.  STP (Tax Collection Notice) PPh Article 25</v>
          </cell>
        </row>
        <row r="78">
          <cell r="G78" t="str">
            <v xml:space="preserve">               (only the tax principal)</v>
          </cell>
          <cell r="T78" t="str">
            <v xml:space="preserve">b </v>
          </cell>
          <cell r="X78" t="str">
            <v>-</v>
          </cell>
        </row>
        <row r="79">
          <cell r="G79" t="str">
            <v>c.  Exit Fiscal Tax</v>
          </cell>
          <cell r="T79" t="str">
            <v>c</v>
          </cell>
          <cell r="U79">
            <v>116000000</v>
          </cell>
        </row>
        <row r="81">
          <cell r="G81" t="str">
            <v>d.  PPh on transfer of the rights for land  and/or</v>
          </cell>
        </row>
        <row r="82">
          <cell r="G82" t="str">
            <v xml:space="preserve">      building </v>
          </cell>
          <cell r="T82" t="str">
            <v>d</v>
          </cell>
          <cell r="X82" t="str">
            <v>-</v>
          </cell>
        </row>
        <row r="83">
          <cell r="G83" t="str">
            <v xml:space="preserve">TOTAL (a+b+c+d) </v>
          </cell>
          <cell r="Z83" t="str">
            <v>11.</v>
          </cell>
          <cell r="AA83">
            <v>937210853</v>
          </cell>
        </row>
        <row r="86">
          <cell r="A86" t="str">
            <v>^N.</v>
          </cell>
          <cell r="B86" t="str">
            <v>PPh UNDER/OVERPAID</v>
          </cell>
          <cell r="D86" t="str">
            <v>12.</v>
          </cell>
          <cell r="E86" t="str">
            <v>a.</v>
          </cell>
          <cell r="I86" t="str">
            <v>INCOME TAX UNDERPAID (ARTICLE 29 PPh)</v>
          </cell>
          <cell r="U86" t="str">
            <v xml:space="preserve">     (10-11)</v>
          </cell>
          <cell r="Z86" t="str">
            <v>12.</v>
          </cell>
          <cell r="AA86" t="str">
            <v>NIHIL</v>
          </cell>
        </row>
        <row r="89">
          <cell r="E89" t="str">
            <v>b.</v>
          </cell>
          <cell r="I89" t="str">
            <v>INCOME TAX OVERPAID (ARTICLE 28A PPh)</v>
          </cell>
          <cell r="AA89">
            <v>2365757755</v>
          </cell>
        </row>
        <row r="91">
          <cell r="G91" t="str">
            <v>l</v>
          </cell>
          <cell r="H91" t="str">
            <v xml:space="preserve">AMOUNT OF NUMBER 12a ALREADY PAID ON:   </v>
          </cell>
        </row>
        <row r="94">
          <cell r="A94" t="str">
            <v>^O.</v>
          </cell>
          <cell r="B94" t="str">
            <v>APPLICATION</v>
          </cell>
          <cell r="D94" t="str">
            <v>13.</v>
          </cell>
          <cell r="G94" t="str">
            <v>WITH REGARD TO THE OVERPAID INCOME TAX IN NUMBER 12b ...........</v>
          </cell>
          <cell r="Y94" t="str">
            <v>Ø</v>
          </cell>
          <cell r="Z94" t="str">
            <v>13.</v>
          </cell>
        </row>
        <row r="96">
          <cell r="G96" t="str">
            <v>WE APPLY FOR:</v>
          </cell>
          <cell r="M96" t="str">
            <v xml:space="preserve"> A REFUND</v>
          </cell>
        </row>
        <row r="98">
          <cell r="M98" t="str">
            <v xml:space="preserve"> COMPENSATION AGAINST </v>
          </cell>
        </row>
        <row r="99">
          <cell r="M99" t="str">
            <v xml:space="preserve"> FUTURE TAX LIABILITIES</v>
          </cell>
        </row>
        <row r="102">
          <cell r="A102" t="str">
            <v>P.</v>
          </cell>
          <cell r="B102" t="str">
            <v>INSTALLMENT OF</v>
          </cell>
          <cell r="D102" t="str">
            <v>14.</v>
          </cell>
          <cell r="G102" t="str">
            <v>INSTALLMENT OF PPh ART. 25 FOR THE FOLLOWING YEAR  AMOUNTING TO</v>
          </cell>
          <cell r="Z102" t="str">
            <v>Rp.</v>
          </cell>
          <cell r="AA102">
            <v>0</v>
          </cell>
        </row>
        <row r="105">
          <cell r="B105" t="str">
            <v>INCOME TAX (PPh )</v>
          </cell>
          <cell r="G105" t="str">
            <v>IS BASED ON THE FOLLOWING CALCULATION:</v>
          </cell>
        </row>
        <row r="106">
          <cell r="B106" t="str">
            <v xml:space="preserve">ART. 25 FOR THE </v>
          </cell>
        </row>
        <row r="107">
          <cell r="B107" t="str">
            <v>FOLLOWING YEAR</v>
          </cell>
          <cell r="G107" t="str">
            <v>a.</v>
          </cell>
          <cell r="I107" t="str">
            <v xml:space="preserve">   1/12 X (TOTAL NUMBER 10a - NUMBER 7)</v>
          </cell>
        </row>
        <row r="109">
          <cell r="G109" t="str">
            <v>b.</v>
          </cell>
          <cell r="I109" t="str">
            <v xml:space="preserve">   CALCULATION ON A SEPARATE ENCLOSURE </v>
          </cell>
        </row>
        <row r="111">
          <cell r="G111" t="str">
            <v>NOTE :</v>
          </cell>
        </row>
        <row r="112">
          <cell r="H112" t="str">
            <v xml:space="preserve">  NOT TO BE FILLED BY TAX PAYERS : BANK, LEASING WITH OPTION RIGHT,</v>
          </cell>
        </row>
        <row r="113">
          <cell r="H113" t="str">
            <v xml:space="preserve">  GOVERNMENT OWNED COMPANIES (BUMN/BUMD)</v>
          </cell>
        </row>
        <row r="115">
          <cell r="A115" t="str">
            <v>Q.</v>
          </cell>
          <cell r="B115" t="str">
            <v>ENCLOSURES</v>
          </cell>
          <cell r="D115" t="str">
            <v>15.</v>
          </cell>
          <cell r="G115" t="str">
            <v>BESIDES THE ENCLOSURES OF 1771-I, 1771-II, 1771-III, 1771-IV, AND 1771-V</v>
          </cell>
        </row>
        <row r="116">
          <cell r="G116" t="str">
            <v>ATTACHED AS WELL ARE:</v>
          </cell>
        </row>
        <row r="118">
          <cell r="G118" t="str">
            <v>a.</v>
          </cell>
          <cell r="H118" t="str">
            <v>X</v>
          </cell>
          <cell r="I118" t="str">
            <v xml:space="preserve">  BALANCE SHEETS AND INCOME STATEMENT FOR THE RELATED FISCAL YEAR (ATTACHMENT 1 &amp; 2)</v>
          </cell>
        </row>
        <row r="120">
          <cell r="G120" t="str">
            <v>b.</v>
          </cell>
          <cell r="I120" t="str">
            <v xml:space="preserve">  CALCULATION OF THE INCOME TAX ART.25 PAYMENT ON THE NEXT FISCAL YEAR </v>
          </cell>
        </row>
        <row r="122">
          <cell r="G122" t="str">
            <v>c.</v>
          </cell>
          <cell r="H122" t="str">
            <v>x</v>
          </cell>
          <cell r="I122" t="str">
            <v xml:space="preserve">  INCOME TAX PAYMENT SLIP ART.29 YEAR 1998 </v>
          </cell>
        </row>
        <row r="124">
          <cell r="G124" t="str">
            <v>d.</v>
          </cell>
          <cell r="I124" t="str">
            <v xml:space="preserve">  PROXY LETTER (IF AUTHORIZED TO OTHER PARTY)</v>
          </cell>
        </row>
        <row r="126">
          <cell r="G126" t="str">
            <v>e.</v>
          </cell>
          <cell r="H126" t="str">
            <v>x</v>
          </cell>
          <cell r="I126" t="str">
            <v xml:space="preserve">  PROPERTY LIST AND CALCULATION OF DEPRECIATION/AMORTIZATION</v>
          </cell>
        </row>
        <row r="128">
          <cell r="G128" t="str">
            <v>f.</v>
          </cell>
        </row>
        <row r="129">
          <cell r="G129" t="str">
            <v xml:space="preserve"> </v>
          </cell>
        </row>
        <row r="131">
          <cell r="A131" t="str">
            <v>R.</v>
          </cell>
          <cell r="B131" t="str">
            <v>STATEMENT</v>
          </cell>
          <cell r="D131" t="str">
            <v>16.</v>
          </cell>
          <cell r="G131" t="str">
            <v>BEING FULLY AWARE OF ALL THE CONSEQUENCES, INCLUDING SANCTIONS ACCORDING TO</v>
          </cell>
        </row>
        <row r="132">
          <cell r="G132" t="str">
            <v>THE PREVAILING REGULATIONS, I HEREBY STATE THAT</v>
          </cell>
          <cell r="U132" t="str">
            <v xml:space="preserve">WHAT I HAVE STATED ABOVE </v>
          </cell>
        </row>
        <row r="133">
          <cell r="G133" t="str">
            <v>AND ITS ENCLOSURES ARE CORRECT, COMPLETE AND CLEAR.</v>
          </cell>
        </row>
        <row r="137">
          <cell r="Y137" t="str">
            <v>JAKARTA, DATE 31 March 1999</v>
          </cell>
        </row>
        <row r="142">
          <cell r="H142" t="str">
            <v>X</v>
          </cell>
          <cell r="I142" t="str">
            <v xml:space="preserve">  MANAGEMENT</v>
          </cell>
          <cell r="T142" t="str">
            <v xml:space="preserve">  SIGNATURE</v>
          </cell>
        </row>
        <row r="143">
          <cell r="G143" t="str">
            <v>l</v>
          </cell>
          <cell r="R143" t="str">
            <v>l</v>
          </cell>
          <cell r="Z143" t="str">
            <v>Dr. Syed Mukhtar Haider</v>
          </cell>
        </row>
        <row r="145">
          <cell r="I145" t="str">
            <v xml:space="preserve">  PROXY</v>
          </cell>
          <cell r="T145" t="str">
            <v xml:space="preserve">  CLEAR NAME</v>
          </cell>
        </row>
        <row r="148">
          <cell r="I148" t="str">
            <v>l</v>
          </cell>
          <cell r="K148" t="str">
            <v>REVISION OF IDENTITY</v>
          </cell>
        </row>
        <row r="150">
          <cell r="A150" t="str">
            <v>A.</v>
          </cell>
          <cell r="B150" t="str">
            <v>TAXPAYER'S ID NO.</v>
          </cell>
          <cell r="F150" t="str">
            <v>:</v>
          </cell>
        </row>
        <row r="153">
          <cell r="A153" t="str">
            <v>B.</v>
          </cell>
          <cell r="B153" t="str">
            <v>NAME OF THE TAXPAYER</v>
          </cell>
          <cell r="F153" t="str">
            <v>:</v>
          </cell>
        </row>
        <row r="155">
          <cell r="A155" t="str">
            <v>C.</v>
          </cell>
          <cell r="B155" t="str">
            <v>ADDRESS</v>
          </cell>
          <cell r="F155" t="str">
            <v>:</v>
          </cell>
        </row>
        <row r="158">
          <cell r="A158" t="str">
            <v>D.</v>
          </cell>
          <cell r="B158" t="str">
            <v>DISTRICT/REGENCY</v>
          </cell>
          <cell r="F158" t="str">
            <v>:</v>
          </cell>
        </row>
        <row r="161">
          <cell r="A161" t="str">
            <v>E.</v>
          </cell>
          <cell r="B161" t="str">
            <v>CITY/POST CODE</v>
          </cell>
          <cell r="F161" t="str">
            <v>:</v>
          </cell>
        </row>
        <row r="164">
          <cell r="A164" t="str">
            <v>l</v>
          </cell>
          <cell r="B164" t="str">
            <v>SIGNATURE OF MANAGEMENT/</v>
          </cell>
        </row>
        <row r="165">
          <cell r="B165" t="str">
            <v>PROXY</v>
          </cell>
        </row>
        <row r="167">
          <cell r="A167" t="str">
            <v>KP.PPh.2.2-96</v>
          </cell>
        </row>
        <row r="168">
          <cell r="K168" t="str">
            <v>(Unofficial Translation)</v>
          </cell>
        </row>
        <row r="169">
          <cell r="L169" t="str">
            <v>ENCLOSURE  -  I</v>
          </cell>
          <cell r="AA169" t="str">
            <v>FORM</v>
          </cell>
        </row>
        <row r="170">
          <cell r="D170" t="str">
            <v>ANNUAL CORPORATE INCOME TAX RETURN</v>
          </cell>
          <cell r="AA170" t="str">
            <v>1771-I</v>
          </cell>
        </row>
        <row r="173">
          <cell r="A173" t="str">
            <v xml:space="preserve">        FINANCE DEPARTMENT</v>
          </cell>
          <cell r="D173" t="str">
            <v xml:space="preserve">        DOMESTIC INCOME FROM OPERATION AND OTHER INCOME </v>
          </cell>
          <cell r="AA173" t="str">
            <v>FISCAL YEAR</v>
          </cell>
        </row>
        <row r="174">
          <cell r="A174" t="str">
            <v xml:space="preserve">  THE DIRECTORATE GENERAL</v>
          </cell>
          <cell r="J174" t="str">
            <v>l</v>
          </cell>
          <cell r="K174" t="str">
            <v>ENCLOSED TO FORM 1771</v>
          </cell>
        </row>
        <row r="175">
          <cell r="A175" t="str">
            <v xml:space="preserve">             OF TAXATION</v>
          </cell>
        </row>
        <row r="177">
          <cell r="A177" t="str">
            <v xml:space="preserve">   NAME OF TAXPAYER :  </v>
          </cell>
          <cell r="D177" t="str">
            <v>PT SQUIBB INDONESIA</v>
          </cell>
          <cell r="O177" t="str">
            <v>TAX ID NO. :</v>
          </cell>
          <cell r="S177" t="str">
            <v>1.001.695.4-054</v>
          </cell>
        </row>
        <row r="181">
          <cell r="A181" t="str">
            <v xml:space="preserve">   SECTION A:    OPERATING INCOME</v>
          </cell>
          <cell r="AA181" t="str">
            <v>(IN RUPIAH)</v>
          </cell>
        </row>
        <row r="183">
          <cell r="A183" t="str">
            <v>NO.</v>
          </cell>
          <cell r="C183" t="str">
            <v>TYPE OF BUSSINESS</v>
          </cell>
          <cell r="D183" t="str">
            <v>TURNOVER/REVENUE</v>
          </cell>
          <cell r="P183" t="str">
            <v>COST OF GOODS SOLD</v>
          </cell>
          <cell r="AA183" t="str">
            <v>OPERATING GROSS INCOME</v>
          </cell>
        </row>
        <row r="184">
          <cell r="A184" t="str">
            <v>(1)</v>
          </cell>
          <cell r="C184" t="str">
            <v>(2)</v>
          </cell>
          <cell r="D184" t="str">
            <v>(3)</v>
          </cell>
          <cell r="P184" t="str">
            <v>(4)</v>
          </cell>
          <cell r="AA184" t="str">
            <v>(5)</v>
          </cell>
        </row>
        <row r="186">
          <cell r="A186" t="str">
            <v>1.</v>
          </cell>
          <cell r="C186" t="str">
            <v>TRADE</v>
          </cell>
          <cell r="J186" t="str">
            <v>-</v>
          </cell>
          <cell r="T186" t="str">
            <v>-</v>
          </cell>
        </row>
        <row r="187">
          <cell r="A187" t="str">
            <v>2.</v>
          </cell>
          <cell r="C187" t="str">
            <v>INDUSTRY</v>
          </cell>
          <cell r="G187">
            <v>75354994052</v>
          </cell>
          <cell r="T187">
            <v>43971322810</v>
          </cell>
        </row>
        <row r="188">
          <cell r="A188" t="str">
            <v>3.</v>
          </cell>
          <cell r="C188" t="str">
            <v>SERVICE</v>
          </cell>
          <cell r="J188" t="str">
            <v>-</v>
          </cell>
          <cell r="T188" t="str">
            <v>-</v>
          </cell>
        </row>
        <row r="189">
          <cell r="A189" t="str">
            <v>4.</v>
          </cell>
          <cell r="C189" t="str">
            <v>OTHERS</v>
          </cell>
          <cell r="J189" t="str">
            <v>-</v>
          </cell>
          <cell r="T189" t="str">
            <v>-</v>
          </cell>
        </row>
        <row r="191">
          <cell r="C191" t="str">
            <v>TOTAL</v>
          </cell>
          <cell r="G191">
            <v>75354994052</v>
          </cell>
          <cell r="T191">
            <v>43971322810</v>
          </cell>
        </row>
        <row r="193">
          <cell r="A193" t="str">
            <v xml:space="preserve">   SECTION B:    OTHER INCOME (NOT FROM OPERATION)</v>
          </cell>
          <cell r="AA193" t="str">
            <v>(IN RUPIAH)</v>
          </cell>
        </row>
        <row r="195">
          <cell r="A195" t="str">
            <v>NO.</v>
          </cell>
          <cell r="C195" t="str">
            <v>SOURCE OF INCOME</v>
          </cell>
        </row>
        <row r="196">
          <cell r="A196" t="str">
            <v>(1)</v>
          </cell>
          <cell r="L196" t="str">
            <v>(2)</v>
          </cell>
        </row>
        <row r="197">
          <cell r="A197" t="str">
            <v>1.</v>
          </cell>
          <cell r="C197" t="str">
            <v>INTEREST</v>
          </cell>
          <cell r="Y197" t="str">
            <v>-</v>
          </cell>
        </row>
        <row r="198">
          <cell r="A198" t="str">
            <v>2.</v>
          </cell>
          <cell r="C198" t="str">
            <v>DIVIDEND</v>
          </cell>
          <cell r="Y198" t="str">
            <v>-</v>
          </cell>
        </row>
        <row r="199">
          <cell r="A199" t="str">
            <v>3.</v>
          </cell>
          <cell r="C199" t="str">
            <v>ROYALTIES</v>
          </cell>
          <cell r="Y199" t="str">
            <v>-</v>
          </cell>
        </row>
        <row r="200">
          <cell r="A200" t="str">
            <v>4.</v>
          </cell>
          <cell r="C200" t="str">
            <v>RENTALS</v>
          </cell>
        </row>
        <row r="201">
          <cell r="A201" t="str">
            <v>5.</v>
          </cell>
          <cell r="C201" t="str">
            <v>PROFIT FROM SALES/TRANSFER OF ASSETS</v>
          </cell>
        </row>
        <row r="202">
          <cell r="A202" t="str">
            <v>6.</v>
          </cell>
          <cell r="C202" t="str">
            <v>OTHERS</v>
          </cell>
        </row>
        <row r="204">
          <cell r="C204" t="str">
            <v>T O T A L</v>
          </cell>
        </row>
        <row r="207">
          <cell r="A207" t="str">
            <v xml:space="preserve">   SECTION C:    DEDUCTION TO GROSS INCOME</v>
          </cell>
          <cell r="AA207" t="str">
            <v>(IN RUPIAH)</v>
          </cell>
        </row>
        <row r="209">
          <cell r="A209" t="str">
            <v>NO.</v>
          </cell>
          <cell r="K209" t="str">
            <v>DESCRIPTION</v>
          </cell>
          <cell r="AA209" t="str">
            <v xml:space="preserve">                       T O T A L</v>
          </cell>
        </row>
        <row r="210">
          <cell r="A210" t="str">
            <v>(1)</v>
          </cell>
          <cell r="L210" t="str">
            <v>(2)</v>
          </cell>
          <cell r="AA210" t="str">
            <v xml:space="preserve">                            (3)</v>
          </cell>
        </row>
        <row r="211">
          <cell r="A211" t="str">
            <v>1.</v>
          </cell>
          <cell r="C211" t="str">
            <v>SALARIES, WAGES, BONUS, GIFTS, GRATUITY, HONORARIUM, IDUL FITRI/CHRISTMAS BONUS, ETC.</v>
          </cell>
          <cell r="Y211">
            <v>13117564174</v>
          </cell>
        </row>
        <row r="212">
          <cell r="A212" t="str">
            <v>2.</v>
          </cell>
          <cell r="C212" t="str">
            <v>DEPRECIATION AND AMORTISATION</v>
          </cell>
          <cell r="Y212">
            <v>692336891</v>
          </cell>
        </row>
        <row r="213">
          <cell r="A213" t="str">
            <v>3.</v>
          </cell>
          <cell r="C213" t="str">
            <v>PROVISION</v>
          </cell>
          <cell r="Y213">
            <v>0</v>
          </cell>
        </row>
        <row r="214">
          <cell r="A214" t="str">
            <v>4.</v>
          </cell>
          <cell r="C214" t="str">
            <v>UNCOLLECTIBLE ACCOUNTS RECEIVABLE</v>
          </cell>
          <cell r="Y214">
            <v>0</v>
          </cell>
        </row>
        <row r="215">
          <cell r="A215" t="str">
            <v>5.</v>
          </cell>
          <cell r="C215" t="str">
            <v>INTEREST, RENTAL, ROYALTY, SERVICE FEE</v>
          </cell>
          <cell r="Y215">
            <v>19016735583</v>
          </cell>
        </row>
        <row r="216">
          <cell r="A216" t="str">
            <v>6.</v>
          </cell>
          <cell r="C216" t="str">
            <v>LOSS ON SALE OF FIXED ASSETS</v>
          </cell>
          <cell r="Y216">
            <v>0</v>
          </cell>
        </row>
        <row r="217">
          <cell r="A217" t="str">
            <v>7.</v>
          </cell>
          <cell r="C217" t="str">
            <v>BENEFITS IN KIND AND/OR BENEFITS IN REMOTE AREA</v>
          </cell>
          <cell r="Y217">
            <v>0</v>
          </cell>
        </row>
        <row r="218">
          <cell r="A218" t="str">
            <v>8.</v>
          </cell>
          <cell r="C218" t="str">
            <v>OTHERS</v>
          </cell>
          <cell r="Y218">
            <v>31853963267</v>
          </cell>
        </row>
        <row r="221">
          <cell r="C221" t="str">
            <v>T O T A L</v>
          </cell>
          <cell r="Y221">
            <v>64680599915</v>
          </cell>
        </row>
        <row r="223">
          <cell r="A223" t="str">
            <v xml:space="preserve">   SECTION D:    NET INCOME</v>
          </cell>
          <cell r="AA223" t="str">
            <v>(IN RUPIAH)</v>
          </cell>
        </row>
        <row r="224">
          <cell r="A224" t="str">
            <v>NO.</v>
          </cell>
          <cell r="K224" t="str">
            <v>DESCRIPTION</v>
          </cell>
          <cell r="AA224" t="str">
            <v xml:space="preserve">                       T O T A L</v>
          </cell>
        </row>
        <row r="225">
          <cell r="A225" t="str">
            <v>(1)</v>
          </cell>
          <cell r="L225" t="str">
            <v>(2)</v>
          </cell>
          <cell r="AA225" t="str">
            <v xml:space="preserve">                            (3)</v>
          </cell>
        </row>
        <row r="226">
          <cell r="A226" t="str">
            <v>1.</v>
          </cell>
          <cell r="C226" t="str">
            <v>INCOME FROM OPERATION (TOTAL SECTION A COLUMN (5))</v>
          </cell>
          <cell r="Y226">
            <v>31383671242</v>
          </cell>
        </row>
        <row r="227">
          <cell r="A227" t="str">
            <v>2.</v>
          </cell>
          <cell r="C227" t="str">
            <v>OTHER INCOME (NOT FROM OPERATION)  (TOTAL SECTION B)</v>
          </cell>
          <cell r="Y227">
            <v>4987441288</v>
          </cell>
        </row>
        <row r="228">
          <cell r="A228" t="str">
            <v>3.</v>
          </cell>
          <cell r="C228" t="str">
            <v>TOTAL GROSS INCOME  (1 + 2)</v>
          </cell>
          <cell r="Y228">
            <v>36371112530</v>
          </cell>
        </row>
        <row r="229">
          <cell r="A229" t="str">
            <v>4.</v>
          </cell>
          <cell r="C229" t="str">
            <v>DEDUCTION GROSS INCOME (TOTAL SECTION C)</v>
          </cell>
          <cell r="Y229">
            <v>64680599915</v>
          </cell>
        </row>
        <row r="230">
          <cell r="A230" t="str">
            <v>5.</v>
          </cell>
          <cell r="C230" t="str">
            <v>NET INCOME (3 - 4)</v>
          </cell>
          <cell r="Y230">
            <v>-28309487385</v>
          </cell>
        </row>
        <row r="231">
          <cell r="A231" t="str">
            <v>NOTE:</v>
          </cell>
        </row>
        <row r="232">
          <cell r="C232" t="str">
            <v>TRANSFER THE TOTAL AMOUNT  OF SECTION D NUMBER 5 COLUMN 3 TO FORM 1771 LETTER J NUMBER 1</v>
          </cell>
        </row>
        <row r="233">
          <cell r="A233" t="str">
            <v>KP.PPh.2.2.1-95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manent info"/>
      <sheetName val="Marshal"/>
      <sheetName val="F1771"/>
      <sheetName val="F1771-I"/>
      <sheetName val="F1771-II"/>
      <sheetName val="F1771-III"/>
      <sheetName val="F1771-IV"/>
      <sheetName val="F1771-V"/>
      <sheetName val="Lampiran"/>
      <sheetName val="biaya lain"/>
      <sheetName val="Congress"/>
      <sheetName val="Rent&amp;Taxes"/>
      <sheetName val="Depreciation"/>
      <sheetName val="Leasing"/>
      <sheetName val="assets disposal"/>
      <sheetName val="Attachment"/>
      <sheetName val="BIKs"/>
      <sheetName val="Sheet16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nfo"/>
      <sheetName val="Fixed Assets"/>
      <sheetName val="Depreciation"/>
      <sheetName val="Summary of Fiscal Depreciations"/>
      <sheetName val="addition"/>
      <sheetName val="rekon-FA"/>
      <sheetName val="Attachment"/>
      <sheetName val="Lampiran"/>
      <sheetName val="Penyusutan"/>
      <sheetName val="Sheet1"/>
      <sheetName val="Marshal"/>
      <sheetName val="FI-1771.P1"/>
      <sheetName val="FE-1771.P1"/>
      <sheetName val="FI-1771.P2"/>
      <sheetName val="FE-1771.P2"/>
      <sheetName val="FI-1771-I"/>
      <sheetName val="FE-1771-I"/>
      <sheetName val="FI-1771-II"/>
      <sheetName val="FE-1771-II"/>
      <sheetName val="FI-1771-III"/>
      <sheetName val="FE-1771-III"/>
      <sheetName val="FI-1771-IV"/>
      <sheetName val="FE-1771-IV"/>
      <sheetName val="FI-1771-V"/>
      <sheetName val="FE-1771-V"/>
      <sheetName val="FI-1771-VI"/>
      <sheetName val="FE-1771-VI"/>
      <sheetName val="Permanent info"/>
      <sheetName val="Assumption"/>
      <sheetName val="Scenarios and Sensitivities"/>
      <sheetName val="Operations"/>
      <sheetName val="Financials"/>
      <sheetName val="Global Assumptions"/>
      <sheetName val="Ex-Rate"/>
      <sheetName val="List"/>
      <sheetName val="PER ABJAD"/>
      <sheetName val="Calc"/>
      <sheetName val="T_PV"/>
      <sheetName val="Val_nra1"/>
      <sheetName val="Val_nra2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Comparision"/>
      <sheetName val="CAJE"/>
      <sheetName val="PAJE"/>
      <sheetName val="TB"/>
      <sheetName val="Final"/>
      <sheetName val="Provision-ok"/>
      <sheetName val="BIK NDE-ok"/>
      <sheetName val="Goodwill-ok"/>
      <sheetName val="Temporary-ok"/>
      <sheetName val="Tax Recognition"/>
      <sheetName val="Tax-ok"/>
      <sheetName val="Tax Loss-ok"/>
      <sheetName val="PL Jan-Des"/>
      <sheetName val="F16"/>
      <sheetName val="F06"/>
      <sheetName val="F202"/>
      <sheetName val="JE"/>
      <sheetName val="Sell "/>
      <sheetName val="W-OFF"/>
      <sheetName val="Company Output"/>
      <sheetName val="H-1.3"/>
      <sheetName val="Recov"/>
      <sheetName val="Plan"/>
      <sheetName val="Project"/>
      <sheetName val="OpsHighlite"/>
      <sheetName val="Buku Besar 1"/>
      <sheetName val="FE-1771$.P1"/>
      <sheetName val="GL"/>
      <sheetName val="Sheet2"/>
      <sheetName val="SAD"/>
      <sheetName val="12"/>
      <sheetName val="Cover"/>
      <sheetName val="ctrl"/>
      <sheetName val="I"/>
      <sheetName val="II"/>
      <sheetName val="AE"/>
      <sheetName val="Marshal00"/>
      <sheetName val="General"/>
      <sheetName val="BANK"/>
      <sheetName val="KB"/>
      <sheetName val="IC"/>
      <sheetName val="NH-Badan"/>
      <sheetName val="ProVisionPricer"/>
      <sheetName val="DataC&amp;S"/>
      <sheetName val="MacPro"/>
      <sheetName val="Basic"/>
      <sheetName val="master"/>
      <sheetName val="BSLA"/>
      <sheetName val="Table Array"/>
      <sheetName val="Table"/>
      <sheetName val="Calculation"/>
      <sheetName val="Fixed_Assets"/>
      <sheetName val="Summary_of_Fiscal_Depreciations"/>
      <sheetName val="FI-1771_P1"/>
      <sheetName val="FE-1771_P1"/>
      <sheetName val="FI-1771_P2"/>
      <sheetName val="FE-1771_P2"/>
      <sheetName val="Scenarios_and_Sensitivities"/>
      <sheetName val="Global_Assumptions"/>
      <sheetName val="Permanent_info"/>
      <sheetName val="PER_ABJAD"/>
      <sheetName val="A_u_g"/>
      <sheetName val="J_u_l"/>
      <sheetName val="O_c_t"/>
      <sheetName val="A_p_r"/>
      <sheetName val="M_a_y"/>
      <sheetName val="S_e_p"/>
      <sheetName val="00_received_in_01"/>
      <sheetName val="F_e_b"/>
      <sheetName val="Per_GL_J_a_n"/>
      <sheetName val="J_u_n"/>
      <sheetName val="M_a_r"/>
      <sheetName val="BIK_NDE-ok"/>
      <sheetName val="Tax_Recognition"/>
      <sheetName val="Tax_Loss-ok"/>
      <sheetName val="PL_Jan-Des"/>
      <sheetName val="Sell_"/>
      <sheetName val="Company_Output"/>
      <sheetName val="H-1_3"/>
      <sheetName val="Option1"/>
      <sheetName val="BIAYA"/>
      <sheetName val="DEPR"/>
      <sheetName val="EXT B3"/>
      <sheetName val="IKHTISAR"/>
      <sheetName val="INDUK"/>
      <sheetName val="B2.1"/>
      <sheetName val="BUDGETJL"/>
      <sheetName val="BUDGETCON"/>
      <sheetName val="BUDGETJLM"/>
      <sheetName val="B1"/>
      <sheetName val="Worksheet-03"/>
      <sheetName val="317899NOV99"/>
      <sheetName val="317899OCT99"/>
      <sheetName val="data"/>
      <sheetName val="Budget04"/>
      <sheetName val="DCF"/>
      <sheetName val="BUT-1"/>
      <sheetName val="HEX-A"/>
      <sheetName val="HEX-E"/>
      <sheetName val="I-BUT"/>
      <sheetName val="RD I-BUT"/>
      <sheetName val="BS"/>
      <sheetName val="Benefit Factors"/>
      <sheetName val="1195 B1"/>
    </sheetNames>
    <sheetDataSet>
      <sheetData sheetId="0">
        <row r="201">
          <cell r="F201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201">
          <cell r="F201">
            <v>0</v>
          </cell>
        </row>
        <row r="202">
          <cell r="F202">
            <v>0</v>
          </cell>
        </row>
        <row r="207">
          <cell r="J207">
            <v>-827313885.33000004</v>
          </cell>
          <cell r="K207">
            <v>-16229073.75</v>
          </cell>
          <cell r="L207">
            <v>0</v>
          </cell>
          <cell r="N207">
            <v>-151468678</v>
          </cell>
          <cell r="O207">
            <v>0</v>
          </cell>
          <cell r="P207">
            <v>0</v>
          </cell>
          <cell r="Q207">
            <v>-4015735516.3900003</v>
          </cell>
        </row>
        <row r="214">
          <cell r="D214">
            <v>0</v>
          </cell>
        </row>
        <row r="215">
          <cell r="D215">
            <v>0</v>
          </cell>
        </row>
        <row r="216">
          <cell r="G216"/>
        </row>
        <row r="217">
          <cell r="D217">
            <v>0</v>
          </cell>
        </row>
        <row r="218">
          <cell r="D218">
            <v>0</v>
          </cell>
        </row>
        <row r="221">
          <cell r="D221">
            <v>-30794877113.106865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"/>
      <sheetName val="l*****"/>
      <sheetName val="****_x0000_ÿ"/>
      <sheetName val="Proj_PL"/>
      <sheetName val="Intrst + Man Fee"/>
      <sheetName val="Cash Flow"/>
      <sheetName val="SCHE-INT"/>
      <sheetName val="TR_Coll"/>
      <sheetName val="TP"/>
      <sheetName val="SLS_Projection"/>
      <sheetName val="Break_Var"/>
      <sheetName val="PL_Jan-Dec"/>
      <sheetName val="PL_Jan"/>
      <sheetName val="PL_Mar"/>
      <sheetName val="PL_Apr"/>
      <sheetName val="PL_May"/>
      <sheetName val="PL_Jun"/>
      <sheetName val="PL_Jul"/>
      <sheetName val="PL_Aug"/>
      <sheetName val="PL_Sep"/>
      <sheetName val="PL_Oct"/>
      <sheetName val="PL_Nov"/>
      <sheetName val="PL_Dec"/>
      <sheetName val="JURNAL"/>
      <sheetName val="B_SHEET (Monthly)"/>
      <sheetName val="WORK SHEET (Monthly)"/>
      <sheetName val="PL_Feb"/>
      <sheetName val="Neraca"/>
      <sheetName val="&lt;&lt;&gt;&gt;"/>
      <sheetName val="Sche-HL SOLD"/>
      <sheetName val="Disposal"/>
      <sheetName val="Sel-Kurs"/>
      <sheetName val="JOUR-PROJ"/>
      <sheetName val="Sche-Repair"/>
      <sheetName val="Marshal"/>
      <sheetName val="l_____"/>
      <sheetName val="____"/>
      <sheetName val="****?ÿ"/>
      <sheetName val="GeneralInfo"/>
      <sheetName val="Intrst_+_Man_Fee"/>
      <sheetName val="Cash_Flow"/>
      <sheetName val="B_SHEET_(Monthly)"/>
      <sheetName val="WORK_SHEET_(Monthly)"/>
      <sheetName val="Sche-HL_SOLD"/>
      <sheetName val="Intrst_+_Man_Fee14"/>
      <sheetName val="Cash_Flow13"/>
      <sheetName val="B_SHEET_(Monthly)13"/>
      <sheetName val="WORK_SHEET_(Monthly)13"/>
      <sheetName val="Sche-HL_SOLD13"/>
      <sheetName val="Intrst_+_Man_Fee2"/>
      <sheetName val="Cash_Flow2"/>
      <sheetName val="B_SHEET_(Monthly)2"/>
      <sheetName val="WORK_SHEET_(Monthly)2"/>
      <sheetName val="Sche-HL_SOLD2"/>
      <sheetName val="Intrst_+_Man_Fee1"/>
      <sheetName val="Cash_Flow1"/>
      <sheetName val="B_SHEET_(Monthly)1"/>
      <sheetName val="WORK_SHEET_(Monthly)1"/>
      <sheetName val="Sche-HL_SOLD1"/>
      <sheetName val="Intrst_+_Man_Fee4"/>
      <sheetName val="Cash_Flow3"/>
      <sheetName val="B_SHEET_(Monthly)3"/>
      <sheetName val="WORK_SHEET_(Monthly)3"/>
      <sheetName val="Sche-HL_SOLD3"/>
      <sheetName val="Intrst_+_Man_Fee3"/>
      <sheetName val="Intrst_+_Man_Fee7"/>
      <sheetName val="Cash_Flow6"/>
      <sheetName val="B_SHEET_(Monthly)6"/>
      <sheetName val="WORK_SHEET_(Monthly)6"/>
      <sheetName val="Sche-HL_SOLD6"/>
      <sheetName val="Intrst_+_Man_Fee6"/>
      <sheetName val="Cash_Flow5"/>
      <sheetName val="B_SHEET_(Monthly)5"/>
      <sheetName val="WORK_SHEET_(Monthly)5"/>
      <sheetName val="Sche-HL_SOLD5"/>
      <sheetName val="Intrst_+_Man_Fee5"/>
      <sheetName val="Cash_Flow4"/>
      <sheetName val="B_SHEET_(Monthly)4"/>
      <sheetName val="WORK_SHEET_(Monthly)4"/>
      <sheetName val="Sche-HL_SOLD4"/>
      <sheetName val="Intrst_+_Man_Fee8"/>
      <sheetName val="Cash_Flow7"/>
      <sheetName val="B_SHEET_(Monthly)7"/>
      <sheetName val="WORK_SHEET_(Monthly)7"/>
      <sheetName val="Sche-HL_SOLD7"/>
      <sheetName val="Intrst_+_Man_Fee9"/>
      <sheetName val="Cash_Flow8"/>
      <sheetName val="B_SHEET_(Monthly)8"/>
      <sheetName val="WORK_SHEET_(Monthly)8"/>
      <sheetName val="Sche-HL_SOLD8"/>
      <sheetName val="Intrst_+_Man_Fee10"/>
      <sheetName val="Cash_Flow9"/>
      <sheetName val="B_SHEET_(Monthly)9"/>
      <sheetName val="WORK_SHEET_(Monthly)9"/>
      <sheetName val="Sche-HL_SOLD9"/>
      <sheetName val="Intrst_+_Man_Fee12"/>
      <sheetName val="Cash_Flow11"/>
      <sheetName val="B_SHEET_(Monthly)11"/>
      <sheetName val="WORK_SHEET_(Monthly)11"/>
      <sheetName val="Sche-HL_SOLD11"/>
      <sheetName val="Intrst_+_Man_Fee11"/>
      <sheetName val="Cash_Flow10"/>
      <sheetName val="B_SHEET_(Monthly)10"/>
      <sheetName val="WORK_SHEET_(Monthly)10"/>
      <sheetName val="Sche-HL_SOLD10"/>
      <sheetName val="adj"/>
      <sheetName val="Intrst_+_Man_Fee13"/>
      <sheetName val="Cash_Flow12"/>
      <sheetName val="B_SHEET_(Monthly)12"/>
      <sheetName val="WORK_SHEET_(Monthly)12"/>
      <sheetName val="Sche-HL_SOLD12"/>
      <sheetName val="Intrst_+_Man_Fee18"/>
      <sheetName val="Cash_Flow17"/>
      <sheetName val="B_SHEET_(Monthly)17"/>
      <sheetName val="WORK_SHEET_(Monthly)17"/>
      <sheetName val="Sche-HL_SOLD17"/>
      <sheetName val="Intrst_+_Man_Fee16"/>
      <sheetName val="Cash_Flow15"/>
      <sheetName val="B_SHEET_(Monthly)15"/>
      <sheetName val="WORK_SHEET_(Monthly)15"/>
      <sheetName val="Sche-HL_SOLD15"/>
      <sheetName val="Intrst_+_Man_Fee15"/>
      <sheetName val="Cash_Flow14"/>
      <sheetName val="B_SHEET_(Monthly)14"/>
      <sheetName val="WORK_SHEET_(Monthly)14"/>
      <sheetName val="Sche-HL_SOLD14"/>
      <sheetName val="Intrst_+_Man_Fee17"/>
      <sheetName val="Cash_Flow16"/>
      <sheetName val="B_SHEET_(Monthly)16"/>
      <sheetName val="WORK_SHEET_(Monthly)16"/>
      <sheetName val="Sche-HL_SOLD16"/>
      <sheetName val="Intrst_+_Man_Fee19"/>
      <sheetName val="Cash_Flow18"/>
      <sheetName val="B_SHEET_(Monthly)18"/>
      <sheetName val="WORK_SHEET_(Monthly)18"/>
      <sheetName val="Sche-HL_SOLD18"/>
      <sheetName val="Intrst_+_Man_Fee20"/>
      <sheetName val="Cash_Flow19"/>
      <sheetName val="B_SHEET_(Monthly)19"/>
      <sheetName val="WORK_SHEET_(Monthly)19"/>
      <sheetName val="Sche-HL_SOLD19"/>
      <sheetName val="Intrst_+_Man_Fee33"/>
      <sheetName val="Cash_Flow32"/>
      <sheetName val="B_SHEET_(Monthly)32"/>
      <sheetName val="WORK_SHEET_(Monthly)32"/>
      <sheetName val="Sche-HL_SOLD32"/>
      <sheetName val="Intrst_+_Man_Fee22"/>
      <sheetName val="Cash_Flow21"/>
      <sheetName val="B_SHEET_(Monthly)21"/>
      <sheetName val="WORK_SHEET_(Monthly)21"/>
      <sheetName val="Sche-HL_SOLD21"/>
      <sheetName val="Intrst_+_Man_Fee21"/>
      <sheetName val="Cash_Flow20"/>
      <sheetName val="B_SHEET_(Monthly)20"/>
      <sheetName val="WORK_SHEET_(Monthly)20"/>
      <sheetName val="Sche-HL_SOLD20"/>
      <sheetName val="Intrst_+_Man_Fee26"/>
      <sheetName val="Cash_Flow25"/>
      <sheetName val="B_SHEET_(Monthly)25"/>
      <sheetName val="WORK_SHEET_(Monthly)25"/>
      <sheetName val="Sche-HL_SOLD25"/>
      <sheetName val="Intrst_+_Man_Fee23"/>
      <sheetName val="Cash_Flow22"/>
      <sheetName val="B_SHEET_(Monthly)22"/>
      <sheetName val="WORK_SHEET_(Monthly)22"/>
      <sheetName val="Sche-HL_SOLD22"/>
      <sheetName val="Intrst_+_Man_Fee25"/>
      <sheetName val="Cash_Flow24"/>
      <sheetName val="B_SHEET_(Monthly)24"/>
      <sheetName val="WORK_SHEET_(Monthly)24"/>
      <sheetName val="Sche-HL_SOLD24"/>
      <sheetName val="Intrst_+_Man_Fee24"/>
      <sheetName val="Cash_Flow23"/>
      <sheetName val="B_SHEET_(Monthly)23"/>
      <sheetName val="WORK_SHEET_(Monthly)23"/>
      <sheetName val="Sche-HL_SOLD23"/>
      <sheetName val="Intrst_+_Man_Fee32"/>
      <sheetName val="Cash_Flow31"/>
      <sheetName val="B_SHEET_(Monthly)31"/>
      <sheetName val="WORK_SHEET_(Monthly)31"/>
      <sheetName val="Sche-HL_SOLD31"/>
      <sheetName val="Intrst_+_Man_Fee31"/>
      <sheetName val="Cash_Flow30"/>
      <sheetName val="B_SHEET_(Monthly)30"/>
      <sheetName val="WORK_SHEET_(Monthly)30"/>
      <sheetName val="Sche-HL_SOLD30"/>
      <sheetName val="Intrst_+_Man_Fee28"/>
      <sheetName val="Cash_Flow27"/>
      <sheetName val="B_SHEET_(Monthly)27"/>
      <sheetName val="WORK_SHEET_(Monthly)27"/>
      <sheetName val="Sche-HL_SOLD27"/>
      <sheetName val="Intrst_+_Man_Fee27"/>
      <sheetName val="Cash_Flow26"/>
      <sheetName val="B_SHEET_(Monthly)26"/>
      <sheetName val="WORK_SHEET_(Monthly)26"/>
      <sheetName val="Sche-HL_SOLD26"/>
      <sheetName val="Intrst_+_Man_Fee29"/>
      <sheetName val="Cash_Flow28"/>
      <sheetName val="B_SHEET_(Monthly)28"/>
      <sheetName val="WORK_SHEET_(Monthly)28"/>
      <sheetName val="Sche-HL_SOLD28"/>
      <sheetName val="Intrst_+_Man_Fee30"/>
      <sheetName val="Cash_Flow29"/>
      <sheetName val="B_SHEET_(Monthly)29"/>
      <sheetName val="WORK_SHEET_(Monthly)29"/>
      <sheetName val="Sche-HL_SOLD29"/>
      <sheetName val="Intrst_+_Man_Fee34"/>
      <sheetName val="Cash_Flow33"/>
      <sheetName val="B_SHEET_(Monthly)33"/>
      <sheetName val="WORK_SHEET_(Monthly)33"/>
      <sheetName val="Sche-HL_SOLD33"/>
      <sheetName val="Intrst_+_Man_Fee35"/>
      <sheetName val="Cash_Flow34"/>
      <sheetName val="B_SHEET_(Monthly)34"/>
      <sheetName val="WORK_SHEET_(Monthly)34"/>
      <sheetName val="Sche-HL_SOLD34"/>
      <sheetName val="Intrst_+_Man_Fee39"/>
      <sheetName val="Cash_Flow38"/>
      <sheetName val="B_SHEET_(Monthly)38"/>
      <sheetName val="WORK_SHEET_(Monthly)38"/>
      <sheetName val="Sche-HL_SOLD38"/>
      <sheetName val="Intrst_+_Man_Fee36"/>
      <sheetName val="Cash_Flow35"/>
      <sheetName val="B_SHEET_(Monthly)35"/>
      <sheetName val="WORK_SHEET_(Monthly)35"/>
      <sheetName val="Sche-HL_SOLD35"/>
      <sheetName val="Intrst_+_Man_Fee37"/>
      <sheetName val="Cash_Flow36"/>
      <sheetName val="B_SHEET_(Monthly)36"/>
      <sheetName val="WORK_SHEET_(Monthly)36"/>
      <sheetName val="Sche-HL_SOLD36"/>
      <sheetName val="Intrst_+_Man_Fee38"/>
      <sheetName val="Cash_Flow37"/>
      <sheetName val="B_SHEET_(Monthly)37"/>
      <sheetName val="WORK_SHEET_(Monthly)37"/>
      <sheetName val="Sche-HL_SOLD37"/>
      <sheetName val="Intrst_+_Man_Fee40"/>
      <sheetName val="Cash_Flow39"/>
      <sheetName val="B_SHEET_(Monthly)39"/>
      <sheetName val="WORK_SHEET_(Monthly)39"/>
      <sheetName val="Sche-HL_SOLD39"/>
      <sheetName val="Intrst_+_Man_Fee41"/>
      <sheetName val="Cash_Flow40"/>
      <sheetName val="B_SHEET_(Monthly)40"/>
      <sheetName val="WORK_SHEET_(Monthly)40"/>
      <sheetName val="Sche-HL_SOLD40"/>
      <sheetName val="Intrst_+_Man_Fee42"/>
      <sheetName val="Cash_Flow41"/>
      <sheetName val="B_SHEET_(Monthly)41"/>
      <sheetName val="WORK_SHEET_(Monthly)41"/>
      <sheetName val="Sche-HL_SOLD41"/>
      <sheetName val="Intrst_+_Man_Fee43"/>
      <sheetName val="Cash_Flow42"/>
      <sheetName val="B_SHEET_(Monthly)42"/>
      <sheetName val="WORK_SHEET_(Monthly)42"/>
      <sheetName val="Sche-HL_SOLD42"/>
      <sheetName val="Intrst_+_Man_Fee44"/>
      <sheetName val="Cash_Flow43"/>
      <sheetName val="B_SHEET_(Monthly)43"/>
      <sheetName val="WORK_SHEET_(Monthly)43"/>
      <sheetName val="Sche-HL_SOLD43"/>
      <sheetName val="Intrst_+_Man_Fee46"/>
      <sheetName val="Cash_Flow45"/>
      <sheetName val="B_SHEET_(Monthly)45"/>
      <sheetName val="WORK_SHEET_(Monthly)45"/>
      <sheetName val="Sche-HL_SOLD45"/>
      <sheetName val="Intrst_+_Man_Fee45"/>
      <sheetName val="Cash_Flow44"/>
      <sheetName val="B_SHEET_(Monthly)44"/>
      <sheetName val="WORK_SHEET_(Monthly)44"/>
      <sheetName val="Sche-HL_SOLD44"/>
      <sheetName val="Intrst_+_Man_Fee47"/>
      <sheetName val="Cash_Flow46"/>
      <sheetName val="B_SHEET_(Monthly)46"/>
      <sheetName val="WORK_SHEET_(Monthly)46"/>
      <sheetName val="Sche-HL_SOLD46"/>
      <sheetName val="Intrst_+_Man_Fee49"/>
      <sheetName val="Cash_Flow48"/>
      <sheetName val="B_SHEET_(Monthly)48"/>
      <sheetName val="WORK_SHEET_(Monthly)48"/>
      <sheetName val="Sche-HL_SOLD48"/>
      <sheetName val="Intrst_+_Man_Fee48"/>
      <sheetName val="Cash_Flow47"/>
      <sheetName val="B_SHEET_(Monthly)47"/>
      <sheetName val="WORK_SHEET_(Monthly)47"/>
      <sheetName val="Sche-HL_SOLD47"/>
      <sheetName val="Intrst_+_Man_Fee50"/>
      <sheetName val="Cash_Flow49"/>
      <sheetName val="B_SHEET_(Monthly)49"/>
      <sheetName val="WORK_SHEET_(Monthly)49"/>
      <sheetName val="Sche-HL_SOLD49"/>
      <sheetName val="Intrst_+_Man_Fee52"/>
      <sheetName val="Cash_Flow51"/>
      <sheetName val="B_SHEET_(Monthly)51"/>
      <sheetName val="WORK_SHEET_(Monthly)51"/>
      <sheetName val="Sche-HL_SOLD51"/>
      <sheetName val="Intrst_+_Man_Fee51"/>
      <sheetName val="Cash_Flow50"/>
      <sheetName val="B_SHEET_(Monthly)50"/>
      <sheetName val="WORK_SHEET_(Monthly)50"/>
      <sheetName val="Sche-HL_SOLD50"/>
      <sheetName val="Intrst_+_Man_Fee53"/>
      <sheetName val="Cash_Flow52"/>
      <sheetName val="B_SHEET_(Monthly)52"/>
      <sheetName val="WORK_SHEET_(Monthly)52"/>
      <sheetName val="Sche-HL_SOLD52"/>
      <sheetName val="Intrst_+_Man_Fee55"/>
      <sheetName val="Cash_Flow54"/>
      <sheetName val="B_SHEET_(Monthly)54"/>
      <sheetName val="WORK_SHEET_(Monthly)54"/>
      <sheetName val="Sche-HL_SOLD54"/>
      <sheetName val="Intrst_+_Man_Fee54"/>
      <sheetName val="Cash_Flow53"/>
      <sheetName val="B_SHEET_(Monthly)53"/>
      <sheetName val="WORK_SHEET_(Monthly)53"/>
      <sheetName val="Sche-HL_SOLD53"/>
      <sheetName val="Intrst_+_Man_Fee56"/>
      <sheetName val="Cash_Flow55"/>
      <sheetName val="B_SHEET_(Monthly)55"/>
      <sheetName val="WORK_SHEET_(Monthly)55"/>
      <sheetName val="Sche-HL_SOLD55"/>
      <sheetName val="Intrst_+_Man_Fee58"/>
      <sheetName val="Cash_Flow57"/>
      <sheetName val="B_SHEET_(Monthly)57"/>
      <sheetName val="WORK_SHEET_(Monthly)57"/>
      <sheetName val="Sche-HL_SOLD57"/>
      <sheetName val="Intrst_+_Man_Fee57"/>
      <sheetName val="Cash_Flow56"/>
      <sheetName val="B_SHEET_(Monthly)56"/>
      <sheetName val="WORK_SHEET_(Monthly)56"/>
      <sheetName val="Sche-HL_SOLD56"/>
      <sheetName val="Intrst_+_Man_Fee59"/>
      <sheetName val="Cash_Flow58"/>
      <sheetName val="B_SHEET_(Monthly)58"/>
      <sheetName val="WORK_SHEET_(Monthly)58"/>
      <sheetName val="Sche-HL_SOLD58"/>
      <sheetName val="_____ÿ"/>
    </sheetNames>
    <sheetDataSet>
      <sheetData sheetId="0" refreshError="1">
        <row r="49">
          <cell r="E49">
            <v>0.14000000000000001</v>
          </cell>
        </row>
        <row r="59">
          <cell r="E59">
            <v>0.16</v>
          </cell>
        </row>
        <row r="62">
          <cell r="E62">
            <v>0.16</v>
          </cell>
        </row>
        <row r="64">
          <cell r="E64">
            <v>0</v>
          </cell>
        </row>
        <row r="65">
          <cell r="E6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 refreshError="1"/>
      <sheetData sheetId="33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Salary"/>
      <sheetName val="MASA KERJA"/>
      <sheetName val="Sheet1 (2)"/>
      <sheetName val="hitung ulang JEPANG"/>
      <sheetName val="Sheet1"/>
      <sheetName val="Sheet2"/>
      <sheetName val="Sheet3"/>
      <sheetName val="MENU"/>
      <sheetName val="LOOKUP"/>
      <sheetName val="REF"/>
      <sheetName val="Kasus1"/>
      <sheetName val="Kasus2"/>
      <sheetName val="Kasus1 "/>
      <sheetName val="Jan'05"/>
      <sheetName val="Hal 2"/>
      <sheetName val="Buk-Pot21"/>
      <sheetName val="Buk-Pot21 FINAL"/>
      <sheetName val="Rekap_Salary"/>
      <sheetName val="MASA_KERJA"/>
      <sheetName val="Sheet1_(2)"/>
      <sheetName val="hitung_ulang_JEPANG"/>
      <sheetName val="Kasus1_"/>
      <sheetName val="Hal_2"/>
      <sheetName val="Buk-Pot21_FINAL"/>
      <sheetName val="Assumption"/>
      <sheetName val="master"/>
      <sheetName val="kurs"/>
      <sheetName val="Table"/>
      <sheetName val="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3">
          <cell r="I53" t="str">
            <v>Agu</v>
          </cell>
          <cell r="J53">
            <v>8</v>
          </cell>
          <cell r="K53" t="str">
            <v>September</v>
          </cell>
          <cell r="L53" t="str">
            <v>Juli</v>
          </cell>
        </row>
        <row r="54">
          <cell r="I54" t="str">
            <v>Apr</v>
          </cell>
          <cell r="J54">
            <v>4</v>
          </cell>
          <cell r="K54" t="str">
            <v>Mei</v>
          </cell>
          <cell r="L54" t="str">
            <v>Maret</v>
          </cell>
        </row>
        <row r="55">
          <cell r="I55" t="str">
            <v>Des</v>
          </cell>
          <cell r="J55">
            <v>12</v>
          </cell>
          <cell r="K55" t="str">
            <v>Januari</v>
          </cell>
          <cell r="L55" t="str">
            <v>November</v>
          </cell>
        </row>
        <row r="56">
          <cell r="I56" t="str">
            <v>Feb</v>
          </cell>
          <cell r="J56">
            <v>2</v>
          </cell>
          <cell r="K56" t="str">
            <v>Maret</v>
          </cell>
          <cell r="L56" t="str">
            <v>Januari</v>
          </cell>
        </row>
        <row r="57">
          <cell r="I57" t="str">
            <v>Jan</v>
          </cell>
          <cell r="J57">
            <v>1</v>
          </cell>
          <cell r="K57" t="str">
            <v xml:space="preserve">Februari </v>
          </cell>
          <cell r="L57" t="str">
            <v>Desember</v>
          </cell>
        </row>
        <row r="58">
          <cell r="I58" t="str">
            <v>Jul</v>
          </cell>
          <cell r="J58">
            <v>7</v>
          </cell>
          <cell r="K58" t="str">
            <v>Agustus</v>
          </cell>
          <cell r="L58" t="str">
            <v>Juni</v>
          </cell>
        </row>
        <row r="59">
          <cell r="I59" t="str">
            <v>Jun</v>
          </cell>
          <cell r="J59">
            <v>6</v>
          </cell>
          <cell r="K59" t="str">
            <v>Juli</v>
          </cell>
          <cell r="L59" t="str">
            <v>Mei</v>
          </cell>
        </row>
        <row r="60">
          <cell r="I60" t="str">
            <v>Mar</v>
          </cell>
          <cell r="J60">
            <v>3</v>
          </cell>
          <cell r="K60" t="str">
            <v>April</v>
          </cell>
          <cell r="L60" t="str">
            <v>Februari</v>
          </cell>
        </row>
        <row r="61">
          <cell r="I61" t="str">
            <v>Mei</v>
          </cell>
          <cell r="J61">
            <v>5</v>
          </cell>
          <cell r="K61" t="str">
            <v>Juni</v>
          </cell>
          <cell r="L61" t="str">
            <v>April</v>
          </cell>
        </row>
        <row r="62">
          <cell r="I62" t="str">
            <v>Nov</v>
          </cell>
          <cell r="J62">
            <v>11</v>
          </cell>
          <cell r="K62" t="str">
            <v>Desember</v>
          </cell>
          <cell r="L62" t="str">
            <v>Oktober</v>
          </cell>
        </row>
        <row r="63">
          <cell r="I63" t="str">
            <v>Okt</v>
          </cell>
          <cell r="J63">
            <v>10</v>
          </cell>
          <cell r="K63" t="str">
            <v>Nopember</v>
          </cell>
          <cell r="L63" t="str">
            <v>September</v>
          </cell>
        </row>
        <row r="64">
          <cell r="I64" t="str">
            <v>Sep</v>
          </cell>
          <cell r="J64">
            <v>9</v>
          </cell>
          <cell r="K64" t="str">
            <v>Oktober</v>
          </cell>
          <cell r="L64" t="str">
            <v>Agustus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-1770.P1"/>
      <sheetName val="FE-1770.P2"/>
      <sheetName val="FE-1770-I"/>
      <sheetName val="FE-1770-II"/>
      <sheetName val="FE-1770-III"/>
      <sheetName val="FI-177O.P1"/>
      <sheetName val="FI-1770.P2"/>
      <sheetName val="FI-1770-I"/>
      <sheetName val="FI-1770-II"/>
      <sheetName val="FI-1770-III"/>
      <sheetName val="PPh25-Installment"/>
      <sheetName val="TaxPaidAbroad"/>
      <sheetName val="Irregular Income"/>
      <sheetName val="Family"/>
      <sheetName val="tax calculation"/>
      <sheetName val="data wp"/>
      <sheetName val="FE_1770_P1"/>
      <sheetName val="FE_1770_I"/>
      <sheetName val="FE_1770_II"/>
      <sheetName val="MasterSheet"/>
      <sheetName val="Conditions"/>
      <sheetName val="Marshal"/>
      <sheetName val="Permanent info"/>
      <sheetName val="Rincian Iuran"/>
      <sheetName val="BSLA"/>
      <sheetName val="Cover"/>
      <sheetName val="LOOKUP"/>
      <sheetName val="GeneralInfo"/>
      <sheetName val="awas"/>
      <sheetName val="s"/>
      <sheetName val="A-Material  value "/>
      <sheetName val="CY_CRS"/>
      <sheetName val="LS_CRS"/>
      <sheetName val="EMISI"/>
      <sheetName val="HEAT"/>
      <sheetName val="PL01"/>
      <sheetName val="fiskal"/>
      <sheetName val="FA Movement"/>
      <sheetName val="ged"/>
      <sheetName val="Cover Sheet"/>
      <sheetName val="PRO"/>
      <sheetName val="Exchange Rates"/>
      <sheetName val="PROJ CASH"/>
      <sheetName val="ctrl"/>
      <sheetName val="F1771-2"/>
      <sheetName val="F1771-3"/>
      <sheetName val="Basic"/>
      <sheetName val="StdUsageRM"/>
      <sheetName val="Cases"/>
      <sheetName val="Sheet1"/>
      <sheetName val="StdUsagePM"/>
      <sheetName val="K.2. Predictive Depr"/>
      <sheetName val="KONSOL UNIT"/>
      <sheetName val="ROCE"/>
      <sheetName val="GL"/>
      <sheetName val="Ha Statement 2005-per rekap LUK"/>
      <sheetName val="SAD"/>
      <sheetName val="B.S."/>
      <sheetName val="Input Sheet"/>
      <sheetName val="Note"/>
      <sheetName val="FA Movement 2001"/>
      <sheetName val="(II-8)2.2.8"/>
      <sheetName val="(I-3)1.3"/>
      <sheetName val="(II-5)2.2.4 (2)"/>
      <sheetName val="Module2"/>
      <sheetName val="Ex-Rate"/>
      <sheetName val="List"/>
      <sheetName val="Disposals"/>
      <sheetName val="DATA"/>
      <sheetName val="benefit"/>
      <sheetName val="Assumption &amp; Result"/>
      <sheetName val="A-3"/>
      <sheetName val="A-2"/>
      <sheetName val="Sheet1 (2)"/>
      <sheetName val="TB"/>
      <sheetName val="P3"/>
      <sheetName val="LP2"/>
      <sheetName val="SPT"/>
      <sheetName val="KPKom"/>
      <sheetName val="SIK"/>
      <sheetName val="SPPP"/>
      <sheetName val="Berkas"/>
      <sheetName val="BCD"/>
      <sheetName val="AnlSPT"/>
      <sheetName val="Rasio"/>
      <sheetName val="APro"/>
      <sheetName val="DbTF"/>
      <sheetName val="DbKtr"/>
      <sheetName val="DbPem"/>
      <sheetName val="Tarif"/>
      <sheetName val="Kode"/>
      <sheetName val="DK"/>
      <sheetName val="LPIS"/>
      <sheetName val="PROLOSS"/>
      <sheetName val="General"/>
      <sheetName val="ListVariables"/>
      <sheetName val="detailed"/>
      <sheetName val="IS 0607"/>
      <sheetName val="A3 &amp; U 09-01"/>
      <sheetName val="CR2"/>
      <sheetName val="BP1_23"/>
      <sheetName val="(Global Parameters)"/>
      <sheetName val="SE"/>
      <sheetName val="Invoice I"/>
      <sheetName val="I"/>
      <sheetName val="II"/>
      <sheetName val="AE"/>
      <sheetName val="General Info"/>
      <sheetName val="Scenarios and Sensitivities"/>
      <sheetName val="Operations"/>
      <sheetName val="Financials"/>
      <sheetName val="Global Assumptions"/>
      <sheetName val="RUGILABA"/>
      <sheetName val="FE-1770_P1"/>
      <sheetName val="FE-1770_P2"/>
      <sheetName val="FI-177O_P1"/>
      <sheetName val="FI-1770_P2"/>
      <sheetName val="Irregular_Income"/>
      <sheetName val="tax_calculation"/>
      <sheetName val="data_wp"/>
      <sheetName val="B_S_"/>
      <sheetName val="Input_Sheet"/>
      <sheetName val="CONTRACT REC"/>
      <sheetName val="Master"/>
      <sheetName val="Rin1"/>
      <sheetName val="CIP_USD"/>
      <sheetName val="COA"/>
      <sheetName val="RumusTB 1 bln"/>
      <sheetName val="GAJI"/>
      <sheetName val="all data"/>
      <sheetName val="Lap PPh 21"/>
      <sheetName val="OtherData"/>
      <sheetName val="A"/>
      <sheetName val="Bonus"/>
      <sheetName val="Donat"/>
      <sheetName val="Fuel"/>
      <sheetName val="Jamsostek"/>
      <sheetName val="Meals"/>
      <sheetName val="Medical"/>
      <sheetName val="Overtime"/>
      <sheetName val="Pention"/>
      <sheetName val="Salary"/>
      <sheetName val="GD-BHN KEMASAN"/>
      <sheetName val="GD-BB Kt. A"/>
      <sheetName val="Dumtk"/>
      <sheetName val="紹介カード"/>
      <sheetName val="PBC-FA Reg (Fiscal)"/>
      <sheetName val="YTD April"/>
      <sheetName val="Assumption"/>
      <sheetName val="GSDC"/>
      <sheetName val="Info"/>
      <sheetName val="FinStat"/>
      <sheetName val="TB98,oct99&amp;sap99-WPL"/>
      <sheetName val="Worksheet-03"/>
      <sheetName val="Panen"/>
      <sheetName val="Nm Brg"/>
      <sheetName val="Dictionary"/>
      <sheetName val="BELI"/>
      <sheetName val="N-ASII"/>
      <sheetName val="SOAL30"/>
      <sheetName val="EFECTIF"/>
      <sheetName val="pl_items"/>
      <sheetName val="FA_TP99"/>
      <sheetName val="prodcons"/>
      <sheetName val="polyprods"/>
      <sheetName val="BUT-1"/>
      <sheetName val="HEX-A"/>
      <sheetName val="HEX-E"/>
      <sheetName val="I-BUT"/>
      <sheetName val="RD I-BUT"/>
      <sheetName val="Other"/>
      <sheetName val="ProVisionPricer"/>
      <sheetName val="Slip"/>
      <sheetName val="tunj."/>
      <sheetName val="AKTIVA"/>
      <sheetName val="Grafik-New"/>
      <sheetName val="Input"/>
      <sheetName val="RKAP"/>
      <sheetName val="SHE"/>
      <sheetName val="REPORT"/>
      <sheetName val="DUMAI-$"/>
      <sheetName val="Parameter"/>
      <sheetName val="Settings"/>
      <sheetName val="Cost 2004"/>
      <sheetName val="NAP"/>
      <sheetName val="Mort"/>
      <sheetName val="rent by month"/>
      <sheetName val="F1771-II"/>
      <sheetName val="F1771-III"/>
      <sheetName val="POMALAA"/>
      <sheetName val="FA FISKAL"/>
      <sheetName val="XREF"/>
      <sheetName val="Sheet2"/>
      <sheetName val="Globals"/>
      <sheetName val="Menu"/>
      <sheetName val="Input-Expected Case"/>
      <sheetName val="Input-Best Case"/>
      <sheetName val="Input-Worst Case"/>
      <sheetName val="Expense Detail"/>
      <sheetName val="Other Cargill BU Synergies"/>
      <sheetName val="Revenue Detail"/>
      <sheetName val="OtherTaxAdjustments"/>
      <sheetName val="Input-Expected_Case"/>
      <sheetName val="Input-Best_Case"/>
      <sheetName val="Input-Worst_Case"/>
      <sheetName val="Expense_Detail"/>
      <sheetName val="Other_Cargill_BU_Synergies"/>
      <sheetName val="Revenue_Detail"/>
      <sheetName val="DEP"/>
      <sheetName val="ICEI"/>
      <sheetName val="Royalties-Calculation"/>
      <sheetName val="Permanent_info"/>
      <sheetName val="Ha_Statement_2005-per_rekap_LUK"/>
      <sheetName val="FA_Movement_2001"/>
      <sheetName val="(II-8)2_2_8"/>
      <sheetName val="(I-3)1_3"/>
      <sheetName val="(II-5)2_2_4_(2)"/>
      <sheetName val="K_2__Predictive_Depr"/>
      <sheetName val="Cover_Sheet"/>
      <sheetName val="Exchange_Rates"/>
      <sheetName val="PROJ_CASH"/>
      <sheetName val="FA_Movement"/>
      <sheetName val="Scenarios_and_Sensitivities"/>
      <sheetName val="Global_Assumptions"/>
      <sheetName val="(Global_Parameters)"/>
      <sheetName val="Invoice_I"/>
      <sheetName val="General_Info"/>
      <sheetName val="A-Material__value_"/>
      <sheetName val="BTMU"/>
      <sheetName val="CITIBANK"/>
      <sheetName val="GL-OUT2"/>
      <sheetName val="TTDZ22"/>
      <sheetName val="SPT1770"/>
      <sheetName val="Dapur"/>
      <sheetName val="datasheet"/>
      <sheetName val="% Lbr vs GP"/>
      <sheetName val="Capex"/>
      <sheetName val="Assumptions"/>
      <sheetName val="Bgt"/>
      <sheetName val="Hari"/>
      <sheetName val="Hujan"/>
      <sheetName val="Kirim"/>
      <sheetName val="Mentah"/>
      <sheetName val="Restan"/>
      <sheetName val="Sns"/>
      <sheetName val="As"/>
      <sheetName val="Rinci-Biaya"/>
      <sheetName val="Rinci-Pendapatan"/>
      <sheetName val="2002"/>
      <sheetName val="data_val"/>
      <sheetName val="table"/>
      <sheetName val="A.4.2"/>
      <sheetName val="A.4.3"/>
      <sheetName val="Table Array"/>
      <sheetName val="BSHO Report"/>
      <sheetName val="Check Sheet"/>
      <sheetName val="PLHO Report"/>
      <sheetName val="PLHOENG"/>
      <sheetName val="SDH"/>
      <sheetName val="Ex_Rate"/>
      <sheetName val="CRITERIA2"/>
      <sheetName val="Th.2003"/>
      <sheetName val="TBM"/>
      <sheetName val="HopCon"/>
      <sheetName val="hitung ulang JEPANG"/>
      <sheetName val="prepaid rent"/>
      <sheetName val="addition"/>
      <sheetName val="amortz"/>
      <sheetName val="TB IS0907_IKT"/>
      <sheetName val="Publication"/>
      <sheetName val="Details"/>
      <sheetName val="Commercial"/>
      <sheetName val="3800"/>
      <sheetName val="I.4.1 (2)"/>
      <sheetName val="Farmer-Pond-Monodon"/>
      <sheetName val="BS Account"/>
      <sheetName val="CRA-Detail"/>
      <sheetName val="PPh 23"/>
      <sheetName val="POV"/>
      <sheetName val="BOM"/>
      <sheetName val="5946"/>
      <sheetName val="5442"/>
      <sheetName val="WP AKTIVA"/>
      <sheetName val="KOR"/>
      <sheetName val="id01"/>
      <sheetName val="TN-UNVR"/>
      <sheetName val="WBS2"/>
      <sheetName val="Information"/>
      <sheetName val="Calculation"/>
      <sheetName val="Data Recap"/>
      <sheetName val="Rate"/>
      <sheetName val="Penebusan"/>
      <sheetName val="Angs_B_Group"/>
      <sheetName val="Daf-Rek"/>
      <sheetName val="T"/>
      <sheetName val="HUB"/>
      <sheetName val="lists"/>
      <sheetName val="TP-MARKET"/>
      <sheetName val="TP"/>
      <sheetName val="data_benefit(2)"/>
      <sheetName val="CODE"/>
      <sheetName val="Tab.Daten"/>
      <sheetName val="tunj_"/>
      <sheetName val="ELKP"/>
      <sheetName val="Period"/>
      <sheetName val="Units Summary"/>
      <sheetName val="VA_Calculation"/>
      <sheetName val="Analysis I"/>
      <sheetName val="Kartu"/>
      <sheetName val="Fin_state"/>
      <sheetName val=""/>
      <sheetName val="EVA1"/>
      <sheetName val="INTINC"/>
      <sheetName val="Trading Statement"/>
      <sheetName val="BS"/>
      <sheetName val="PL"/>
      <sheetName val="ＢＳ(年央)"/>
      <sheetName val="Data Sheet"/>
      <sheetName val="TEMP"/>
      <sheetName val=" WP SPT 2012 - 23.04.2013.xlsx"/>
      <sheetName val="TableLookup"/>
      <sheetName val="Trial Bal"/>
      <sheetName val="601"/>
      <sheetName val="PER ABJAD"/>
      <sheetName val="status"/>
      <sheetName val="SUMMARY NDE"/>
      <sheetName val="Detil ARPart"/>
      <sheetName val="SOAL1"/>
      <sheetName val="prod"/>
      <sheetName val="KMS-DIS5"/>
      <sheetName val="Ref"/>
      <sheetName val="harga"/>
      <sheetName val="Sheet8"/>
      <sheetName val="Bobot rev"/>
      <sheetName val="5700.1"/>
      <sheetName val="bjr"/>
      <sheetName val="Benefit_Tab"/>
      <sheetName val="output"/>
      <sheetName val="summary_frm_output"/>
      <sheetName val="decr_table"/>
      <sheetName val="cALC"/>
      <sheetName val="Input_tables"/>
      <sheetName val="PSC_Calc"/>
      <sheetName val="N-AALI"/>
      <sheetName val="J-ASII "/>
      <sheetName val="AUTO"/>
      <sheetName val="BBCA"/>
      <sheetName val="CFIN"/>
      <sheetName val="N-GGRM"/>
      <sheetName val="J-HMSP"/>
      <sheetName val="N-HMSP"/>
      <sheetName val="INAF-N"/>
      <sheetName val="N-ISAT"/>
      <sheetName val="KAEF"/>
      <sheetName val="MTDL"/>
      <sheetName val="N-SMGR"/>
      <sheetName val="SONA"/>
      <sheetName val="SULI"/>
      <sheetName val="N-TINS"/>
      <sheetName val="TLKM-J"/>
      <sheetName val="N-TLKM"/>
      <sheetName val="N-TMPI"/>
      <sheetName val="TRIM"/>
      <sheetName val="N-TSPC"/>
      <sheetName val="N-UNVR"/>
      <sheetName val="LoanNew"/>
      <sheetName val="Analisa Finansial"/>
      <sheetName val="Inputing-Data"/>
      <sheetName val="Flow Product-Raw Material"/>
      <sheetName val="Data Risk"/>
      <sheetName val="Index"/>
      <sheetName val="Quantity Prod"/>
      <sheetName val="PIK_QUO"/>
      <sheetName val="JAN405"/>
      <sheetName val="Tabel PTKP"/>
      <sheetName val="Bahan"/>
      <sheetName val="renc mgn"/>
      <sheetName val="pro ra op"/>
      <sheetName val="jobhist"/>
      <sheetName val="BI RATE"/>
      <sheetName val="Inputs"/>
      <sheetName val="JURNAL"/>
      <sheetName val="AALI-J"/>
      <sheetName val="AMFG"/>
      <sheetName val="ANTA"/>
      <sheetName val="ANTM"/>
      <sheetName val="ANTM-N"/>
      <sheetName val="ASGR-N"/>
      <sheetName val="BBCA-J"/>
      <sheetName val="N-BBNI"/>
      <sheetName val="BDMN"/>
      <sheetName val="BEKS"/>
      <sheetName val="BHIT"/>
      <sheetName val="N-BLTA"/>
      <sheetName val="BMTR-N"/>
      <sheetName val="BMTR"/>
      <sheetName val="BNGA"/>
      <sheetName val="BNGAN"/>
      <sheetName val="BNII"/>
      <sheetName val="N-BNII"/>
      <sheetName val="BUMI"/>
      <sheetName val="CMNP"/>
      <sheetName val="N-CMNP-N"/>
      <sheetName val="CPIN"/>
      <sheetName val="CTRS"/>
      <sheetName val="DGSA"/>
      <sheetName val="DNKS-N"/>
      <sheetName val="DSUC"/>
      <sheetName val="DVLA"/>
      <sheetName val="DVLAN"/>
      <sheetName val="DYNA-N"/>
      <sheetName val="N-EPMT"/>
      <sheetName val="ETWA"/>
      <sheetName val="GGRM-J"/>
      <sheetName val="N-GJTL"/>
      <sheetName val="HERO"/>
      <sheetName val="HERO-N"/>
      <sheetName val="IDSR"/>
      <sheetName val="INAF-J"/>
      <sheetName val="N-INCO"/>
      <sheetName val="N-INDF"/>
      <sheetName val="INDF"/>
      <sheetName val="N-INDR"/>
      <sheetName val="N-INKP"/>
      <sheetName val="N-INTP"/>
      <sheetName val="ISAT"/>
      <sheetName val="J-JIHD"/>
      <sheetName val="N-JIHD"/>
      <sheetName val="KAEF-J"/>
      <sheetName val="N-KLBF"/>
      <sheetName val="KOMIN"/>
      <sheetName val="N-KOPI"/>
      <sheetName val="KOPI"/>
      <sheetName val="LAPD"/>
      <sheetName val="LPBN"/>
      <sheetName val="LPBNN"/>
      <sheetName val="N-LPLI"/>
      <sheetName val="N-LPPS"/>
      <sheetName val="N-LTLS"/>
      <sheetName val="MEDCN"/>
      <sheetName val="MEGA"/>
      <sheetName val="N-MLIA"/>
      <sheetName val="MLPL"/>
      <sheetName val="MPPA"/>
      <sheetName val="MPPAN"/>
      <sheetName val="N-PNBN"/>
      <sheetName val="PYFA"/>
      <sheetName val="N-RALS"/>
      <sheetName val="RMBA"/>
      <sheetName val="SCM"/>
      <sheetName val="SMAR"/>
      <sheetName val="SMCB"/>
      <sheetName val="J-SMGR"/>
      <sheetName val="SONA-J"/>
      <sheetName val="N-TKIM"/>
      <sheetName val="TSPC"/>
      <sheetName val="N-UNTR"/>
      <sheetName val="JUAL"/>
      <sheetName val="neraca"/>
      <sheetName val="F1771-IV"/>
      <sheetName val="F1771-V"/>
      <sheetName val="Query"/>
      <sheetName val="Alfa"/>
      <sheetName val="Alfamart"/>
      <sheetName val="Matahari"/>
      <sheetName val="Indomaret"/>
      <sheetName val="Indogrosir"/>
      <sheetName val="Lion"/>
      <sheetName val="Ramayana"/>
      <sheetName val="Ada"/>
      <sheetName val="SriRatu"/>
      <sheetName val="Moro"/>
      <sheetName val="Pamela"/>
      <sheetName val="Luwes"/>
      <sheetName val="Hypermart"/>
      <sheetName val="Carefour"/>
      <sheetName val="Rita"/>
      <sheetName val="Makro"/>
      <sheetName val="ImpPurJournal"/>
      <sheetName val="BBI"/>
      <sheetName val="hitung_ulang_JEPANG"/>
      <sheetName val="#REF"/>
      <sheetName val="Customize Your Purchase Order"/>
      <sheetName val="23000-24990old"/>
      <sheetName val="SCFP"/>
      <sheetName val="TABEL"/>
      <sheetName val="U.P"/>
      <sheetName val="SUPPORT"/>
      <sheetName val="FE-1771$.P1"/>
      <sheetName val="Client Aje"/>
      <sheetName val="Journal Template"/>
      <sheetName val="10 yr val"/>
      <sheetName val="Pro-Base"/>
      <sheetName val="Sheet1 (3)"/>
      <sheetName val="UPAH"/>
      <sheetName val="Resume"/>
      <sheetName val="Daftar No MAPPI"/>
      <sheetName val="INV"/>
      <sheetName val="FINISHING"/>
      <sheetName val="FORM-X-1"/>
      <sheetName val="prg-old"/>
      <sheetName val="Huruf-INV"/>
      <sheetName val="RATIO"/>
      <sheetName val="Analisa BCT Permanen"/>
      <sheetName val="GEN EXP JANUARY"/>
      <sheetName val="Confirmation"/>
      <sheetName val="MAIN"/>
      <sheetName val="Buku Besar 1"/>
      <sheetName val="Data Base"/>
      <sheetName val="adm"/>
      <sheetName val="qc"/>
      <sheetName val="trn"/>
      <sheetName val="Dati base"/>
      <sheetName val="Profile"/>
      <sheetName val="COPA DETAIL"/>
      <sheetName val="Total"/>
      <sheetName val="Val_nra2"/>
      <sheetName val="COGS"/>
      <sheetName val="Lumpsum Hatch"/>
      <sheetName val="Asumsi"/>
      <sheetName val="PROM DKI"/>
      <sheetName val="TERIMA KUDUS"/>
      <sheetName val="WP"/>
      <sheetName val="define name"/>
      <sheetName val="Scenarios&amp;Sensitivities"/>
      <sheetName val="Tabel Berat"/>
      <sheetName val="fa agst"/>
      <sheetName val="HO"/>
      <sheetName val="Level 1-3 Listing"/>
      <sheetName val="KKP INDUK"/>
      <sheetName val="UMUM"/>
      <sheetName val="NOM21"/>
      <sheetName val="PENUGASAN"/>
      <sheetName val="Format Report-for analysis only"/>
      <sheetName val="TABEL AFILIASI"/>
      <sheetName val="tank"/>
      <sheetName val="2007 Inc Stmt Budget by Month"/>
      <sheetName val="Fax LTV1 LTV2 TV3 OPT"/>
      <sheetName val="List B"/>
      <sheetName val=" NAMA"/>
      <sheetName val="4b Consolidated PL"/>
      <sheetName val="Marshal -1"/>
      <sheetName val="UNADJUSTED AOP"/>
      <sheetName val="2003 Forecast"/>
      <sheetName val="2004 Risk Adjusted AOP"/>
      <sheetName val="2005 Risk Adjusted AOP"/>
      <sheetName val="General Assumptions"/>
      <sheetName val="Deferred Finance Fees"/>
      <sheetName val="EJV Report"/>
      <sheetName val="EJV Historicals"/>
      <sheetName val="CF Consolidated"/>
      <sheetName val="Debt Assumptions"/>
      <sheetName val="IS SBU"/>
      <sheetName val="Financing Assumptions"/>
      <sheetName val="links"/>
      <sheetName val="Periode"/>
      <sheetName val="laporan"/>
      <sheetName val="PARAMETRES"/>
      <sheetName val="JL_BEL"/>
      <sheetName val="DATA_JUALAN"/>
      <sheetName val="Customize Your Invoice"/>
      <sheetName val="Invoice"/>
      <sheetName val="1 - B1 (KBIs)"/>
      <sheetName val="12-06-ins"/>
      <sheetName val="KONSOL_UNIT"/>
      <sheetName val="FA_FISKAL"/>
      <sheetName val="Rincian_Iuran"/>
      <sheetName val="By UPO"/>
      <sheetName val="summary KPI"/>
      <sheetName val="IDENTITAS"/>
      <sheetName val="B2 (Act by Mth) Total"/>
      <sheetName val="2003 Bgt"/>
      <sheetName val="AGING"/>
      <sheetName val="bezeting."/>
      <sheetName val="C1 NOV"/>
      <sheetName val="O c t"/>
      <sheetName val="A p r"/>
      <sheetName val="M a y"/>
      <sheetName val="00 received in 01"/>
      <sheetName val="F e b"/>
      <sheetName val="Per GL J a n"/>
      <sheetName val="J u n"/>
      <sheetName val="A u g"/>
      <sheetName val="J u l"/>
      <sheetName val="Detail"/>
      <sheetName val="05_07"/>
      <sheetName val="name"/>
      <sheetName val="rumus"/>
      <sheetName val="OLIE"/>
      <sheetName val="an. struktur"/>
      <sheetName val="harsat"/>
      <sheetName val="Dashboard"/>
      <sheetName val="Biaya PKS"/>
      <sheetName val="Produksi &amp; Scedule"/>
      <sheetName val="Risk Analisis"/>
      <sheetName val="BEP"/>
      <sheetName val="Depre"/>
      <sheetName val="Pemeliharaan"/>
      <sheetName val="Cash-flow"/>
      <sheetName val="IRR"/>
      <sheetName val="IRR ALL"/>
      <sheetName val="Assumption &amp; Dashboard."/>
      <sheetName val="Bor Pile"/>
      <sheetName val="Uraian kapal"/>
      <sheetName val="Std-Prod KS"/>
      <sheetName val="Bangunan"/>
      <sheetName val="Aug"/>
      <sheetName val="Mar"/>
      <sheetName val="Jun"/>
      <sheetName val="Jul"/>
      <sheetName val="Apr"/>
      <sheetName val="Jan"/>
      <sheetName val="Sept"/>
      <sheetName val="Jadwal Pemb Bank"/>
      <sheetName val="VARCOST"/>
      <sheetName val="WBS"/>
      <sheetName val="WPL"/>
      <sheetName val="Travel"/>
      <sheetName val="MCOST1"/>
      <sheetName val="RF"/>
      <sheetName val="AssetDB"/>
      <sheetName val="HRS"/>
      <sheetName val="MDB"/>
      <sheetName val="PAR"/>
      <sheetName val="ITRate"/>
      <sheetName val="VHCRate"/>
      <sheetName val="Checker"/>
      <sheetName val="FIXED FLOAT"/>
      <sheetName val="HOLDING-TB"/>
      <sheetName val="Setup Variables"/>
      <sheetName val="2040006000"/>
      <sheetName val="MUTASIKASBANK"/>
      <sheetName val="TB Dec"/>
      <sheetName val="Summary '08"/>
      <sheetName val="PANIN"/>
      <sheetName val="May"/>
      <sheetName val="Factor Tables"/>
      <sheetName val="jasa giro"/>
      <sheetName val="Tickmarks"/>
      <sheetName val="Depresiasi"/>
      <sheetName val="Additional"/>
      <sheetName val="Mutasi Final"/>
      <sheetName val="Income Statement"/>
      <sheetName val="Excess Calc"/>
      <sheetName val="NRC"/>
      <sheetName val="BBM-03"/>
      <sheetName val="PL-Srt2"/>
      <sheetName val="06aktt"/>
      <sheetName val="PPh 22"/>
      <sheetName val="Annual-Plan-1998-A-US$-Rupiah-F"/>
      <sheetName val="B"/>
      <sheetName val="Data Base Uraian"/>
      <sheetName val="Index (H)"/>
      <sheetName val="ANALISA ALAT BERAT"/>
      <sheetName val="DAF-2"/>
      <sheetName val="LEGEND"/>
      <sheetName val="BIAYA UMUM"/>
      <sheetName val="SDM"/>
      <sheetName val="RAB"/>
      <sheetName val="FE-1770_P11"/>
      <sheetName val="FE-1770_P21"/>
      <sheetName val="FI-177O_P11"/>
      <sheetName val="FI-1770_P21"/>
      <sheetName val="Irregular_Income1"/>
      <sheetName val="tax_calculation1"/>
      <sheetName val="data_wp1"/>
      <sheetName val="Permanent_info1"/>
      <sheetName val="A-Material__value_1"/>
      <sheetName val="ANALISA_ALAT_BERAT"/>
      <sheetName val="RumusTB_1_bln"/>
      <sheetName val="Ha_Statement_2005-per_rekap_LU1"/>
      <sheetName val="B_S_1"/>
      <sheetName val="Input_Sheet1"/>
      <sheetName val="FA_Movement_20011"/>
      <sheetName val="(II-8)2_2_81"/>
      <sheetName val="(I-3)1_31"/>
      <sheetName val="(II-5)2_2_4_(2)1"/>
      <sheetName val="BIAYA_UMUM"/>
      <sheetName val="Nm_Brg"/>
      <sheetName val="all_data"/>
      <sheetName val="Lap_PPh_21"/>
      <sheetName val="K_2__Predictive_Depr1"/>
      <sheetName val="Cover_Sheet1"/>
      <sheetName val="Exchange_Rates1"/>
      <sheetName val="PROJ_CASH1"/>
      <sheetName val="GD-BHN_KEMASAN"/>
      <sheetName val="GD-BB_Kt__A"/>
      <sheetName val="Sheet1_(2)"/>
      <sheetName val="(Global_Parameters)1"/>
      <sheetName val="Invoice_I1"/>
      <sheetName val="General_Info1"/>
      <sheetName val="FA_Movement1"/>
      <sheetName val="Scenarios_and_Sensitivities1"/>
      <sheetName val="Global_Assumptions1"/>
      <sheetName val="A3_&amp;_U_09-01"/>
      <sheetName val="J-ASII_"/>
      <sheetName val="PBC-FA_Reg_(Fiscal)"/>
      <sheetName val="YTD_April"/>
      <sheetName val="WP_AKTIVA"/>
      <sheetName val="Bobot_rev"/>
      <sheetName val="5700_1"/>
      <sheetName val="Analisa_Finansial"/>
      <sheetName val="Flow_Product-Raw_Material"/>
      <sheetName val="Data_Risk"/>
      <sheetName val="Quantity_Prod"/>
      <sheetName val="Data_Sheet"/>
      <sheetName val="_WP_SPT_2012_-_23_04_2013_xlsx"/>
      <sheetName val="Trial_Bal"/>
      <sheetName val="RD_I-BUT"/>
      <sheetName val="TB_IS0907_IKT"/>
      <sheetName val="CONTRACT_REC"/>
      <sheetName val="rent_by_month"/>
      <sheetName val="prepaid_rent"/>
      <sheetName val="Tabel_PTKP"/>
      <sheetName val="Cost_2004"/>
      <sheetName val="Trading_Statement"/>
      <sheetName val="renc_mgn"/>
      <sheetName val="pro_ra_op"/>
      <sheetName val="IS_0607"/>
      <sheetName val="BI_RATE"/>
      <sheetName val="Input-Expected_Case1"/>
      <sheetName val="Input-Best_Case1"/>
      <sheetName val="Input-Worst_Case1"/>
      <sheetName val="Expense_Detail1"/>
      <sheetName val="Other_Cargill_BU_Synergies1"/>
      <sheetName val="Revenue_Detail1"/>
      <sheetName val="Assumption_&amp;_Result"/>
      <sheetName val="FE-1770_P12"/>
      <sheetName val="FE-1770_P22"/>
      <sheetName val="FI-177O_P12"/>
      <sheetName val="FI-1770_P22"/>
      <sheetName val="Irregular_Income2"/>
      <sheetName val="tax_calculation2"/>
      <sheetName val="data_wp2"/>
      <sheetName val="Rincian_Iuran1"/>
      <sheetName val="Permanent_info2"/>
      <sheetName val="A-Material__value_2"/>
      <sheetName val="ANALISA_ALAT_BERAT1"/>
      <sheetName val="BIAYA_UMUM1"/>
      <sheetName val="RumusTB_1_bln1"/>
      <sheetName val="Ha_Statement_2005-per_rekap_LU2"/>
      <sheetName val="B_S_2"/>
      <sheetName val="Input_Sheet2"/>
      <sheetName val="FA_Movement_20012"/>
      <sheetName val="(II-8)2_2_82"/>
      <sheetName val="(I-3)1_32"/>
      <sheetName val="(II-5)2_2_4_(2)2"/>
      <sheetName val="Nm_Brg1"/>
      <sheetName val="all_data1"/>
      <sheetName val="Lap_PPh_211"/>
      <sheetName val="K_2__Predictive_Depr2"/>
      <sheetName val="Cover_Sheet2"/>
      <sheetName val="Exchange_Rates2"/>
      <sheetName val="PROJ_CASH2"/>
      <sheetName val="GD-BHN_KEMASAN1"/>
      <sheetName val="GD-BB_Kt__A1"/>
      <sheetName val="Sheet1_(2)1"/>
      <sheetName val="KONSOL_UNIT1"/>
      <sheetName val="FA_FISKAL1"/>
      <sheetName val="(Global_Parameters)2"/>
      <sheetName val="Invoice_I2"/>
      <sheetName val="General_Info2"/>
      <sheetName val="FA_Movement2"/>
      <sheetName val="Scenarios_and_Sensitivities2"/>
      <sheetName val="Global_Assumptions2"/>
      <sheetName val="A3_&amp;_U_09-011"/>
      <sheetName val="J-ASII_1"/>
      <sheetName val="PBC-FA_Reg_(Fiscal)1"/>
      <sheetName val="YTD_April1"/>
      <sheetName val="WP_AKTIVA1"/>
      <sheetName val="Bobot_rev1"/>
      <sheetName val="5700_11"/>
      <sheetName val="Analisa_Finansial1"/>
      <sheetName val="Flow_Product-Raw_Material1"/>
      <sheetName val="Data_Risk1"/>
      <sheetName val="Quantity_Prod1"/>
      <sheetName val="Data_Sheet1"/>
      <sheetName val="_WP_SPT_2012_-_23_04_2013_xlsx1"/>
      <sheetName val="Trial_Bal1"/>
      <sheetName val="RD_I-BUT1"/>
      <sheetName val="TB_IS0907_IKT1"/>
      <sheetName val="CONTRACT_REC1"/>
      <sheetName val="rent_by_month1"/>
      <sheetName val="prepaid_rent1"/>
      <sheetName val="Tabel_PTKP1"/>
      <sheetName val="Cost_20041"/>
      <sheetName val="Trading_Statement1"/>
      <sheetName val="renc_mgn1"/>
      <sheetName val="pro_ra_op1"/>
      <sheetName val="IS_06071"/>
      <sheetName val="BI_RATE1"/>
      <sheetName val="tunj_1"/>
      <sheetName val="Input-Expected_Case2"/>
      <sheetName val="Input-Best_Case2"/>
      <sheetName val="Input-Worst_Case2"/>
      <sheetName val="Expense_Detail2"/>
      <sheetName val="Other_Cargill_BU_Synergies2"/>
      <sheetName val="Revenue_Detail2"/>
      <sheetName val="Assumption_&amp;_Result1"/>
      <sheetName val="KKL2002"/>
      <sheetName val="Mutasi Gab"/>
      <sheetName val="FS (2)"/>
      <sheetName val="JU"/>
      <sheetName val="SAA2"/>
      <sheetName val="SAA"/>
      <sheetName val="PERJAM KTG"/>
      <sheetName val="PETAK TEBNG"/>
      <sheetName val="BKKAS"/>
      <sheetName val="Belmera"/>
      <sheetName val="Cawang Tomang Cengkareng"/>
      <sheetName val="Jakarta Cikampek"/>
      <sheetName val="Citarum"/>
      <sheetName val="Jagorawi"/>
      <sheetName val="Jakarta Merak"/>
      <sheetName val="Padalarang Cileunyi"/>
      <sheetName val="Palikanci"/>
      <sheetName val="Semarang"/>
      <sheetName val="WS"/>
      <sheetName val="Manufacturing"/>
      <sheetName val="RMCONS"/>
      <sheetName val="CGS"/>
      <sheetName val="Instructions"/>
      <sheetName val="DCF Inputs"/>
      <sheetName val="FO"/>
      <sheetName val="Kode Rek PJA"/>
      <sheetName val="Assumptions and Dashboard"/>
      <sheetName val="CGSgm2"/>
      <sheetName val="CGSsp"/>
      <sheetName val="Factors"/>
      <sheetName val="Sales"/>
      <sheetName val="FKT_PJK"/>
      <sheetName val="AcqIS"/>
      <sheetName val="AcqBSCF"/>
      <sheetName val="Debt Schedule"/>
      <sheetName val="DCF Buildup"/>
      <sheetName val="Control Sheet"/>
      <sheetName val="FF-6"/>
      <sheetName val="FF-21(a)"/>
      <sheetName val="O4_CA"/>
      <sheetName val="O5_IBA"/>
      <sheetName val="BPR"/>
      <sheetName val="PEMAKAIAN PAKAN &amp; OBAT"/>
      <sheetName val="Analisa STR"/>
      <sheetName val="DAT-2"/>
      <sheetName val="ACC"/>
      <sheetName val="KKP 01 Audit"/>
      <sheetName val="AKUN"/>
      <sheetName val="MacetRPA"/>
      <sheetName val="%_Lbr_vs_GP"/>
      <sheetName val="Data_Recap"/>
      <sheetName val="Tab_Daten"/>
      <sheetName val="Master COA"/>
    </sheetNames>
    <sheetDataSet>
      <sheetData sheetId="0" refreshError="1">
        <row r="29">
          <cell r="AY29" t="str">
            <v>01234</v>
          </cell>
        </row>
        <row r="70">
          <cell r="V70" t="str">
            <v>MARRIED</v>
          </cell>
          <cell r="AA70">
            <v>1</v>
          </cell>
        </row>
      </sheetData>
      <sheetData sheetId="1">
        <row r="29">
          <cell r="AY29" t="str">
            <v>01234</v>
          </cell>
        </row>
      </sheetData>
      <sheetData sheetId="2" refreshError="1">
        <row r="29">
          <cell r="AY29" t="str">
            <v>01234</v>
          </cell>
        </row>
        <row r="35">
          <cell r="AE35">
            <v>0</v>
          </cell>
        </row>
        <row r="70">
          <cell r="AB70">
            <v>-1296000</v>
          </cell>
        </row>
        <row r="98">
          <cell r="AA98">
            <v>0</v>
          </cell>
        </row>
      </sheetData>
      <sheetData sheetId="3" refreshError="1">
        <row r="29">
          <cell r="AY29" t="str">
            <v>01234</v>
          </cell>
        </row>
        <row r="42">
          <cell r="I42">
            <v>0</v>
          </cell>
        </row>
        <row r="69">
          <cell r="Q69">
            <v>0</v>
          </cell>
        </row>
      </sheetData>
      <sheetData sheetId="4">
        <row r="29">
          <cell r="AY29" t="str">
            <v>01234</v>
          </cell>
        </row>
      </sheetData>
      <sheetData sheetId="5">
        <row r="29">
          <cell r="AY29" t="str">
            <v>01234</v>
          </cell>
        </row>
      </sheetData>
      <sheetData sheetId="6">
        <row r="29">
          <cell r="AY29" t="str">
            <v>01234</v>
          </cell>
        </row>
      </sheetData>
      <sheetData sheetId="7">
        <row r="29">
          <cell r="AY29" t="str">
            <v>01234</v>
          </cell>
        </row>
      </sheetData>
      <sheetData sheetId="8">
        <row r="29">
          <cell r="AY29" t="str">
            <v>01234</v>
          </cell>
        </row>
      </sheetData>
      <sheetData sheetId="9">
        <row r="29">
          <cell r="AY29" t="str">
            <v>01234</v>
          </cell>
        </row>
      </sheetData>
      <sheetData sheetId="10">
        <row r="29">
          <cell r="AY29" t="str">
            <v>01234</v>
          </cell>
        </row>
      </sheetData>
      <sheetData sheetId="11">
        <row r="29">
          <cell r="AY29" t="str">
            <v>01234</v>
          </cell>
        </row>
      </sheetData>
      <sheetData sheetId="12">
        <row r="29">
          <cell r="AY29" t="str">
            <v>01234</v>
          </cell>
        </row>
      </sheetData>
      <sheetData sheetId="13">
        <row r="29">
          <cell r="AY29" t="str">
            <v>01234</v>
          </cell>
        </row>
      </sheetData>
      <sheetData sheetId="14">
        <row r="29">
          <cell r="AY29" t="str">
            <v>01234</v>
          </cell>
        </row>
      </sheetData>
      <sheetData sheetId="15">
        <row r="29">
          <cell r="AY29" t="str">
            <v>01234</v>
          </cell>
        </row>
      </sheetData>
      <sheetData sheetId="16">
        <row r="29">
          <cell r="AY29" t="str">
            <v>01234</v>
          </cell>
        </row>
      </sheetData>
      <sheetData sheetId="17">
        <row r="29">
          <cell r="AY29" t="str">
            <v>01234</v>
          </cell>
        </row>
      </sheetData>
      <sheetData sheetId="18">
        <row r="29">
          <cell r="AY29" t="str">
            <v>01234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>
        <row r="29">
          <cell r="AY29" t="str">
            <v>01234</v>
          </cell>
        </row>
      </sheetData>
      <sheetData sheetId="694"/>
      <sheetData sheetId="695"/>
      <sheetData sheetId="696"/>
      <sheetData sheetId="697"/>
      <sheetData sheetId="698"/>
      <sheetData sheetId="699"/>
      <sheetData sheetId="700">
        <row r="29">
          <cell r="AY29" t="str">
            <v>01234</v>
          </cell>
        </row>
      </sheetData>
      <sheetData sheetId="701"/>
      <sheetData sheetId="702"/>
      <sheetData sheetId="703"/>
      <sheetData sheetId="704"/>
      <sheetData sheetId="705"/>
      <sheetData sheetId="706"/>
      <sheetData sheetId="707">
        <row r="29">
          <cell r="AY29" t="str">
            <v>01234</v>
          </cell>
        </row>
      </sheetData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/>
      <sheetData sheetId="849"/>
      <sheetData sheetId="850"/>
      <sheetData sheetId="85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manent info"/>
      <sheetName val="Lampiran"/>
      <sheetName val="Art. 23 recons"/>
      <sheetName val="Marshal -1"/>
      <sheetName val="ppH25 &amp; PROVISION"/>
      <sheetName val="BIK-NDE"/>
      <sheetName val="Penyusutan"/>
      <sheetName val="Addition"/>
      <sheetName val="Sheet1"/>
      <sheetName val="F1771"/>
      <sheetName val="F1771-I"/>
      <sheetName val="F1771-II."/>
      <sheetName val="F1771-III"/>
      <sheetName val="F1771-V."/>
      <sheetName val="F1771-VI"/>
      <sheetName val="Marshal _1"/>
      <sheetName val="FINALPHP"/>
      <sheetName val="FE-1770-I"/>
      <sheetName val="FE-1770.P1"/>
      <sheetName val="FE-1770-II"/>
      <sheetName val="Calculation"/>
      <sheetName val="EmpData"/>
      <sheetName val="Information"/>
      <sheetName val="CapEx &amp; Opr-Cost"/>
      <sheetName val="Consumables"/>
      <sheetName val="Properties"/>
      <sheetName val="SD &amp; Impl"/>
      <sheetName val="Marshal"/>
      <sheetName val="General"/>
      <sheetName val="bre"/>
      <sheetName val="BUT-1"/>
      <sheetName val="HEX-A"/>
      <sheetName val="HEX-E"/>
      <sheetName val="I-BUT"/>
      <sheetName val="RD I-BUT"/>
      <sheetName val="CONTRACT REC"/>
      <sheetName val="Data Sheet"/>
      <sheetName val="Input &amp; Summary"/>
      <sheetName val="A"/>
      <sheetName val="AN_Input"/>
      <sheetName val="Entry  HTM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By Account MTD"/>
      <sheetName val="By Account YTD"/>
      <sheetName val="Direct expenses MTD"/>
      <sheetName val="Equity MTD"/>
      <sheetName val="Equity YTD"/>
      <sheetName val="Variables"/>
      <sheetName val="FID MTD"/>
      <sheetName val="FID YTD"/>
      <sheetName val="IBD MTD"/>
      <sheetName val="IBD YTD"/>
      <sheetName val="By Product MTD"/>
      <sheetName val="By Product YTD"/>
      <sheetName val="Total expenses MTD "/>
      <sheetName val="PROLOSS"/>
      <sheetName val="FRN"/>
      <sheetName val="Table Array"/>
      <sheetName val="Lead"/>
      <sheetName val="Coding"/>
      <sheetName val="Benefit Factors"/>
      <sheetName val="FA Movement"/>
      <sheetName val="PL98"/>
      <sheetName val="CAJE"/>
      <sheetName val="UNFOREX"/>
      <sheetName val="MasterSheet"/>
      <sheetName val="TBM"/>
      <sheetName val="Info"/>
      <sheetName val="GeneralInfo"/>
      <sheetName val="FEB"/>
      <sheetName val="Journal Template"/>
      <sheetName val="BQ-E20-02(Rp)"/>
      <sheetName val="Bangunan Utama"/>
      <sheetName val="Drill-Down Tables"/>
      <sheetName val="E 4 - Long Out. Analysis"/>
      <sheetName val="CGS"/>
      <sheetName val="RMCONS"/>
      <sheetName val="Volume Graph (May-ytd)"/>
      <sheetName val="Budget04"/>
      <sheetName val="DBS-SPT1771-1998"/>
      <sheetName val="FBL5n 14 Sep 08"/>
      <sheetName val="DaftarBASTD2010"/>
      <sheetName val="DataMemoRevisiKontrak_Reschedul"/>
      <sheetName val="ged"/>
      <sheetName val="Interdata"/>
      <sheetName val="Ex-Rate"/>
      <sheetName val="DBase"/>
      <sheetName val="CAPIN99B"/>
      <sheetName val="FA99B"/>
      <sheetName val="P&amp;L"/>
      <sheetName val="Q1 JPN Working Budget"/>
      <sheetName val="START"/>
      <sheetName val="EV"/>
      <sheetName val="data_val"/>
      <sheetName val="Local"/>
      <sheetName val="DATABASE"/>
      <sheetName val="Tran0104"/>
      <sheetName val="fraisfi 2000"/>
      <sheetName val="budget idr"/>
      <sheetName val="Permanent_info"/>
      <sheetName val="Art__23_recons"/>
      <sheetName val="Marshal_-1"/>
      <sheetName val="ppH25_&amp;_PROVISION"/>
      <sheetName val="F1771-II_"/>
      <sheetName val="F1771-V_"/>
      <sheetName val="Marshal__1"/>
      <sheetName val="RD_I-BUT"/>
      <sheetName val="CONTRACT_REC"/>
      <sheetName val="FE-1770_P1"/>
      <sheetName val="CapEx_&amp;_Opr-Cost"/>
      <sheetName val="SD_&amp;_Impl"/>
      <sheetName val="Data_Sheet"/>
      <sheetName val="FA_Movement"/>
      <sheetName val="Entry__HTM"/>
      <sheetName val="List"/>
      <sheetName val="SAD"/>
      <sheetName val="HITUNG"/>
      <sheetName val="HC PLAN"/>
      <sheetName val="Trial"/>
      <sheetName val="MACRO2"/>
      <sheetName val="tax-ss"/>
      <sheetName val="Daftar Cab"/>
      <sheetName val="Mutasi GA"/>
      <sheetName val="SAP Data"/>
      <sheetName val="COA"/>
      <sheetName val="CDMACapacity"/>
      <sheetName val="Slip"/>
      <sheetName val="KONS2007"/>
      <sheetName val="Price"/>
      <sheetName val="Cover Sheet"/>
      <sheetName val="PRO"/>
      <sheetName val="Exchange Rates"/>
      <sheetName val="PROJ CASH"/>
      <sheetName val="RumusTB 1 bln"/>
      <sheetName val="summary_frm_output"/>
      <sheetName val="Input_tables"/>
      <sheetName val="Panen"/>
      <sheetName val="Nm Brg"/>
      <sheetName val="FBL5n_14_Sep_08"/>
      <sheetName val="Input_&amp;_Summary"/>
      <sheetName val="A_u_g"/>
      <sheetName val="J_u_l"/>
      <sheetName val="O_c_t"/>
      <sheetName val="A_p_r"/>
      <sheetName val="M_a_y"/>
      <sheetName val="S_e_p"/>
      <sheetName val="00_received_in_01"/>
      <sheetName val="F_e_b"/>
      <sheetName val="Per_GL_J_a_n"/>
      <sheetName val="J_u_n"/>
      <sheetName val="M_a_r"/>
      <sheetName val="Table_Array"/>
      <sheetName val="Benefit_Factors"/>
      <sheetName val="Drill-Down_Tables"/>
      <sheetName val="Journal_Template"/>
      <sheetName val="By_Account_MTD"/>
      <sheetName val="By_Account_YTD"/>
      <sheetName val="Direct_expenses_MTD"/>
      <sheetName val="Equity_MTD"/>
      <sheetName val="Equity_YTD"/>
      <sheetName val="FID_MTD"/>
      <sheetName val="FID_YTD"/>
      <sheetName val="IBD_MTD"/>
      <sheetName val="IBD_YTD"/>
      <sheetName val="By_Product_MTD"/>
      <sheetName val="By_Product_YTD"/>
      <sheetName val="Total_expenses_MTD_"/>
      <sheetName val="Volume_Graph_(May-ytd)"/>
      <sheetName val="Bangunan_Utama"/>
      <sheetName val="E_4_-_Long_Out__Analysis"/>
      <sheetName val="Calculation Information"/>
      <sheetName val="lapkeu"/>
      <sheetName val="FE_1770_I"/>
      <sheetName val="FE_1770_P1"/>
      <sheetName val="FE_1770_II"/>
      <sheetName val="master"/>
      <sheetName val="KKP 01 Audit"/>
      <sheetName val="Worksheet-03"/>
      <sheetName val="Page 3"/>
      <sheetName val="Capex.det"/>
      <sheetName val="Opcost"/>
      <sheetName val="Revenue"/>
      <sheetName val="Oil"/>
      <sheetName val="I.4.1 (2)"/>
      <sheetName val="CUSTOMER"/>
      <sheetName val="EFECTIF"/>
      <sheetName val="GD-BHN KEMASAN"/>
      <sheetName val="GD-BB Kt. A"/>
      <sheetName val="Bgt"/>
      <sheetName val="Hari"/>
      <sheetName val="Hujan"/>
      <sheetName val="Kirim"/>
      <sheetName val="Mentah"/>
      <sheetName val="Restan"/>
      <sheetName val="Sns"/>
      <sheetName val="UNITPRICE"/>
      <sheetName val="Bill sipil"/>
      <sheetName val="Parameters"/>
      <sheetName val="2x2 1+0"/>
      <sheetName val="Rincian Iuran"/>
      <sheetName val="Dumtk"/>
      <sheetName val="Credit-22"/>
      <sheetName val="SheetGMP"/>
      <sheetName val="SheetGMT"/>
      <sheetName val="CURRENCY C.O.A."/>
      <sheetName val="WBS (2)salah"/>
      <sheetName val="Menu"/>
      <sheetName val="Permanent_info1"/>
      <sheetName val="Art__23_recons1"/>
      <sheetName val="Marshal_-11"/>
      <sheetName val="ppH25_&amp;_PROVISION1"/>
      <sheetName val="F1771-II_1"/>
      <sheetName val="F1771-V_1"/>
      <sheetName val="Marshal__11"/>
      <sheetName val="WBS_(2)salah"/>
      <sheetName val="Permanent_info2"/>
      <sheetName val="Art__23_recons2"/>
      <sheetName val="Marshal_-12"/>
      <sheetName val="ppH25_&amp;_PROVISION2"/>
      <sheetName val="F1771-II_2"/>
      <sheetName val="F1771-V_2"/>
      <sheetName val="Marshal__12"/>
      <sheetName val="RD_I-BUT1"/>
      <sheetName val="CONTRACT_REC1"/>
      <sheetName val="FE-1770_P11"/>
      <sheetName val="WBS_(2)salah1"/>
      <sheetName val="Cover_Sheet"/>
      <sheetName val="Exchange_Rates"/>
      <sheetName val="PROJ_CASH"/>
      <sheetName val="RumusTB_1_bln"/>
      <sheetName val="Nm_Brg"/>
      <sheetName val="Rincian_Iuran"/>
      <sheetName val="GD-BHN_KEMASAN"/>
      <sheetName val="GD-BB_Kt__A"/>
      <sheetName val="Bill_sipil"/>
      <sheetName val="2x2_1+0"/>
      <sheetName val="cons_workpapers"/>
      <sheetName val="Permanent_info3"/>
      <sheetName val="Art__23_recons3"/>
      <sheetName val="Marshal_-13"/>
      <sheetName val="ppH25_&amp;_PROVISION3"/>
      <sheetName val="F1771-II_3"/>
      <sheetName val="F1771-V_3"/>
      <sheetName val="Marshal__13"/>
      <sheetName val="RD_I-BUT2"/>
      <sheetName val="CONTRACT_REC2"/>
      <sheetName val="FE-1770_P12"/>
      <sheetName val="WBS_(2)salah2"/>
      <sheetName val="Cover_Sheet1"/>
      <sheetName val="Exchange_Rates1"/>
      <sheetName val="PROJ_CASH1"/>
      <sheetName val="RumusTB_1_bln1"/>
      <sheetName val="Nm_Brg1"/>
      <sheetName val="Data_Sheet1"/>
      <sheetName val="Drill-Down_Tables1"/>
      <sheetName val="Rincian_Iuran1"/>
      <sheetName val="GD-BHN_KEMASAN1"/>
      <sheetName val="GD-BB_Kt__A1"/>
      <sheetName val="Bill_sipil1"/>
      <sheetName val="2x2_1+01"/>
      <sheetName val="Ref"/>
      <sheetName val="Scenarios_and_Sensitivities"/>
      <sheetName val="Global_Assumptions"/>
      <sheetName val="ASSR"/>
      <sheetName val="IS"/>
      <sheetName val="2002"/>
      <sheetName val="Sheet2"/>
      <sheetName val="Client Aje"/>
      <sheetName val="Family"/>
      <sheetName val="Basic Information"/>
      <sheetName val="CAN_WH"/>
      <sheetName val="CENT PMWH"/>
      <sheetName val="CENT RMWH"/>
      <sheetName val="QC WH"/>
      <sheetName val="SCM PMWH"/>
      <sheetName val="SCM RMWH"/>
      <sheetName val="UHT PMWH"/>
      <sheetName val="UHT RMWH"/>
      <sheetName val="Criteria"/>
      <sheetName val="Rinc"/>
      <sheetName val="gl-sum-modif"/>
      <sheetName val="INDIVIDUAL DA"/>
      <sheetName val="OtherKPI"/>
      <sheetName val="Intercompany"/>
      <sheetName val="Globals"/>
      <sheetName val="PAG_14"/>
      <sheetName val="Esperanza"/>
      <sheetName val="NPV formulae"/>
      <sheetName val="PL (MONTHLY)"/>
      <sheetName val="13-CA"/>
      <sheetName val="Ex_Rate"/>
      <sheetName val="CapEx_&amp;_Opr-Cost1"/>
      <sheetName val="SD_&amp;_Impl1"/>
      <sheetName val="Input_&amp;_Summary1"/>
      <sheetName val="Entry__HTM1"/>
      <sheetName val="A_u_g1"/>
      <sheetName val="J_u_l1"/>
      <sheetName val="O_c_t1"/>
      <sheetName val="A_p_r1"/>
      <sheetName val="M_a_y1"/>
      <sheetName val="S_e_p1"/>
      <sheetName val="00_received_in_011"/>
      <sheetName val="F_e_b1"/>
      <sheetName val="Per_GL_J_a_n1"/>
      <sheetName val="J_u_n1"/>
      <sheetName val="M_a_r1"/>
      <sheetName val="By_Account_MTD1"/>
      <sheetName val="By_Account_YTD1"/>
      <sheetName val="Direct_expenses_MTD1"/>
      <sheetName val="Equity_MTD1"/>
      <sheetName val="Equity_YTD1"/>
      <sheetName val="FID_MTD1"/>
      <sheetName val="FID_YTD1"/>
      <sheetName val="IBD_MTD1"/>
      <sheetName val="IBD_YTD1"/>
      <sheetName val="By_Product_MTD1"/>
      <sheetName val="By_Product_YTD1"/>
      <sheetName val="Total_expenses_MTD_1"/>
      <sheetName val="Table_Array1"/>
      <sheetName val="Benefit_Factors1"/>
      <sheetName val="FA_Movement1"/>
      <sheetName val="Journal_Template1"/>
      <sheetName val="Bangunan_Utama1"/>
      <sheetName val="FBL5n_14_Sep_081"/>
      <sheetName val="E_4_-_Long_Out__Analysis1"/>
      <sheetName val="Q1_JPN_Working_Budget1"/>
      <sheetName val="fraisfi_20001"/>
      <sheetName val="Volume_Graph_(May-ytd)1"/>
      <sheetName val="budget_idr1"/>
      <sheetName val="Q1_JPN_Working_Budget"/>
      <sheetName val="fraisfi_2000"/>
      <sheetName val="budget_idr"/>
      <sheetName val="Data_Sheet2"/>
      <sheetName val="CapEx_&amp;_Opr-Cost2"/>
      <sheetName val="SD_&amp;_Impl2"/>
      <sheetName val="Input_&amp;_Summary2"/>
      <sheetName val="Entry__HTM2"/>
      <sheetName val="A_u_g2"/>
      <sheetName val="J_u_l2"/>
      <sheetName val="O_c_t2"/>
      <sheetName val="A_p_r2"/>
      <sheetName val="M_a_y2"/>
      <sheetName val="S_e_p2"/>
      <sheetName val="00_received_in_012"/>
      <sheetName val="F_e_b2"/>
      <sheetName val="Per_GL_J_a_n2"/>
      <sheetName val="J_u_n2"/>
      <sheetName val="M_a_r2"/>
      <sheetName val="By_Account_MTD2"/>
      <sheetName val="By_Account_YTD2"/>
      <sheetName val="Direct_expenses_MTD2"/>
      <sheetName val="Equity_MTD2"/>
      <sheetName val="Equity_YTD2"/>
      <sheetName val="FID_MTD2"/>
      <sheetName val="FID_YTD2"/>
      <sheetName val="IBD_MTD2"/>
      <sheetName val="IBD_YTD2"/>
      <sheetName val="By_Product_MTD2"/>
      <sheetName val="By_Product_YTD2"/>
      <sheetName val="Total_expenses_MTD_2"/>
      <sheetName val="Table_Array2"/>
      <sheetName val="Benefit_Factors2"/>
      <sheetName val="FA_Movement2"/>
      <sheetName val="Journal_Template2"/>
      <sheetName val="Bangunan_Utama2"/>
      <sheetName val="Drill-Down_Tables2"/>
      <sheetName val="FBL5n_14_Sep_082"/>
      <sheetName val="E_4_-_Long_Out__Analysis2"/>
      <sheetName val="Q1_JPN_Working_Budget2"/>
      <sheetName val="fraisfi_20002"/>
      <sheetName val="Volume_Graph_(May-ytd)2"/>
      <sheetName val="budget_idr2"/>
      <sheetName val="Format-A"/>
      <sheetName val="COMMON"/>
      <sheetName val="ACtable"/>
      <sheetName val="2004"/>
      <sheetName val="MTO REV.0"/>
      <sheetName val="KK"/>
      <sheetName val="Factor"/>
      <sheetName val="F1771-V"/>
      <sheetName val="As"/>
      <sheetName val="CURRENCY_C_O_A_"/>
      <sheetName val="Detail Piutang"/>
      <sheetName val="PANIN"/>
      <sheetName val="tunj."/>
      <sheetName val="WP PASIVA"/>
      <sheetName val="Analisa"/>
      <sheetName val="Tabel"/>
      <sheetName val="Index (H)"/>
      <sheetName val="Consolidated"/>
      <sheetName val="REG TOTAL"/>
      <sheetName val="PROTECTION "/>
      <sheetName val="KPI-GM"/>
      <sheetName val="DAF-2"/>
      <sheetName val="KMS-DIS5"/>
      <sheetName val="harga"/>
      <sheetName val="Sheet8"/>
      <sheetName val="Bobot rev"/>
      <sheetName val="5700.1"/>
      <sheetName val="bjr"/>
      <sheetName val="Belmera"/>
      <sheetName val="Cawang Tomang Cengkareng"/>
      <sheetName val="Jakarta Cikampek"/>
      <sheetName val="Citarum"/>
      <sheetName val="Jagorawi"/>
      <sheetName val="Jakarta Merak"/>
      <sheetName val="Padalarang Cileunyi"/>
      <sheetName val="Palikanci"/>
      <sheetName val="Semarang"/>
      <sheetName val="Surabaya Gempol Mojokerto"/>
      <sheetName val="Capex-O"/>
      <sheetName val="Umum-F"/>
      <sheetName val="Analisa Konstruksi"/>
      <sheetName val="Bipeg-U(12D2)"/>
      <sheetName val="Cap"/>
      <sheetName val="Capex"/>
      <sheetName val="Assumptions"/>
      <sheetName val="CGSgm2"/>
      <sheetName val="CGSsp"/>
      <sheetName val="Sales"/>
      <sheetName val="Benefit_Tab"/>
      <sheetName val="output"/>
      <sheetName val="decr_table"/>
      <sheetName val="Parameter"/>
      <sheetName val="cALC"/>
      <sheetName val="PSC_Calc"/>
      <sheetName val="JL_BEL"/>
      <sheetName val="DATA_JUALAN"/>
      <sheetName val="Summary"/>
      <sheetName val="Govt BI"/>
      <sheetName val="Permanent_info4"/>
      <sheetName val="Art__23_recons4"/>
      <sheetName val="Marshal_-14"/>
      <sheetName val="ppH25_&amp;_PROVISION4"/>
      <sheetName val="F1771-II_4"/>
      <sheetName val="F1771-V_4"/>
      <sheetName val="Marshal__14"/>
      <sheetName val="RD_I-BUT3"/>
      <sheetName val="CONTRACT_REC3"/>
      <sheetName val="FE-1770_P13"/>
      <sheetName val="Cover_Sheet2"/>
      <sheetName val="PROJ_CASH2"/>
      <sheetName val="Exchange_Rates2"/>
      <sheetName val="RumusTB_1_bln2"/>
      <sheetName val="Nm_Brg2"/>
      <sheetName val="Bill_sipil2"/>
      <sheetName val="WBS_(2)salah3"/>
      <sheetName val="2x2_1+02"/>
      <sheetName val="GD-BHN_KEMASAN2"/>
      <sheetName val="GD-BB_Kt__A2"/>
      <sheetName val="Rincian_Iuran2"/>
      <sheetName val="Inputs"/>
      <sheetName val="adm"/>
      <sheetName val="qc"/>
      <sheetName val="trn"/>
      <sheetName val="Index (VH)"/>
      <sheetName val="CURRENCY_C_O_A_1"/>
      <sheetName val="Detail_Piutang"/>
      <sheetName val="WP_PASIVA"/>
      <sheetName val="tunj_"/>
      <sheetName val="CENT_PMWH"/>
      <sheetName val="CENT_RMWH"/>
      <sheetName val="QC_WH"/>
      <sheetName val="SCM_PMWH"/>
      <sheetName val="SCM_RMWH"/>
      <sheetName val="UHT_PMWH"/>
      <sheetName val="UHT_RMWH"/>
      <sheetName val="SAP_Data"/>
      <sheetName val="Index_(H)"/>
      <sheetName val="REG_TOTAL"/>
      <sheetName val="PROTECTION_"/>
      <sheetName val="Cawang_Tomang_Cengkareng"/>
      <sheetName val="Jakarta_Cikampek"/>
      <sheetName val="Jakarta_Merak"/>
      <sheetName val="Padalarang_Cileunyi"/>
      <sheetName val="Surabaya_Gempol_Mojokerto"/>
      <sheetName val="Bobot_rev"/>
      <sheetName val="5700_1"/>
      <sheetName val="Capex_det"/>
      <sheetName val="Analisa_Konstruksi"/>
      <sheetName val="REF.ONLY"/>
      <sheetName val="KONS2005"/>
      <sheetName val="WS"/>
      <sheetName val="NRC_2"/>
      <sheetName val="12-06-ins"/>
      <sheetName val="AUG02"/>
      <sheetName val="bahan"/>
      <sheetName val="REF_ONLY"/>
      <sheetName val="Permanent_info5"/>
      <sheetName val="Art__23_recons5"/>
      <sheetName val="Marshal_-15"/>
      <sheetName val="ppH25_&amp;_PROVISION5"/>
      <sheetName val="F1771-II_5"/>
      <sheetName val="F1771-V_5"/>
      <sheetName val="Marshal__15"/>
      <sheetName val="RD_I-BUT4"/>
      <sheetName val="CONTRACT_REC4"/>
      <sheetName val="FE-1770_P14"/>
      <sheetName val="Cover_Sheet3"/>
      <sheetName val="Exchange_Rates3"/>
      <sheetName val="PROJ_CASH3"/>
      <sheetName val="RumusTB_1_bln3"/>
      <sheetName val="Nm_Brg3"/>
      <sheetName val="Bill_sipil3"/>
      <sheetName val="REG_TOTAL1"/>
      <sheetName val="PROTECTION_1"/>
      <sheetName val="WBS_(2)salah4"/>
      <sheetName val="Data_Sheet3"/>
      <sheetName val="Drill-Down_Tables3"/>
      <sheetName val="Rincian_Iuran3"/>
      <sheetName val="GD-BHN_KEMASAN3"/>
      <sheetName val="GD-BB_Kt__A3"/>
      <sheetName val="2x2_1+03"/>
      <sheetName val="CURRENCY_C_O_A_2"/>
      <sheetName val="tunj_1"/>
      <sheetName val="Detail_Piutang1"/>
      <sheetName val="WP_PASIVA1"/>
      <sheetName val="CENT_PMWH1"/>
      <sheetName val="CENT_RMWH1"/>
      <sheetName val="QC_WH1"/>
      <sheetName val="SCM_PMWH1"/>
      <sheetName val="SCM_RMWH1"/>
      <sheetName val="UHT_PMWH1"/>
      <sheetName val="UHT_RMWH1"/>
      <sheetName val="Index_(H)1"/>
      <sheetName val="REF_ONLY1"/>
      <sheetName val="SAP_Data1"/>
      <sheetName val="Bobot_rev1"/>
      <sheetName val="5700_11"/>
      <sheetName val="Cawang_Tomang_Cengkareng1"/>
      <sheetName val="Jakarta_Cikampek1"/>
      <sheetName val="Jakarta_Merak1"/>
      <sheetName val="Padalarang_Cileunyi1"/>
      <sheetName val="Surabaya_Gempol_Mojokerto1"/>
      <sheetName val="Capex_det1"/>
      <sheetName val="Analisa_Konstruksi1"/>
      <sheetName val="Permanent_info6"/>
      <sheetName val="Art__23_recons6"/>
      <sheetName val="Marshal_-16"/>
      <sheetName val="ppH25_&amp;_PROVISION6"/>
      <sheetName val="F1771-II_6"/>
      <sheetName val="F1771-V_6"/>
      <sheetName val="Marshal__16"/>
      <sheetName val="RD_I-BUT5"/>
      <sheetName val="CONTRACT_REC5"/>
      <sheetName val="FE-1770_P15"/>
      <sheetName val="Cover_Sheet4"/>
      <sheetName val="Exchange_Rates4"/>
      <sheetName val="PROJ_CASH4"/>
      <sheetName val="RumusTB_1_bln4"/>
      <sheetName val="Nm_Brg4"/>
      <sheetName val="Bill_sipil4"/>
      <sheetName val="REG_TOTAL2"/>
      <sheetName val="PROTECTION_2"/>
      <sheetName val="WBS_(2)salah5"/>
      <sheetName val="Data_Sheet4"/>
      <sheetName val="Drill-Down_Tables4"/>
      <sheetName val="Rincian_Iuran4"/>
      <sheetName val="GD-BHN_KEMASAN4"/>
      <sheetName val="GD-BB_Kt__A4"/>
      <sheetName val="2x2_1+04"/>
      <sheetName val="Entry__HTM3"/>
      <sheetName val="CapEx_&amp;_Opr-Cost3"/>
      <sheetName val="SD_&amp;_Impl3"/>
      <sheetName val="CURRENCY_C_O_A_3"/>
      <sheetName val="tunj_2"/>
      <sheetName val="Detail_Piutang2"/>
      <sheetName val="WP_PASIVA2"/>
      <sheetName val="FA_Movement3"/>
      <sheetName val="CENT_PMWH2"/>
      <sheetName val="CENT_RMWH2"/>
      <sheetName val="QC_WH2"/>
      <sheetName val="SCM_PMWH2"/>
      <sheetName val="SCM_RMWH2"/>
      <sheetName val="UHT_PMWH2"/>
      <sheetName val="UHT_RMWH2"/>
      <sheetName val="Index_(H)2"/>
      <sheetName val="REF_ONLY2"/>
      <sheetName val="SAP_Data2"/>
      <sheetName val="Bobot_rev2"/>
      <sheetName val="5700_12"/>
      <sheetName val="Cawang_Tomang_Cengkareng2"/>
      <sheetName val="Jakarta_Cikampek2"/>
      <sheetName val="Jakarta_Merak2"/>
      <sheetName val="Padalarang_Cileunyi2"/>
      <sheetName val="Surabaya_Gempol_Mojokerto2"/>
      <sheetName val="Capex_det2"/>
      <sheetName val="Analisa_Konstruksi2"/>
      <sheetName val="Permanent_info7"/>
      <sheetName val="Art__23_recons7"/>
      <sheetName val="Marshal_-17"/>
      <sheetName val="ppH25_&amp;_PROVISION7"/>
      <sheetName val="F1771-II_7"/>
      <sheetName val="F1771-V_7"/>
      <sheetName val="Marshal__17"/>
      <sheetName val="RD_I-BUT6"/>
      <sheetName val="CONTRACT_REC6"/>
      <sheetName val="FE-1770_P16"/>
      <sheetName val="Cover_Sheet5"/>
      <sheetName val="Exchange_Rates5"/>
      <sheetName val="PROJ_CASH5"/>
      <sheetName val="RumusTB_1_bln5"/>
      <sheetName val="Nm_Brg5"/>
      <sheetName val="Bill_sipil5"/>
      <sheetName val="REG_TOTAL3"/>
      <sheetName val="PROTECTION_3"/>
      <sheetName val="WBS_(2)salah6"/>
      <sheetName val="Data_Sheet5"/>
      <sheetName val="Drill-Down_Tables5"/>
      <sheetName val="Rincian_Iuran5"/>
      <sheetName val="GD-BHN_KEMASAN5"/>
      <sheetName val="GD-BB_Kt__A5"/>
      <sheetName val="2x2_1+05"/>
      <sheetName val="Entry__HTM4"/>
      <sheetName val="CapEx_&amp;_Opr-Cost4"/>
      <sheetName val="SD_&amp;_Impl4"/>
      <sheetName val="CURRENCY_C_O_A_4"/>
      <sheetName val="tunj_3"/>
      <sheetName val="Detail_Piutang3"/>
      <sheetName val="Journal_Template3"/>
      <sheetName val="Volume_Graph_(May-ytd)3"/>
      <sheetName val="Input_&amp;_Summary3"/>
      <sheetName val="A_u_g3"/>
      <sheetName val="J_u_l3"/>
      <sheetName val="O_c_t3"/>
      <sheetName val="A_p_r3"/>
      <sheetName val="M_a_y3"/>
      <sheetName val="S_e_p3"/>
      <sheetName val="00_received_in_013"/>
      <sheetName val="F_e_b3"/>
      <sheetName val="Per_GL_J_a_n3"/>
      <sheetName val="J_u_n3"/>
      <sheetName val="M_a_r3"/>
      <sheetName val="By_Account_MTD3"/>
      <sheetName val="By_Account_YTD3"/>
      <sheetName val="Direct_expenses_MTD3"/>
      <sheetName val="Equity_MTD3"/>
      <sheetName val="Equity_YTD3"/>
      <sheetName val="FID_MTD3"/>
      <sheetName val="FID_YTD3"/>
      <sheetName val="IBD_MTD3"/>
      <sheetName val="IBD_YTD3"/>
      <sheetName val="By_Product_MTD3"/>
      <sheetName val="By_Product_YTD3"/>
      <sheetName val="Total_expenses_MTD_3"/>
      <sheetName val="Table_Array3"/>
      <sheetName val="Benefit_Factors3"/>
      <sheetName val="WP_PASIVA3"/>
      <sheetName val="FA_Movement4"/>
      <sheetName val="CENT_PMWH3"/>
      <sheetName val="CENT_RMWH3"/>
      <sheetName val="QC_WH3"/>
      <sheetName val="SCM_PMWH3"/>
      <sheetName val="SCM_RMWH3"/>
      <sheetName val="UHT_PMWH3"/>
      <sheetName val="UHT_RMWH3"/>
      <sheetName val="Bangunan_Utama3"/>
      <sheetName val="E_4_-_Long_Out__Analysis3"/>
      <sheetName val="Index_(H)3"/>
      <sheetName val="REF_ONLY3"/>
      <sheetName val="FBL5n_14_Sep_083"/>
      <sheetName val="Q1_JPN_Working_Budget3"/>
      <sheetName val="fraisfi_20003"/>
      <sheetName val="budget_idr3"/>
      <sheetName val="SAP_Data3"/>
      <sheetName val="Bobot_rev3"/>
      <sheetName val="5700_13"/>
      <sheetName val="Cawang_Tomang_Cengkareng3"/>
      <sheetName val="Jakarta_Cikampek3"/>
      <sheetName val="Jakarta_Merak3"/>
      <sheetName val="Padalarang_Cileunyi3"/>
      <sheetName val="Surabaya_Gempol_Mojokerto3"/>
      <sheetName val="Capex_det3"/>
      <sheetName val="Analisa_Konstruksi3"/>
      <sheetName val="Permanent_info9"/>
      <sheetName val="Art__23_recons9"/>
      <sheetName val="Marshal_-19"/>
      <sheetName val="ppH25_&amp;_PROVISION9"/>
      <sheetName val="F1771-II_9"/>
      <sheetName val="F1771-V_9"/>
      <sheetName val="Marshal__19"/>
      <sheetName val="RD_I-BUT8"/>
      <sheetName val="CONTRACT_REC8"/>
      <sheetName val="FE-1770_P18"/>
      <sheetName val="Cover_Sheet7"/>
      <sheetName val="Exchange_Rates7"/>
      <sheetName val="PROJ_CASH7"/>
      <sheetName val="RumusTB_1_bln7"/>
      <sheetName val="Nm_Brg7"/>
      <sheetName val="Bill_sipil7"/>
      <sheetName val="REG_TOTAL5"/>
      <sheetName val="PROTECTION_5"/>
      <sheetName val="WBS_(2)salah8"/>
      <sheetName val="Data_Sheet7"/>
      <sheetName val="Drill-Down_Tables7"/>
      <sheetName val="Rincian_Iuran7"/>
      <sheetName val="GD-BHN_KEMASAN7"/>
      <sheetName val="GD-BB_Kt__A7"/>
      <sheetName val="2x2_1+07"/>
      <sheetName val="Entry__HTM6"/>
      <sheetName val="CapEx_&amp;_Opr-Cost6"/>
      <sheetName val="SD_&amp;_Impl6"/>
      <sheetName val="CURRENCY_C_O_A_6"/>
      <sheetName val="tunj_5"/>
      <sheetName val="Detail_Piutang5"/>
      <sheetName val="Journal_Template5"/>
      <sheetName val="Volume_Graph_(May-ytd)5"/>
      <sheetName val="Input_&amp;_Summary5"/>
      <sheetName val="A_u_g5"/>
      <sheetName val="J_u_l5"/>
      <sheetName val="O_c_t5"/>
      <sheetName val="A_p_r5"/>
      <sheetName val="M_a_y5"/>
      <sheetName val="S_e_p5"/>
      <sheetName val="00_received_in_015"/>
      <sheetName val="F_e_b5"/>
      <sheetName val="Per_GL_J_a_n5"/>
      <sheetName val="J_u_n5"/>
      <sheetName val="M_a_r5"/>
      <sheetName val="By_Account_MTD5"/>
      <sheetName val="By_Account_YTD5"/>
      <sheetName val="Direct_expenses_MTD5"/>
      <sheetName val="Equity_MTD5"/>
      <sheetName val="Equity_YTD5"/>
      <sheetName val="FID_MTD5"/>
      <sheetName val="FID_YTD5"/>
      <sheetName val="IBD_MTD5"/>
      <sheetName val="IBD_YTD5"/>
      <sheetName val="By_Product_MTD5"/>
      <sheetName val="By_Product_YTD5"/>
      <sheetName val="Total_expenses_MTD_5"/>
      <sheetName val="Table_Array5"/>
      <sheetName val="Benefit_Factors5"/>
      <sheetName val="WP_PASIVA5"/>
      <sheetName val="FA_Movement6"/>
      <sheetName val="CENT_PMWH5"/>
      <sheetName val="CENT_RMWH5"/>
      <sheetName val="QC_WH5"/>
      <sheetName val="SCM_PMWH5"/>
      <sheetName val="SCM_RMWH5"/>
      <sheetName val="UHT_PMWH5"/>
      <sheetName val="UHT_RMWH5"/>
      <sheetName val="Bangunan_Utama5"/>
      <sheetName val="E_4_-_Long_Out__Analysis5"/>
      <sheetName val="Index_(H)5"/>
      <sheetName val="REF_ONLY5"/>
      <sheetName val="FBL5n_14_Sep_085"/>
      <sheetName val="Q1_JPN_Working_Budget5"/>
      <sheetName val="fraisfi_20005"/>
      <sheetName val="budget_idr5"/>
      <sheetName val="SAP_Data5"/>
      <sheetName val="Bobot_rev5"/>
      <sheetName val="5700_15"/>
      <sheetName val="Cawang_Tomang_Cengkareng5"/>
      <sheetName val="Jakarta_Cikampek5"/>
      <sheetName val="Jakarta_Merak5"/>
      <sheetName val="Padalarang_Cileunyi5"/>
      <sheetName val="Surabaya_Gempol_Mojokerto5"/>
      <sheetName val="Capex_det5"/>
      <sheetName val="Analisa_Konstruksi5"/>
      <sheetName val="Permanent_info8"/>
      <sheetName val="Art__23_recons8"/>
      <sheetName val="Marshal_-18"/>
      <sheetName val="ppH25_&amp;_PROVISION8"/>
      <sheetName val="F1771-II_8"/>
      <sheetName val="F1771-V_8"/>
      <sheetName val="Marshal__18"/>
      <sheetName val="RD_I-BUT7"/>
      <sheetName val="CONTRACT_REC7"/>
      <sheetName val="FE-1770_P17"/>
      <sheetName val="Cover_Sheet6"/>
      <sheetName val="Exchange_Rates6"/>
      <sheetName val="PROJ_CASH6"/>
      <sheetName val="RumusTB_1_bln6"/>
      <sheetName val="Nm_Brg6"/>
      <sheetName val="Bill_sipil6"/>
      <sheetName val="REG_TOTAL4"/>
      <sheetName val="PROTECTION_4"/>
      <sheetName val="WBS_(2)salah7"/>
      <sheetName val="Data_Sheet6"/>
      <sheetName val="Drill-Down_Tables6"/>
      <sheetName val="Rincian_Iuran6"/>
      <sheetName val="GD-BHN_KEMASAN6"/>
      <sheetName val="GD-BB_Kt__A6"/>
      <sheetName val="2x2_1+06"/>
      <sheetName val="Entry__HTM5"/>
      <sheetName val="CapEx_&amp;_Opr-Cost5"/>
      <sheetName val="SD_&amp;_Impl5"/>
      <sheetName val="CURRENCY_C_O_A_5"/>
      <sheetName val="tunj_4"/>
      <sheetName val="Detail_Piutang4"/>
      <sheetName val="Journal_Template4"/>
      <sheetName val="Volume_Graph_(May-ytd)4"/>
      <sheetName val="Input_&amp;_Summary4"/>
      <sheetName val="A_u_g4"/>
      <sheetName val="J_u_l4"/>
      <sheetName val="O_c_t4"/>
      <sheetName val="A_p_r4"/>
      <sheetName val="M_a_y4"/>
      <sheetName val="S_e_p4"/>
      <sheetName val="00_received_in_014"/>
      <sheetName val="F_e_b4"/>
      <sheetName val="Per_GL_J_a_n4"/>
      <sheetName val="J_u_n4"/>
      <sheetName val="M_a_r4"/>
      <sheetName val="By_Account_MTD4"/>
      <sheetName val="By_Account_YTD4"/>
      <sheetName val="Direct_expenses_MTD4"/>
      <sheetName val="Equity_MTD4"/>
      <sheetName val="Equity_YTD4"/>
      <sheetName val="FID_MTD4"/>
      <sheetName val="FID_YTD4"/>
      <sheetName val="IBD_MTD4"/>
      <sheetName val="IBD_YTD4"/>
      <sheetName val="By_Product_MTD4"/>
      <sheetName val="By_Product_YTD4"/>
      <sheetName val="Total_expenses_MTD_4"/>
      <sheetName val="Table_Array4"/>
      <sheetName val="Benefit_Factors4"/>
      <sheetName val="WP_PASIVA4"/>
      <sheetName val="FA_Movement5"/>
      <sheetName val="CENT_PMWH4"/>
      <sheetName val="CENT_RMWH4"/>
      <sheetName val="QC_WH4"/>
      <sheetName val="SCM_PMWH4"/>
      <sheetName val="SCM_RMWH4"/>
      <sheetName val="UHT_PMWH4"/>
      <sheetName val="UHT_RMWH4"/>
      <sheetName val="Bangunan_Utama4"/>
      <sheetName val="E_4_-_Long_Out__Analysis4"/>
      <sheetName val="Index_(H)4"/>
      <sheetName val="REF_ONLY4"/>
      <sheetName val="FBL5n_14_Sep_084"/>
      <sheetName val="Q1_JPN_Working_Budget4"/>
      <sheetName val="fraisfi_20004"/>
      <sheetName val="budget_idr4"/>
      <sheetName val="SAP_Data4"/>
      <sheetName val="Bobot_rev4"/>
      <sheetName val="5700_14"/>
      <sheetName val="Cawang_Tomang_Cengkareng4"/>
      <sheetName val="Jakarta_Cikampek4"/>
      <sheetName val="Jakarta_Merak4"/>
      <sheetName val="Padalarang_Cileunyi4"/>
      <sheetName val="Surabaya_Gempol_Mojokerto4"/>
      <sheetName val="Capex_det4"/>
      <sheetName val="Analisa_Konstruksi4"/>
      <sheetName val="Permanent_info10"/>
      <sheetName val="Art__23_recons10"/>
      <sheetName val="Marshal_-110"/>
      <sheetName val="ppH25_&amp;_PROVISION10"/>
      <sheetName val="F1771-II_10"/>
      <sheetName val="F1771-V_10"/>
      <sheetName val="Marshal__110"/>
      <sheetName val="RD_I-BUT9"/>
      <sheetName val="CONTRACT_REC9"/>
      <sheetName val="FE-1770_P19"/>
      <sheetName val="Cover_Sheet8"/>
      <sheetName val="Exchange_Rates8"/>
      <sheetName val="PROJ_CASH8"/>
      <sheetName val="RumusTB_1_bln8"/>
      <sheetName val="Nm_Brg8"/>
      <sheetName val="Bill_sipil8"/>
      <sheetName val="REG_TOTAL6"/>
      <sheetName val="PROTECTION_6"/>
      <sheetName val="WBS_(2)salah9"/>
      <sheetName val="Data_Sheet8"/>
      <sheetName val="Drill-Down_Tables8"/>
      <sheetName val="Rincian_Iuran8"/>
      <sheetName val="GD-BHN_KEMASAN8"/>
      <sheetName val="GD-BB_Kt__A8"/>
      <sheetName val="2x2_1+08"/>
      <sheetName val="Entry__HTM7"/>
      <sheetName val="CapEx_&amp;_Opr-Cost7"/>
      <sheetName val="SD_&amp;_Impl7"/>
      <sheetName val="CURRENCY_C_O_A_7"/>
      <sheetName val="tunj_6"/>
      <sheetName val="Detail_Piutang6"/>
      <sheetName val="Journal_Template6"/>
      <sheetName val="Volume_Graph_(May-ytd)6"/>
      <sheetName val="Input_&amp;_Summary6"/>
      <sheetName val="A_u_g6"/>
      <sheetName val="J_u_l6"/>
      <sheetName val="O_c_t6"/>
      <sheetName val="A_p_r6"/>
      <sheetName val="M_a_y6"/>
      <sheetName val="S_e_p6"/>
      <sheetName val="00_received_in_016"/>
      <sheetName val="F_e_b6"/>
      <sheetName val="Per_GL_J_a_n6"/>
      <sheetName val="J_u_n6"/>
      <sheetName val="M_a_r6"/>
      <sheetName val="By_Account_MTD6"/>
      <sheetName val="By_Account_YTD6"/>
      <sheetName val="Direct_expenses_MTD6"/>
      <sheetName val="Equity_MTD6"/>
      <sheetName val="Equity_YTD6"/>
      <sheetName val="FID_MTD6"/>
      <sheetName val="FID_YTD6"/>
      <sheetName val="IBD_MTD6"/>
      <sheetName val="IBD_YTD6"/>
      <sheetName val="By_Product_MTD6"/>
      <sheetName val="By_Product_YTD6"/>
      <sheetName val="Total_expenses_MTD_6"/>
      <sheetName val="Table_Array6"/>
      <sheetName val="Benefit_Factors6"/>
      <sheetName val="WP_PASIVA6"/>
      <sheetName val="FA_Movement7"/>
      <sheetName val="CENT_PMWH6"/>
      <sheetName val="CENT_RMWH6"/>
      <sheetName val="QC_WH6"/>
      <sheetName val="SCM_PMWH6"/>
      <sheetName val="SCM_RMWH6"/>
      <sheetName val="UHT_PMWH6"/>
      <sheetName val="UHT_RMWH6"/>
      <sheetName val="Bangunan_Utama6"/>
      <sheetName val="E_4_-_Long_Out__Analysis6"/>
      <sheetName val="Index_(H)6"/>
      <sheetName val="REF_ONLY6"/>
      <sheetName val="FBL5n_14_Sep_086"/>
      <sheetName val="Q1_JPN_Working_Budget6"/>
      <sheetName val="fraisfi_20006"/>
      <sheetName val="budget_idr6"/>
      <sheetName val="SAP_Data6"/>
      <sheetName val="Bobot_rev6"/>
      <sheetName val="5700_16"/>
      <sheetName val="Cawang_Tomang_Cengkareng6"/>
      <sheetName val="Jakarta_Cikampek6"/>
      <sheetName val="Jakarta_Merak6"/>
      <sheetName val="Padalarang_Cileunyi6"/>
      <sheetName val="Surabaya_Gempol_Mojokerto6"/>
      <sheetName val="Capex_det6"/>
      <sheetName val="Analisa_Konstruksi6"/>
      <sheetName val="Permanent_info11"/>
      <sheetName val="Art__23_recons11"/>
      <sheetName val="Marshal_-111"/>
      <sheetName val="ppH25_&amp;_PROVISION11"/>
      <sheetName val="F1771-II_11"/>
      <sheetName val="F1771-V_11"/>
      <sheetName val="Marshal__111"/>
      <sheetName val="RD_I-BUT10"/>
      <sheetName val="CONTRACT_REC10"/>
      <sheetName val="FE-1770_P110"/>
      <sheetName val="Cover_Sheet9"/>
      <sheetName val="Exchange_Rates9"/>
      <sheetName val="PROJ_CASH9"/>
      <sheetName val="RumusTB_1_bln9"/>
      <sheetName val="Nm_Brg9"/>
      <sheetName val="Bill_sipil9"/>
      <sheetName val="REG_TOTAL7"/>
      <sheetName val="PROTECTION_7"/>
      <sheetName val="WBS_(2)salah10"/>
      <sheetName val="Data_Sheet9"/>
      <sheetName val="Drill-Down_Tables9"/>
      <sheetName val="Rincian_Iuran9"/>
      <sheetName val="GD-BHN_KEMASAN9"/>
      <sheetName val="GD-BB_Kt__A9"/>
      <sheetName val="2x2_1+09"/>
      <sheetName val="Entry__HTM8"/>
      <sheetName val="CapEx_&amp;_Opr-Cost8"/>
      <sheetName val="SD_&amp;_Impl8"/>
      <sheetName val="CURRENCY_C_O_A_8"/>
      <sheetName val="tunj_7"/>
      <sheetName val="Detail_Piutang7"/>
      <sheetName val="Journal_Template7"/>
      <sheetName val="Volume_Graph_(May-ytd)7"/>
      <sheetName val="Input_&amp;_Summary7"/>
      <sheetName val="A_u_g7"/>
      <sheetName val="J_u_l7"/>
      <sheetName val="O_c_t7"/>
      <sheetName val="A_p_r7"/>
      <sheetName val="M_a_y7"/>
      <sheetName val="S_e_p7"/>
      <sheetName val="00_received_in_017"/>
      <sheetName val="F_e_b7"/>
      <sheetName val="Per_GL_J_a_n7"/>
      <sheetName val="J_u_n7"/>
      <sheetName val="M_a_r7"/>
      <sheetName val="By_Account_MTD7"/>
      <sheetName val="By_Account_YTD7"/>
      <sheetName val="Direct_expenses_MTD7"/>
      <sheetName val="Equity_MTD7"/>
      <sheetName val="Equity_YTD7"/>
      <sheetName val="FID_MTD7"/>
      <sheetName val="FID_YTD7"/>
      <sheetName val="IBD_MTD7"/>
      <sheetName val="IBD_YTD7"/>
      <sheetName val="By_Product_MTD7"/>
      <sheetName val="By_Product_YTD7"/>
      <sheetName val="Total_expenses_MTD_7"/>
      <sheetName val="Table_Array7"/>
      <sheetName val="Benefit_Factors7"/>
      <sheetName val="WP_PASIVA7"/>
      <sheetName val="FA_Movement8"/>
      <sheetName val="CENT_PMWH7"/>
      <sheetName val="CENT_RMWH7"/>
      <sheetName val="QC_WH7"/>
      <sheetName val="SCM_PMWH7"/>
      <sheetName val="SCM_RMWH7"/>
      <sheetName val="UHT_PMWH7"/>
      <sheetName val="UHT_RMWH7"/>
      <sheetName val="Bangunan_Utama7"/>
      <sheetName val="E_4_-_Long_Out__Analysis7"/>
      <sheetName val="Index_(H)7"/>
      <sheetName val="REF_ONLY7"/>
      <sheetName val="FBL5n_14_Sep_087"/>
      <sheetName val="Q1_JPN_Working_Budget7"/>
      <sheetName val="fraisfi_20007"/>
      <sheetName val="budget_idr7"/>
      <sheetName val="SAP_Data7"/>
      <sheetName val="Bobot_rev7"/>
      <sheetName val="5700_17"/>
      <sheetName val="Cawang_Tomang_Cengkareng7"/>
      <sheetName val="Jakarta_Cikampek7"/>
      <sheetName val="Jakarta_Merak7"/>
      <sheetName val="Padalarang_Cileunyi7"/>
      <sheetName val="Surabaya_Gempol_Mojokerto7"/>
      <sheetName val="Capex_det7"/>
      <sheetName val="Analisa_Konstruksi7"/>
      <sheetName val="Permanent_info13"/>
      <sheetName val="Art__23_recons13"/>
      <sheetName val="Marshal_-113"/>
      <sheetName val="ppH25_&amp;_PROVISION13"/>
      <sheetName val="F1771-II_13"/>
      <sheetName val="F1771-V_13"/>
      <sheetName val="Marshal__113"/>
      <sheetName val="RD_I-BUT12"/>
      <sheetName val="CONTRACT_REC12"/>
      <sheetName val="FE-1770_P112"/>
      <sheetName val="Cover_Sheet11"/>
      <sheetName val="Exchange_Rates11"/>
      <sheetName val="PROJ_CASH11"/>
      <sheetName val="RumusTB_1_bln11"/>
      <sheetName val="Nm_Brg11"/>
      <sheetName val="Bill_sipil11"/>
      <sheetName val="REG_TOTAL9"/>
      <sheetName val="PROTECTION_9"/>
      <sheetName val="WBS_(2)salah12"/>
      <sheetName val="Data_Sheet11"/>
      <sheetName val="Drill-Down_Tables11"/>
      <sheetName val="Rincian_Iuran11"/>
      <sheetName val="GD-BHN_KEMASAN11"/>
      <sheetName val="GD-BB_Kt__A11"/>
      <sheetName val="2x2_1+011"/>
      <sheetName val="Entry__HTM10"/>
      <sheetName val="CapEx_&amp;_Opr-Cost10"/>
      <sheetName val="SD_&amp;_Impl10"/>
      <sheetName val="CURRENCY_C_O_A_10"/>
      <sheetName val="tunj_9"/>
      <sheetName val="Detail_Piutang9"/>
      <sheetName val="Journal_Template9"/>
      <sheetName val="Volume_Graph_(May-ytd)9"/>
      <sheetName val="Input_&amp;_Summary9"/>
      <sheetName val="A_u_g9"/>
      <sheetName val="J_u_l9"/>
      <sheetName val="O_c_t9"/>
      <sheetName val="A_p_r9"/>
      <sheetName val="M_a_y9"/>
      <sheetName val="S_e_p9"/>
      <sheetName val="00_received_in_019"/>
      <sheetName val="F_e_b9"/>
      <sheetName val="Per_GL_J_a_n9"/>
      <sheetName val="J_u_n9"/>
      <sheetName val="M_a_r9"/>
      <sheetName val="By_Account_MTD9"/>
      <sheetName val="By_Account_YTD9"/>
      <sheetName val="Direct_expenses_MTD9"/>
      <sheetName val="Equity_MTD9"/>
      <sheetName val="Equity_YTD9"/>
      <sheetName val="FID_MTD9"/>
      <sheetName val="FID_YTD9"/>
      <sheetName val="IBD_MTD9"/>
      <sheetName val="IBD_YTD9"/>
      <sheetName val="By_Product_MTD9"/>
      <sheetName val="By_Product_YTD9"/>
      <sheetName val="Total_expenses_MTD_9"/>
      <sheetName val="Table_Array9"/>
      <sheetName val="Benefit_Factors9"/>
      <sheetName val="WP_PASIVA9"/>
      <sheetName val="FA_Movement10"/>
      <sheetName val="CENT_PMWH9"/>
      <sheetName val="CENT_RMWH9"/>
      <sheetName val="QC_WH9"/>
      <sheetName val="SCM_PMWH9"/>
      <sheetName val="SCM_RMWH9"/>
      <sheetName val="UHT_PMWH9"/>
      <sheetName val="UHT_RMWH9"/>
      <sheetName val="Bangunan_Utama9"/>
      <sheetName val="E_4_-_Long_Out__Analysis9"/>
      <sheetName val="Index_(H)9"/>
      <sheetName val="REF_ONLY9"/>
      <sheetName val="FBL5n_14_Sep_089"/>
      <sheetName val="Q1_JPN_Working_Budget9"/>
      <sheetName val="fraisfi_20009"/>
      <sheetName val="budget_idr9"/>
      <sheetName val="SAP_Data9"/>
      <sheetName val="Bobot_rev9"/>
      <sheetName val="5700_19"/>
      <sheetName val="Cawang_Tomang_Cengkareng9"/>
      <sheetName val="Jakarta_Cikampek9"/>
      <sheetName val="Jakarta_Merak9"/>
      <sheetName val="Padalarang_Cileunyi9"/>
      <sheetName val="Surabaya_Gempol_Mojokerto9"/>
      <sheetName val="Capex_det9"/>
      <sheetName val="Analisa_Konstruksi9"/>
      <sheetName val="Permanent_info12"/>
      <sheetName val="Art__23_recons12"/>
      <sheetName val="Marshal_-112"/>
      <sheetName val="ppH25_&amp;_PROVISION12"/>
      <sheetName val="F1771-II_12"/>
      <sheetName val="F1771-V_12"/>
      <sheetName val="Marshal__112"/>
      <sheetName val="RD_I-BUT11"/>
      <sheetName val="CONTRACT_REC11"/>
      <sheetName val="FE-1770_P111"/>
      <sheetName val="Cover_Sheet10"/>
      <sheetName val="Exchange_Rates10"/>
      <sheetName val="PROJ_CASH10"/>
      <sheetName val="RumusTB_1_bln10"/>
      <sheetName val="Nm_Brg10"/>
      <sheetName val="Bill_sipil10"/>
      <sheetName val="REG_TOTAL8"/>
      <sheetName val="PROTECTION_8"/>
      <sheetName val="WBS_(2)salah11"/>
      <sheetName val="Data_Sheet10"/>
      <sheetName val="Drill-Down_Tables10"/>
      <sheetName val="Rincian_Iuran10"/>
      <sheetName val="GD-BHN_KEMASAN10"/>
      <sheetName val="GD-BB_Kt__A10"/>
      <sheetName val="2x2_1+010"/>
      <sheetName val="Entry__HTM9"/>
      <sheetName val="CapEx_&amp;_Opr-Cost9"/>
      <sheetName val="SD_&amp;_Impl9"/>
      <sheetName val="CURRENCY_C_O_A_9"/>
      <sheetName val="tunj_8"/>
      <sheetName val="Detail_Piutang8"/>
      <sheetName val="Journal_Template8"/>
      <sheetName val="Volume_Graph_(May-ytd)8"/>
      <sheetName val="Input_&amp;_Summary8"/>
      <sheetName val="A_u_g8"/>
      <sheetName val="J_u_l8"/>
      <sheetName val="O_c_t8"/>
      <sheetName val="A_p_r8"/>
      <sheetName val="M_a_y8"/>
      <sheetName val="S_e_p8"/>
      <sheetName val="00_received_in_018"/>
      <sheetName val="F_e_b8"/>
      <sheetName val="Per_GL_J_a_n8"/>
      <sheetName val="J_u_n8"/>
      <sheetName val="M_a_r8"/>
      <sheetName val="By_Account_MTD8"/>
      <sheetName val="By_Account_YTD8"/>
      <sheetName val="Direct_expenses_MTD8"/>
      <sheetName val="Equity_MTD8"/>
      <sheetName val="Equity_YTD8"/>
      <sheetName val="FID_MTD8"/>
      <sheetName val="FID_YTD8"/>
      <sheetName val="IBD_MTD8"/>
      <sheetName val="IBD_YTD8"/>
      <sheetName val="By_Product_MTD8"/>
      <sheetName val="By_Product_YTD8"/>
      <sheetName val="Total_expenses_MTD_8"/>
      <sheetName val="Table_Array8"/>
      <sheetName val="Benefit_Factors8"/>
      <sheetName val="WP_PASIVA8"/>
      <sheetName val="FA_Movement9"/>
      <sheetName val="CENT_PMWH8"/>
      <sheetName val="CENT_RMWH8"/>
      <sheetName val="QC_WH8"/>
      <sheetName val="SCM_PMWH8"/>
      <sheetName val="SCM_RMWH8"/>
      <sheetName val="UHT_PMWH8"/>
      <sheetName val="UHT_RMWH8"/>
      <sheetName val="Bangunan_Utama8"/>
      <sheetName val="E_4_-_Long_Out__Analysis8"/>
      <sheetName val="Index_(H)8"/>
      <sheetName val="REF_ONLY8"/>
      <sheetName val="FBL5n_14_Sep_088"/>
      <sheetName val="Q1_JPN_Working_Budget8"/>
      <sheetName val="fraisfi_20008"/>
      <sheetName val="budget_idr8"/>
      <sheetName val="SAP_Data8"/>
      <sheetName val="Bobot_rev8"/>
      <sheetName val="5700_18"/>
      <sheetName val="Cawang_Tomang_Cengkareng8"/>
      <sheetName val="Jakarta_Cikampek8"/>
      <sheetName val="Jakarta_Merak8"/>
      <sheetName val="Padalarang_Cileunyi8"/>
      <sheetName val="Surabaya_Gempol_Mojokerto8"/>
      <sheetName val="Capex_det8"/>
      <sheetName val="Analisa_Konstruksi8"/>
      <sheetName val="Permanent_info15"/>
      <sheetName val="Art__23_recons15"/>
      <sheetName val="Marshal_-115"/>
      <sheetName val="ppH25_&amp;_PROVISION15"/>
      <sheetName val="F1771-II_15"/>
      <sheetName val="F1771-V_15"/>
      <sheetName val="Marshal__115"/>
      <sheetName val="RD_I-BUT14"/>
      <sheetName val="CONTRACT_REC14"/>
      <sheetName val="FE-1770_P114"/>
      <sheetName val="Cover_Sheet13"/>
      <sheetName val="Exchange_Rates13"/>
      <sheetName val="PROJ_CASH13"/>
      <sheetName val="RumusTB_1_bln13"/>
      <sheetName val="Nm_Brg13"/>
      <sheetName val="Bill_sipil13"/>
      <sheetName val="REG_TOTAL11"/>
      <sheetName val="PROTECTION_11"/>
      <sheetName val="WBS_(2)salah14"/>
      <sheetName val="Data_Sheet13"/>
      <sheetName val="Drill-Down_Tables13"/>
      <sheetName val="Rincian_Iuran13"/>
      <sheetName val="GD-BHN_KEMASAN13"/>
      <sheetName val="GD-BB_Kt__A13"/>
      <sheetName val="2x2_1+013"/>
      <sheetName val="Entry__HTM12"/>
      <sheetName val="CapEx_&amp;_Opr-Cost12"/>
      <sheetName val="SD_&amp;_Impl12"/>
      <sheetName val="CURRENCY_C_O_A_12"/>
      <sheetName val="tunj_11"/>
      <sheetName val="Detail_Piutang11"/>
      <sheetName val="Journal_Template11"/>
      <sheetName val="Volume_Graph_(May-ytd)11"/>
      <sheetName val="Input_&amp;_Summary11"/>
      <sheetName val="A_u_g11"/>
      <sheetName val="J_u_l11"/>
      <sheetName val="O_c_t11"/>
      <sheetName val="A_p_r11"/>
      <sheetName val="M_a_y11"/>
      <sheetName val="S_e_p11"/>
      <sheetName val="00_received_in_0111"/>
      <sheetName val="F_e_b11"/>
      <sheetName val="Per_GL_J_a_n11"/>
      <sheetName val="J_u_n11"/>
      <sheetName val="M_a_r11"/>
      <sheetName val="By_Account_MTD11"/>
      <sheetName val="By_Account_YTD11"/>
      <sheetName val="Direct_expenses_MTD11"/>
      <sheetName val="Equity_MTD11"/>
      <sheetName val="Equity_YTD11"/>
      <sheetName val="FID_MTD11"/>
      <sheetName val="FID_YTD11"/>
      <sheetName val="IBD_MTD11"/>
      <sheetName val="IBD_YTD11"/>
      <sheetName val="By_Product_MTD11"/>
      <sheetName val="By_Product_YTD11"/>
      <sheetName val="Total_expenses_MTD_11"/>
      <sheetName val="Table_Array11"/>
      <sheetName val="Benefit_Factors11"/>
      <sheetName val="WP_PASIVA11"/>
      <sheetName val="FA_Movement12"/>
      <sheetName val="CENT_PMWH11"/>
      <sheetName val="CENT_RMWH11"/>
      <sheetName val="QC_WH11"/>
      <sheetName val="SCM_PMWH11"/>
      <sheetName val="SCM_RMWH11"/>
      <sheetName val="UHT_PMWH11"/>
      <sheetName val="UHT_RMWH11"/>
      <sheetName val="Bangunan_Utama11"/>
      <sheetName val="E_4_-_Long_Out__Analysis11"/>
      <sheetName val="Index_(H)11"/>
      <sheetName val="REF_ONLY11"/>
      <sheetName val="FBL5n_14_Sep_0811"/>
      <sheetName val="Q1_JPN_Working_Budget11"/>
      <sheetName val="fraisfi_200011"/>
      <sheetName val="budget_idr11"/>
      <sheetName val="SAP_Data11"/>
      <sheetName val="Bobot_rev11"/>
      <sheetName val="5700_111"/>
      <sheetName val="Cawang_Tomang_Cengkareng11"/>
      <sheetName val="Jakarta_Cikampek11"/>
      <sheetName val="Jakarta_Merak11"/>
      <sheetName val="Padalarang_Cileunyi11"/>
      <sheetName val="Surabaya_Gempol_Mojokerto11"/>
      <sheetName val="Capex_det11"/>
      <sheetName val="Analisa_Konstruksi11"/>
      <sheetName val="Permanent_info14"/>
      <sheetName val="Art__23_recons14"/>
      <sheetName val="Marshal_-114"/>
      <sheetName val="ppH25_&amp;_PROVISION14"/>
      <sheetName val="F1771-II_14"/>
      <sheetName val="F1771-V_14"/>
      <sheetName val="Marshal__114"/>
      <sheetName val="RD_I-BUT13"/>
      <sheetName val="CONTRACT_REC13"/>
      <sheetName val="FE-1770_P113"/>
      <sheetName val="Cover_Sheet12"/>
      <sheetName val="Exchange_Rates12"/>
      <sheetName val="PROJ_CASH12"/>
      <sheetName val="RumusTB_1_bln12"/>
      <sheetName val="Nm_Brg12"/>
      <sheetName val="Bill_sipil12"/>
      <sheetName val="REG_TOTAL10"/>
      <sheetName val="PROTECTION_10"/>
      <sheetName val="WBS_(2)salah13"/>
      <sheetName val="Data_Sheet12"/>
      <sheetName val="Drill-Down_Tables12"/>
      <sheetName val="Rincian_Iuran12"/>
      <sheetName val="GD-BHN_KEMASAN12"/>
      <sheetName val="GD-BB_Kt__A12"/>
      <sheetName val="2x2_1+012"/>
      <sheetName val="Entry__HTM11"/>
      <sheetName val="CapEx_&amp;_Opr-Cost11"/>
      <sheetName val="SD_&amp;_Impl11"/>
      <sheetName val="CURRENCY_C_O_A_11"/>
      <sheetName val="tunj_10"/>
      <sheetName val="Detail_Piutang10"/>
      <sheetName val="Journal_Template10"/>
      <sheetName val="Volume_Graph_(May-ytd)10"/>
      <sheetName val="Input_&amp;_Summary10"/>
      <sheetName val="A_u_g10"/>
      <sheetName val="J_u_l10"/>
      <sheetName val="O_c_t10"/>
      <sheetName val="A_p_r10"/>
      <sheetName val="M_a_y10"/>
      <sheetName val="S_e_p10"/>
      <sheetName val="00_received_in_0110"/>
      <sheetName val="F_e_b10"/>
      <sheetName val="Per_GL_J_a_n10"/>
      <sheetName val="J_u_n10"/>
      <sheetName val="M_a_r10"/>
      <sheetName val="By_Account_MTD10"/>
      <sheetName val="By_Account_YTD10"/>
      <sheetName val="Direct_expenses_MTD10"/>
      <sheetName val="Equity_MTD10"/>
      <sheetName val="Equity_YTD10"/>
      <sheetName val="FID_MTD10"/>
      <sheetName val="FID_YTD10"/>
      <sheetName val="IBD_MTD10"/>
      <sheetName val="IBD_YTD10"/>
      <sheetName val="By_Product_MTD10"/>
      <sheetName val="By_Product_YTD10"/>
      <sheetName val="Total_expenses_MTD_10"/>
      <sheetName val="Table_Array10"/>
      <sheetName val="Benefit_Factors10"/>
      <sheetName val="WP_PASIVA10"/>
      <sheetName val="FA_Movement11"/>
      <sheetName val="CENT_PMWH10"/>
      <sheetName val="CENT_RMWH10"/>
      <sheetName val="QC_WH10"/>
      <sheetName val="SCM_PMWH10"/>
      <sheetName val="SCM_RMWH10"/>
      <sheetName val="UHT_PMWH10"/>
      <sheetName val="UHT_RMWH10"/>
      <sheetName val="Bangunan_Utama10"/>
      <sheetName val="E_4_-_Long_Out__Analysis10"/>
      <sheetName val="Index_(H)10"/>
      <sheetName val="REF_ONLY10"/>
      <sheetName val="FBL5n_14_Sep_0810"/>
      <sheetName val="Q1_JPN_Working_Budget10"/>
      <sheetName val="fraisfi_200010"/>
      <sheetName val="budget_idr10"/>
      <sheetName val="SAP_Data10"/>
      <sheetName val="Bobot_rev10"/>
      <sheetName val="5700_110"/>
      <sheetName val="Cawang_Tomang_Cengkareng10"/>
      <sheetName val="Jakarta_Cikampek10"/>
      <sheetName val="Jakarta_Merak10"/>
      <sheetName val="Padalarang_Cileunyi10"/>
      <sheetName val="Surabaya_Gempol_Mojokerto10"/>
      <sheetName val="Capex_det10"/>
      <sheetName val="Analisa_Konstruksi10"/>
      <sheetName val="Permanent_info16"/>
      <sheetName val="Art__23_recons16"/>
      <sheetName val="Marshal_-116"/>
      <sheetName val="ppH25_&amp;_PROVISION16"/>
      <sheetName val="F1771-II_16"/>
      <sheetName val="F1771-V_16"/>
      <sheetName val="Marshal__116"/>
      <sheetName val="RD_I-BUT15"/>
      <sheetName val="CONTRACT_REC15"/>
      <sheetName val="FE-1770_P115"/>
      <sheetName val="Cover_Sheet14"/>
      <sheetName val="Exchange_Rates14"/>
      <sheetName val="PROJ_CASH14"/>
      <sheetName val="RumusTB_1_bln14"/>
      <sheetName val="Nm_Brg14"/>
      <sheetName val="Bill_sipil14"/>
      <sheetName val="REG_TOTAL12"/>
      <sheetName val="PROTECTION_12"/>
      <sheetName val="WBS_(2)salah15"/>
      <sheetName val="Data_Sheet14"/>
      <sheetName val="Drill-Down_Tables14"/>
      <sheetName val="Rincian_Iuran14"/>
      <sheetName val="GD-BHN_KEMASAN14"/>
      <sheetName val="GD-BB_Kt__A14"/>
      <sheetName val="2x2_1+014"/>
      <sheetName val="Entry__HTM13"/>
      <sheetName val="CapEx_&amp;_Opr-Cost13"/>
      <sheetName val="SD_&amp;_Impl13"/>
      <sheetName val="CURRENCY_C_O_A_13"/>
      <sheetName val="tunj_12"/>
      <sheetName val="Detail_Piutang12"/>
      <sheetName val="Journal_Template12"/>
      <sheetName val="Volume_Graph_(May-ytd)12"/>
      <sheetName val="Input_&amp;_Summary12"/>
      <sheetName val="A_u_g12"/>
      <sheetName val="J_u_l12"/>
      <sheetName val="O_c_t12"/>
      <sheetName val="A_p_r12"/>
      <sheetName val="M_a_y12"/>
      <sheetName val="S_e_p12"/>
      <sheetName val="00_received_in_0112"/>
      <sheetName val="F_e_b12"/>
      <sheetName val="Per_GL_J_a_n12"/>
      <sheetName val="J_u_n12"/>
      <sheetName val="M_a_r12"/>
      <sheetName val="By_Account_MTD12"/>
      <sheetName val="By_Account_YTD12"/>
      <sheetName val="Direct_expenses_MTD12"/>
      <sheetName val="Equity_MTD12"/>
      <sheetName val="Equity_YTD12"/>
      <sheetName val="FID_MTD12"/>
      <sheetName val="FID_YTD12"/>
      <sheetName val="IBD_MTD12"/>
      <sheetName val="IBD_YTD12"/>
      <sheetName val="By_Product_MTD12"/>
      <sheetName val="By_Product_YTD12"/>
      <sheetName val="Total_expenses_MTD_12"/>
      <sheetName val="Table_Array12"/>
      <sheetName val="Benefit_Factors12"/>
      <sheetName val="WP_PASIVA12"/>
      <sheetName val="FA_Movement13"/>
      <sheetName val="CENT_PMWH12"/>
      <sheetName val="CENT_RMWH12"/>
      <sheetName val="QC_WH12"/>
      <sheetName val="SCM_PMWH12"/>
      <sheetName val="SCM_RMWH12"/>
      <sheetName val="UHT_PMWH12"/>
      <sheetName val="UHT_RMWH12"/>
      <sheetName val="Bangunan_Utama12"/>
      <sheetName val="E_4_-_Long_Out__Analysis12"/>
      <sheetName val="Index_(H)12"/>
      <sheetName val="REF_ONLY12"/>
      <sheetName val="FBL5n_14_Sep_0812"/>
      <sheetName val="Q1_JPN_Working_Budget12"/>
      <sheetName val="fraisfi_200012"/>
      <sheetName val="budget_idr12"/>
      <sheetName val="SAP_Data12"/>
      <sheetName val="Bobot_rev12"/>
      <sheetName val="5700_112"/>
      <sheetName val="Cawang_Tomang_Cengkareng12"/>
      <sheetName val="Jakarta_Cikampek12"/>
      <sheetName val="Jakarta_Merak12"/>
      <sheetName val="Padalarang_Cileunyi12"/>
      <sheetName val="Surabaya_Gempol_Mojokerto12"/>
      <sheetName val="Capex_det12"/>
      <sheetName val="Analisa_Konstruksi12"/>
      <sheetName val="Permanent_info17"/>
      <sheetName val="Art__23_recons17"/>
      <sheetName val="Marshal_-117"/>
      <sheetName val="ppH25_&amp;_PROVISION17"/>
      <sheetName val="F1771-II_17"/>
      <sheetName val="F1771-V_17"/>
      <sheetName val="Marshal__117"/>
      <sheetName val="RD_I-BUT16"/>
      <sheetName val="CONTRACT_REC16"/>
      <sheetName val="FE-1770_P116"/>
      <sheetName val="Cover_Sheet15"/>
      <sheetName val="Exchange_Rates15"/>
      <sheetName val="PROJ_CASH15"/>
      <sheetName val="RumusTB_1_bln15"/>
      <sheetName val="Nm_Brg15"/>
      <sheetName val="Bill_sipil15"/>
      <sheetName val="REG_TOTAL13"/>
      <sheetName val="PROTECTION_13"/>
      <sheetName val="WBS_(2)salah16"/>
      <sheetName val="Data_Sheet15"/>
      <sheetName val="Drill-Down_Tables15"/>
      <sheetName val="Rincian_Iuran15"/>
      <sheetName val="GD-BHN_KEMASAN15"/>
      <sheetName val="GD-BB_Kt__A15"/>
      <sheetName val="2x2_1+015"/>
      <sheetName val="Entry__HTM14"/>
      <sheetName val="CapEx_&amp;_Opr-Cost14"/>
      <sheetName val="SD_&amp;_Impl14"/>
      <sheetName val="CURRENCY_C_O_A_14"/>
      <sheetName val="tunj_13"/>
      <sheetName val="Detail_Piutang13"/>
      <sheetName val="Journal_Template13"/>
      <sheetName val="Volume_Graph_(May-ytd)13"/>
      <sheetName val="Input_&amp;_Summary13"/>
      <sheetName val="A_u_g13"/>
      <sheetName val="J_u_l13"/>
      <sheetName val="O_c_t13"/>
      <sheetName val="A_p_r13"/>
      <sheetName val="M_a_y13"/>
      <sheetName val="S_e_p13"/>
      <sheetName val="00_received_in_0113"/>
      <sheetName val="F_e_b13"/>
      <sheetName val="Per_GL_J_a_n13"/>
      <sheetName val="J_u_n13"/>
      <sheetName val="M_a_r13"/>
      <sheetName val="By_Account_MTD13"/>
      <sheetName val="By_Account_YTD13"/>
      <sheetName val="Direct_expenses_MTD13"/>
      <sheetName val="Equity_MTD13"/>
      <sheetName val="Equity_YTD13"/>
      <sheetName val="FID_MTD13"/>
      <sheetName val="FID_YTD13"/>
      <sheetName val="IBD_MTD13"/>
      <sheetName val="IBD_YTD13"/>
      <sheetName val="By_Product_MTD13"/>
      <sheetName val="By_Product_YTD13"/>
      <sheetName val="Total_expenses_MTD_13"/>
      <sheetName val="Table_Array13"/>
      <sheetName val="Benefit_Factors13"/>
      <sheetName val="WP_PASIVA13"/>
      <sheetName val="FA_Movement14"/>
      <sheetName val="CENT_PMWH13"/>
      <sheetName val="CENT_RMWH13"/>
      <sheetName val="QC_WH13"/>
      <sheetName val="SCM_PMWH13"/>
      <sheetName val="SCM_RMWH13"/>
      <sheetName val="UHT_PMWH13"/>
      <sheetName val="UHT_RMWH13"/>
      <sheetName val="Bangunan_Utama13"/>
      <sheetName val="E_4_-_Long_Out__Analysis13"/>
      <sheetName val="Index_(H)13"/>
      <sheetName val="REF_ONLY13"/>
      <sheetName val="FBL5n_14_Sep_0813"/>
      <sheetName val="Q1_JPN_Working_Budget13"/>
      <sheetName val="fraisfi_200013"/>
      <sheetName val="budget_idr13"/>
      <sheetName val="SAP_Data13"/>
      <sheetName val="Bobot_rev13"/>
      <sheetName val="5700_113"/>
      <sheetName val="Cawang_Tomang_Cengkareng13"/>
      <sheetName val="Jakarta_Cikampek13"/>
      <sheetName val="Jakarta_Merak13"/>
      <sheetName val="Padalarang_Cileunyi13"/>
      <sheetName val="Surabaya_Gempol_Mojokerto13"/>
      <sheetName val="Capex_det13"/>
      <sheetName val="Analisa_Konstruksi13"/>
      <sheetName val="rekap"/>
      <sheetName val="AA_1_1 BNI"/>
      <sheetName val="DUMAI-$"/>
      <sheetName val="WBS PL Branch 1"/>
      <sheetName val="MainModel skenario 2"/>
      <sheetName val="F1771_IV"/>
      <sheetName val="F1771_V"/>
      <sheetName val="INDIRECT DETAIL"/>
      <sheetName val="_Results Summary"/>
      <sheetName val="Input assumptions"/>
      <sheetName val="Incremental Field Inputs"/>
      <sheetName val="Primary Field Inputs"/>
      <sheetName val="Dictionary"/>
      <sheetName val="Lists"/>
      <sheetName val="ledger02"/>
      <sheetName val="REKAP IDR"/>
      <sheetName val="General Info"/>
      <sheetName val="MFWP"/>
      <sheetName val="HC_PLAN"/>
      <sheetName val="Daftar_Cab"/>
      <sheetName val="Mutasi_GA"/>
      <sheetName val="I_4_1_(2)"/>
      <sheetName val="H-1.3"/>
      <sheetName val="TB"/>
      <sheetName val="wpl"/>
      <sheetName val="Trading Statement"/>
      <sheetName val="Asumsi"/>
      <sheetName val="Tabel Konversi"/>
      <sheetName val="Rate"/>
      <sheetName val="Lapping"/>
      <sheetName val="Dati base"/>
      <sheetName val="Daftar_Cab1"/>
      <sheetName val="Mutasi_GA1"/>
      <sheetName val="HC_PLAN1"/>
      <sheetName val="I_4_1_(2)1"/>
      <sheetName val="SAHAM"/>
      <sheetName val="Scenarios and Sensitivities"/>
      <sheetName val="Global Assumptions"/>
      <sheetName val="status"/>
      <sheetName val="J1"/>
      <sheetName val="BUT_1"/>
      <sheetName val="HEX_A"/>
      <sheetName val="HEX_E"/>
      <sheetName val="I_BUT"/>
      <sheetName val="RD I_BUT"/>
      <sheetName val="Noodles (assumptions)"/>
      <sheetName val="flights"/>
      <sheetName val="table1"/>
      <sheetName val="Cabang"/>
      <sheetName val="Balance Sheet"/>
      <sheetName val="RPP-6"/>
      <sheetName val="HRG"/>
      <sheetName val="RAB"/>
      <sheetName val="Danamon LK"/>
      <sheetName val="DATA 2009"/>
      <sheetName val="TARGET RAKER "/>
      <sheetName val="target raker 1"/>
      <sheetName val="SDMTA"/>
      <sheetName val="MAP"/>
      <sheetName val="BS"/>
      <sheetName val="CF"/>
      <sheetName val="SC "/>
      <sheetName val="BELI_0603"/>
      <sheetName val="PL"/>
      <sheetName val="Request"/>
      <sheetName val="C1 NOV"/>
      <sheetName val="9"/>
      <sheetName val="Data"/>
      <sheetName val="Setup"/>
      <sheetName val="C_OA"/>
      <sheetName val="POMALAA"/>
      <sheetName val="tarip"/>
      <sheetName val="AMMARGIN"/>
      <sheetName val="SDE"/>
      <sheetName val="Internal Summary"/>
      <sheetName val="alamat"/>
      <sheetName val="BP1_23"/>
      <sheetName val="A 3-2"/>
      <sheetName val="AR-TRADE_NONTRADE"/>
      <sheetName val="data neraca lainnya"/>
      <sheetName val="INVENTORY"/>
      <sheetName val="Cash"/>
      <sheetName val="Prepaid tax"/>
      <sheetName val="Cover"/>
      <sheetName val="BoQ_ISP"/>
      <sheetName val="DBS-SPT1771-1998.xls"/>
      <sheetName val="Operations"/>
      <sheetName val="Financials"/>
      <sheetName val="alokasi"/>
      <sheetName val="31JAN07"/>
      <sheetName val="Sale-Leaseback (2)"/>
      <sheetName val="#REF"/>
      <sheetName val="Master Assumptions"/>
      <sheetName val="Input"/>
      <sheetName val="Traffic Distribution"/>
      <sheetName val="Interface"/>
      <sheetName val="Input and Dimensioning Output"/>
      <sheetName val="Neraca"/>
      <sheetName val="Agustus"/>
      <sheetName val="ProArcInfo"/>
      <sheetName val="DAT-2"/>
      <sheetName val="load"/>
      <sheetName val="Option List"/>
      <sheetName val="P&amp;L_Highlights 2008"/>
      <sheetName val="HC_PLAN2"/>
      <sheetName val="Daftar_Cab2"/>
      <sheetName val="Mutasi_GA2"/>
      <sheetName val="I_4_1_(2)2"/>
      <sheetName val="IDENTITAS"/>
      <sheetName val="Q.1.1"/>
      <sheetName val="calcu"/>
      <sheetName val="Subsequent GRIR"/>
      <sheetName val="Client_Aje"/>
      <sheetName val="Basic_Information"/>
      <sheetName val="Sheet1 (2)"/>
      <sheetName val="CAJE-CRJE"/>
      <sheetName val="CR2"/>
      <sheetName val="SERV_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 refreshError="1"/>
      <sheetData sheetId="493" refreshError="1"/>
      <sheetData sheetId="494" refreshError="1"/>
      <sheetData sheetId="495" refreshError="1"/>
      <sheetData sheetId="496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/>
      <sheetData sheetId="1563"/>
      <sheetData sheetId="1564"/>
      <sheetData sheetId="1565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/>
      <sheetData sheetId="1576"/>
      <sheetData sheetId="1577"/>
      <sheetData sheetId="1578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/>
      <sheetData sheetId="1637"/>
      <sheetData sheetId="1638"/>
      <sheetData sheetId="1639"/>
      <sheetData sheetId="1640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/>
      <sheetData sheetId="1649"/>
      <sheetData sheetId="1650"/>
      <sheetData sheetId="1651"/>
      <sheetData sheetId="1652" refreshError="1"/>
      <sheetData sheetId="1653" refreshError="1"/>
      <sheetData sheetId="1654" refreshError="1"/>
      <sheetData sheetId="1655" refreshError="1"/>
      <sheetData sheetId="1656"/>
      <sheetData sheetId="1657"/>
      <sheetData sheetId="1658" refreshError="1"/>
      <sheetData sheetId="1659" refreshError="1"/>
      <sheetData sheetId="1660" refreshError="1"/>
      <sheetData sheetId="166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klist"/>
      <sheetName val="nilai_skrg"/>
      <sheetName val="fin_pf"/>
      <sheetName val="co_data"/>
      <sheetName val="pst_aktif"/>
      <sheetName val="pensiun_ditunda"/>
      <sheetName val="Links"/>
      <sheetName val="PRE"/>
      <sheetName val="Marshal -1"/>
      <sheetName val="SUD"/>
      <sheetName val="Customize Your Invoice"/>
      <sheetName val="Invoice"/>
      <sheetName val="Input"/>
      <sheetName val="FORM01"/>
      <sheetName val="Basic_Information"/>
      <sheetName val="CGSgm2"/>
      <sheetName val="CGSsp"/>
      <sheetName val="Factors"/>
      <sheetName val="Sales"/>
      <sheetName val="D1"/>
      <sheetName val="D1.01"/>
      <sheetName val="FIXED FLOAT"/>
      <sheetName val="Sheet1"/>
      <sheetName val="FINALPHP"/>
      <sheetName val="Parameter"/>
      <sheetName val="General Info"/>
      <sheetName val="Daf-Rek"/>
      <sheetName val="A"/>
      <sheetName val="I3-CF&amp;Fin"/>
      <sheetName val="Main"/>
      <sheetName val="I1-Data"/>
      <sheetName val="I4-Mutasi"/>
      <sheetName val="I2-Result"/>
      <sheetName val="DB_LS"/>
      <sheetName val="WP"/>
      <sheetName val="Co"/>
      <sheetName val="Data26"/>
      <sheetName val="DATA"/>
      <sheetName val="data_val"/>
    </sheetNames>
    <sheetDataSet>
      <sheetData sheetId="0">
        <row r="5">
          <cell r="G5" t="str">
            <v>PT XYZ</v>
          </cell>
        </row>
      </sheetData>
      <sheetData sheetId="1">
        <row r="5">
          <cell r="G5" t="str">
            <v>PT XYZ</v>
          </cell>
        </row>
      </sheetData>
      <sheetData sheetId="2">
        <row r="5">
          <cell r="G5" t="str">
            <v>PT XYZ</v>
          </cell>
        </row>
      </sheetData>
      <sheetData sheetId="3" refreshError="1">
        <row r="5">
          <cell r="G5" t="str">
            <v>PT XYZ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LIST"/>
      <sheetName val="DEFINITION"/>
      <sheetName val="FORM"/>
      <sheetName val="FORM-S"/>
      <sheetName val="F1"/>
      <sheetName val="SF1"/>
      <sheetName val="F2"/>
      <sheetName val="SF2"/>
      <sheetName val="F3"/>
      <sheetName val="SF3"/>
      <sheetName val="F4"/>
      <sheetName val="SF4"/>
      <sheetName val="F5"/>
      <sheetName val="F6"/>
      <sheetName val="F7"/>
      <sheetName val="F8"/>
      <sheetName val="F9"/>
      <sheetName val="F10"/>
      <sheetName val="F11"/>
      <sheetName val="F12"/>
      <sheetName val="F13"/>
      <sheetName val="F14"/>
      <sheetName val="F15"/>
      <sheetName val="F16"/>
      <sheetName val="F17"/>
      <sheetName val="Note.No.1"/>
      <sheetName val="COMPANY"/>
      <sheetName val="ACCOUNT"/>
      <sheetName val="Matching"/>
      <sheetName val="Module1"/>
      <sheetName val="原紙"/>
      <sheetName val="翌月予想"/>
      <sheetName val="1004"/>
      <sheetName val="1005"/>
      <sheetName val="1006"/>
      <sheetName val="1007"/>
      <sheetName val="1008"/>
      <sheetName val="1009"/>
      <sheetName val="1010"/>
      <sheetName val="1011"/>
      <sheetName val="1012"/>
      <sheetName val="1101"/>
      <sheetName val="1102"/>
      <sheetName val="1103"/>
      <sheetName val="1104(除)"/>
      <sheetName val="1104"/>
      <sheetName val="1105"/>
      <sheetName val="1105(除）"/>
      <sheetName val="1106"/>
      <sheetName val="1107"/>
      <sheetName val="MTRIX"/>
      <sheetName val="現法収支WK"/>
      <sheetName val="SPEC"/>
      <sheetName val="cfop2"/>
      <sheetName val="Weekly Report"/>
      <sheetName val="Sheet1"/>
      <sheetName val="基材表"/>
      <sheetName val="Note_No_1"/>
      <sheetName val="móv. e utens."/>
    </sheetNames>
    <sheetDataSet>
      <sheetData sheetId="0" refreshError="1">
        <row r="2">
          <cell r="A2" t="str">
            <v>s001</v>
          </cell>
          <cell r="B2" t="str">
            <v>山九不動産株式会社</v>
          </cell>
          <cell r="C2" t="str">
            <v>Sankyu Real Estate CO., LTD.</v>
          </cell>
        </row>
        <row r="3">
          <cell r="A3" t="str">
            <v>s010</v>
          </cell>
          <cell r="B3" t="str">
            <v>株式会社ｻﾝｷｭｳ･ﾀﾞｲﾈｯﾄ</v>
          </cell>
          <cell r="C3" t="str">
            <v>Sankyu Dynet Corporation.</v>
          </cell>
        </row>
        <row r="4">
          <cell r="A4" t="str">
            <v>s020</v>
          </cell>
          <cell r="B4" t="str">
            <v>株式会社ｽﾘｰｴｽ･ｻﾝｷｭｳ</v>
          </cell>
          <cell r="C4" t="str">
            <v xml:space="preserve">Sankyu Delivery &amp; Service CO., LTD. </v>
          </cell>
        </row>
        <row r="5">
          <cell r="A5" t="str">
            <v>s030</v>
          </cell>
          <cell r="B5" t="str">
            <v>株式会社山九海陸</v>
          </cell>
          <cell r="C5" t="str">
            <v>Sankyu Kairiku CO., LTD.</v>
          </cell>
        </row>
        <row r="6">
          <cell r="A6" t="str">
            <v>s040</v>
          </cell>
          <cell r="B6" t="str">
            <v>山九ｼﾝｶﾞﾎﾟｰﾙ(私人)有限公司</v>
          </cell>
          <cell r="C6" t="str">
            <v>Sankyu (Singapore) PTE. LTD.</v>
          </cell>
        </row>
        <row r="7">
          <cell r="A7" t="str">
            <v>s300</v>
          </cell>
          <cell r="B7" t="str">
            <v>株式会社ｻﾝｷｭｳ･ﾄﾗﾝｽﾎﾟｰﾄ･東京</v>
          </cell>
          <cell r="C7" t="str">
            <v>Sankyu Transport Tokyo CO., LTD.</v>
          </cell>
        </row>
        <row r="8">
          <cell r="A8" t="str">
            <v>s301</v>
          </cell>
          <cell r="B8" t="str">
            <v>株式会社ｻﾝｷｭｳ･ﾄﾗﾝｽﾎﾟｰﾄ･静岡</v>
          </cell>
          <cell r="C8" t="str">
            <v>Sankyu Transport Shizuoka CO., LTD.</v>
          </cell>
        </row>
        <row r="9">
          <cell r="A9" t="str">
            <v>s302</v>
          </cell>
          <cell r="B9" t="str">
            <v>株式会社ｻﾝｷｭｳ･ﾄﾗﾝｽﾎﾟｰﾄ･名古屋</v>
          </cell>
          <cell r="C9" t="str">
            <v>Sankyu Transport Nagoya CO., LTD.</v>
          </cell>
        </row>
        <row r="10">
          <cell r="A10" t="str">
            <v>s303</v>
          </cell>
          <cell r="B10" t="str">
            <v>株式会社ｻﾝｷｭｳ･ﾄﾗﾝｽﾎﾟｰﾄ･茨城</v>
          </cell>
          <cell r="C10" t="str">
            <v>Sankyu Transport Ibaraki CO., LTD.</v>
          </cell>
        </row>
        <row r="11">
          <cell r="A11" t="str">
            <v>s304</v>
          </cell>
          <cell r="B11" t="str">
            <v>株式会社ｻﾝｷｭｳ･ﾄﾗﾝｽﾎﾟｰﾄ･阪神</v>
          </cell>
          <cell r="C11" t="str">
            <v>Sankyu Transport Hanshin CO., LTD.</v>
          </cell>
        </row>
        <row r="12">
          <cell r="A12" t="str">
            <v>s305</v>
          </cell>
          <cell r="B12" t="str">
            <v>株式会社ｻﾝｷｭｳ･ﾄﾗﾝｽﾎﾟｰﾄ･広島</v>
          </cell>
          <cell r="C12" t="str">
            <v>Sankyu Transport Hiroshima CO., LTD.</v>
          </cell>
        </row>
        <row r="13">
          <cell r="A13" t="str">
            <v>s306</v>
          </cell>
          <cell r="B13" t="str">
            <v>株式会社ｻﾝｷｭｳ･ﾄﾗﾝｽﾎﾟｰﾄ･岡山</v>
          </cell>
          <cell r="C13" t="str">
            <v>Sankyu Transport Okayama CO., LTD.</v>
          </cell>
        </row>
        <row r="14">
          <cell r="A14" t="str">
            <v>s307</v>
          </cell>
          <cell r="B14" t="str">
            <v>株式会社ｻﾝｷｭｳ･ﾄﾗﾝｽﾎﾟｰﾄ･山口</v>
          </cell>
          <cell r="C14" t="str">
            <v>Sankyu Transport Yamaguchi CO., LTD.</v>
          </cell>
        </row>
        <row r="15">
          <cell r="A15" t="str">
            <v>s308</v>
          </cell>
          <cell r="B15" t="str">
            <v>株式会社ｻﾝｷｭｳ･ﾄﾗﾝｽﾎﾟｰﾄ･北九州</v>
          </cell>
          <cell r="C15" t="str">
            <v>Sankyu Transport Kitakyusyu CO., LTD.</v>
          </cell>
        </row>
        <row r="16">
          <cell r="A16" t="str">
            <v>s309</v>
          </cell>
          <cell r="B16" t="str">
            <v>株式会社ｻﾝｷｭｳ･ﾄﾗﾝｽﾎﾟｰﾄ･京滋</v>
          </cell>
          <cell r="C16" t="str">
            <v>Sankyu Transport Keiji CO., LTD.</v>
          </cell>
        </row>
        <row r="17">
          <cell r="A17" t="str">
            <v>s310</v>
          </cell>
          <cell r="B17" t="str">
            <v>株式会社山九機工ｻｰﾋﾞｽ</v>
          </cell>
          <cell r="C17" t="str">
            <v>Sankyu Engineering Service CO., LTD.</v>
          </cell>
        </row>
        <row r="18">
          <cell r="A18" t="str">
            <v>s311</v>
          </cell>
          <cell r="B18" t="str">
            <v>山協港運株式会社</v>
          </cell>
          <cell r="C18" t="str">
            <v>Sankyokoun CO., LTD.</v>
          </cell>
        </row>
        <row r="19">
          <cell r="A19" t="str">
            <v>s312</v>
          </cell>
          <cell r="B19" t="str">
            <v>中部海運株式会社</v>
          </cell>
          <cell r="C19" t="str">
            <v>Chubu Kaiun CO., LTD.</v>
          </cell>
        </row>
        <row r="20">
          <cell r="A20" t="str">
            <v>s313</v>
          </cell>
          <cell r="B20" t="str">
            <v>株式会社ｴｽ･ｼｰ･ｴｽ</v>
          </cell>
          <cell r="C20" t="str">
            <v>SCS Corporation.</v>
          </cell>
        </row>
        <row r="21">
          <cell r="A21" t="str">
            <v>s314</v>
          </cell>
          <cell r="B21" t="str">
            <v>山九ﾏﾚｰｼｱ株式会社</v>
          </cell>
          <cell r="C21" t="str">
            <v>Sankyu (Malaysia) SDN. BHD.</v>
          </cell>
        </row>
        <row r="22">
          <cell r="A22" t="str">
            <v>s315</v>
          </cell>
          <cell r="B22" t="str">
            <v>JURUWIRA</v>
          </cell>
          <cell r="C22" t="str">
            <v>Juruwira SDN. BHD.</v>
          </cell>
        </row>
        <row r="23">
          <cell r="A23" t="str">
            <v>s316</v>
          </cell>
          <cell r="B23" t="str">
            <v>TENGKU</v>
          </cell>
          <cell r="C23" t="str">
            <v>Tengku Iskandar Shan SDN. BHD.</v>
          </cell>
        </row>
        <row r="24">
          <cell r="A24" t="str">
            <v>s317</v>
          </cell>
          <cell r="B24" t="str">
            <v>SPECTAC</v>
          </cell>
          <cell r="C24" t="str">
            <v>Spectac SDN. BHD.</v>
          </cell>
        </row>
        <row r="25">
          <cell r="A25" t="str">
            <v>s318</v>
          </cell>
          <cell r="B25" t="str">
            <v>山九東源国際(香港)有限公司</v>
          </cell>
          <cell r="C25" t="str">
            <v>Sankyu Eastern International (Hong Kong) CO., LTD.</v>
          </cell>
        </row>
        <row r="26">
          <cell r="A26" t="str">
            <v>s319</v>
          </cell>
          <cell r="B26" t="str">
            <v>山九ﾕｰ･ｴｽ･ｴｰ株式会社</v>
          </cell>
          <cell r="C26" t="str">
            <v>Sankyu U .S .A .,Incorporated</v>
          </cell>
        </row>
        <row r="27">
          <cell r="A27" t="str">
            <v>s501</v>
          </cell>
          <cell r="B27" t="str">
            <v>愛媛海運株式会社</v>
          </cell>
          <cell r="C27" t="str">
            <v>Ehime Kaiun CO., LTD.</v>
          </cell>
        </row>
        <row r="28">
          <cell r="A28" t="str">
            <v>s502</v>
          </cell>
          <cell r="B28" t="str">
            <v>株式会社ｻﾝｷｭｳｼｯﾋﾟﾝｸﾞ</v>
          </cell>
          <cell r="C28" t="str">
            <v>Sankyu Shipping INC .</v>
          </cell>
        </row>
        <row r="29">
          <cell r="A29" t="str">
            <v>s503</v>
          </cell>
          <cell r="B29" t="str">
            <v>千代田ｼｯﾋﾟﾝｸﾞ株式会社</v>
          </cell>
          <cell r="C29" t="str">
            <v>Chiyoda Shipping LTD .</v>
          </cell>
        </row>
        <row r="30">
          <cell r="A30" t="str">
            <v>s504</v>
          </cell>
          <cell r="B30" t="str">
            <v>ｻﾝｷｭｳﾋﾞｼﾞﾈｽｻｰﾋﾞｽ株式会社</v>
          </cell>
          <cell r="C30" t="str">
            <v>Sankyu Business Service CO., LTD.</v>
          </cell>
        </row>
        <row r="31">
          <cell r="A31" t="str">
            <v>s505</v>
          </cell>
          <cell r="B31" t="str">
            <v>中国ﾋﾞｼﾞﾈｽｻｰﾋﾞｽ株式会社</v>
          </cell>
          <cell r="C31" t="str">
            <v>Chugoku Business Service CO., LTD.</v>
          </cell>
        </row>
        <row r="32">
          <cell r="A32" t="str">
            <v>s506</v>
          </cell>
          <cell r="B32" t="str">
            <v>大分ﾋﾞｼﾞﾈｽｻｰﾋﾞｽ株式会社</v>
          </cell>
          <cell r="C32" t="str">
            <v>Oita Business Service CO., LTD.</v>
          </cell>
        </row>
        <row r="33">
          <cell r="A33" t="str">
            <v>s507</v>
          </cell>
          <cell r="B33" t="str">
            <v>有限会社千葉ﾋﾞｼﾞﾈｽ企画</v>
          </cell>
          <cell r="C33" t="str">
            <v>Chiba Business Planning Limited Company</v>
          </cell>
        </row>
        <row r="34">
          <cell r="A34" t="str">
            <v>s508</v>
          </cell>
          <cell r="B34" t="str">
            <v>株式会社ｻﾝｷｭｳﾘｻｰﾁｱﾝﾄﾞｸﾘｴｲﾄ</v>
          </cell>
          <cell r="C34" t="str">
            <v>Sankyu Research And Create CO., LTD.</v>
          </cell>
        </row>
        <row r="35">
          <cell r="A35" t="str">
            <v>s509</v>
          </cell>
          <cell r="B35" t="str">
            <v>山九ﾖｰﾛｯﾊﾟ株式会社</v>
          </cell>
          <cell r="C35" t="str">
            <v>Sankyu (Europe) B.V.</v>
          </cell>
        </row>
        <row r="36">
          <cell r="A36" t="str">
            <v>s510</v>
          </cell>
          <cell r="B36" t="str">
            <v>株式会社ｵｰｼｰｴｽ</v>
          </cell>
          <cell r="C36" t="str">
            <v>O .C .S . Inc.</v>
          </cell>
        </row>
        <row r="37">
          <cell r="A37" t="str">
            <v>s511</v>
          </cell>
          <cell r="B37" t="str">
            <v>上海経貿山九儲運有限公司</v>
          </cell>
          <cell r="C37" t="str">
            <v xml:space="preserve">Shanghai E&amp;T Sankyu Logistics CO., LTD. </v>
          </cell>
        </row>
        <row r="38">
          <cell r="A38" t="str">
            <v>s512</v>
          </cell>
          <cell r="B38" t="str">
            <v>広州山九物流有限公司</v>
          </cell>
          <cell r="C38" t="str">
            <v>Sankyu Guangzhou Logistics CO ., LTD .</v>
          </cell>
        </row>
        <row r="39">
          <cell r="A39" t="str">
            <v>s513</v>
          </cell>
          <cell r="B39" t="str">
            <v>青島山九亜太物流有限公司</v>
          </cell>
          <cell r="C39" t="str">
            <v>Qingdao Sankyu Asia-Pacific Logistics CO., LTD.</v>
          </cell>
        </row>
        <row r="40">
          <cell r="A40" t="str">
            <v>s514</v>
          </cell>
          <cell r="B40" t="str">
            <v>南京山九長発物流有限公司</v>
          </cell>
          <cell r="C40" t="str">
            <v>Nanjing Sankyu Changfa Logistics CO., LTD.</v>
          </cell>
        </row>
        <row r="41">
          <cell r="A41" t="str">
            <v>s515</v>
          </cell>
          <cell r="B41" t="str">
            <v>北京山九北海物流有限公司</v>
          </cell>
          <cell r="C41" t="str">
            <v>Sankyu Beijing Beihai Logistics</v>
          </cell>
        </row>
        <row r="42">
          <cell r="A42" t="str">
            <v>s516</v>
          </cell>
          <cell r="B42" t="str">
            <v>山九設計ｻｰﾋﾞｽ</v>
          </cell>
          <cell r="C42" t="str">
            <v>Sankyu Design &amp; Engineering Service Co., LTD.</v>
          </cell>
        </row>
        <row r="43">
          <cell r="A43" t="str">
            <v>s517</v>
          </cell>
          <cell r="B43" t="str">
            <v>SANKYU LOGISTICS D.A.L.</v>
          </cell>
          <cell r="C43" t="str">
            <v>Sankyu Logistics Despachos Aduaneiros</v>
          </cell>
        </row>
        <row r="44">
          <cell r="A44" t="str">
            <v>s518</v>
          </cell>
          <cell r="B44" t="str">
            <v>SANKYU BUSINES</v>
          </cell>
          <cell r="C44" t="str">
            <v>Sankyu Busines (Thailand)</v>
          </cell>
        </row>
        <row r="45">
          <cell r="A45" t="str">
            <v>s519</v>
          </cell>
          <cell r="B45" t="str">
            <v>ﾌﾟﾗﾝﾄｻｰﾋﾞｽ</v>
          </cell>
          <cell r="C45" t="str">
            <v>Plant Service Co., LTD.</v>
          </cell>
        </row>
        <row r="46">
          <cell r="A46" t="str">
            <v>s520</v>
          </cell>
          <cell r="B46" t="str">
            <v>共同ﾃｸﾉｻｰﾋﾞｽ</v>
          </cell>
          <cell r="C46" t="str">
            <v>Kyodo Techno Service Co., LTD.</v>
          </cell>
        </row>
        <row r="47">
          <cell r="A47" t="str">
            <v>s521</v>
          </cell>
          <cell r="B47" t="str">
            <v>山九港運千葉</v>
          </cell>
          <cell r="C47" t="str">
            <v>Sankyu koun chiba</v>
          </cell>
        </row>
        <row r="48">
          <cell r="A48" t="str">
            <v>s522</v>
          </cell>
          <cell r="B48" t="str">
            <v>ｴｽｲｰｼｰ･ﾃｸﾉ</v>
          </cell>
          <cell r="C48" t="str">
            <v>SEC tekuno</v>
          </cell>
        </row>
        <row r="49">
          <cell r="A49" t="str">
            <v>s523</v>
          </cell>
          <cell r="B49" t="str">
            <v>山九保険ｻｰﾋﾞｽ</v>
          </cell>
          <cell r="C49" t="str">
            <v>Sankyu hoken Service</v>
          </cell>
        </row>
        <row r="50">
          <cell r="A50" t="str">
            <v>s524</v>
          </cell>
          <cell r="B50" t="str">
            <v>ﾃﾙｽﾀｰ</v>
          </cell>
          <cell r="C50" t="str">
            <v>Telstar</v>
          </cell>
        </row>
        <row r="51">
          <cell r="A51" t="str">
            <v>s525</v>
          </cell>
          <cell r="B51" t="str">
            <v>山九物流ﾌｨﾘﾋﾟﾝ</v>
          </cell>
          <cell r="C51" t="str">
            <v>Sankyu logistics Philippines</v>
          </cell>
        </row>
        <row r="52">
          <cell r="A52" t="str">
            <v>s526</v>
          </cell>
          <cell r="B52" t="str">
            <v>山九機工ﾌｨﾘﾋﾟﾝ</v>
          </cell>
          <cell r="C52" t="str">
            <v>Sankyu logistics Philippines</v>
          </cell>
        </row>
        <row r="53">
          <cell r="A53" t="str">
            <v>s400</v>
          </cell>
          <cell r="B53" t="str">
            <v>山九ﾌﾟﾗﾝﾄ工業株式会社</v>
          </cell>
          <cell r="C53" t="str">
            <v>Sankyu Plant Construction CO., LTD.</v>
          </cell>
        </row>
        <row r="54">
          <cell r="A54" t="str">
            <v>s401</v>
          </cell>
          <cell r="B54" t="str">
            <v>ﾕﾆﾊﾞｰｻﾙﾘｰｽ株式会社</v>
          </cell>
          <cell r="C54" t="str">
            <v>Universal Leasing CO., LTD.</v>
          </cell>
        </row>
        <row r="55">
          <cell r="A55" t="str">
            <v>s402</v>
          </cell>
          <cell r="B55" t="str">
            <v>東亜鉄構株式会社</v>
          </cell>
          <cell r="C55" t="str">
            <v>Toa Steel Structures CO., LTD.</v>
          </cell>
        </row>
        <row r="56">
          <cell r="A56" t="str">
            <v>s403</v>
          </cell>
          <cell r="B56" t="str">
            <v>株式会社ｻﾝｷｭｳ･ﾄﾗﾝｽﾎﾟｰﾄ･大阪</v>
          </cell>
          <cell r="C56" t="str">
            <v>Sankyu Transport Osaka CO., LTD.</v>
          </cell>
        </row>
        <row r="57">
          <cell r="A57" t="str">
            <v>s404</v>
          </cell>
          <cell r="B57" t="str">
            <v>ｻﾝｷｭｳｴﾝｼﾞﾆｱﾘﾝｸﾞ株式会社</v>
          </cell>
          <cell r="C57" t="str">
            <v>Sankyu Engineering CO., LTD.</v>
          </cell>
        </row>
        <row r="58">
          <cell r="A58" t="str">
            <v>s405</v>
          </cell>
          <cell r="B58" t="str">
            <v>山九重機工株式会社</v>
          </cell>
          <cell r="C58" t="str">
            <v>Sankyu Jukiko CO., LTD.</v>
          </cell>
        </row>
        <row r="59">
          <cell r="A59" t="str">
            <v>s406</v>
          </cell>
          <cell r="B59" t="str">
            <v>山九商事株式会社</v>
          </cell>
          <cell r="C59" t="str">
            <v>Sankyu Shoji Corporation</v>
          </cell>
        </row>
        <row r="60">
          <cell r="A60" t="str">
            <v>s407</v>
          </cell>
          <cell r="B60" t="str">
            <v>山九ｲﾝﾄﾞﾈｼｱ国際株式会社</v>
          </cell>
          <cell r="C60" t="str">
            <v>P .T .Sankyu Indonesia International</v>
          </cell>
        </row>
        <row r="61">
          <cell r="A61" t="str">
            <v>s408</v>
          </cell>
          <cell r="B61" t="str">
            <v>山九ﾀｲ株式会社</v>
          </cell>
          <cell r="C61" t="str">
            <v>Sankyu Logistics &amp; Engineering Services (Thailand) CO., LTD.</v>
          </cell>
        </row>
        <row r="62">
          <cell r="A62" t="str">
            <v>s409</v>
          </cell>
          <cell r="B62" t="str">
            <v>山九ﾚﾑﾁｬﾊﾞﾝ(ﾀｲﾗﾝﾄﾞ)株式会社</v>
          </cell>
          <cell r="C62" t="str">
            <v>Sankyu Leam Chabang (Thailand) CO., LTD.</v>
          </cell>
        </row>
        <row r="63">
          <cell r="A63" t="str">
            <v>s601</v>
          </cell>
          <cell r="B63" t="str">
            <v>ﾀﾞｲｴｲｼｯﾋﾟﾝｸﾞ株式会社</v>
          </cell>
          <cell r="C63" t="str">
            <v>Daiei Shipping CO., LTD.</v>
          </cell>
        </row>
        <row r="64">
          <cell r="A64" t="str">
            <v>s602</v>
          </cell>
          <cell r="B64" t="str">
            <v>ｱｼﾞｱﾏﾘﾀｲﾑｴｼﾞｪﾝｼｰ株式会社</v>
          </cell>
          <cell r="C64" t="str">
            <v>Asia Maritime Agencies LTD</v>
          </cell>
        </row>
        <row r="65">
          <cell r="A65" t="str">
            <v>s603</v>
          </cell>
          <cell r="B65" t="str">
            <v>ｼﾞｬﾊﾟﾝﾍﾋﾞｰﾘﾌﾄ株式会社</v>
          </cell>
          <cell r="C65" t="str">
            <v>Japan Heavy Lift INC</v>
          </cell>
        </row>
        <row r="66">
          <cell r="A66" t="str">
            <v>s604</v>
          </cell>
          <cell r="B66" t="str">
            <v>広菱倉庫運輸株式会社</v>
          </cell>
          <cell r="C66" t="str">
            <v>Hirobishi Sokounyu CO., LTD.</v>
          </cell>
        </row>
        <row r="67">
          <cell r="A67" t="str">
            <v>s605</v>
          </cell>
          <cell r="B67" t="str">
            <v>清水運輸作業株式会社</v>
          </cell>
          <cell r="C67" t="str">
            <v>Shimizu Unyu Sagyo CO., LTD.</v>
          </cell>
        </row>
        <row r="68">
          <cell r="A68" t="str">
            <v>s606</v>
          </cell>
          <cell r="B68" t="str">
            <v>協和海運株式会社</v>
          </cell>
          <cell r="C68" t="str">
            <v>kyowa Shipping CO., LTD.</v>
          </cell>
        </row>
        <row r="69">
          <cell r="A69" t="str">
            <v>s607</v>
          </cell>
          <cell r="B69" t="str">
            <v>関西ｼｽﾃﾑ流通株式会社</v>
          </cell>
          <cell r="C69" t="str">
            <v>Kansai System Ryutsu INC.</v>
          </cell>
        </row>
        <row r="70">
          <cell r="A70" t="str">
            <v>s608</v>
          </cell>
          <cell r="B70" t="str">
            <v>周防運輸株式会社</v>
          </cell>
          <cell r="C70" t="str">
            <v>Suoh Unyu CO., LTD.</v>
          </cell>
        </row>
        <row r="71">
          <cell r="A71" t="str">
            <v>s609</v>
          </cell>
          <cell r="B71" t="str">
            <v>株式会社友進製作所</v>
          </cell>
          <cell r="C71" t="str">
            <v>Yushin CO., LTD.</v>
          </cell>
        </row>
        <row r="72">
          <cell r="A72" t="str">
            <v>s610</v>
          </cell>
          <cell r="B72" t="str">
            <v>株式会社沖永開発</v>
          </cell>
          <cell r="C72" t="str">
            <v>Okieikaihatsu CO., LTD.</v>
          </cell>
        </row>
        <row r="73">
          <cell r="A73" t="str">
            <v>s611</v>
          </cell>
          <cell r="B73" t="str">
            <v>防府ﾎﾟｰﾄﾋﾞﾙ株式会社</v>
          </cell>
          <cell r="C73" t="str">
            <v>Hofu Port Buil CO., LTD.</v>
          </cell>
        </row>
        <row r="74">
          <cell r="A74" t="str">
            <v>s612</v>
          </cell>
          <cell r="B74" t="str">
            <v>日明ｺﾝﾃﾅ埠頭株式会社</v>
          </cell>
          <cell r="C74" t="str">
            <v>Hiagari Container Wharf Corporation</v>
          </cell>
        </row>
        <row r="75">
          <cell r="A75" t="str">
            <v>s613</v>
          </cell>
          <cell r="B75" t="str">
            <v>大井第四海貨ﾀｰﾐﾅﾙ株式会社</v>
          </cell>
          <cell r="C75" t="str">
            <v>Ooi Daiyon Kaika Terminal CO., LTD.</v>
          </cell>
        </row>
        <row r="76">
          <cell r="A76" t="str">
            <v>s614</v>
          </cell>
          <cell r="B76" t="str">
            <v>株式会社ｹｰﾌﾞﾙﾃﾚﾋﾞ佐伯</v>
          </cell>
          <cell r="C76" t="str">
            <v>Cable Television Saiki CO., LTD.</v>
          </cell>
        </row>
        <row r="77">
          <cell r="A77" t="str">
            <v>s615</v>
          </cell>
          <cell r="B77" t="str">
            <v>山九ﾌｨﾘﾋﾟﾝ株式会社</v>
          </cell>
          <cell r="C77" t="str">
            <v>Sankyu Philippines, INC.</v>
          </cell>
        </row>
        <row r="78">
          <cell r="A78" t="str">
            <v>s616</v>
          </cell>
          <cell r="B78" t="str">
            <v>天津天山国際貨運有限公司</v>
          </cell>
          <cell r="C78" t="str">
            <v>Tianjin Tianshan International Forwarding &amp; Logistics CO., LTD.</v>
          </cell>
        </row>
        <row r="79">
          <cell r="A79" t="str">
            <v>s617</v>
          </cell>
          <cell r="B79" t="str">
            <v>大九国際流通有限公司</v>
          </cell>
          <cell r="C79" t="str">
            <v>Daikyu International Trade &amp; Logistics CO., LTD.</v>
          </cell>
        </row>
        <row r="80">
          <cell r="A80" t="str">
            <v>s618</v>
          </cell>
          <cell r="B80" t="str">
            <v>深せん深九国際物流有限公司</v>
          </cell>
          <cell r="C80" t="str">
            <v>Shenzhen Shenkyu International Logistics CO., LTD.</v>
          </cell>
        </row>
        <row r="81">
          <cell r="A81" t="str">
            <v>s619</v>
          </cell>
          <cell r="B81" t="str">
            <v>山九ﾌﾞﾗｼﾞﾙ株式会社</v>
          </cell>
          <cell r="C81" t="str">
            <v>Sankyu S/A</v>
          </cell>
        </row>
        <row r="82">
          <cell r="A82" t="str">
            <v>s620</v>
          </cell>
          <cell r="B82" t="str">
            <v>山九ｴｱｰ(香港)株式会社</v>
          </cell>
          <cell r="C82" t="str">
            <v>Sankyu Air (Hong Kong) Limted.</v>
          </cell>
        </row>
        <row r="83">
          <cell r="A83" t="str">
            <v>s621</v>
          </cell>
          <cell r="B83" t="str">
            <v>MODERN SHIPPING</v>
          </cell>
          <cell r="C83" t="str">
            <v>Modern Shipping Limted.</v>
          </cell>
        </row>
        <row r="84">
          <cell r="A84" t="str">
            <v>s622</v>
          </cell>
          <cell r="B84" t="str">
            <v>東ｾﾛ･ﾛｼﾞﾃｯｸ株式会社</v>
          </cell>
          <cell r="C84" t="str">
            <v>Toh Cello Logitec Corporation.</v>
          </cell>
        </row>
        <row r="85">
          <cell r="A85" t="str">
            <v>s623</v>
          </cell>
          <cell r="B85" t="str">
            <v>ﾃｸﾉｻｲｼﾞﾝｸﾞ株式会社</v>
          </cell>
          <cell r="C85" t="str">
            <v>Techno Sizing CO., LTD.</v>
          </cell>
        </row>
      </sheetData>
      <sheetData sheetId="1" refreshError="1">
        <row r="2">
          <cell r="C2">
            <v>36981</v>
          </cell>
        </row>
        <row r="3">
          <cell r="B3" t="str">
            <v>s402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ial Balance"/>
      <sheetName val="Forex Feb"/>
      <sheetName val="adj"/>
      <sheetName val="adj by totoku"/>
      <sheetName val="Comb"/>
      <sheetName val="Sales 2"/>
      <sheetName val="feb"/>
    </sheetNames>
    <sheetDataSet>
      <sheetData sheetId="0"/>
      <sheetData sheetId="1" refreshError="1"/>
      <sheetData sheetId="2">
        <row r="8">
          <cell r="A8">
            <v>110041</v>
          </cell>
          <cell r="B8">
            <v>39141</v>
          </cell>
          <cell r="C8" t="str">
            <v>IJ-01</v>
          </cell>
          <cell r="D8" t="str">
            <v>Raw Material Cost</v>
          </cell>
          <cell r="E8" t="str">
            <v>Copper Wire Material</v>
          </cell>
          <cell r="F8">
            <v>520010</v>
          </cell>
          <cell r="G8">
            <v>0</v>
          </cell>
          <cell r="H8">
            <v>0</v>
          </cell>
          <cell r="K8" t="e">
            <v>#DIV/0!</v>
          </cell>
        </row>
        <row r="9">
          <cell r="A9">
            <v>520010</v>
          </cell>
          <cell r="B9">
            <v>39141</v>
          </cell>
          <cell r="C9" t="str">
            <v>IJ-01</v>
          </cell>
          <cell r="D9" t="str">
            <v>Raw Material Cost</v>
          </cell>
          <cell r="E9" t="str">
            <v>Copper Wire Material</v>
          </cell>
          <cell r="F9">
            <v>110041</v>
          </cell>
          <cell r="I9">
            <v>0</v>
          </cell>
          <cell r="J9">
            <v>0</v>
          </cell>
          <cell r="K9" t="e">
            <v>#DIV/0!</v>
          </cell>
        </row>
        <row r="10">
          <cell r="A10" t="str">
            <v>110041-1</v>
          </cell>
          <cell r="B10">
            <v>39141</v>
          </cell>
          <cell r="C10" t="str">
            <v>IJ-02</v>
          </cell>
          <cell r="D10" t="str">
            <v>Raw Material Cost</v>
          </cell>
          <cell r="E10" t="str">
            <v>Copper Wire Material for LITZ</v>
          </cell>
          <cell r="F10">
            <v>520010</v>
          </cell>
          <cell r="G10">
            <v>60802.49</v>
          </cell>
          <cell r="H10">
            <v>554320399</v>
          </cell>
          <cell r="K10">
            <v>9116.7384592308645</v>
          </cell>
        </row>
        <row r="11">
          <cell r="A11">
            <v>520010</v>
          </cell>
          <cell r="B11">
            <v>39141</v>
          </cell>
          <cell r="C11" t="str">
            <v>IJ-02</v>
          </cell>
          <cell r="D11" t="str">
            <v>Raw Material Cost</v>
          </cell>
          <cell r="E11" t="str">
            <v>Copper Wire Material for LITZ</v>
          </cell>
          <cell r="F11" t="str">
            <v>110041-1</v>
          </cell>
          <cell r="I11">
            <v>60802.49</v>
          </cell>
          <cell r="J11">
            <v>554320399</v>
          </cell>
          <cell r="K11">
            <v>9116.7384592308645</v>
          </cell>
        </row>
        <row r="12">
          <cell r="A12">
            <v>110042</v>
          </cell>
          <cell r="B12">
            <v>39141</v>
          </cell>
          <cell r="C12" t="str">
            <v>IJ-03</v>
          </cell>
          <cell r="D12" t="str">
            <v>Raw Material Cost</v>
          </cell>
          <cell r="E12" t="str">
            <v>PVC Tape Material</v>
          </cell>
          <cell r="F12">
            <v>520010</v>
          </cell>
          <cell r="G12">
            <v>0</v>
          </cell>
          <cell r="H12">
            <v>0</v>
          </cell>
          <cell r="K12" t="e">
            <v>#DIV/0!</v>
          </cell>
        </row>
        <row r="13">
          <cell r="A13">
            <v>520010</v>
          </cell>
          <cell r="B13">
            <v>39141</v>
          </cell>
          <cell r="C13" t="str">
            <v>IJ-03</v>
          </cell>
          <cell r="D13" t="str">
            <v>Raw Material Cost</v>
          </cell>
          <cell r="E13" t="str">
            <v>PVC Tape Material</v>
          </cell>
          <cell r="F13">
            <v>110042</v>
          </cell>
          <cell r="I13">
            <v>0</v>
          </cell>
          <cell r="J13">
            <v>0</v>
          </cell>
          <cell r="K13" t="e">
            <v>#DIV/0!</v>
          </cell>
        </row>
        <row r="14">
          <cell r="A14">
            <v>110043</v>
          </cell>
          <cell r="B14">
            <v>39141</v>
          </cell>
          <cell r="C14" t="str">
            <v>IJ-04</v>
          </cell>
          <cell r="D14" t="str">
            <v>Raw Material Cost</v>
          </cell>
          <cell r="E14" t="str">
            <v>Connector Assembling Material</v>
          </cell>
          <cell r="F14">
            <v>520010</v>
          </cell>
          <cell r="G14">
            <v>0</v>
          </cell>
          <cell r="H14">
            <v>0</v>
          </cell>
          <cell r="K14" t="e">
            <v>#DIV/0!</v>
          </cell>
        </row>
        <row r="15">
          <cell r="A15">
            <v>520010</v>
          </cell>
          <cell r="B15">
            <v>39141</v>
          </cell>
          <cell r="C15" t="str">
            <v>IJ-04</v>
          </cell>
          <cell r="D15" t="str">
            <v>Raw Material Cost</v>
          </cell>
          <cell r="E15" t="str">
            <v>Connector Assembling Material</v>
          </cell>
          <cell r="F15">
            <v>110043</v>
          </cell>
          <cell r="I15">
            <v>0</v>
          </cell>
          <cell r="J15">
            <v>0</v>
          </cell>
          <cell r="K15" t="e">
            <v>#DIV/0!</v>
          </cell>
        </row>
        <row r="16">
          <cell r="A16" t="str">
            <v>110043-1</v>
          </cell>
          <cell r="B16">
            <v>39141</v>
          </cell>
          <cell r="C16" t="str">
            <v>IJ-05</v>
          </cell>
          <cell r="D16" t="str">
            <v>Raw Material Cost</v>
          </cell>
          <cell r="E16" t="str">
            <v>Tetron Litz</v>
          </cell>
          <cell r="F16">
            <v>520010</v>
          </cell>
          <cell r="G16">
            <v>150.80000000000001</v>
          </cell>
          <cell r="H16">
            <v>1370896</v>
          </cell>
          <cell r="K16">
            <v>9090.8222811671076</v>
          </cell>
        </row>
        <row r="17">
          <cell r="A17">
            <v>520010</v>
          </cell>
          <cell r="B17">
            <v>39141</v>
          </cell>
          <cell r="C17" t="str">
            <v>IJ-05</v>
          </cell>
          <cell r="D17" t="str">
            <v>Raw Material Cost</v>
          </cell>
          <cell r="E17" t="str">
            <v>Tetron Litz</v>
          </cell>
          <cell r="F17" t="str">
            <v>110043-1</v>
          </cell>
          <cell r="I17">
            <v>150.80000000000001</v>
          </cell>
          <cell r="J17">
            <v>1370896</v>
          </cell>
          <cell r="K17">
            <v>9090.8222811671076</v>
          </cell>
        </row>
        <row r="18">
          <cell r="A18" t="str">
            <v>110043-2-1</v>
          </cell>
          <cell r="B18">
            <v>39141</v>
          </cell>
          <cell r="C18" t="str">
            <v>IJ-06</v>
          </cell>
          <cell r="D18" t="str">
            <v>Raw Material Cost</v>
          </cell>
          <cell r="E18" t="str">
            <v>Seat (H)</v>
          </cell>
          <cell r="F18">
            <v>520010</v>
          </cell>
          <cell r="G18">
            <v>0</v>
          </cell>
          <cell r="H18">
            <v>0</v>
          </cell>
          <cell r="K18" t="e">
            <v>#DIV/0!</v>
          </cell>
        </row>
        <row r="19">
          <cell r="A19">
            <v>520010</v>
          </cell>
          <cell r="B19">
            <v>39141</v>
          </cell>
          <cell r="C19" t="str">
            <v>IJ-06</v>
          </cell>
          <cell r="D19" t="str">
            <v>Raw Material Cost</v>
          </cell>
          <cell r="E19" t="str">
            <v>Seat (H)</v>
          </cell>
          <cell r="F19" t="str">
            <v>110043-2-1</v>
          </cell>
          <cell r="I19">
            <v>0</v>
          </cell>
          <cell r="J19">
            <v>0</v>
          </cell>
          <cell r="K19" t="e">
            <v>#DIV/0!</v>
          </cell>
        </row>
        <row r="20">
          <cell r="A20" t="str">
            <v>110043-2-2</v>
          </cell>
          <cell r="B20">
            <v>39141</v>
          </cell>
          <cell r="C20" t="str">
            <v>IJ-07</v>
          </cell>
          <cell r="D20" t="str">
            <v>Raw Material Cost</v>
          </cell>
          <cell r="E20" t="str">
            <v>Blanket (H)</v>
          </cell>
          <cell r="F20">
            <v>520010</v>
          </cell>
          <cell r="G20">
            <v>0</v>
          </cell>
          <cell r="H20">
            <v>0</v>
          </cell>
          <cell r="K20" t="e">
            <v>#DIV/0!</v>
          </cell>
        </row>
        <row r="21">
          <cell r="A21">
            <v>520010</v>
          </cell>
          <cell r="B21">
            <v>39141</v>
          </cell>
          <cell r="C21" t="str">
            <v>IJ-07</v>
          </cell>
          <cell r="D21" t="str">
            <v>Raw Material Cost</v>
          </cell>
          <cell r="E21" t="str">
            <v>Blanket (H)</v>
          </cell>
          <cell r="F21" t="str">
            <v>110043-2-2</v>
          </cell>
          <cell r="I21">
            <v>0</v>
          </cell>
          <cell r="J21">
            <v>0</v>
          </cell>
          <cell r="K21" t="e">
            <v>#DIV/0!</v>
          </cell>
        </row>
        <row r="22">
          <cell r="A22" t="str">
            <v>110043-3</v>
          </cell>
          <cell r="B22">
            <v>39141</v>
          </cell>
          <cell r="C22" t="str">
            <v>IJ-08</v>
          </cell>
          <cell r="D22" t="str">
            <v>Raw Material Cost</v>
          </cell>
          <cell r="E22" t="str">
            <v>Heater</v>
          </cell>
          <cell r="F22">
            <v>520010</v>
          </cell>
          <cell r="G22">
            <v>0</v>
          </cell>
          <cell r="H22">
            <v>0</v>
          </cell>
          <cell r="K22" t="e">
            <v>#DIV/0!</v>
          </cell>
        </row>
        <row r="23">
          <cell r="A23">
            <v>520010</v>
          </cell>
          <cell r="B23">
            <v>39141</v>
          </cell>
          <cell r="C23" t="str">
            <v>IJ-08</v>
          </cell>
          <cell r="D23" t="str">
            <v>Raw Material Cost</v>
          </cell>
          <cell r="E23" t="str">
            <v>Heater</v>
          </cell>
          <cell r="F23" t="str">
            <v>110043-3</v>
          </cell>
          <cell r="I23">
            <v>0</v>
          </cell>
          <cell r="J23">
            <v>0</v>
          </cell>
          <cell r="K23" t="e">
            <v>#DIV/0!</v>
          </cell>
        </row>
        <row r="24">
          <cell r="A24" t="str">
            <v>110044-9</v>
          </cell>
          <cell r="B24">
            <v>39141</v>
          </cell>
          <cell r="C24" t="str">
            <v>IJ-09</v>
          </cell>
          <cell r="D24" t="str">
            <v>Raw Material Cost</v>
          </cell>
          <cell r="E24" t="str">
            <v>Alumunium</v>
          </cell>
          <cell r="F24">
            <v>520010</v>
          </cell>
          <cell r="G24">
            <v>1508.52</v>
          </cell>
          <cell r="H24">
            <v>13817465</v>
          </cell>
          <cell r="K24">
            <v>9159.6167104181586</v>
          </cell>
        </row>
        <row r="25">
          <cell r="A25">
            <v>520010</v>
          </cell>
          <cell r="B25">
            <v>39141</v>
          </cell>
          <cell r="C25" t="str">
            <v>IJ-09</v>
          </cell>
          <cell r="D25" t="str">
            <v>Raw Material Cost</v>
          </cell>
          <cell r="E25" t="str">
            <v>Alumunium</v>
          </cell>
          <cell r="F25" t="str">
            <v>110044-9</v>
          </cell>
          <cell r="I25">
            <v>1508.52</v>
          </cell>
          <cell r="J25">
            <v>13817465</v>
          </cell>
          <cell r="K25">
            <v>9159.6167104181586</v>
          </cell>
        </row>
        <row r="26">
          <cell r="A26" t="str">
            <v>110043-5</v>
          </cell>
          <cell r="B26">
            <v>39141</v>
          </cell>
          <cell r="C26" t="str">
            <v>IJ-10</v>
          </cell>
          <cell r="D26" t="str">
            <v>Raw Material Cost</v>
          </cell>
          <cell r="E26" t="str">
            <v>Heater Compound</v>
          </cell>
          <cell r="F26">
            <v>520010</v>
          </cell>
          <cell r="G26">
            <v>0</v>
          </cell>
          <cell r="H26">
            <v>0</v>
          </cell>
          <cell r="K26" t="e">
            <v>#DIV/0!</v>
          </cell>
        </row>
        <row r="27">
          <cell r="A27">
            <v>520010</v>
          </cell>
          <cell r="B27">
            <v>39141</v>
          </cell>
          <cell r="C27" t="str">
            <v>IJ-10</v>
          </cell>
          <cell r="D27" t="str">
            <v>Raw Material Cost</v>
          </cell>
          <cell r="E27" t="str">
            <v>Heater Compound</v>
          </cell>
          <cell r="F27" t="str">
            <v>110043-5</v>
          </cell>
          <cell r="I27">
            <v>0</v>
          </cell>
          <cell r="J27">
            <v>0</v>
          </cell>
          <cell r="K27" t="e">
            <v>#DIV/0!</v>
          </cell>
        </row>
        <row r="28">
          <cell r="A28" t="str">
            <v>110043-6</v>
          </cell>
          <cell r="B28">
            <v>39141</v>
          </cell>
          <cell r="C28" t="str">
            <v>IJ-11</v>
          </cell>
          <cell r="D28" t="str">
            <v>Raw Material Cost</v>
          </cell>
          <cell r="E28" t="str">
            <v>Heater Solder</v>
          </cell>
          <cell r="F28">
            <v>520010</v>
          </cell>
          <cell r="G28">
            <v>0</v>
          </cell>
          <cell r="H28">
            <v>0</v>
          </cell>
          <cell r="K28" t="e">
            <v>#DIV/0!</v>
          </cell>
        </row>
        <row r="29">
          <cell r="A29">
            <v>520010</v>
          </cell>
          <cell r="B29">
            <v>39141</v>
          </cell>
          <cell r="C29" t="str">
            <v>IJ-11</v>
          </cell>
          <cell r="D29" t="str">
            <v>Raw Material Cost</v>
          </cell>
          <cell r="E29" t="str">
            <v>Heater Solder</v>
          </cell>
          <cell r="F29" t="str">
            <v>110043-6</v>
          </cell>
          <cell r="I29">
            <v>0</v>
          </cell>
          <cell r="J29">
            <v>0</v>
          </cell>
          <cell r="K29" t="e">
            <v>#DIV/0!</v>
          </cell>
        </row>
        <row r="30">
          <cell r="A30" t="str">
            <v>110043-7</v>
          </cell>
          <cell r="B30">
            <v>39141</v>
          </cell>
          <cell r="C30" t="str">
            <v>IJ-12</v>
          </cell>
          <cell r="D30" t="str">
            <v>Raw Material Cost</v>
          </cell>
          <cell r="E30" t="str">
            <v>Heater Pin</v>
          </cell>
          <cell r="F30">
            <v>520010</v>
          </cell>
          <cell r="G30">
            <v>0</v>
          </cell>
          <cell r="H30">
            <v>0</v>
          </cell>
          <cell r="K30" t="e">
            <v>#DIV/0!</v>
          </cell>
        </row>
        <row r="31">
          <cell r="A31">
            <v>520010</v>
          </cell>
          <cell r="B31">
            <v>39141</v>
          </cell>
          <cell r="C31" t="str">
            <v>IJ-12</v>
          </cell>
          <cell r="D31" t="str">
            <v>Raw Material Cost</v>
          </cell>
          <cell r="E31" t="str">
            <v>Heater Pin</v>
          </cell>
          <cell r="F31" t="str">
            <v>110043-7</v>
          </cell>
          <cell r="I31">
            <v>0</v>
          </cell>
          <cell r="J31">
            <v>0</v>
          </cell>
          <cell r="K31" t="e">
            <v>#DIV/0!</v>
          </cell>
        </row>
        <row r="32">
          <cell r="A32" t="str">
            <v>110043-8</v>
          </cell>
          <cell r="B32">
            <v>39141</v>
          </cell>
          <cell r="C32" t="str">
            <v>IJ-13</v>
          </cell>
          <cell r="D32" t="str">
            <v>Raw Material Cost</v>
          </cell>
          <cell r="E32" t="str">
            <v>Captire</v>
          </cell>
          <cell r="F32">
            <v>520010</v>
          </cell>
          <cell r="G32">
            <v>0</v>
          </cell>
          <cell r="H32">
            <v>0</v>
          </cell>
          <cell r="K32" t="e">
            <v>#DIV/0!</v>
          </cell>
        </row>
        <row r="33">
          <cell r="A33">
            <v>520010</v>
          </cell>
          <cell r="B33">
            <v>39141</v>
          </cell>
          <cell r="C33" t="str">
            <v>IJ-13</v>
          </cell>
          <cell r="D33" t="str">
            <v>Raw Material Cost</v>
          </cell>
          <cell r="E33" t="str">
            <v>Captire</v>
          </cell>
          <cell r="F33" t="str">
            <v>110043-8</v>
          </cell>
          <cell r="I33">
            <v>0</v>
          </cell>
          <cell r="J33">
            <v>0</v>
          </cell>
          <cell r="K33" t="e">
            <v>#DIV/0!</v>
          </cell>
        </row>
        <row r="34">
          <cell r="A34">
            <v>110044</v>
          </cell>
          <cell r="B34">
            <v>39141</v>
          </cell>
          <cell r="C34" t="str">
            <v>IJ-14</v>
          </cell>
          <cell r="D34" t="str">
            <v>Raw Material Cost</v>
          </cell>
          <cell r="E34" t="str">
            <v>Others Material</v>
          </cell>
          <cell r="F34">
            <v>520010</v>
          </cell>
          <cell r="G34">
            <v>8.1699999999998454</v>
          </cell>
          <cell r="H34">
            <v>75070</v>
          </cell>
          <cell r="K34">
            <v>9188.4944920442376</v>
          </cell>
        </row>
        <row r="35">
          <cell r="A35">
            <v>520010</v>
          </cell>
          <cell r="B35">
            <v>39141</v>
          </cell>
          <cell r="C35" t="str">
            <v>IJ-14</v>
          </cell>
          <cell r="D35" t="str">
            <v>Raw Material Cost</v>
          </cell>
          <cell r="E35" t="str">
            <v>Others Material</v>
          </cell>
          <cell r="F35">
            <v>110044</v>
          </cell>
          <cell r="I35">
            <v>8.1699999999998454</v>
          </cell>
          <cell r="J35">
            <v>75070</v>
          </cell>
          <cell r="K35">
            <v>9188.4944920442376</v>
          </cell>
        </row>
        <row r="36">
          <cell r="A36" t="str">
            <v>110044-1</v>
          </cell>
          <cell r="B36">
            <v>39141</v>
          </cell>
          <cell r="C36" t="str">
            <v>IJ-15</v>
          </cell>
          <cell r="D36" t="str">
            <v>Raw Material Cost</v>
          </cell>
          <cell r="E36" t="str">
            <v>Others (F)</v>
          </cell>
          <cell r="F36">
            <v>520010</v>
          </cell>
          <cell r="G36">
            <v>571.31000000000131</v>
          </cell>
          <cell r="H36">
            <v>5248640</v>
          </cell>
          <cell r="K36">
            <v>9187.0263079588804</v>
          </cell>
        </row>
        <row r="37">
          <cell r="A37">
            <v>520010</v>
          </cell>
          <cell r="B37">
            <v>39141</v>
          </cell>
          <cell r="C37" t="str">
            <v>IJ-15</v>
          </cell>
          <cell r="D37" t="str">
            <v>Raw Material Cost</v>
          </cell>
          <cell r="E37" t="str">
            <v>Others (F)</v>
          </cell>
          <cell r="F37" t="str">
            <v>110044-1</v>
          </cell>
          <cell r="I37">
            <v>571.31000000000131</v>
          </cell>
          <cell r="J37">
            <v>5248640</v>
          </cell>
          <cell r="K37">
            <v>9187.0263079588804</v>
          </cell>
        </row>
        <row r="38">
          <cell r="A38" t="str">
            <v>110044-2</v>
          </cell>
          <cell r="B38">
            <v>39141</v>
          </cell>
          <cell r="C38" t="str">
            <v>IJ-16</v>
          </cell>
          <cell r="D38" t="str">
            <v>Raw Material Cost</v>
          </cell>
          <cell r="E38" t="str">
            <v>Adhesive Tape (F)</v>
          </cell>
          <cell r="F38">
            <v>520010</v>
          </cell>
          <cell r="G38">
            <v>0</v>
          </cell>
          <cell r="H38">
            <v>0</v>
          </cell>
          <cell r="K38" t="e">
            <v>#DIV/0!</v>
          </cell>
        </row>
        <row r="39">
          <cell r="A39">
            <v>520010</v>
          </cell>
          <cell r="B39">
            <v>39141</v>
          </cell>
          <cell r="C39" t="str">
            <v>IJ-16</v>
          </cell>
          <cell r="D39" t="str">
            <v>Raw Material Cost</v>
          </cell>
          <cell r="E39" t="str">
            <v>Adhesive Tape (F)</v>
          </cell>
          <cell r="F39" t="str">
            <v>110044-2</v>
          </cell>
          <cell r="I39">
            <v>0</v>
          </cell>
          <cell r="J39">
            <v>0</v>
          </cell>
          <cell r="K39" t="e">
            <v>#DIV/0!</v>
          </cell>
        </row>
        <row r="40">
          <cell r="A40" t="str">
            <v>110044-3</v>
          </cell>
          <cell r="B40">
            <v>39141</v>
          </cell>
          <cell r="C40" t="str">
            <v>IJ-17</v>
          </cell>
          <cell r="D40" t="str">
            <v>Raw Material Cost</v>
          </cell>
          <cell r="E40" t="str">
            <v>Laminate Tube (F)</v>
          </cell>
          <cell r="F40">
            <v>520010</v>
          </cell>
          <cell r="G40">
            <v>1248.1400000000001</v>
          </cell>
          <cell r="H40">
            <v>11432962</v>
          </cell>
          <cell r="K40">
            <v>9159.9996795231291</v>
          </cell>
        </row>
        <row r="41">
          <cell r="A41">
            <v>520010</v>
          </cell>
          <cell r="B41">
            <v>39141</v>
          </cell>
          <cell r="C41" t="str">
            <v>IJ-17</v>
          </cell>
          <cell r="D41" t="str">
            <v>Raw Material Cost</v>
          </cell>
          <cell r="E41" t="str">
            <v>Laminate Tube (F)</v>
          </cell>
          <cell r="F41" t="str">
            <v>110044-3</v>
          </cell>
          <cell r="I41">
            <v>1248.1400000000001</v>
          </cell>
          <cell r="J41">
            <v>11432962</v>
          </cell>
          <cell r="K41">
            <v>9159.9996795231291</v>
          </cell>
        </row>
        <row r="42">
          <cell r="A42" t="str">
            <v>110044-4</v>
          </cell>
          <cell r="B42">
            <v>39141</v>
          </cell>
          <cell r="C42" t="str">
            <v>IJ-18</v>
          </cell>
          <cell r="D42" t="str">
            <v>Raw Material Cost</v>
          </cell>
          <cell r="E42" t="str">
            <v>Reinforcing Tape (FFC)</v>
          </cell>
          <cell r="F42">
            <v>520010</v>
          </cell>
          <cell r="G42">
            <v>5007.6899999999996</v>
          </cell>
          <cell r="H42">
            <v>45795883</v>
          </cell>
          <cell r="K42">
            <v>9145.1114186381346</v>
          </cell>
        </row>
        <row r="43">
          <cell r="A43">
            <v>520010</v>
          </cell>
          <cell r="B43">
            <v>39141</v>
          </cell>
          <cell r="C43" t="str">
            <v>IJ-18</v>
          </cell>
          <cell r="D43" t="str">
            <v>Raw Material Cost</v>
          </cell>
          <cell r="E43" t="str">
            <v>Reinforcing Tape (FFC)</v>
          </cell>
          <cell r="F43" t="str">
            <v>110044-4</v>
          </cell>
          <cell r="I43">
            <v>5007.6899999999996</v>
          </cell>
          <cell r="J43">
            <v>45795883</v>
          </cell>
          <cell r="K43">
            <v>9145.1114186381346</v>
          </cell>
        </row>
        <row r="44">
          <cell r="A44" t="str">
            <v>110044-5</v>
          </cell>
          <cell r="B44">
            <v>39141</v>
          </cell>
          <cell r="C44" t="str">
            <v>IJ-19</v>
          </cell>
          <cell r="D44" t="str">
            <v>Raw Material Cost</v>
          </cell>
          <cell r="E44" t="str">
            <v>Insulation Tape (FFC)</v>
          </cell>
          <cell r="F44">
            <v>520010</v>
          </cell>
          <cell r="G44">
            <v>42818.07</v>
          </cell>
          <cell r="H44">
            <v>390875889</v>
          </cell>
          <cell r="K44">
            <v>9128.7601005837023</v>
          </cell>
        </row>
        <row r="45">
          <cell r="A45">
            <v>520010</v>
          </cell>
          <cell r="B45">
            <v>39141</v>
          </cell>
          <cell r="C45" t="str">
            <v>IJ-19</v>
          </cell>
          <cell r="D45" t="str">
            <v>Raw Material Cost</v>
          </cell>
          <cell r="E45" t="str">
            <v>Insulation Tape (FFC)</v>
          </cell>
          <cell r="F45" t="str">
            <v>110044-5</v>
          </cell>
          <cell r="I45">
            <v>42818.07</v>
          </cell>
          <cell r="J45">
            <v>390875889</v>
          </cell>
          <cell r="K45">
            <v>9128.7601005837023</v>
          </cell>
        </row>
        <row r="46">
          <cell r="A46" t="str">
            <v>110044-6</v>
          </cell>
          <cell r="B46">
            <v>39141</v>
          </cell>
          <cell r="C46" t="str">
            <v>IJ-20</v>
          </cell>
          <cell r="D46" t="str">
            <v>Raw Material Cost</v>
          </cell>
          <cell r="E46" t="str">
            <v>TC-CUR (FFC)</v>
          </cell>
          <cell r="F46">
            <v>520010</v>
          </cell>
          <cell r="G46">
            <v>4072.25</v>
          </cell>
          <cell r="H46">
            <v>37259261</v>
          </cell>
          <cell r="K46">
            <v>9149.551476456505</v>
          </cell>
        </row>
        <row r="47">
          <cell r="A47">
            <v>520010</v>
          </cell>
          <cell r="B47">
            <v>39141</v>
          </cell>
          <cell r="C47" t="str">
            <v>IJ-20</v>
          </cell>
          <cell r="D47" t="str">
            <v>Raw Material Cost</v>
          </cell>
          <cell r="E47" t="str">
            <v>TC-CUR (FFC)</v>
          </cell>
          <cell r="F47" t="str">
            <v>110044-6</v>
          </cell>
          <cell r="I47">
            <v>4072.25</v>
          </cell>
          <cell r="J47">
            <v>37259261</v>
          </cell>
          <cell r="K47">
            <v>9149.551476456505</v>
          </cell>
        </row>
        <row r="48">
          <cell r="A48" t="str">
            <v>110044-7</v>
          </cell>
          <cell r="B48">
            <v>39141</v>
          </cell>
          <cell r="C48" t="str">
            <v>IJ-21</v>
          </cell>
          <cell r="D48" t="str">
            <v>Raw Material Cost</v>
          </cell>
          <cell r="E48" t="str">
            <v>Accu Wire (FFC)</v>
          </cell>
          <cell r="F48">
            <v>520010</v>
          </cell>
          <cell r="G48">
            <v>35834.410000000003</v>
          </cell>
          <cell r="H48">
            <v>327772502</v>
          </cell>
          <cell r="K48">
            <v>9146.8647593193236</v>
          </cell>
        </row>
        <row r="49">
          <cell r="A49">
            <v>520010</v>
          </cell>
          <cell r="B49">
            <v>39141</v>
          </cell>
          <cell r="C49" t="str">
            <v>IJ-21</v>
          </cell>
          <cell r="D49" t="str">
            <v>Raw Material Cost</v>
          </cell>
          <cell r="E49" t="str">
            <v>Accu Wire (FFC)</v>
          </cell>
          <cell r="F49" t="str">
            <v>110044-7</v>
          </cell>
          <cell r="I49">
            <v>35834.410000000003</v>
          </cell>
          <cell r="J49">
            <v>327772502</v>
          </cell>
          <cell r="K49">
            <v>9146.8647593193236</v>
          </cell>
        </row>
        <row r="50">
          <cell r="A50" t="str">
            <v>110044-8</v>
          </cell>
          <cell r="B50">
            <v>39141</v>
          </cell>
          <cell r="C50" t="str">
            <v>IJ-21</v>
          </cell>
          <cell r="D50" t="str">
            <v>Raw Material Cost</v>
          </cell>
          <cell r="E50" t="str">
            <v>Double Faced (FFC)</v>
          </cell>
          <cell r="F50">
            <v>520010</v>
          </cell>
          <cell r="G50">
            <v>355.52</v>
          </cell>
          <cell r="H50">
            <v>3340966</v>
          </cell>
          <cell r="K50">
            <v>9397.4066156615663</v>
          </cell>
        </row>
        <row r="51">
          <cell r="A51">
            <v>520010</v>
          </cell>
          <cell r="B51">
            <v>39141</v>
          </cell>
          <cell r="C51" t="str">
            <v>IJ-21</v>
          </cell>
          <cell r="D51" t="str">
            <v>Raw Material Cost</v>
          </cell>
          <cell r="E51" t="str">
            <v>Double Faced (FFC)</v>
          </cell>
          <cell r="F51" t="str">
            <v>110044-8</v>
          </cell>
          <cell r="I51">
            <v>355.52</v>
          </cell>
          <cell r="J51">
            <v>3340966</v>
          </cell>
          <cell r="K51">
            <v>9397.4066156615663</v>
          </cell>
        </row>
        <row r="52">
          <cell r="A52">
            <v>520010</v>
          </cell>
          <cell r="B52">
            <v>39141</v>
          </cell>
          <cell r="C52" t="str">
            <v>IJ-22</v>
          </cell>
          <cell r="D52" t="str">
            <v>Work in Process - DGC + Litz</v>
          </cell>
          <cell r="E52" t="str">
            <v>Raw Material Cost</v>
          </cell>
          <cell r="F52">
            <v>110045</v>
          </cell>
          <cell r="G52">
            <v>152377.37</v>
          </cell>
          <cell r="H52">
            <v>1391309933</v>
          </cell>
          <cell r="K52">
            <v>9130.6860920358449</v>
          </cell>
        </row>
        <row r="53">
          <cell r="A53">
            <v>110045</v>
          </cell>
          <cell r="B53">
            <v>39141</v>
          </cell>
          <cell r="C53" t="str">
            <v>IJ-22</v>
          </cell>
          <cell r="D53" t="str">
            <v>Work in Process - DGC + Litz</v>
          </cell>
          <cell r="E53" t="str">
            <v>Raw Material Cost</v>
          </cell>
          <cell r="F53">
            <v>520010</v>
          </cell>
          <cell r="I53">
            <v>152377.37</v>
          </cell>
          <cell r="J53">
            <v>1391309933</v>
          </cell>
          <cell r="K53">
            <v>9130.6860920358449</v>
          </cell>
        </row>
        <row r="54">
          <cell r="A54">
            <v>110045</v>
          </cell>
          <cell r="B54">
            <v>39141</v>
          </cell>
          <cell r="C54" t="str">
            <v>IJ-23</v>
          </cell>
          <cell r="D54" t="str">
            <v>Cost of Goods Sold</v>
          </cell>
          <cell r="E54" t="str">
            <v>Work in Process - DGC + Litz</v>
          </cell>
          <cell r="F54">
            <v>530010</v>
          </cell>
          <cell r="G54">
            <v>245155.19</v>
          </cell>
          <cell r="H54">
            <v>2171761286</v>
          </cell>
          <cell r="K54">
            <v>8858.7204129759593</v>
          </cell>
        </row>
        <row r="55">
          <cell r="A55">
            <v>530010</v>
          </cell>
          <cell r="B55">
            <v>39141</v>
          </cell>
          <cell r="C55" t="str">
            <v>IJ-23</v>
          </cell>
          <cell r="D55" t="str">
            <v>Cost of Goods Sold</v>
          </cell>
          <cell r="E55" t="str">
            <v>Work in Process - DGC + Litz</v>
          </cell>
          <cell r="F55">
            <v>110045</v>
          </cell>
          <cell r="I55">
            <v>245155.19</v>
          </cell>
          <cell r="J55">
            <v>2171761286</v>
          </cell>
          <cell r="K55">
            <v>8858.7204129759593</v>
          </cell>
        </row>
        <row r="57">
          <cell r="A57">
            <v>810012</v>
          </cell>
          <cell r="B57">
            <v>39141</v>
          </cell>
          <cell r="C57" t="str">
            <v>AJE-01</v>
          </cell>
          <cell r="D57" t="str">
            <v>T/R -PT. Sanyo Electric (USD)</v>
          </cell>
          <cell r="E57" t="str">
            <v>Foreign Exchange Gain</v>
          </cell>
          <cell r="F57">
            <v>110032</v>
          </cell>
          <cell r="H57">
            <v>0</v>
          </cell>
          <cell r="K57" t="str">
            <v>forex</v>
          </cell>
        </row>
        <row r="58">
          <cell r="A58">
            <v>810012</v>
          </cell>
          <cell r="B58">
            <v>39141</v>
          </cell>
          <cell r="C58" t="str">
            <v>AJE-01</v>
          </cell>
          <cell r="D58" t="str">
            <v>T/R -PT. Sony Manufacturing Indonesia (usd)</v>
          </cell>
          <cell r="E58" t="str">
            <v>Foreign Exchange Gain</v>
          </cell>
          <cell r="F58">
            <v>110033</v>
          </cell>
          <cell r="H58">
            <v>0</v>
          </cell>
          <cell r="K58" t="str">
            <v>forex</v>
          </cell>
        </row>
        <row r="59">
          <cell r="A59">
            <v>810012</v>
          </cell>
          <cell r="B59">
            <v>39141</v>
          </cell>
          <cell r="C59" t="str">
            <v>AJE-01</v>
          </cell>
          <cell r="D59" t="str">
            <v xml:space="preserve">T/R -PT Sanwa Musen (Yen) </v>
          </cell>
          <cell r="E59" t="str">
            <v>Foreign Exchange Gain</v>
          </cell>
          <cell r="F59" t="str">
            <v>110035-1</v>
          </cell>
          <cell r="H59">
            <v>200228</v>
          </cell>
          <cell r="K59" t="str">
            <v>forex</v>
          </cell>
        </row>
        <row r="60">
          <cell r="A60">
            <v>810012</v>
          </cell>
          <cell r="B60">
            <v>39141</v>
          </cell>
          <cell r="C60" t="str">
            <v>AJE-01</v>
          </cell>
          <cell r="D60" t="str">
            <v>T/R - PT. Galindra M.C (USD)  GALVA</v>
          </cell>
          <cell r="E60" t="str">
            <v>Foreign Exchange Gain</v>
          </cell>
          <cell r="F60" t="str">
            <v>110035-2</v>
          </cell>
          <cell r="H60">
            <v>452200</v>
          </cell>
          <cell r="K60" t="str">
            <v>forex</v>
          </cell>
        </row>
        <row r="61">
          <cell r="A61">
            <v>810012</v>
          </cell>
          <cell r="B61">
            <v>39141</v>
          </cell>
          <cell r="C61" t="str">
            <v>AJE-01</v>
          </cell>
          <cell r="D61" t="str">
            <v>T/R - PT. Sanken (USD)</v>
          </cell>
          <cell r="E61" t="str">
            <v>Foreign Exchange Gain</v>
          </cell>
          <cell r="F61" t="str">
            <v>110035-3</v>
          </cell>
          <cell r="H61">
            <v>0</v>
          </cell>
          <cell r="K61" t="str">
            <v>forex</v>
          </cell>
        </row>
        <row r="62">
          <cell r="A62">
            <v>810012</v>
          </cell>
          <cell r="B62">
            <v>39141</v>
          </cell>
          <cell r="C62" t="str">
            <v>AJE-01</v>
          </cell>
          <cell r="D62" t="str">
            <v>T/R - PT. Padi Trust Component (USD)</v>
          </cell>
          <cell r="E62" t="str">
            <v>Foreign Exchange Gain</v>
          </cell>
          <cell r="F62" t="str">
            <v>110035-4</v>
          </cell>
          <cell r="H62">
            <v>0</v>
          </cell>
          <cell r="K62" t="str">
            <v>forex</v>
          </cell>
        </row>
        <row r="63">
          <cell r="A63">
            <v>810012</v>
          </cell>
          <cell r="B63">
            <v>39141</v>
          </cell>
          <cell r="C63" t="str">
            <v>AJE-01</v>
          </cell>
          <cell r="D63" t="str">
            <v>T/R - PT. PGCOM Panasonic (USD)</v>
          </cell>
          <cell r="E63" t="str">
            <v>Foreign Exchange Gain</v>
          </cell>
          <cell r="F63" t="str">
            <v>110035-5</v>
          </cell>
          <cell r="H63">
            <v>0</v>
          </cell>
          <cell r="K63" t="str">
            <v>forex</v>
          </cell>
        </row>
        <row r="64">
          <cell r="A64">
            <v>810012</v>
          </cell>
          <cell r="B64">
            <v>39141</v>
          </cell>
          <cell r="C64" t="str">
            <v>AJE-01</v>
          </cell>
          <cell r="D64" t="str">
            <v>T/R - PT. Samwha Indonesia (USD)</v>
          </cell>
          <cell r="E64" t="str">
            <v>Foreign Exchange Gain</v>
          </cell>
          <cell r="F64" t="str">
            <v>110035-6</v>
          </cell>
          <cell r="H64">
            <v>4347107</v>
          </cell>
          <cell r="K64" t="str">
            <v>forex</v>
          </cell>
        </row>
        <row r="65">
          <cell r="A65">
            <v>810012</v>
          </cell>
          <cell r="B65">
            <v>39141</v>
          </cell>
          <cell r="C65" t="str">
            <v>AJE-01</v>
          </cell>
          <cell r="D65" t="str">
            <v>T/R - PT. Toshiba (USD)</v>
          </cell>
          <cell r="E65" t="str">
            <v>Foreign Exchange Gain</v>
          </cell>
          <cell r="F65" t="str">
            <v>110035-7</v>
          </cell>
          <cell r="H65">
            <v>0</v>
          </cell>
          <cell r="K65" t="str">
            <v>forex</v>
          </cell>
        </row>
        <row r="66">
          <cell r="A66">
            <v>810012</v>
          </cell>
          <cell r="B66">
            <v>39141</v>
          </cell>
          <cell r="C66" t="str">
            <v>AJE-01</v>
          </cell>
          <cell r="D66" t="str">
            <v xml:space="preserve">Totoku Electric Co., Ltd., Japan  (USD) </v>
          </cell>
          <cell r="E66" t="str">
            <v>Foreign Exchange Gain</v>
          </cell>
          <cell r="F66">
            <v>110036</v>
          </cell>
          <cell r="H66">
            <v>18316366</v>
          </cell>
          <cell r="K66" t="str">
            <v>forex</v>
          </cell>
        </row>
        <row r="67">
          <cell r="A67">
            <v>810012</v>
          </cell>
          <cell r="B67">
            <v>39141</v>
          </cell>
          <cell r="C67" t="str">
            <v>AJE-01</v>
          </cell>
          <cell r="D67" t="str">
            <v>Totoku Electric Co., Ltd., Singapore  (USD)</v>
          </cell>
          <cell r="E67" t="str">
            <v>Foreign Exchange Gain</v>
          </cell>
          <cell r="F67">
            <v>110037</v>
          </cell>
          <cell r="H67">
            <v>0</v>
          </cell>
          <cell r="K67" t="str">
            <v>forex</v>
          </cell>
        </row>
        <row r="68">
          <cell r="A68">
            <v>810012</v>
          </cell>
          <cell r="B68">
            <v>39141</v>
          </cell>
          <cell r="C68" t="str">
            <v>AJE-01</v>
          </cell>
          <cell r="D68" t="str">
            <v>Totoku North Amerika (USD)</v>
          </cell>
          <cell r="E68" t="str">
            <v>Foreign Exchange Gain</v>
          </cell>
          <cell r="F68" t="str">
            <v>110037-1</v>
          </cell>
          <cell r="H68">
            <v>0</v>
          </cell>
          <cell r="K68" t="str">
            <v>forex</v>
          </cell>
        </row>
        <row r="69">
          <cell r="A69">
            <v>810012</v>
          </cell>
          <cell r="B69">
            <v>39141</v>
          </cell>
          <cell r="C69" t="str">
            <v>AJE-01</v>
          </cell>
          <cell r="D69" t="str">
            <v>Totoku Malaysia (USD)</v>
          </cell>
          <cell r="E69" t="str">
            <v>Foreign Exchange Gain</v>
          </cell>
          <cell r="F69" t="str">
            <v>110037-2</v>
          </cell>
          <cell r="H69">
            <v>2511040</v>
          </cell>
          <cell r="K69" t="str">
            <v>forex</v>
          </cell>
        </row>
        <row r="70">
          <cell r="A70">
            <v>810012</v>
          </cell>
          <cell r="B70">
            <v>39141</v>
          </cell>
          <cell r="C70" t="str">
            <v>AJE-01</v>
          </cell>
          <cell r="D70" t="str">
            <v>Totoku China (Zhejiang) Co. Ltd (USD)</v>
          </cell>
          <cell r="E70" t="str">
            <v>Foreign Exchange Gain</v>
          </cell>
          <cell r="F70" t="str">
            <v>110037-3</v>
          </cell>
          <cell r="H70">
            <v>666816</v>
          </cell>
          <cell r="K70" t="str">
            <v>forex</v>
          </cell>
        </row>
        <row r="71">
          <cell r="A71">
            <v>810012</v>
          </cell>
          <cell r="B71">
            <v>39141</v>
          </cell>
          <cell r="C71" t="str">
            <v>AJE-01</v>
          </cell>
          <cell r="D71" t="str">
            <v>Noble Batam (USD)</v>
          </cell>
          <cell r="E71" t="str">
            <v>Foreign Exchange Gain</v>
          </cell>
          <cell r="F71">
            <v>110038</v>
          </cell>
          <cell r="H71">
            <v>544740</v>
          </cell>
          <cell r="K71" t="str">
            <v>forex</v>
          </cell>
        </row>
        <row r="72">
          <cell r="A72">
            <v>810012</v>
          </cell>
          <cell r="B72">
            <v>39141</v>
          </cell>
          <cell r="C72" t="str">
            <v>AJE-01</v>
          </cell>
          <cell r="D72" t="str">
            <v>Sanyo Industries, UK (USD)</v>
          </cell>
          <cell r="E72" t="str">
            <v>Foreign Exchange Gain</v>
          </cell>
          <cell r="F72">
            <v>110039</v>
          </cell>
          <cell r="H72">
            <v>0</v>
          </cell>
          <cell r="K72" t="str">
            <v>forex</v>
          </cell>
        </row>
        <row r="73">
          <cell r="A73">
            <v>810012</v>
          </cell>
          <cell r="B73">
            <v>39141</v>
          </cell>
          <cell r="C73" t="str">
            <v>AJE-01</v>
          </cell>
          <cell r="D73" t="str">
            <v>NEC Tokin Electronic (USD)</v>
          </cell>
          <cell r="E73" t="str">
            <v>Foreign Exchange Gain</v>
          </cell>
          <cell r="F73" t="str">
            <v>110039-1</v>
          </cell>
          <cell r="H73">
            <v>1461004</v>
          </cell>
          <cell r="K73" t="str">
            <v>forex</v>
          </cell>
        </row>
        <row r="74">
          <cell r="A74">
            <v>810012</v>
          </cell>
          <cell r="B74">
            <v>39141</v>
          </cell>
          <cell r="C74" t="str">
            <v>AJE-01</v>
          </cell>
          <cell r="D74" t="str">
            <v>Shibata Electronics ($)  (L)  Singapore</v>
          </cell>
          <cell r="E74" t="str">
            <v>Foreign Exchange Gain</v>
          </cell>
          <cell r="F74" t="str">
            <v>110039-2</v>
          </cell>
          <cell r="H74">
            <v>20239889</v>
          </cell>
          <cell r="K74" t="str">
            <v>forex</v>
          </cell>
        </row>
        <row r="75">
          <cell r="A75">
            <v>810012</v>
          </cell>
          <cell r="B75">
            <v>39141</v>
          </cell>
          <cell r="C75" t="str">
            <v>AJE-01</v>
          </cell>
          <cell r="D75" t="str">
            <v>Shibata Electronics ($)  (L)  Japan</v>
          </cell>
          <cell r="E75" t="str">
            <v>Foreign Exchange Gain</v>
          </cell>
          <cell r="F75" t="str">
            <v>110039-3</v>
          </cell>
          <cell r="H75">
            <v>2484188</v>
          </cell>
          <cell r="K75" t="str">
            <v>forex</v>
          </cell>
        </row>
        <row r="76">
          <cell r="A76">
            <v>810012</v>
          </cell>
          <cell r="B76">
            <v>39141</v>
          </cell>
          <cell r="C76" t="str">
            <v>AJE-01</v>
          </cell>
          <cell r="D76" t="str">
            <v>Sanwa Musen - Thailand</v>
          </cell>
          <cell r="E76" t="str">
            <v>Foreign Exchange Gain</v>
          </cell>
          <cell r="F76" t="str">
            <v>110039-4</v>
          </cell>
          <cell r="H76">
            <v>0</v>
          </cell>
          <cell r="K76" t="str">
            <v>forex</v>
          </cell>
        </row>
        <row r="77">
          <cell r="A77">
            <v>810012</v>
          </cell>
          <cell r="B77">
            <v>39141</v>
          </cell>
          <cell r="C77" t="str">
            <v>AJE-01</v>
          </cell>
          <cell r="D77" t="str">
            <v xml:space="preserve">A-Tex Worldwide SDN., BHD </v>
          </cell>
          <cell r="E77" t="str">
            <v>Foreign Exchange Gain</v>
          </cell>
          <cell r="F77" t="str">
            <v>110039-5</v>
          </cell>
          <cell r="H77">
            <v>0</v>
          </cell>
          <cell r="K77" t="str">
            <v>forex</v>
          </cell>
        </row>
        <row r="78">
          <cell r="A78">
            <v>810012</v>
          </cell>
          <cell r="B78">
            <v>39141</v>
          </cell>
          <cell r="C78" t="str">
            <v>AJE-01</v>
          </cell>
          <cell r="D78" t="str">
            <v>PT. KEL Indonesia</v>
          </cell>
          <cell r="E78" t="str">
            <v>Foreign Exchange Gain</v>
          </cell>
          <cell r="F78" t="str">
            <v>110039-6</v>
          </cell>
          <cell r="H78">
            <v>0</v>
          </cell>
          <cell r="K78" t="str">
            <v>forex</v>
          </cell>
        </row>
        <row r="79">
          <cell r="A79">
            <v>810012</v>
          </cell>
          <cell r="B79">
            <v>39141</v>
          </cell>
          <cell r="C79" t="str">
            <v>AJE-01</v>
          </cell>
          <cell r="D79" t="str">
            <v>Other Receivable</v>
          </cell>
          <cell r="E79" t="str">
            <v>Foreign Exchange Gain</v>
          </cell>
          <cell r="F79" t="str">
            <v>110039-10</v>
          </cell>
          <cell r="H79">
            <v>170023</v>
          </cell>
          <cell r="K79" t="str">
            <v>forex</v>
          </cell>
        </row>
        <row r="80">
          <cell r="A80">
            <v>810012</v>
          </cell>
          <cell r="B80">
            <v>39141</v>
          </cell>
          <cell r="C80" t="str">
            <v>AJE-01</v>
          </cell>
          <cell r="D80" t="str">
            <v>Refundable Deposits -PT. Karawang Sport Centre</v>
          </cell>
          <cell r="E80" t="str">
            <v>Foreign Exchange Gain</v>
          </cell>
          <cell r="F80">
            <v>130011</v>
          </cell>
          <cell r="H80">
            <v>2625000</v>
          </cell>
          <cell r="K80" t="str">
            <v>forex</v>
          </cell>
        </row>
        <row r="81">
          <cell r="A81">
            <v>810012</v>
          </cell>
          <cell r="B81">
            <v>39141</v>
          </cell>
          <cell r="C81" t="str">
            <v>AJE-01</v>
          </cell>
          <cell r="D81" t="str">
            <v>Refundable Deposits -PT. Secom Indopratama</v>
          </cell>
          <cell r="E81" t="str">
            <v>Foreign Exchange Gain</v>
          </cell>
          <cell r="F81">
            <v>130011</v>
          </cell>
          <cell r="H81">
            <v>35000</v>
          </cell>
          <cell r="K81" t="str">
            <v>forex</v>
          </cell>
        </row>
        <row r="82">
          <cell r="A82">
            <v>810012</v>
          </cell>
          <cell r="B82">
            <v>39141</v>
          </cell>
          <cell r="C82" t="str">
            <v>AJE-01</v>
          </cell>
          <cell r="D82" t="str">
            <v>Refundable Deposits -PT. Griya Karawang</v>
          </cell>
          <cell r="E82" t="str">
            <v>Foreign Exchange Gain</v>
          </cell>
          <cell r="F82">
            <v>130011</v>
          </cell>
          <cell r="H82">
            <v>70000</v>
          </cell>
          <cell r="K82" t="str">
            <v>forex</v>
          </cell>
        </row>
        <row r="83">
          <cell r="A83">
            <v>810012</v>
          </cell>
          <cell r="B83">
            <v>39141</v>
          </cell>
          <cell r="C83" t="str">
            <v>AJE-01</v>
          </cell>
          <cell r="D83" t="str">
            <v>Refundable Deposits -PT. Besland Pertiwi (II)</v>
          </cell>
          <cell r="E83" t="str">
            <v>Foreign Exchange Gain</v>
          </cell>
          <cell r="F83">
            <v>130011</v>
          </cell>
          <cell r="H83">
            <v>994000</v>
          </cell>
          <cell r="K83" t="str">
            <v>forex</v>
          </cell>
        </row>
        <row r="84">
          <cell r="A84">
            <v>810012</v>
          </cell>
          <cell r="B84">
            <v>39141</v>
          </cell>
          <cell r="C84" t="str">
            <v>AJE-01</v>
          </cell>
          <cell r="D84" t="str">
            <v>Refundable Deposits -PT. Besland Pertiwi (III)</v>
          </cell>
          <cell r="E84" t="str">
            <v>Foreign Exchange Gain</v>
          </cell>
          <cell r="F84">
            <v>130011</v>
          </cell>
          <cell r="H84">
            <v>651000</v>
          </cell>
          <cell r="K84" t="str">
            <v>forex</v>
          </cell>
        </row>
        <row r="85">
          <cell r="A85">
            <v>810012</v>
          </cell>
          <cell r="B85">
            <v>39141</v>
          </cell>
          <cell r="C85" t="str">
            <v>AJE-01</v>
          </cell>
          <cell r="D85" t="str">
            <v>Refundable Deposits -PT. Tatajabar Sejahtera (III)</v>
          </cell>
          <cell r="E85" t="str">
            <v>Foreign Exchange Gain</v>
          </cell>
          <cell r="F85">
            <v>130011</v>
          </cell>
          <cell r="H85">
            <v>689500</v>
          </cell>
          <cell r="K85" t="str">
            <v>forex</v>
          </cell>
        </row>
        <row r="86">
          <cell r="A86">
            <v>810012</v>
          </cell>
          <cell r="B86">
            <v>39141</v>
          </cell>
          <cell r="C86" t="str">
            <v>AJE-01</v>
          </cell>
          <cell r="D86" t="str">
            <v>Refundable Deposits -PT. Besland Pertiwi (IV)</v>
          </cell>
          <cell r="E86" t="str">
            <v>Foreign Exchange Gain</v>
          </cell>
          <cell r="F86">
            <v>130011</v>
          </cell>
          <cell r="H86">
            <v>1645000</v>
          </cell>
          <cell r="K86" t="str">
            <v>forex</v>
          </cell>
        </row>
        <row r="87">
          <cell r="A87">
            <v>810012</v>
          </cell>
          <cell r="B87">
            <v>39141</v>
          </cell>
          <cell r="C87" t="str">
            <v>AJE-01</v>
          </cell>
          <cell r="D87" t="str">
            <v>Refundable Deposits -PT. Tatajabar Sejahtera (IV)</v>
          </cell>
          <cell r="E87" t="str">
            <v>Foreign Exchange Gain</v>
          </cell>
          <cell r="F87">
            <v>130011</v>
          </cell>
          <cell r="H87">
            <v>1207500</v>
          </cell>
          <cell r="K87" t="str">
            <v>forex</v>
          </cell>
        </row>
        <row r="88">
          <cell r="A88">
            <v>810012</v>
          </cell>
          <cell r="B88">
            <v>39141</v>
          </cell>
          <cell r="C88" t="str">
            <v>AJE-01</v>
          </cell>
          <cell r="D88" t="str">
            <v xml:space="preserve">Totoku Electric Co., Ltd., Japan </v>
          </cell>
          <cell r="E88" t="str">
            <v>Foreign Exchange Gain</v>
          </cell>
          <cell r="F88">
            <v>210011</v>
          </cell>
          <cell r="H88">
            <v>0</v>
          </cell>
          <cell r="K88" t="str">
            <v>forex</v>
          </cell>
        </row>
        <row r="89">
          <cell r="A89">
            <v>810012</v>
          </cell>
          <cell r="B89">
            <v>39141</v>
          </cell>
          <cell r="C89" t="str">
            <v>AJE-01</v>
          </cell>
          <cell r="D89" t="str">
            <v>Totoku Electrica Mexicana. S.A. DE.C.V, Mexico</v>
          </cell>
          <cell r="E89" t="str">
            <v>Foreign Exchange Gain</v>
          </cell>
          <cell r="F89">
            <v>210012</v>
          </cell>
          <cell r="H89">
            <v>0</v>
          </cell>
          <cell r="K89" t="str">
            <v>forex</v>
          </cell>
        </row>
        <row r="90">
          <cell r="A90">
            <v>810012</v>
          </cell>
          <cell r="B90">
            <v>39141</v>
          </cell>
          <cell r="C90" t="str">
            <v>AJE-01</v>
          </cell>
          <cell r="D90" t="str">
            <v>Totoku Malaysia</v>
          </cell>
          <cell r="E90" t="str">
            <v>Foreign Exchange Gain</v>
          </cell>
          <cell r="F90" t="str">
            <v>210012-1</v>
          </cell>
          <cell r="H90">
            <v>0</v>
          </cell>
          <cell r="K90" t="str">
            <v>forex</v>
          </cell>
        </row>
        <row r="91">
          <cell r="A91">
            <v>810012</v>
          </cell>
          <cell r="B91">
            <v>39141</v>
          </cell>
          <cell r="C91" t="str">
            <v>AJE-01</v>
          </cell>
          <cell r="D91" t="str">
            <v>Furukawa Electric Singapore (US$)</v>
          </cell>
          <cell r="E91" t="str">
            <v>Foreign Exchange Gain</v>
          </cell>
          <cell r="F91">
            <v>210013</v>
          </cell>
          <cell r="H91">
            <v>0</v>
          </cell>
          <cell r="K91" t="str">
            <v>forex</v>
          </cell>
        </row>
        <row r="92">
          <cell r="A92">
            <v>810012</v>
          </cell>
          <cell r="B92">
            <v>39141</v>
          </cell>
          <cell r="C92" t="str">
            <v>AJE-01</v>
          </cell>
          <cell r="D92" t="str">
            <v>Honami Electronics (002-0157)</v>
          </cell>
          <cell r="E92" t="str">
            <v>Foreign Exchange Gain</v>
          </cell>
          <cell r="F92" t="str">
            <v>210013-2</v>
          </cell>
          <cell r="H92">
            <v>0</v>
          </cell>
          <cell r="K92" t="str">
            <v>forex</v>
          </cell>
        </row>
        <row r="93">
          <cell r="A93">
            <v>810012</v>
          </cell>
          <cell r="B93">
            <v>39141</v>
          </cell>
          <cell r="C93" t="str">
            <v>AJE-01</v>
          </cell>
          <cell r="D93" t="str">
            <v>Nitto Denko</v>
          </cell>
          <cell r="E93" t="str">
            <v>Foreign Exchange Gain</v>
          </cell>
          <cell r="F93" t="str">
            <v>210013-3</v>
          </cell>
          <cell r="H93">
            <v>0</v>
          </cell>
          <cell r="K93" t="str">
            <v>forex</v>
          </cell>
        </row>
        <row r="94">
          <cell r="A94">
            <v>810012</v>
          </cell>
          <cell r="B94">
            <v>39141</v>
          </cell>
          <cell r="C94" t="str">
            <v>AJE-01</v>
          </cell>
          <cell r="D94" t="str">
            <v>Local T/P -PT. Fanah Jaya (USD)</v>
          </cell>
          <cell r="E94" t="str">
            <v>Foreign Exchange Gain</v>
          </cell>
          <cell r="F94">
            <v>210014</v>
          </cell>
          <cell r="H94">
            <v>0</v>
          </cell>
          <cell r="K94" t="str">
            <v>forex</v>
          </cell>
        </row>
        <row r="95">
          <cell r="A95">
            <v>810012</v>
          </cell>
          <cell r="B95">
            <v>39141</v>
          </cell>
          <cell r="C95" t="str">
            <v>AJE-01</v>
          </cell>
          <cell r="D95" t="str">
            <v>Local T/P -PT. Nitto (USD)</v>
          </cell>
          <cell r="E95" t="str">
            <v>Foreign Exchange Gain</v>
          </cell>
          <cell r="F95">
            <v>210015</v>
          </cell>
          <cell r="H95">
            <v>0</v>
          </cell>
          <cell r="K95" t="str">
            <v>forex</v>
          </cell>
        </row>
        <row r="96">
          <cell r="A96">
            <v>810012</v>
          </cell>
          <cell r="B96">
            <v>39141</v>
          </cell>
          <cell r="C96" t="str">
            <v>AJE-01</v>
          </cell>
          <cell r="D96" t="str">
            <v>Local T/P -PT. Sumitomo Electric (USD) OPTEC</v>
          </cell>
          <cell r="E96" t="str">
            <v>Foreign Exchange Gain</v>
          </cell>
          <cell r="F96">
            <v>210016</v>
          </cell>
          <cell r="H96">
            <v>1027728</v>
          </cell>
          <cell r="K96" t="str">
            <v>forex</v>
          </cell>
        </row>
        <row r="97">
          <cell r="A97">
            <v>810012</v>
          </cell>
          <cell r="B97">
            <v>39141</v>
          </cell>
          <cell r="C97" t="str">
            <v>AJE-01</v>
          </cell>
          <cell r="D97" t="str">
            <v>Local T/P -PT. Dia Electro (USD)  DECSI (Adtec Enterprise)</v>
          </cell>
          <cell r="E97" t="str">
            <v>Foreign Exchange Gain</v>
          </cell>
          <cell r="F97">
            <v>210017</v>
          </cell>
          <cell r="H97">
            <v>0</v>
          </cell>
          <cell r="K97" t="str">
            <v>forex</v>
          </cell>
        </row>
        <row r="98">
          <cell r="A98">
            <v>810012</v>
          </cell>
          <cell r="B98">
            <v>39141</v>
          </cell>
          <cell r="C98" t="str">
            <v>AJE-01</v>
          </cell>
          <cell r="D98" t="str">
            <v xml:space="preserve">Local T/P - PT Sanko Material (USD) </v>
          </cell>
          <cell r="E98" t="str">
            <v>Foreign Exchange Gain</v>
          </cell>
          <cell r="F98">
            <v>210018</v>
          </cell>
          <cell r="H98">
            <v>0</v>
          </cell>
          <cell r="K98" t="str">
            <v>forex</v>
          </cell>
        </row>
        <row r="99">
          <cell r="A99">
            <v>810012</v>
          </cell>
          <cell r="B99">
            <v>39141</v>
          </cell>
          <cell r="C99" t="str">
            <v>AJE-01</v>
          </cell>
          <cell r="D99" t="str">
            <v>Local T/P -PT. Four Pillars (USD)</v>
          </cell>
          <cell r="E99" t="str">
            <v>Foreign Exchange Gain</v>
          </cell>
          <cell r="F99">
            <v>210019</v>
          </cell>
          <cell r="H99">
            <v>0</v>
          </cell>
          <cell r="K99" t="str">
            <v>forex</v>
          </cell>
        </row>
        <row r="100">
          <cell r="A100">
            <v>810012</v>
          </cell>
          <cell r="B100">
            <v>39141</v>
          </cell>
          <cell r="C100" t="str">
            <v>AJE-01</v>
          </cell>
          <cell r="D100" t="str">
            <v>Local T/P -PT. Sucaco (USD)</v>
          </cell>
          <cell r="E100" t="str">
            <v>Foreign Exchange Gain</v>
          </cell>
          <cell r="F100" t="str">
            <v>210019-1</v>
          </cell>
          <cell r="H100">
            <v>0</v>
          </cell>
          <cell r="K100" t="str">
            <v>forex</v>
          </cell>
        </row>
        <row r="101">
          <cell r="A101">
            <v>810012</v>
          </cell>
          <cell r="B101">
            <v>39141</v>
          </cell>
          <cell r="C101" t="str">
            <v>AJE-01</v>
          </cell>
          <cell r="D101" t="str">
            <v>Local T/P -PT. Ewindo</v>
          </cell>
          <cell r="E101" t="str">
            <v>Foreign Exchange Gain</v>
          </cell>
          <cell r="F101" t="str">
            <v>210019-2</v>
          </cell>
          <cell r="H101">
            <v>0</v>
          </cell>
          <cell r="K101" t="str">
            <v>forex</v>
          </cell>
        </row>
        <row r="102">
          <cell r="A102">
            <v>810012</v>
          </cell>
          <cell r="B102">
            <v>39141</v>
          </cell>
          <cell r="C102" t="str">
            <v>AJE-01</v>
          </cell>
          <cell r="D102" t="str">
            <v>Local T/P - Harmonics Techindo (USD)</v>
          </cell>
          <cell r="E102" t="str">
            <v>Foreign Exchange Gain</v>
          </cell>
          <cell r="F102" t="str">
            <v>210019-3</v>
          </cell>
          <cell r="H102">
            <v>0</v>
          </cell>
          <cell r="K102" t="str">
            <v>forex</v>
          </cell>
        </row>
        <row r="103">
          <cell r="A103">
            <v>810012</v>
          </cell>
          <cell r="B103">
            <v>39141</v>
          </cell>
          <cell r="C103" t="str">
            <v>AJE-01</v>
          </cell>
          <cell r="D103" t="str">
            <v>Local T/P -Tessa (USD)</v>
          </cell>
          <cell r="E103" t="str">
            <v>Foreign Exchange Gain</v>
          </cell>
          <cell r="F103" t="str">
            <v>210019-4</v>
          </cell>
          <cell r="H103">
            <v>0</v>
          </cell>
          <cell r="K103" t="str">
            <v>forex</v>
          </cell>
        </row>
        <row r="104">
          <cell r="A104">
            <v>810012</v>
          </cell>
          <cell r="B104">
            <v>39141</v>
          </cell>
          <cell r="C104" t="str">
            <v>AJE-01</v>
          </cell>
          <cell r="D104" t="str">
            <v>Local T/P -  PT. Kyoei Denki (USD)</v>
          </cell>
          <cell r="E104" t="str">
            <v>Foreign Exchange Gain</v>
          </cell>
          <cell r="F104" t="str">
            <v>210019-5</v>
          </cell>
          <cell r="H104">
            <v>2220</v>
          </cell>
          <cell r="K104" t="str">
            <v>forex</v>
          </cell>
        </row>
        <row r="105">
          <cell r="A105">
            <v>810012</v>
          </cell>
          <cell r="B105">
            <v>39141</v>
          </cell>
          <cell r="C105" t="str">
            <v>AJE-01</v>
          </cell>
          <cell r="D105" t="str">
            <v>Local T/P -  PT. Kel Indonesia (USD)</v>
          </cell>
          <cell r="E105" t="str">
            <v>Foreign Exchange Gain</v>
          </cell>
          <cell r="F105" t="str">
            <v>210019-6</v>
          </cell>
          <cell r="H105">
            <v>155630</v>
          </cell>
          <cell r="K105" t="str">
            <v>forex</v>
          </cell>
        </row>
        <row r="106">
          <cell r="A106">
            <v>810012</v>
          </cell>
          <cell r="B106">
            <v>39141</v>
          </cell>
          <cell r="C106" t="str">
            <v>AJE-01</v>
          </cell>
          <cell r="D106" t="str">
            <v>Local T/P -  Furukawa + Furukawa Sangyo (Yen)</v>
          </cell>
          <cell r="E106" t="str">
            <v>Foreign Exchange Gain</v>
          </cell>
          <cell r="F106" t="str">
            <v>210019-7</v>
          </cell>
          <cell r="H106">
            <v>0</v>
          </cell>
          <cell r="K106" t="str">
            <v>forex</v>
          </cell>
        </row>
        <row r="107">
          <cell r="A107">
            <v>810012</v>
          </cell>
          <cell r="B107">
            <v>39141</v>
          </cell>
          <cell r="C107" t="str">
            <v>AJE-01</v>
          </cell>
          <cell r="D107" t="str">
            <v>Other Payables :</v>
          </cell>
          <cell r="E107" t="str">
            <v>Foreign Exchange Gain</v>
          </cell>
          <cell r="F107" t="str">
            <v>210030-1</v>
          </cell>
          <cell r="H107">
            <v>0</v>
          </cell>
          <cell r="K107" t="str">
            <v>forex</v>
          </cell>
        </row>
        <row r="108">
          <cell r="A108">
            <v>810012</v>
          </cell>
          <cell r="B108">
            <v>39141</v>
          </cell>
          <cell r="C108" t="str">
            <v>AJE-01</v>
          </cell>
          <cell r="D108" t="str">
            <v>Output Payables :</v>
          </cell>
          <cell r="E108" t="str">
            <v>Foreign Exchange Gain</v>
          </cell>
          <cell r="F108">
            <v>210030</v>
          </cell>
          <cell r="H108">
            <v>0</v>
          </cell>
          <cell r="K108" t="str">
            <v>forex</v>
          </cell>
        </row>
        <row r="109">
          <cell r="A109">
            <v>810012</v>
          </cell>
          <cell r="B109">
            <v>39141</v>
          </cell>
          <cell r="C109" t="str">
            <v>AJE-01</v>
          </cell>
          <cell r="D109" t="str">
            <v>Temporary Receivable Subject (Royalty) (usd)</v>
          </cell>
          <cell r="E109" t="str">
            <v>Foreign Exchange Gain</v>
          </cell>
          <cell r="F109">
            <v>210039</v>
          </cell>
          <cell r="H109">
            <v>23085</v>
          </cell>
          <cell r="K109" t="str">
            <v>forex</v>
          </cell>
        </row>
        <row r="110">
          <cell r="A110">
            <v>810012</v>
          </cell>
          <cell r="B110">
            <v>39141</v>
          </cell>
          <cell r="C110" t="str">
            <v>AJE-01</v>
          </cell>
          <cell r="D110" t="str">
            <v>Suspense Receivable - Totoku Electric</v>
          </cell>
          <cell r="E110" t="str">
            <v>Foreign Exchange Gain</v>
          </cell>
          <cell r="F110">
            <v>210041</v>
          </cell>
          <cell r="H110">
            <v>0</v>
          </cell>
          <cell r="K110" t="str">
            <v>forex</v>
          </cell>
        </row>
        <row r="111">
          <cell r="A111">
            <v>810012</v>
          </cell>
          <cell r="B111">
            <v>39141</v>
          </cell>
          <cell r="C111" t="str">
            <v>AJE-01</v>
          </cell>
          <cell r="D111" t="str">
            <v>Long Term Loans - Totoku Electric Co. Ltd</v>
          </cell>
          <cell r="E111" t="str">
            <v>Foreign Exchange Gain</v>
          </cell>
          <cell r="F111">
            <v>210071</v>
          </cell>
          <cell r="H111">
            <v>0</v>
          </cell>
          <cell r="K111" t="str">
            <v>forex</v>
          </cell>
        </row>
        <row r="112">
          <cell r="A112">
            <v>810012</v>
          </cell>
          <cell r="B112">
            <v>39141</v>
          </cell>
          <cell r="C112" t="str">
            <v>AJE-01</v>
          </cell>
          <cell r="D112" t="str">
            <v>PT. Resona Perdania Indonesia (max -usd 500,000)</v>
          </cell>
          <cell r="E112" t="str">
            <v>Foreign Exchange Gain</v>
          </cell>
          <cell r="F112">
            <v>210061</v>
          </cell>
          <cell r="H112">
            <v>0</v>
          </cell>
          <cell r="K112" t="str">
            <v>forex</v>
          </cell>
        </row>
        <row r="113">
          <cell r="A113">
            <v>810012</v>
          </cell>
          <cell r="B113">
            <v>39141</v>
          </cell>
          <cell r="C113" t="str">
            <v>AJE-01</v>
          </cell>
          <cell r="D113" t="str">
            <v>PT. Bank Dai-Ichi Kangyo Indonesia (max -usd 1,000,000)</v>
          </cell>
          <cell r="E113" t="str">
            <v>Foreign Exchange Gain</v>
          </cell>
          <cell r="F113">
            <v>210062</v>
          </cell>
          <cell r="H113">
            <v>0</v>
          </cell>
          <cell r="K113" t="str">
            <v>forex</v>
          </cell>
        </row>
        <row r="114">
          <cell r="A114">
            <v>810012</v>
          </cell>
          <cell r="B114">
            <v>39141</v>
          </cell>
          <cell r="C114" t="str">
            <v>AJE-01</v>
          </cell>
          <cell r="D114" t="str">
            <v>Totoku Electric Co. Ltd</v>
          </cell>
          <cell r="E114" t="str">
            <v>Foreign Exchange Gain</v>
          </cell>
          <cell r="F114">
            <v>210063</v>
          </cell>
          <cell r="H114">
            <v>0</v>
          </cell>
          <cell r="K114" t="str">
            <v>forex</v>
          </cell>
        </row>
        <row r="115">
          <cell r="A115">
            <v>110032</v>
          </cell>
          <cell r="B115">
            <v>39141</v>
          </cell>
          <cell r="C115" t="str">
            <v>AJE-01</v>
          </cell>
          <cell r="D115" t="str">
            <v>Foreign Exchange Gain</v>
          </cell>
          <cell r="E115" t="str">
            <v>T/R -PT. Sanyo Electric (USD)</v>
          </cell>
          <cell r="F115">
            <v>810012</v>
          </cell>
          <cell r="J115">
            <v>0</v>
          </cell>
          <cell r="K115" t="str">
            <v>forex</v>
          </cell>
        </row>
        <row r="116">
          <cell r="A116">
            <v>110033</v>
          </cell>
          <cell r="B116">
            <v>39141</v>
          </cell>
          <cell r="C116" t="str">
            <v>AJE-01</v>
          </cell>
          <cell r="D116" t="str">
            <v>Foreign Exchange Gain</v>
          </cell>
          <cell r="E116" t="str">
            <v>T/R -PT. Sony Manufacturing Indonesia (usd)</v>
          </cell>
          <cell r="F116">
            <v>810012</v>
          </cell>
          <cell r="J116">
            <v>0</v>
          </cell>
          <cell r="K116" t="str">
            <v>forex</v>
          </cell>
        </row>
        <row r="117">
          <cell r="A117" t="str">
            <v>110035-1</v>
          </cell>
          <cell r="B117">
            <v>39141</v>
          </cell>
          <cell r="C117" t="str">
            <v>AJE-01</v>
          </cell>
          <cell r="D117" t="str">
            <v>Foreign Exchange Gain</v>
          </cell>
          <cell r="E117" t="str">
            <v xml:space="preserve">T/R -PT Sanwa Musen (Yen) </v>
          </cell>
          <cell r="F117">
            <v>810012</v>
          </cell>
          <cell r="J117">
            <v>200228</v>
          </cell>
          <cell r="K117" t="str">
            <v>forex</v>
          </cell>
        </row>
        <row r="118">
          <cell r="A118" t="str">
            <v>110035-2</v>
          </cell>
          <cell r="B118">
            <v>39141</v>
          </cell>
          <cell r="C118" t="str">
            <v>AJE-01</v>
          </cell>
          <cell r="D118" t="str">
            <v>Foreign Exchange Gain</v>
          </cell>
          <cell r="E118" t="str">
            <v>T/R - PT. Galindra M.C (USD)  GALVA</v>
          </cell>
          <cell r="F118">
            <v>810012</v>
          </cell>
          <cell r="J118">
            <v>452200</v>
          </cell>
          <cell r="K118" t="str">
            <v>forex</v>
          </cell>
        </row>
        <row r="119">
          <cell r="A119" t="str">
            <v>110035-3</v>
          </cell>
          <cell r="B119">
            <v>39141</v>
          </cell>
          <cell r="C119" t="str">
            <v>AJE-01</v>
          </cell>
          <cell r="D119" t="str">
            <v>Foreign Exchange Gain</v>
          </cell>
          <cell r="E119" t="str">
            <v>T/R - PT. Sanken (USD)</v>
          </cell>
          <cell r="F119">
            <v>810012</v>
          </cell>
          <cell r="J119">
            <v>0</v>
          </cell>
          <cell r="K119" t="str">
            <v>forex</v>
          </cell>
        </row>
        <row r="120">
          <cell r="A120" t="str">
            <v>110035-4</v>
          </cell>
          <cell r="B120">
            <v>39141</v>
          </cell>
          <cell r="C120" t="str">
            <v>AJE-01</v>
          </cell>
          <cell r="D120" t="str">
            <v>Foreign Exchange Gain</v>
          </cell>
          <cell r="E120" t="str">
            <v>T/R - PT. Padi Trust Component (USD)</v>
          </cell>
          <cell r="F120">
            <v>810012</v>
          </cell>
          <cell r="J120">
            <v>0</v>
          </cell>
          <cell r="K120" t="str">
            <v>forex</v>
          </cell>
        </row>
        <row r="121">
          <cell r="A121" t="str">
            <v>110035-5</v>
          </cell>
          <cell r="B121">
            <v>39141</v>
          </cell>
          <cell r="C121" t="str">
            <v>AJE-01</v>
          </cell>
          <cell r="D121" t="str">
            <v>Foreign Exchange Gain</v>
          </cell>
          <cell r="E121" t="str">
            <v>T/R - PT. PGCOM Panasonic (USD)</v>
          </cell>
          <cell r="F121">
            <v>810012</v>
          </cell>
          <cell r="J121">
            <v>0</v>
          </cell>
          <cell r="K121" t="str">
            <v>forex</v>
          </cell>
        </row>
        <row r="122">
          <cell r="A122" t="str">
            <v>110035-6</v>
          </cell>
          <cell r="B122">
            <v>39141</v>
          </cell>
          <cell r="C122" t="str">
            <v>AJE-01</v>
          </cell>
          <cell r="D122" t="str">
            <v>Foreign Exchange Gain</v>
          </cell>
          <cell r="E122" t="str">
            <v>T/R - PT. Samwha Indonesia (USD)</v>
          </cell>
          <cell r="F122">
            <v>810012</v>
          </cell>
          <cell r="J122">
            <v>4347107</v>
          </cell>
          <cell r="K122" t="str">
            <v>forex</v>
          </cell>
        </row>
        <row r="123">
          <cell r="A123" t="str">
            <v>110035-7</v>
          </cell>
          <cell r="B123">
            <v>39141</v>
          </cell>
          <cell r="C123" t="str">
            <v>AJE-01</v>
          </cell>
          <cell r="D123" t="str">
            <v>Foreign Exchange Gain</v>
          </cell>
          <cell r="E123" t="str">
            <v>T/R - PT. Toshiba (USD)</v>
          </cell>
          <cell r="F123">
            <v>810012</v>
          </cell>
          <cell r="J123">
            <v>0</v>
          </cell>
          <cell r="K123" t="str">
            <v>forex</v>
          </cell>
        </row>
        <row r="124">
          <cell r="A124">
            <v>110036</v>
          </cell>
          <cell r="B124">
            <v>39141</v>
          </cell>
          <cell r="C124" t="str">
            <v>AJE-01</v>
          </cell>
          <cell r="D124" t="str">
            <v>Foreign Exchange Gain</v>
          </cell>
          <cell r="E124" t="str">
            <v xml:space="preserve">Totoku Electric Co., Ltd., Japan  (USD) </v>
          </cell>
          <cell r="F124">
            <v>810012</v>
          </cell>
          <cell r="J124">
            <v>18316366</v>
          </cell>
          <cell r="K124" t="str">
            <v>forex</v>
          </cell>
        </row>
        <row r="125">
          <cell r="A125">
            <v>110037</v>
          </cell>
          <cell r="B125">
            <v>39141</v>
          </cell>
          <cell r="C125" t="str">
            <v>AJE-01</v>
          </cell>
          <cell r="D125" t="str">
            <v>Foreign Exchange Gain</v>
          </cell>
          <cell r="E125" t="str">
            <v>Totoku Electric Co., Ltd., Singapore  (USD)</v>
          </cell>
          <cell r="F125">
            <v>810012</v>
          </cell>
          <cell r="J125">
            <v>0</v>
          </cell>
          <cell r="K125" t="str">
            <v>forex</v>
          </cell>
        </row>
        <row r="126">
          <cell r="A126" t="str">
            <v>110037-1</v>
          </cell>
          <cell r="B126">
            <v>39141</v>
          </cell>
          <cell r="C126" t="str">
            <v>AJE-01</v>
          </cell>
          <cell r="D126" t="str">
            <v>Foreign Exchange Gain</v>
          </cell>
          <cell r="E126" t="str">
            <v>Totoku North Amerika (USD)</v>
          </cell>
          <cell r="F126">
            <v>810012</v>
          </cell>
          <cell r="J126">
            <v>0</v>
          </cell>
          <cell r="K126" t="str">
            <v>forex</v>
          </cell>
        </row>
        <row r="127">
          <cell r="A127" t="str">
            <v>110037-2</v>
          </cell>
          <cell r="B127">
            <v>39141</v>
          </cell>
          <cell r="C127" t="str">
            <v>AJE-01</v>
          </cell>
          <cell r="D127" t="str">
            <v>Foreign Exchange Gain</v>
          </cell>
          <cell r="E127" t="str">
            <v>Totoku Malaysia (USD)</v>
          </cell>
          <cell r="F127">
            <v>810012</v>
          </cell>
          <cell r="J127">
            <v>2511040</v>
          </cell>
          <cell r="K127" t="str">
            <v>forex</v>
          </cell>
        </row>
        <row r="128">
          <cell r="A128" t="str">
            <v>110037-3</v>
          </cell>
          <cell r="B128">
            <v>39141</v>
          </cell>
          <cell r="C128" t="str">
            <v>AJE-01</v>
          </cell>
          <cell r="D128" t="str">
            <v>Foreign Exchange Gain</v>
          </cell>
          <cell r="E128" t="str">
            <v>Totoku China (Zhejiang) Co. Ltd (USD)</v>
          </cell>
          <cell r="F128">
            <v>810012</v>
          </cell>
          <cell r="J128">
            <v>666816</v>
          </cell>
          <cell r="K128" t="str">
            <v>forex</v>
          </cell>
        </row>
        <row r="129">
          <cell r="A129">
            <v>110038</v>
          </cell>
          <cell r="B129">
            <v>39141</v>
          </cell>
          <cell r="C129" t="str">
            <v>AJE-01</v>
          </cell>
          <cell r="D129" t="str">
            <v>Foreign Exchange Gain</v>
          </cell>
          <cell r="E129" t="str">
            <v>Noble Batam (USD)</v>
          </cell>
          <cell r="F129">
            <v>810012</v>
          </cell>
          <cell r="J129">
            <v>544740</v>
          </cell>
          <cell r="K129" t="str">
            <v>forex</v>
          </cell>
        </row>
        <row r="130">
          <cell r="A130">
            <v>110039</v>
          </cell>
          <cell r="B130">
            <v>39141</v>
          </cell>
          <cell r="C130" t="str">
            <v>AJE-01</v>
          </cell>
          <cell r="D130" t="str">
            <v>Foreign Exchange Gain</v>
          </cell>
          <cell r="E130" t="str">
            <v>Sanyo Industries, UK (USD)</v>
          </cell>
          <cell r="F130">
            <v>810012</v>
          </cell>
          <cell r="J130">
            <v>0</v>
          </cell>
          <cell r="K130" t="str">
            <v>forex</v>
          </cell>
        </row>
        <row r="131">
          <cell r="A131" t="str">
            <v>110039-1</v>
          </cell>
          <cell r="B131">
            <v>39141</v>
          </cell>
          <cell r="C131" t="str">
            <v>AJE-01</v>
          </cell>
          <cell r="D131" t="str">
            <v>Foreign Exchange Gain</v>
          </cell>
          <cell r="E131" t="str">
            <v>NEC Tokin Electronic (USD)</v>
          </cell>
          <cell r="F131">
            <v>810012</v>
          </cell>
          <cell r="J131">
            <v>1461004</v>
          </cell>
          <cell r="K131" t="str">
            <v>forex</v>
          </cell>
        </row>
        <row r="132">
          <cell r="A132" t="str">
            <v>110039-2</v>
          </cell>
          <cell r="B132">
            <v>39141</v>
          </cell>
          <cell r="C132" t="str">
            <v>AJE-01</v>
          </cell>
          <cell r="D132" t="str">
            <v>Foreign Exchange Gain</v>
          </cell>
          <cell r="E132" t="str">
            <v>Shibata Electronics ($)  (L)  Singapore</v>
          </cell>
          <cell r="F132">
            <v>810012</v>
          </cell>
          <cell r="J132">
            <v>20239889</v>
          </cell>
          <cell r="K132" t="str">
            <v>forex</v>
          </cell>
        </row>
        <row r="133">
          <cell r="A133" t="str">
            <v>110039-3</v>
          </cell>
          <cell r="B133">
            <v>39141</v>
          </cell>
          <cell r="C133" t="str">
            <v>AJE-01</v>
          </cell>
          <cell r="D133" t="str">
            <v>Foreign Exchange Gain</v>
          </cell>
          <cell r="E133" t="str">
            <v>Shibata Electronics ($)  (L)  Japan</v>
          </cell>
          <cell r="F133">
            <v>810012</v>
          </cell>
          <cell r="J133">
            <v>2484188</v>
          </cell>
          <cell r="K133" t="str">
            <v>forex</v>
          </cell>
        </row>
        <row r="134">
          <cell r="A134" t="str">
            <v>110039-4</v>
          </cell>
          <cell r="B134">
            <v>39141</v>
          </cell>
          <cell r="C134" t="str">
            <v>AJE-01</v>
          </cell>
          <cell r="D134" t="str">
            <v>Foreign Exchange Gain</v>
          </cell>
          <cell r="E134" t="str">
            <v>Sanwa Musen - Thailand</v>
          </cell>
          <cell r="F134">
            <v>810012</v>
          </cell>
          <cell r="J134">
            <v>0</v>
          </cell>
          <cell r="K134" t="str">
            <v>forex</v>
          </cell>
        </row>
        <row r="135">
          <cell r="A135" t="str">
            <v>110039-5</v>
          </cell>
          <cell r="B135">
            <v>39141</v>
          </cell>
          <cell r="C135" t="str">
            <v>AJE-01</v>
          </cell>
          <cell r="D135" t="str">
            <v>Foreign Exchange Gain</v>
          </cell>
          <cell r="E135" t="str">
            <v xml:space="preserve">A-Tex Worldwide SDN., BHD </v>
          </cell>
          <cell r="F135">
            <v>810012</v>
          </cell>
          <cell r="J135">
            <v>0</v>
          </cell>
          <cell r="K135" t="str">
            <v>forex</v>
          </cell>
        </row>
        <row r="136">
          <cell r="A136" t="str">
            <v>110039-6</v>
          </cell>
          <cell r="B136">
            <v>39141</v>
          </cell>
          <cell r="C136" t="str">
            <v>AJE-01</v>
          </cell>
          <cell r="D136" t="str">
            <v>Foreign Exchange Gain</v>
          </cell>
          <cell r="E136" t="str">
            <v>PT. KEL Indonesia</v>
          </cell>
          <cell r="F136">
            <v>810012</v>
          </cell>
          <cell r="J136">
            <v>0</v>
          </cell>
          <cell r="K136" t="str">
            <v>forex</v>
          </cell>
        </row>
        <row r="137">
          <cell r="A137" t="str">
            <v>110039-10</v>
          </cell>
          <cell r="B137">
            <v>39141</v>
          </cell>
          <cell r="C137" t="str">
            <v>AJE-01</v>
          </cell>
          <cell r="D137" t="str">
            <v>Foreign Exchange Gain</v>
          </cell>
          <cell r="E137" t="str">
            <v>Other Receivable</v>
          </cell>
          <cell r="F137">
            <v>810012</v>
          </cell>
          <cell r="J137">
            <v>170023</v>
          </cell>
          <cell r="K137" t="str">
            <v>forex</v>
          </cell>
        </row>
        <row r="138">
          <cell r="A138">
            <v>130011</v>
          </cell>
          <cell r="B138">
            <v>39141</v>
          </cell>
          <cell r="C138" t="str">
            <v>AJE-01</v>
          </cell>
          <cell r="D138" t="str">
            <v>Foreign Exchange Gain</v>
          </cell>
          <cell r="E138" t="str">
            <v>Refundable Deposits -PT. Karawang Sport Centre</v>
          </cell>
          <cell r="F138">
            <v>810012</v>
          </cell>
          <cell r="J138">
            <v>2625000</v>
          </cell>
          <cell r="K138" t="str">
            <v>forex</v>
          </cell>
        </row>
        <row r="139">
          <cell r="A139">
            <v>130011</v>
          </cell>
          <cell r="B139">
            <v>39141</v>
          </cell>
          <cell r="C139" t="str">
            <v>AJE-01</v>
          </cell>
          <cell r="D139" t="str">
            <v>Foreign Exchange Gain</v>
          </cell>
          <cell r="E139" t="str">
            <v>Refundable Deposits -PT. Secom Indopratama</v>
          </cell>
          <cell r="F139">
            <v>810012</v>
          </cell>
          <cell r="J139">
            <v>35000</v>
          </cell>
          <cell r="K139" t="str">
            <v>forex</v>
          </cell>
        </row>
        <row r="140">
          <cell r="A140">
            <v>130011</v>
          </cell>
          <cell r="B140">
            <v>39141</v>
          </cell>
          <cell r="C140" t="str">
            <v>AJE-01</v>
          </cell>
          <cell r="D140" t="str">
            <v>Foreign Exchange Gain</v>
          </cell>
          <cell r="E140" t="str">
            <v>Refundable Deposits -PT. Griya Karawang</v>
          </cell>
          <cell r="F140">
            <v>810012</v>
          </cell>
          <cell r="J140">
            <v>70000</v>
          </cell>
          <cell r="K140" t="str">
            <v>forex</v>
          </cell>
        </row>
        <row r="141">
          <cell r="A141">
            <v>130011</v>
          </cell>
          <cell r="B141">
            <v>39141</v>
          </cell>
          <cell r="C141" t="str">
            <v>AJE-01</v>
          </cell>
          <cell r="D141" t="str">
            <v>Foreign Exchange Gain</v>
          </cell>
          <cell r="E141" t="str">
            <v>Refundable Deposits -PT. Besland Pertiwi (II)</v>
          </cell>
          <cell r="F141">
            <v>810012</v>
          </cell>
          <cell r="J141">
            <v>994000</v>
          </cell>
          <cell r="K141" t="str">
            <v>forex</v>
          </cell>
        </row>
        <row r="142">
          <cell r="A142">
            <v>130011</v>
          </cell>
          <cell r="B142">
            <v>39141</v>
          </cell>
          <cell r="C142" t="str">
            <v>AJE-01</v>
          </cell>
          <cell r="D142" t="str">
            <v>Foreign Exchange Gain</v>
          </cell>
          <cell r="E142" t="str">
            <v>Refundable Deposits -PT. Besland Pertiwi (III)</v>
          </cell>
          <cell r="F142">
            <v>810012</v>
          </cell>
          <cell r="J142">
            <v>651000</v>
          </cell>
          <cell r="K142" t="str">
            <v>forex</v>
          </cell>
        </row>
        <row r="143">
          <cell r="A143">
            <v>130011</v>
          </cell>
          <cell r="B143">
            <v>39141</v>
          </cell>
          <cell r="C143" t="str">
            <v>AJE-01</v>
          </cell>
          <cell r="D143" t="str">
            <v>Foreign Exchange Gain</v>
          </cell>
          <cell r="E143" t="str">
            <v>Refundable Deposits -PT. Tatajabar Sejahtera (III)</v>
          </cell>
          <cell r="F143">
            <v>810012</v>
          </cell>
          <cell r="J143">
            <v>689500</v>
          </cell>
          <cell r="K143" t="str">
            <v>forex</v>
          </cell>
        </row>
        <row r="144">
          <cell r="A144">
            <v>130011</v>
          </cell>
          <cell r="B144">
            <v>39141</v>
          </cell>
          <cell r="C144" t="str">
            <v>AJE-01</v>
          </cell>
          <cell r="D144" t="str">
            <v>Foreign Exchange Gain</v>
          </cell>
          <cell r="E144" t="str">
            <v>Refundable Deposits -PT. Besland Pertiwi (IV)</v>
          </cell>
          <cell r="F144">
            <v>810012</v>
          </cell>
          <cell r="J144">
            <v>1645000</v>
          </cell>
          <cell r="K144" t="str">
            <v>forex</v>
          </cell>
        </row>
        <row r="145">
          <cell r="A145">
            <v>130011</v>
          </cell>
          <cell r="B145">
            <v>39141</v>
          </cell>
          <cell r="C145" t="str">
            <v>AJE-01</v>
          </cell>
          <cell r="D145" t="str">
            <v>Foreign Exchange Gain</v>
          </cell>
          <cell r="E145" t="str">
            <v>Refundable Deposits -PT. Tatajabar Sejahtera (IV)</v>
          </cell>
          <cell r="F145">
            <v>810012</v>
          </cell>
          <cell r="J145">
            <v>1207500</v>
          </cell>
          <cell r="K145" t="str">
            <v>forex</v>
          </cell>
        </row>
        <row r="146">
          <cell r="A146">
            <v>210011</v>
          </cell>
          <cell r="B146">
            <v>39141</v>
          </cell>
          <cell r="C146" t="str">
            <v>AJE-01</v>
          </cell>
          <cell r="D146" t="str">
            <v>Foreign Exchange Gain</v>
          </cell>
          <cell r="E146" t="str">
            <v xml:space="preserve">Totoku Electric Co., Ltd., Japan </v>
          </cell>
          <cell r="F146">
            <v>810012</v>
          </cell>
          <cell r="J146">
            <v>0</v>
          </cell>
          <cell r="K146" t="str">
            <v>forex</v>
          </cell>
        </row>
        <row r="147">
          <cell r="A147">
            <v>210012</v>
          </cell>
          <cell r="B147">
            <v>39141</v>
          </cell>
          <cell r="C147" t="str">
            <v>AJE-01</v>
          </cell>
          <cell r="D147" t="str">
            <v>Foreign Exchange Gain</v>
          </cell>
          <cell r="E147" t="str">
            <v>Totoku Electrica Mexicana. S.A. DE.C.V, Mexico</v>
          </cell>
          <cell r="F147">
            <v>810012</v>
          </cell>
          <cell r="J147">
            <v>0</v>
          </cell>
          <cell r="K147" t="str">
            <v>forex</v>
          </cell>
        </row>
        <row r="148">
          <cell r="A148" t="str">
            <v>210012-1</v>
          </cell>
          <cell r="B148">
            <v>39141</v>
          </cell>
          <cell r="C148" t="str">
            <v>AJE-01</v>
          </cell>
          <cell r="D148" t="str">
            <v>Foreign Exchange Gain</v>
          </cell>
          <cell r="E148" t="str">
            <v>Totoku Malaysia</v>
          </cell>
          <cell r="F148">
            <v>810012</v>
          </cell>
          <cell r="J148">
            <v>0</v>
          </cell>
          <cell r="K148" t="str">
            <v>forex</v>
          </cell>
        </row>
        <row r="149">
          <cell r="A149">
            <v>210013</v>
          </cell>
          <cell r="B149">
            <v>39141</v>
          </cell>
          <cell r="C149" t="str">
            <v>AJE-01</v>
          </cell>
          <cell r="D149" t="str">
            <v>Foreign Exchange Gain</v>
          </cell>
          <cell r="E149" t="str">
            <v>Furukawa Electric Singapore (US$)</v>
          </cell>
          <cell r="F149">
            <v>810012</v>
          </cell>
          <cell r="J149">
            <v>0</v>
          </cell>
          <cell r="K149" t="str">
            <v>forex</v>
          </cell>
        </row>
        <row r="150">
          <cell r="A150" t="str">
            <v>210013-2</v>
          </cell>
          <cell r="B150">
            <v>39141</v>
          </cell>
          <cell r="C150" t="str">
            <v>AJE-01</v>
          </cell>
          <cell r="D150" t="str">
            <v>Foreign Exchange Gain</v>
          </cell>
          <cell r="E150" t="str">
            <v>Honami Electronics (002-0157)</v>
          </cell>
          <cell r="F150">
            <v>810012</v>
          </cell>
          <cell r="J150">
            <v>0</v>
          </cell>
          <cell r="K150" t="str">
            <v>forex</v>
          </cell>
        </row>
        <row r="151">
          <cell r="A151" t="str">
            <v>210013-3</v>
          </cell>
          <cell r="B151">
            <v>39141</v>
          </cell>
          <cell r="C151" t="str">
            <v>AJE-01</v>
          </cell>
          <cell r="D151" t="str">
            <v>Foreign Exchange Gain</v>
          </cell>
          <cell r="E151" t="str">
            <v>Nitto Denko</v>
          </cell>
          <cell r="F151">
            <v>810012</v>
          </cell>
          <cell r="J151">
            <v>0</v>
          </cell>
          <cell r="K151" t="str">
            <v>forex</v>
          </cell>
        </row>
        <row r="152">
          <cell r="A152">
            <v>210014</v>
          </cell>
          <cell r="B152">
            <v>39141</v>
          </cell>
          <cell r="C152" t="str">
            <v>AJE-01</v>
          </cell>
          <cell r="D152" t="str">
            <v>Foreign Exchange Gain</v>
          </cell>
          <cell r="E152" t="str">
            <v>Local T/P -PT. Fanah Jaya (USD)</v>
          </cell>
          <cell r="F152">
            <v>810012</v>
          </cell>
          <cell r="J152">
            <v>0</v>
          </cell>
          <cell r="K152" t="str">
            <v>forex</v>
          </cell>
        </row>
        <row r="153">
          <cell r="A153">
            <v>210015</v>
          </cell>
          <cell r="B153">
            <v>39141</v>
          </cell>
          <cell r="C153" t="str">
            <v>AJE-01</v>
          </cell>
          <cell r="D153" t="str">
            <v>Foreign Exchange Gain</v>
          </cell>
          <cell r="E153" t="str">
            <v>Local T/P -PT. Nitto (USD)</v>
          </cell>
          <cell r="F153">
            <v>810012</v>
          </cell>
          <cell r="J153">
            <v>0</v>
          </cell>
          <cell r="K153" t="str">
            <v>forex</v>
          </cell>
        </row>
        <row r="154">
          <cell r="A154">
            <v>210016</v>
          </cell>
          <cell r="B154">
            <v>39141</v>
          </cell>
          <cell r="C154" t="str">
            <v>AJE-01</v>
          </cell>
          <cell r="D154" t="str">
            <v>Foreign Exchange Gain</v>
          </cell>
          <cell r="E154" t="str">
            <v>Local T/P -PT. Sumitomo Electric (USD) OPTEC</v>
          </cell>
          <cell r="F154">
            <v>810012</v>
          </cell>
          <cell r="J154">
            <v>1027728</v>
          </cell>
          <cell r="K154" t="str">
            <v>forex</v>
          </cell>
        </row>
        <row r="155">
          <cell r="A155">
            <v>210017</v>
          </cell>
          <cell r="B155">
            <v>39141</v>
          </cell>
          <cell r="C155" t="str">
            <v>AJE-01</v>
          </cell>
          <cell r="D155" t="str">
            <v>Foreign Exchange Gain</v>
          </cell>
          <cell r="E155" t="str">
            <v>Local T/P -PT. Dia Electro (USD)  DECSI (Adtec Enterprise)</v>
          </cell>
          <cell r="F155">
            <v>810012</v>
          </cell>
          <cell r="J155">
            <v>0</v>
          </cell>
          <cell r="K155" t="str">
            <v>forex</v>
          </cell>
        </row>
        <row r="156">
          <cell r="A156">
            <v>210018</v>
          </cell>
          <cell r="B156">
            <v>39141</v>
          </cell>
          <cell r="C156" t="str">
            <v>AJE-01</v>
          </cell>
          <cell r="D156" t="str">
            <v>Foreign Exchange Gain</v>
          </cell>
          <cell r="E156" t="str">
            <v xml:space="preserve">Local T/P - PT Sanko Material (USD) </v>
          </cell>
          <cell r="F156">
            <v>810012</v>
          </cell>
          <cell r="J156">
            <v>0</v>
          </cell>
          <cell r="K156" t="str">
            <v>forex</v>
          </cell>
        </row>
        <row r="157">
          <cell r="A157">
            <v>210019</v>
          </cell>
          <cell r="B157">
            <v>39141</v>
          </cell>
          <cell r="C157" t="str">
            <v>AJE-01</v>
          </cell>
          <cell r="D157" t="str">
            <v>Foreign Exchange Gain</v>
          </cell>
          <cell r="E157" t="str">
            <v>Local T/P -PT. Four Pillars (USD)</v>
          </cell>
          <cell r="F157">
            <v>810012</v>
          </cell>
          <cell r="J157">
            <v>0</v>
          </cell>
          <cell r="K157" t="str">
            <v>forex</v>
          </cell>
        </row>
        <row r="158">
          <cell r="A158" t="str">
            <v>210019-1</v>
          </cell>
          <cell r="B158">
            <v>39141</v>
          </cell>
          <cell r="C158" t="str">
            <v>AJE-01</v>
          </cell>
          <cell r="D158" t="str">
            <v>Foreign Exchange Gain</v>
          </cell>
          <cell r="E158" t="str">
            <v>Local T/P -PT. Sucaco (USD)</v>
          </cell>
          <cell r="F158">
            <v>810012</v>
          </cell>
          <cell r="J158">
            <v>0</v>
          </cell>
          <cell r="K158" t="str">
            <v>forex</v>
          </cell>
        </row>
        <row r="159">
          <cell r="A159" t="str">
            <v>210019-2</v>
          </cell>
          <cell r="B159">
            <v>39141</v>
          </cell>
          <cell r="C159" t="str">
            <v>AJE-01</v>
          </cell>
          <cell r="D159" t="str">
            <v>Foreign Exchange Gain</v>
          </cell>
          <cell r="E159" t="str">
            <v>Local T/P -PT. Ewindo</v>
          </cell>
          <cell r="F159">
            <v>810012</v>
          </cell>
          <cell r="J159">
            <v>0</v>
          </cell>
          <cell r="K159" t="str">
            <v>forex</v>
          </cell>
        </row>
        <row r="160">
          <cell r="A160" t="str">
            <v>210019-3</v>
          </cell>
          <cell r="B160">
            <v>39141</v>
          </cell>
          <cell r="C160" t="str">
            <v>AJE-01</v>
          </cell>
          <cell r="D160" t="str">
            <v>Foreign Exchange Gain</v>
          </cell>
          <cell r="E160" t="str">
            <v>Local T/P - Harmonics Techindo (USD)</v>
          </cell>
          <cell r="F160">
            <v>810012</v>
          </cell>
          <cell r="J160">
            <v>0</v>
          </cell>
          <cell r="K160" t="str">
            <v>forex</v>
          </cell>
        </row>
        <row r="161">
          <cell r="A161" t="str">
            <v>210019-4</v>
          </cell>
          <cell r="B161">
            <v>39141</v>
          </cell>
          <cell r="C161" t="str">
            <v>AJE-01</v>
          </cell>
          <cell r="D161" t="str">
            <v>Foreign Exchange Gain</v>
          </cell>
          <cell r="E161" t="str">
            <v>Local T/P -Tessa (USD)</v>
          </cell>
          <cell r="F161">
            <v>810012</v>
          </cell>
          <cell r="J161">
            <v>0</v>
          </cell>
          <cell r="K161" t="str">
            <v>forex</v>
          </cell>
        </row>
        <row r="162">
          <cell r="A162" t="str">
            <v>210019-5</v>
          </cell>
          <cell r="B162">
            <v>39141</v>
          </cell>
          <cell r="C162" t="str">
            <v>AJE-01</v>
          </cell>
          <cell r="D162" t="str">
            <v>Foreign Exchange Gain</v>
          </cell>
          <cell r="E162" t="str">
            <v>Local T/P -  PT. Kyoei Denki (USD)</v>
          </cell>
          <cell r="F162">
            <v>810012</v>
          </cell>
          <cell r="J162">
            <v>2220</v>
          </cell>
          <cell r="K162" t="str">
            <v>forex</v>
          </cell>
        </row>
        <row r="163">
          <cell r="A163" t="str">
            <v>210019-6</v>
          </cell>
          <cell r="B163">
            <v>39141</v>
          </cell>
          <cell r="C163" t="str">
            <v>AJE-01</v>
          </cell>
          <cell r="D163" t="str">
            <v>Foreign Exchange Gain</v>
          </cell>
          <cell r="E163" t="str">
            <v>Local T/P -  PT. Kel Indonesia (USD)</v>
          </cell>
          <cell r="F163">
            <v>810012</v>
          </cell>
          <cell r="J163">
            <v>155630</v>
          </cell>
          <cell r="K163" t="str">
            <v>forex</v>
          </cell>
        </row>
        <row r="164">
          <cell r="A164" t="str">
            <v>210019-7</v>
          </cell>
          <cell r="B164">
            <v>39141</v>
          </cell>
          <cell r="C164" t="str">
            <v>AJE-01</v>
          </cell>
          <cell r="D164" t="str">
            <v>Foreign Exchange Gain</v>
          </cell>
          <cell r="E164" t="str">
            <v>Local T/P -  Furukawa + Furukawa Sangyo (Yen)</v>
          </cell>
          <cell r="F164">
            <v>810012</v>
          </cell>
          <cell r="J164">
            <v>0</v>
          </cell>
          <cell r="K164" t="str">
            <v>forex</v>
          </cell>
        </row>
        <row r="165">
          <cell r="A165" t="str">
            <v>210030-1</v>
          </cell>
          <cell r="B165">
            <v>39141</v>
          </cell>
          <cell r="C165" t="str">
            <v>AJE-01</v>
          </cell>
          <cell r="D165" t="str">
            <v>Foreign Exchange Gain</v>
          </cell>
          <cell r="E165" t="str">
            <v>Other Payables :</v>
          </cell>
          <cell r="F165">
            <v>810012</v>
          </cell>
          <cell r="J165">
            <v>0</v>
          </cell>
          <cell r="K165" t="str">
            <v>forex</v>
          </cell>
        </row>
        <row r="166">
          <cell r="A166">
            <v>210030</v>
          </cell>
          <cell r="B166">
            <v>39141</v>
          </cell>
          <cell r="C166" t="str">
            <v>AJE-01</v>
          </cell>
          <cell r="D166" t="str">
            <v>Foreign Exchange Gain</v>
          </cell>
          <cell r="E166" t="str">
            <v>Output Payables :</v>
          </cell>
          <cell r="F166">
            <v>810012</v>
          </cell>
          <cell r="J166">
            <v>0</v>
          </cell>
          <cell r="K166" t="str">
            <v>forex</v>
          </cell>
        </row>
        <row r="167">
          <cell r="A167">
            <v>210039</v>
          </cell>
          <cell r="B167">
            <v>39141</v>
          </cell>
          <cell r="C167" t="str">
            <v>AJE-01</v>
          </cell>
          <cell r="D167" t="str">
            <v>Foreign Exchange Gain</v>
          </cell>
          <cell r="E167" t="str">
            <v>Temporary Receivable Subject (Royalty) (usd)</v>
          </cell>
          <cell r="F167">
            <v>810012</v>
          </cell>
          <cell r="J167">
            <v>23085</v>
          </cell>
          <cell r="K167" t="str">
            <v>forex</v>
          </cell>
        </row>
        <row r="168">
          <cell r="A168">
            <v>210041</v>
          </cell>
          <cell r="B168">
            <v>39141</v>
          </cell>
          <cell r="C168" t="str">
            <v>AJE-01</v>
          </cell>
          <cell r="D168" t="str">
            <v>Foreign Exchange Gain</v>
          </cell>
          <cell r="E168" t="str">
            <v>Suspense Receivable - Totoku Electric</v>
          </cell>
          <cell r="F168">
            <v>810012</v>
          </cell>
          <cell r="J168">
            <v>0</v>
          </cell>
          <cell r="K168" t="str">
            <v>forex</v>
          </cell>
        </row>
        <row r="169">
          <cell r="A169">
            <v>210071</v>
          </cell>
          <cell r="B169">
            <v>39141</v>
          </cell>
          <cell r="C169" t="str">
            <v>AJE-01</v>
          </cell>
          <cell r="D169" t="str">
            <v>Foreign Exchange Gain</v>
          </cell>
          <cell r="E169" t="str">
            <v>Long Term Loans - Totoku Electric Co. Ltd</v>
          </cell>
          <cell r="F169">
            <v>810012</v>
          </cell>
          <cell r="J169">
            <v>0</v>
          </cell>
          <cell r="K169" t="str">
            <v>forex</v>
          </cell>
        </row>
        <row r="170">
          <cell r="A170">
            <v>210061</v>
          </cell>
          <cell r="B170">
            <v>39141</v>
          </cell>
          <cell r="C170" t="str">
            <v>AJE-01</v>
          </cell>
          <cell r="D170" t="str">
            <v>Foreign Exchange Gain</v>
          </cell>
          <cell r="E170" t="str">
            <v>PT. Resona Perdania Indonesia (max -usd 500,000)</v>
          </cell>
          <cell r="F170">
            <v>810012</v>
          </cell>
          <cell r="J170">
            <v>0</v>
          </cell>
          <cell r="K170" t="str">
            <v>forex</v>
          </cell>
        </row>
        <row r="171">
          <cell r="A171">
            <v>210062</v>
          </cell>
          <cell r="B171">
            <v>39141</v>
          </cell>
          <cell r="C171" t="str">
            <v>AJE-01</v>
          </cell>
          <cell r="D171" t="str">
            <v>Foreign Exchange Gain</v>
          </cell>
          <cell r="E171" t="str">
            <v>PT. Bank Dai-Ichi Kangyo Indonesia (max -usd 1,000,000)</v>
          </cell>
          <cell r="F171">
            <v>810012</v>
          </cell>
          <cell r="J171">
            <v>0</v>
          </cell>
          <cell r="K171" t="str">
            <v>forex</v>
          </cell>
        </row>
        <row r="172">
          <cell r="A172">
            <v>210063</v>
          </cell>
          <cell r="B172">
            <v>39141</v>
          </cell>
          <cell r="C172" t="str">
            <v>AJE-01</v>
          </cell>
          <cell r="D172" t="str">
            <v>Foreign Exchange Gain</v>
          </cell>
          <cell r="E172" t="str">
            <v>Totoku Electric Co. Ltd</v>
          </cell>
          <cell r="F172">
            <v>810012</v>
          </cell>
          <cell r="J172">
            <v>0</v>
          </cell>
          <cell r="K172" t="str">
            <v>forex</v>
          </cell>
        </row>
        <row r="174">
          <cell r="A174">
            <v>110032</v>
          </cell>
          <cell r="B174">
            <v>39141</v>
          </cell>
          <cell r="C174" t="str">
            <v>AJE-02</v>
          </cell>
          <cell r="D174" t="str">
            <v>Foreign Exchange Loss</v>
          </cell>
          <cell r="E174" t="str">
            <v>T/R -PT. Sanyo Electric (USD)</v>
          </cell>
          <cell r="F174">
            <v>820012</v>
          </cell>
          <cell r="H174">
            <v>0</v>
          </cell>
          <cell r="K174" t="str">
            <v>forex</v>
          </cell>
        </row>
        <row r="175">
          <cell r="A175">
            <v>110033</v>
          </cell>
          <cell r="B175">
            <v>39141</v>
          </cell>
          <cell r="C175" t="str">
            <v>AJE-02</v>
          </cell>
          <cell r="D175" t="str">
            <v>Foreign Exchange Loss</v>
          </cell>
          <cell r="E175" t="str">
            <v>T/R -PT. Sony Manufacturing Indonesia (USD)</v>
          </cell>
          <cell r="F175">
            <v>820012</v>
          </cell>
          <cell r="H175">
            <v>0</v>
          </cell>
          <cell r="K175" t="str">
            <v>forex</v>
          </cell>
        </row>
        <row r="176">
          <cell r="A176" t="str">
            <v>110035-1</v>
          </cell>
          <cell r="B176">
            <v>39141</v>
          </cell>
          <cell r="C176" t="str">
            <v>AJE-02</v>
          </cell>
          <cell r="D176" t="str">
            <v>Foreign Exchange Loss</v>
          </cell>
          <cell r="E176" t="str">
            <v xml:space="preserve">T/R -PT Sanwa Musen (Yen) </v>
          </cell>
          <cell r="F176">
            <v>820012</v>
          </cell>
          <cell r="H176">
            <v>0</v>
          </cell>
          <cell r="K176" t="str">
            <v>forex</v>
          </cell>
        </row>
        <row r="177">
          <cell r="A177" t="str">
            <v>110035-2</v>
          </cell>
          <cell r="B177">
            <v>39141</v>
          </cell>
          <cell r="C177" t="str">
            <v>AJE-02</v>
          </cell>
          <cell r="D177" t="str">
            <v>Foreign Exchange Loss</v>
          </cell>
          <cell r="E177" t="str">
            <v>T/R - PT. Galindra M.C (USD)  GALVA</v>
          </cell>
          <cell r="F177">
            <v>820012</v>
          </cell>
          <cell r="H177">
            <v>0</v>
          </cell>
          <cell r="K177" t="str">
            <v>forex</v>
          </cell>
        </row>
        <row r="178">
          <cell r="A178" t="str">
            <v>110035-3</v>
          </cell>
          <cell r="B178">
            <v>39141</v>
          </cell>
          <cell r="C178" t="str">
            <v>AJE-02</v>
          </cell>
          <cell r="D178" t="str">
            <v>Foreign Exchange Loss</v>
          </cell>
          <cell r="E178" t="str">
            <v>T/R - PT. Sanken (USD)</v>
          </cell>
          <cell r="F178">
            <v>820012</v>
          </cell>
          <cell r="H178">
            <v>0</v>
          </cell>
          <cell r="K178" t="str">
            <v>forex</v>
          </cell>
        </row>
        <row r="179">
          <cell r="A179" t="str">
            <v>110035-4</v>
          </cell>
          <cell r="B179">
            <v>39141</v>
          </cell>
          <cell r="C179" t="str">
            <v>AJE-02</v>
          </cell>
          <cell r="D179" t="str">
            <v>Foreign Exchange Loss</v>
          </cell>
          <cell r="E179" t="str">
            <v>T/R - PT. Padi Trust Component (USD)</v>
          </cell>
          <cell r="F179">
            <v>820012</v>
          </cell>
          <cell r="H179">
            <v>0</v>
          </cell>
          <cell r="K179" t="str">
            <v>forex</v>
          </cell>
        </row>
        <row r="180">
          <cell r="A180" t="str">
            <v>110035-5</v>
          </cell>
          <cell r="B180">
            <v>39141</v>
          </cell>
          <cell r="C180" t="str">
            <v>AJE-02</v>
          </cell>
          <cell r="D180" t="str">
            <v>Foreign Exchange Loss</v>
          </cell>
          <cell r="E180" t="str">
            <v>T/R - PT. PGCOM Panasonic (USD)</v>
          </cell>
          <cell r="F180">
            <v>820012</v>
          </cell>
          <cell r="H180">
            <v>0</v>
          </cell>
          <cell r="K180" t="str">
            <v>forex</v>
          </cell>
        </row>
        <row r="181">
          <cell r="A181" t="str">
            <v>110035-6</v>
          </cell>
          <cell r="B181">
            <v>39141</v>
          </cell>
          <cell r="C181" t="str">
            <v>AJE-02</v>
          </cell>
          <cell r="D181" t="str">
            <v>Foreign Exchange Loss</v>
          </cell>
          <cell r="E181" t="str">
            <v>T/R - PT. Samwha Indonesia (USD)</v>
          </cell>
          <cell r="F181">
            <v>820012</v>
          </cell>
          <cell r="H181">
            <v>0</v>
          </cell>
          <cell r="K181" t="str">
            <v>forex</v>
          </cell>
        </row>
        <row r="182">
          <cell r="A182" t="str">
            <v>110035-7</v>
          </cell>
          <cell r="B182">
            <v>39141</v>
          </cell>
          <cell r="C182" t="str">
            <v>AJE-02</v>
          </cell>
          <cell r="D182" t="str">
            <v>Foreign Exchange Loss</v>
          </cell>
          <cell r="E182" t="str">
            <v>T/R - PT. Toshiba (USD)</v>
          </cell>
          <cell r="F182">
            <v>820012</v>
          </cell>
          <cell r="H182">
            <v>0</v>
          </cell>
          <cell r="K182" t="str">
            <v>forex</v>
          </cell>
        </row>
        <row r="183">
          <cell r="A183">
            <v>110036</v>
          </cell>
          <cell r="B183">
            <v>39141</v>
          </cell>
          <cell r="C183" t="str">
            <v>AJE-02</v>
          </cell>
          <cell r="D183" t="str">
            <v>Foreign Exchange Loss</v>
          </cell>
          <cell r="E183" t="str">
            <v xml:space="preserve">Totoku Electric Co., Ltd., Japan  (USD) </v>
          </cell>
          <cell r="F183">
            <v>820012</v>
          </cell>
          <cell r="H183">
            <v>0</v>
          </cell>
          <cell r="K183" t="str">
            <v>forex</v>
          </cell>
        </row>
        <row r="184">
          <cell r="A184">
            <v>110037</v>
          </cell>
          <cell r="B184">
            <v>39141</v>
          </cell>
          <cell r="C184" t="str">
            <v>AJE-02</v>
          </cell>
          <cell r="D184" t="str">
            <v>Foreign Exchange Loss</v>
          </cell>
          <cell r="E184" t="str">
            <v>Totoku Electric Co., Ltd., Singapore  (USD)</v>
          </cell>
          <cell r="F184">
            <v>820012</v>
          </cell>
          <cell r="H184">
            <v>0</v>
          </cell>
          <cell r="K184" t="str">
            <v>forex</v>
          </cell>
        </row>
        <row r="185">
          <cell r="A185" t="str">
            <v>110037-1</v>
          </cell>
          <cell r="B185">
            <v>39141</v>
          </cell>
          <cell r="C185" t="str">
            <v>AJE-02</v>
          </cell>
          <cell r="D185" t="str">
            <v>Foreign Exchange Loss</v>
          </cell>
          <cell r="E185" t="str">
            <v>Totoku North Amerika (USD)</v>
          </cell>
          <cell r="F185">
            <v>820012</v>
          </cell>
          <cell r="H185">
            <v>0</v>
          </cell>
          <cell r="K185" t="str">
            <v>forex</v>
          </cell>
        </row>
        <row r="186">
          <cell r="A186" t="str">
            <v>110037-2</v>
          </cell>
          <cell r="B186">
            <v>39141</v>
          </cell>
          <cell r="C186" t="str">
            <v>AJE-02</v>
          </cell>
          <cell r="D186" t="str">
            <v>Foreign Exchange Loss</v>
          </cell>
          <cell r="E186" t="str">
            <v>Totoku Malaysia (USD)</v>
          </cell>
          <cell r="F186">
            <v>820012</v>
          </cell>
          <cell r="H186">
            <v>0</v>
          </cell>
          <cell r="K186" t="str">
            <v>forex</v>
          </cell>
        </row>
        <row r="187">
          <cell r="A187" t="str">
            <v>110037-3</v>
          </cell>
          <cell r="B187">
            <v>39141</v>
          </cell>
          <cell r="C187" t="str">
            <v>AJE-02</v>
          </cell>
          <cell r="D187" t="str">
            <v>Foreign Exchange Loss</v>
          </cell>
          <cell r="E187" t="str">
            <v>Totoku China (Zhejiang) Co. Ltd (USD)</v>
          </cell>
          <cell r="F187">
            <v>820012</v>
          </cell>
          <cell r="H187">
            <v>0</v>
          </cell>
          <cell r="K187" t="str">
            <v>forex</v>
          </cell>
        </row>
        <row r="188">
          <cell r="A188">
            <v>110038</v>
          </cell>
          <cell r="B188">
            <v>39141</v>
          </cell>
          <cell r="C188" t="str">
            <v>AJE-02</v>
          </cell>
          <cell r="D188" t="str">
            <v>Foreign Exchange Loss</v>
          </cell>
          <cell r="E188" t="str">
            <v>Noble Batam (USD)</v>
          </cell>
          <cell r="F188">
            <v>820012</v>
          </cell>
          <cell r="H188">
            <v>0</v>
          </cell>
          <cell r="K188" t="str">
            <v>forex</v>
          </cell>
        </row>
        <row r="189">
          <cell r="A189">
            <v>110039</v>
          </cell>
          <cell r="B189">
            <v>39141</v>
          </cell>
          <cell r="C189" t="str">
            <v>AJE-02</v>
          </cell>
          <cell r="D189" t="str">
            <v>Foreign Exchange Loss</v>
          </cell>
          <cell r="E189" t="str">
            <v>Sanyo Industries, UK (USD)</v>
          </cell>
          <cell r="F189">
            <v>820012</v>
          </cell>
          <cell r="H189">
            <v>0</v>
          </cell>
          <cell r="K189" t="str">
            <v>forex</v>
          </cell>
        </row>
        <row r="190">
          <cell r="A190" t="str">
            <v>110039-1</v>
          </cell>
          <cell r="B190">
            <v>39141</v>
          </cell>
          <cell r="C190" t="str">
            <v>AJE-02</v>
          </cell>
          <cell r="D190" t="str">
            <v>Foreign Exchange Loss</v>
          </cell>
          <cell r="E190" t="str">
            <v>NEC Tokin Electronic (USD)</v>
          </cell>
          <cell r="F190">
            <v>820012</v>
          </cell>
          <cell r="H190">
            <v>0</v>
          </cell>
          <cell r="K190" t="str">
            <v>forex</v>
          </cell>
        </row>
        <row r="191">
          <cell r="A191" t="str">
            <v>110039-2</v>
          </cell>
          <cell r="B191">
            <v>39141</v>
          </cell>
          <cell r="C191" t="str">
            <v>AJE-02</v>
          </cell>
          <cell r="D191" t="str">
            <v>Foreign Exchange Loss</v>
          </cell>
          <cell r="E191" t="str">
            <v>Yutaka (USD)</v>
          </cell>
          <cell r="F191">
            <v>820012</v>
          </cell>
          <cell r="H191">
            <v>0</v>
          </cell>
          <cell r="K191" t="str">
            <v>forex</v>
          </cell>
        </row>
        <row r="192">
          <cell r="A192" t="str">
            <v>110039-3</v>
          </cell>
          <cell r="B192">
            <v>39141</v>
          </cell>
          <cell r="C192" t="str">
            <v>AJE-02</v>
          </cell>
          <cell r="D192" t="str">
            <v>Foreign Exchange Loss</v>
          </cell>
          <cell r="E192" t="str">
            <v>T/ R  (L) Shibata Electronics (USD)</v>
          </cell>
          <cell r="F192">
            <v>820012</v>
          </cell>
          <cell r="H192">
            <v>0</v>
          </cell>
          <cell r="K192" t="str">
            <v>forex</v>
          </cell>
        </row>
        <row r="193">
          <cell r="A193" t="str">
            <v>110039-4</v>
          </cell>
          <cell r="B193">
            <v>39141</v>
          </cell>
          <cell r="C193" t="str">
            <v>AJE-02</v>
          </cell>
          <cell r="D193" t="str">
            <v>Foreign Exchange Loss</v>
          </cell>
          <cell r="E193" t="str">
            <v>Sanwa Musen - Thailand</v>
          </cell>
          <cell r="F193">
            <v>820012</v>
          </cell>
          <cell r="H193">
            <v>0</v>
          </cell>
          <cell r="K193" t="str">
            <v>forex</v>
          </cell>
        </row>
        <row r="194">
          <cell r="A194" t="str">
            <v>110039-5</v>
          </cell>
          <cell r="B194">
            <v>39141</v>
          </cell>
          <cell r="C194" t="str">
            <v>AJE-02</v>
          </cell>
          <cell r="D194" t="str">
            <v>Foreign Exchange Loss</v>
          </cell>
          <cell r="E194" t="str">
            <v xml:space="preserve">A-Tex Worldwide SDN., BHD </v>
          </cell>
          <cell r="F194">
            <v>820012</v>
          </cell>
          <cell r="H194">
            <v>0</v>
          </cell>
          <cell r="K194" t="str">
            <v>forex</v>
          </cell>
        </row>
        <row r="195">
          <cell r="A195" t="str">
            <v>110039-6</v>
          </cell>
          <cell r="B195">
            <v>39141</v>
          </cell>
          <cell r="C195" t="str">
            <v>AJE-02</v>
          </cell>
          <cell r="D195" t="str">
            <v>Foreign Exchange Loss</v>
          </cell>
          <cell r="E195" t="str">
            <v>PT. KEL Indonesia</v>
          </cell>
          <cell r="F195">
            <v>820012</v>
          </cell>
          <cell r="H195">
            <v>0</v>
          </cell>
          <cell r="K195" t="str">
            <v>forex</v>
          </cell>
        </row>
        <row r="196">
          <cell r="A196" t="str">
            <v>110039-10</v>
          </cell>
          <cell r="B196">
            <v>39141</v>
          </cell>
          <cell r="C196" t="str">
            <v>AJE-02</v>
          </cell>
          <cell r="D196" t="str">
            <v>Foreign Exchange Loss</v>
          </cell>
          <cell r="E196" t="str">
            <v>Other Receivable</v>
          </cell>
          <cell r="F196">
            <v>820012</v>
          </cell>
          <cell r="H196">
            <v>0</v>
          </cell>
          <cell r="K196" t="str">
            <v>forex</v>
          </cell>
        </row>
        <row r="197">
          <cell r="A197">
            <v>130011</v>
          </cell>
          <cell r="B197">
            <v>39141</v>
          </cell>
          <cell r="C197" t="str">
            <v>AJE-02</v>
          </cell>
          <cell r="D197" t="str">
            <v>Foreign Exchange Loss</v>
          </cell>
          <cell r="E197" t="str">
            <v>Refundable Deposits -PT. Karawang Sport Centre</v>
          </cell>
          <cell r="F197">
            <v>820012</v>
          </cell>
          <cell r="H197">
            <v>0</v>
          </cell>
          <cell r="K197" t="str">
            <v>forex</v>
          </cell>
        </row>
        <row r="198">
          <cell r="A198">
            <v>130011</v>
          </cell>
          <cell r="B198">
            <v>39141</v>
          </cell>
          <cell r="C198" t="str">
            <v>AJE-02</v>
          </cell>
          <cell r="D198" t="str">
            <v>Foreign Exchange Loss</v>
          </cell>
          <cell r="E198" t="str">
            <v>Refundable Deposits -PT. Secom Indopratama</v>
          </cell>
          <cell r="F198">
            <v>820012</v>
          </cell>
          <cell r="H198">
            <v>0</v>
          </cell>
          <cell r="K198" t="str">
            <v>forex</v>
          </cell>
        </row>
        <row r="199">
          <cell r="A199">
            <v>130011</v>
          </cell>
          <cell r="B199">
            <v>39141</v>
          </cell>
          <cell r="C199" t="str">
            <v>AJE-02</v>
          </cell>
          <cell r="D199" t="str">
            <v>Foreign Exchange Loss</v>
          </cell>
          <cell r="E199" t="str">
            <v>Refundable Deposits -PT. Griya Karawang</v>
          </cell>
          <cell r="F199">
            <v>820012</v>
          </cell>
          <cell r="H199">
            <v>0</v>
          </cell>
          <cell r="K199" t="str">
            <v>forex</v>
          </cell>
        </row>
        <row r="200">
          <cell r="A200">
            <v>130011</v>
          </cell>
          <cell r="B200">
            <v>39141</v>
          </cell>
          <cell r="C200" t="str">
            <v>AJE-02</v>
          </cell>
          <cell r="D200" t="str">
            <v>Foreign Exchange Loss</v>
          </cell>
          <cell r="E200" t="str">
            <v>Refundable Deposits -PT. Besland Pertiwi (II)</v>
          </cell>
          <cell r="F200">
            <v>820012</v>
          </cell>
          <cell r="H200">
            <v>0</v>
          </cell>
          <cell r="K200" t="str">
            <v>forex</v>
          </cell>
        </row>
        <row r="201">
          <cell r="A201">
            <v>130011</v>
          </cell>
          <cell r="B201">
            <v>39141</v>
          </cell>
          <cell r="C201" t="str">
            <v>AJE-02</v>
          </cell>
          <cell r="D201" t="str">
            <v>Foreign Exchange Loss</v>
          </cell>
          <cell r="E201" t="str">
            <v>Refundable Deposits -PT. Besland Pertiwi (III)</v>
          </cell>
          <cell r="F201">
            <v>820012</v>
          </cell>
          <cell r="H201">
            <v>0</v>
          </cell>
          <cell r="K201" t="str">
            <v>forex</v>
          </cell>
        </row>
        <row r="202">
          <cell r="A202">
            <v>130011</v>
          </cell>
          <cell r="B202">
            <v>39141</v>
          </cell>
          <cell r="C202" t="str">
            <v>AJE-02</v>
          </cell>
          <cell r="D202" t="str">
            <v>Foreign Exchange Loss</v>
          </cell>
          <cell r="E202" t="str">
            <v>Refundable Deposits -PT. Tatajabar Sejahtera (III)</v>
          </cell>
          <cell r="F202">
            <v>820012</v>
          </cell>
          <cell r="H202">
            <v>0</v>
          </cell>
          <cell r="K202" t="str">
            <v>forex</v>
          </cell>
        </row>
        <row r="203">
          <cell r="A203">
            <v>130011</v>
          </cell>
          <cell r="B203">
            <v>39141</v>
          </cell>
          <cell r="C203" t="str">
            <v>AJE-02</v>
          </cell>
          <cell r="D203" t="str">
            <v>Foreign Exchange Loss</v>
          </cell>
          <cell r="E203" t="str">
            <v>Refundable Deposits -PT. Besland Pertiwi (IV)</v>
          </cell>
          <cell r="F203">
            <v>820012</v>
          </cell>
          <cell r="H203">
            <v>0</v>
          </cell>
          <cell r="K203" t="str">
            <v>forex</v>
          </cell>
        </row>
        <row r="204">
          <cell r="A204">
            <v>130011</v>
          </cell>
          <cell r="B204">
            <v>39141</v>
          </cell>
          <cell r="C204" t="str">
            <v>AJE-02</v>
          </cell>
          <cell r="D204" t="str">
            <v>Foreign Exchange Loss</v>
          </cell>
          <cell r="E204" t="str">
            <v>Refundable Deposits -PT. Tatajabar Sejahtera (IV)</v>
          </cell>
          <cell r="F204">
            <v>820012</v>
          </cell>
          <cell r="H204">
            <v>0</v>
          </cell>
          <cell r="K204" t="str">
            <v>forex</v>
          </cell>
        </row>
        <row r="205">
          <cell r="A205">
            <v>210011</v>
          </cell>
          <cell r="B205">
            <v>39141</v>
          </cell>
          <cell r="C205" t="str">
            <v>AJE-02</v>
          </cell>
          <cell r="D205" t="str">
            <v>Foreign Exchange Loss</v>
          </cell>
          <cell r="E205" t="str">
            <v xml:space="preserve">Totoku Electric Co., Ltd., Japan </v>
          </cell>
          <cell r="F205">
            <v>820012</v>
          </cell>
          <cell r="H205">
            <v>902593</v>
          </cell>
          <cell r="K205" t="str">
            <v>forex</v>
          </cell>
        </row>
        <row r="206">
          <cell r="A206">
            <v>210012</v>
          </cell>
          <cell r="B206">
            <v>39141</v>
          </cell>
          <cell r="C206" t="str">
            <v>AJE-02</v>
          </cell>
          <cell r="D206" t="str">
            <v>Foreign Exchange Loss</v>
          </cell>
          <cell r="E206" t="str">
            <v>Totoku Electrica Mexicana. S.A. DE.C.V, Mexico</v>
          </cell>
          <cell r="F206">
            <v>820012</v>
          </cell>
          <cell r="H206">
            <v>0</v>
          </cell>
          <cell r="K206" t="str">
            <v>forex</v>
          </cell>
        </row>
        <row r="207">
          <cell r="A207" t="str">
            <v>210012-1</v>
          </cell>
          <cell r="B207">
            <v>39141</v>
          </cell>
          <cell r="C207" t="str">
            <v>AJE-02</v>
          </cell>
          <cell r="D207" t="str">
            <v>Foreign Exchange Loss</v>
          </cell>
          <cell r="E207" t="str">
            <v>Totoku Malaysia</v>
          </cell>
          <cell r="F207">
            <v>820012</v>
          </cell>
          <cell r="H207">
            <v>0</v>
          </cell>
          <cell r="K207" t="str">
            <v>forex</v>
          </cell>
        </row>
        <row r="208">
          <cell r="A208">
            <v>210013</v>
          </cell>
          <cell r="B208">
            <v>39141</v>
          </cell>
          <cell r="C208" t="str">
            <v>AJE-02</v>
          </cell>
          <cell r="D208" t="str">
            <v>Foreign Exchange Loss</v>
          </cell>
          <cell r="E208" t="str">
            <v>Furukawa Electric Singapore (US$)</v>
          </cell>
          <cell r="F208">
            <v>820012</v>
          </cell>
          <cell r="H208">
            <v>0</v>
          </cell>
          <cell r="K208" t="str">
            <v>forex</v>
          </cell>
        </row>
        <row r="209">
          <cell r="A209" t="str">
            <v>210013-2</v>
          </cell>
          <cell r="B209">
            <v>39141</v>
          </cell>
          <cell r="C209" t="str">
            <v>AJE-02</v>
          </cell>
          <cell r="D209" t="str">
            <v>Foreign Exchange Loss</v>
          </cell>
          <cell r="E209" t="str">
            <v>Honami Electronics (002-0157)</v>
          </cell>
          <cell r="F209">
            <v>820012</v>
          </cell>
          <cell r="H209">
            <v>0</v>
          </cell>
          <cell r="K209" t="str">
            <v>forex</v>
          </cell>
        </row>
        <row r="210">
          <cell r="A210" t="str">
            <v>210013-3</v>
          </cell>
          <cell r="B210">
            <v>39141</v>
          </cell>
          <cell r="C210" t="str">
            <v>AJE-02</v>
          </cell>
          <cell r="D210" t="str">
            <v>Foreign Exchange Loss</v>
          </cell>
          <cell r="E210" t="str">
            <v>Nitto Denko</v>
          </cell>
          <cell r="F210">
            <v>820012</v>
          </cell>
          <cell r="H210">
            <v>0</v>
          </cell>
          <cell r="K210" t="str">
            <v>forex</v>
          </cell>
        </row>
        <row r="211">
          <cell r="A211">
            <v>210014</v>
          </cell>
          <cell r="B211">
            <v>39141</v>
          </cell>
          <cell r="C211" t="str">
            <v>AJE-02</v>
          </cell>
          <cell r="D211" t="str">
            <v>Foreign Exchange Loss</v>
          </cell>
          <cell r="E211" t="str">
            <v>Local T/P -PT. Yontomo (USD)</v>
          </cell>
          <cell r="F211">
            <v>820012</v>
          </cell>
          <cell r="H211">
            <v>0</v>
          </cell>
          <cell r="K211" t="str">
            <v>forex</v>
          </cell>
        </row>
        <row r="212">
          <cell r="A212">
            <v>210015</v>
          </cell>
          <cell r="B212">
            <v>39141</v>
          </cell>
          <cell r="C212" t="str">
            <v>AJE-02</v>
          </cell>
          <cell r="D212" t="str">
            <v>Foreign Exchange Loss</v>
          </cell>
          <cell r="E212" t="str">
            <v>Local T/P -PT. Nitto (USD)</v>
          </cell>
          <cell r="F212">
            <v>820012</v>
          </cell>
          <cell r="H212">
            <v>0</v>
          </cell>
          <cell r="K212" t="str">
            <v>forex</v>
          </cell>
        </row>
        <row r="213">
          <cell r="A213">
            <v>210016</v>
          </cell>
          <cell r="B213">
            <v>39141</v>
          </cell>
          <cell r="C213" t="str">
            <v>AJE-02</v>
          </cell>
          <cell r="D213" t="str">
            <v>Foreign Exchange Loss</v>
          </cell>
          <cell r="E213" t="str">
            <v>Local T/P -PT. Sumitomo Electric (USD) OPTEC</v>
          </cell>
          <cell r="F213">
            <v>820012</v>
          </cell>
          <cell r="H213">
            <v>0</v>
          </cell>
          <cell r="K213" t="str">
            <v>forex</v>
          </cell>
        </row>
        <row r="214">
          <cell r="A214">
            <v>210017</v>
          </cell>
          <cell r="B214">
            <v>39141</v>
          </cell>
          <cell r="C214" t="str">
            <v>AJE-02</v>
          </cell>
          <cell r="D214" t="str">
            <v>Foreign Exchange Loss</v>
          </cell>
          <cell r="E214" t="str">
            <v>Local T/P -PT. Dia Electro (USD)  DECSI</v>
          </cell>
          <cell r="F214">
            <v>820012</v>
          </cell>
          <cell r="H214">
            <v>339816</v>
          </cell>
          <cell r="K214" t="str">
            <v>forex</v>
          </cell>
        </row>
        <row r="215">
          <cell r="A215">
            <v>210018</v>
          </cell>
          <cell r="B215">
            <v>39141</v>
          </cell>
          <cell r="C215" t="str">
            <v>AJE-02</v>
          </cell>
          <cell r="D215" t="str">
            <v>Foreign Exchange Loss</v>
          </cell>
          <cell r="E215" t="str">
            <v xml:space="preserve">Local T/P - PT Sanko Material (USD) </v>
          </cell>
          <cell r="F215">
            <v>820012</v>
          </cell>
          <cell r="H215">
            <v>0</v>
          </cell>
          <cell r="K215" t="str">
            <v>forex</v>
          </cell>
        </row>
        <row r="216">
          <cell r="A216">
            <v>210019</v>
          </cell>
          <cell r="B216">
            <v>39141</v>
          </cell>
          <cell r="C216" t="str">
            <v>AJE-02</v>
          </cell>
          <cell r="D216" t="str">
            <v>Foreign Exchange Loss</v>
          </cell>
          <cell r="E216" t="str">
            <v>Local T/P -PT. Four Pillars (USD)</v>
          </cell>
          <cell r="F216">
            <v>820012</v>
          </cell>
          <cell r="H216">
            <v>0</v>
          </cell>
          <cell r="K216" t="str">
            <v>forex</v>
          </cell>
        </row>
        <row r="217">
          <cell r="A217" t="str">
            <v>210019-1</v>
          </cell>
          <cell r="B217">
            <v>39141</v>
          </cell>
          <cell r="C217" t="str">
            <v>AJE-02</v>
          </cell>
          <cell r="D217" t="str">
            <v>Foreign Exchange Loss</v>
          </cell>
          <cell r="E217" t="str">
            <v>Local T/P -PT. Sucaco (USD)</v>
          </cell>
          <cell r="F217">
            <v>820012</v>
          </cell>
          <cell r="H217">
            <v>1786954</v>
          </cell>
          <cell r="K217" t="str">
            <v>forex</v>
          </cell>
        </row>
        <row r="218">
          <cell r="A218" t="str">
            <v>210019-2</v>
          </cell>
          <cell r="B218">
            <v>39141</v>
          </cell>
          <cell r="C218" t="str">
            <v>AJE-02</v>
          </cell>
          <cell r="D218" t="str">
            <v>Foreign Exchange Loss</v>
          </cell>
          <cell r="E218" t="str">
            <v xml:space="preserve">Local T/P -PT. Rapindo </v>
          </cell>
          <cell r="F218">
            <v>820012</v>
          </cell>
          <cell r="H218">
            <v>0</v>
          </cell>
          <cell r="K218" t="str">
            <v>forex</v>
          </cell>
        </row>
        <row r="219">
          <cell r="A219" t="str">
            <v>210019-3</v>
          </cell>
          <cell r="B219">
            <v>39141</v>
          </cell>
          <cell r="C219" t="str">
            <v>AJE-02</v>
          </cell>
          <cell r="D219" t="str">
            <v>Foreign Exchange Loss</v>
          </cell>
          <cell r="E219" t="str">
            <v>Local T/P - Harmonics Techindo (USD)</v>
          </cell>
          <cell r="F219">
            <v>820012</v>
          </cell>
          <cell r="H219">
            <v>0</v>
          </cell>
          <cell r="K219" t="str">
            <v>forex</v>
          </cell>
        </row>
        <row r="220">
          <cell r="A220" t="str">
            <v>210019-4</v>
          </cell>
          <cell r="B220">
            <v>39141</v>
          </cell>
          <cell r="C220" t="str">
            <v>AJE-02</v>
          </cell>
          <cell r="D220" t="str">
            <v>Foreign Exchange Loss</v>
          </cell>
          <cell r="E220" t="str">
            <v>Local T/P -Tessa (USD)</v>
          </cell>
          <cell r="F220">
            <v>820012</v>
          </cell>
          <cell r="H220">
            <v>0</v>
          </cell>
          <cell r="K220" t="str">
            <v>forex</v>
          </cell>
        </row>
        <row r="221">
          <cell r="A221" t="str">
            <v>210019-5</v>
          </cell>
          <cell r="B221">
            <v>39141</v>
          </cell>
          <cell r="C221" t="str">
            <v>AJE-02</v>
          </cell>
          <cell r="D221" t="str">
            <v>Foreign Exchange Loss</v>
          </cell>
          <cell r="E221" t="str">
            <v>Local T/P -  PT. Kyoei Denki (USD)</v>
          </cell>
          <cell r="F221">
            <v>820012</v>
          </cell>
          <cell r="H221">
            <v>0</v>
          </cell>
          <cell r="K221" t="str">
            <v>forex</v>
          </cell>
        </row>
        <row r="222">
          <cell r="A222" t="str">
            <v>210019-6</v>
          </cell>
          <cell r="B222">
            <v>39141</v>
          </cell>
          <cell r="C222" t="str">
            <v>AJE-02</v>
          </cell>
          <cell r="D222" t="str">
            <v>Foreign Exchange Loss</v>
          </cell>
          <cell r="E222" t="str">
            <v>Local T/P -  PT. Kel Indonesia (USD)</v>
          </cell>
          <cell r="F222">
            <v>820012</v>
          </cell>
          <cell r="H222">
            <v>0</v>
          </cell>
          <cell r="K222" t="str">
            <v>forex</v>
          </cell>
        </row>
        <row r="223">
          <cell r="A223" t="str">
            <v>210019-7</v>
          </cell>
          <cell r="B223">
            <v>39141</v>
          </cell>
          <cell r="C223" t="str">
            <v>AJE-02</v>
          </cell>
          <cell r="D223" t="str">
            <v>Foreign Exchange Loss</v>
          </cell>
          <cell r="E223" t="str">
            <v>Local T/P -  Furukawa (Yen)</v>
          </cell>
          <cell r="F223">
            <v>820012</v>
          </cell>
          <cell r="H223">
            <v>38493072</v>
          </cell>
          <cell r="K223" t="str">
            <v>forex</v>
          </cell>
        </row>
        <row r="224">
          <cell r="A224">
            <v>210030</v>
          </cell>
          <cell r="B224">
            <v>39141</v>
          </cell>
          <cell r="C224" t="str">
            <v>AJE-02</v>
          </cell>
          <cell r="D224" t="str">
            <v>Foreign Exchange Loss</v>
          </cell>
          <cell r="E224" t="str">
            <v>Output Payables :</v>
          </cell>
          <cell r="F224">
            <v>820012</v>
          </cell>
          <cell r="H224">
            <v>0</v>
          </cell>
          <cell r="K224" t="str">
            <v>forex</v>
          </cell>
        </row>
        <row r="225">
          <cell r="A225" t="str">
            <v>210030-1</v>
          </cell>
          <cell r="B225">
            <v>39141</v>
          </cell>
          <cell r="C225" t="str">
            <v>AJE-02</v>
          </cell>
          <cell r="D225" t="str">
            <v>Foreign Exchange Loss</v>
          </cell>
          <cell r="E225" t="str">
            <v>Other Payables :</v>
          </cell>
          <cell r="F225">
            <v>820012</v>
          </cell>
          <cell r="H225">
            <v>63682</v>
          </cell>
          <cell r="K225" t="str">
            <v>forex</v>
          </cell>
        </row>
        <row r="226">
          <cell r="A226">
            <v>210039</v>
          </cell>
          <cell r="B226">
            <v>39141</v>
          </cell>
          <cell r="C226" t="str">
            <v>AJE-02</v>
          </cell>
          <cell r="D226" t="str">
            <v>Foreign Exchange Loss</v>
          </cell>
          <cell r="E226" t="str">
            <v>Temporary Receivable Subject (Royalty) (usd)</v>
          </cell>
          <cell r="F226">
            <v>820012</v>
          </cell>
          <cell r="H226">
            <v>0</v>
          </cell>
          <cell r="K226" t="str">
            <v>forex</v>
          </cell>
        </row>
        <row r="227">
          <cell r="A227">
            <v>210041</v>
          </cell>
          <cell r="B227">
            <v>39141</v>
          </cell>
          <cell r="C227" t="str">
            <v>AJE-02</v>
          </cell>
          <cell r="D227" t="str">
            <v>Foreign Exchange Loss</v>
          </cell>
          <cell r="E227" t="str">
            <v>Suspense Receivable - Totoku Electric</v>
          </cell>
          <cell r="F227">
            <v>820012</v>
          </cell>
          <cell r="H227">
            <v>0</v>
          </cell>
          <cell r="K227" t="str">
            <v>forex</v>
          </cell>
        </row>
        <row r="228">
          <cell r="A228">
            <v>210071</v>
          </cell>
          <cell r="B228">
            <v>39141</v>
          </cell>
          <cell r="C228" t="str">
            <v>AJE-02</v>
          </cell>
          <cell r="D228" t="str">
            <v>Foreign Exchange Loss</v>
          </cell>
          <cell r="E228" t="str">
            <v>Long Term Loans - Totoku Electric Co. Ltd</v>
          </cell>
          <cell r="F228">
            <v>820012</v>
          </cell>
          <cell r="H228">
            <v>10500000</v>
          </cell>
          <cell r="K228" t="str">
            <v>forex</v>
          </cell>
        </row>
        <row r="229">
          <cell r="A229">
            <v>210061</v>
          </cell>
          <cell r="B229">
            <v>39141</v>
          </cell>
          <cell r="C229" t="str">
            <v>AJE-02</v>
          </cell>
          <cell r="D229" t="str">
            <v>Foreign Exchange Loss</v>
          </cell>
          <cell r="E229" t="str">
            <v>PT. Resona Perdania Indonesia (max -usd 500,000)</v>
          </cell>
          <cell r="F229">
            <v>820012</v>
          </cell>
          <cell r="H229">
            <v>70000000</v>
          </cell>
          <cell r="K229" t="str">
            <v>forex</v>
          </cell>
        </row>
        <row r="230">
          <cell r="A230">
            <v>210062</v>
          </cell>
          <cell r="B230">
            <v>39141</v>
          </cell>
          <cell r="C230" t="str">
            <v>AJE-02</v>
          </cell>
          <cell r="D230" t="str">
            <v>Foreign Exchange Loss</v>
          </cell>
          <cell r="E230" t="str">
            <v>PT. Bank Dai-Ichi Kangyo Indonesia (max -usd 1,000,000)</v>
          </cell>
          <cell r="F230">
            <v>820012</v>
          </cell>
          <cell r="H230">
            <v>70000000</v>
          </cell>
          <cell r="K230" t="str">
            <v>forex</v>
          </cell>
        </row>
        <row r="231">
          <cell r="A231">
            <v>210063</v>
          </cell>
          <cell r="B231">
            <v>39141</v>
          </cell>
          <cell r="C231" t="str">
            <v>AJE-02</v>
          </cell>
          <cell r="D231" t="str">
            <v>Foreign Exchange Loss</v>
          </cell>
          <cell r="E231" t="str">
            <v>Totoku Electric Co. Ltd</v>
          </cell>
          <cell r="F231">
            <v>820012</v>
          </cell>
          <cell r="H231">
            <v>65750000</v>
          </cell>
          <cell r="K231" t="str">
            <v>forex</v>
          </cell>
        </row>
        <row r="232">
          <cell r="A232">
            <v>820012</v>
          </cell>
          <cell r="B232">
            <v>39141</v>
          </cell>
          <cell r="C232" t="str">
            <v>AJE-02</v>
          </cell>
          <cell r="D232" t="str">
            <v>T/R -PT. Sanyo Electric (USD)</v>
          </cell>
          <cell r="E232" t="str">
            <v>Foreign Exchange Loss</v>
          </cell>
          <cell r="F232">
            <v>110032</v>
          </cell>
          <cell r="J232">
            <v>0</v>
          </cell>
          <cell r="K232" t="str">
            <v>forex</v>
          </cell>
        </row>
        <row r="233">
          <cell r="A233">
            <v>820012</v>
          </cell>
          <cell r="B233">
            <v>39141</v>
          </cell>
          <cell r="C233" t="str">
            <v>AJE-02</v>
          </cell>
          <cell r="D233" t="str">
            <v>T/R -PT. Sony Manufacturing Indonesia (USD)</v>
          </cell>
          <cell r="E233" t="str">
            <v>Foreign Exchange Loss</v>
          </cell>
          <cell r="F233">
            <v>110033</v>
          </cell>
          <cell r="J233">
            <v>0</v>
          </cell>
          <cell r="K233" t="str">
            <v>forex</v>
          </cell>
        </row>
        <row r="234">
          <cell r="A234">
            <v>820012</v>
          </cell>
          <cell r="B234">
            <v>39141</v>
          </cell>
          <cell r="C234" t="str">
            <v>AJE-02</v>
          </cell>
          <cell r="D234" t="str">
            <v xml:space="preserve">T/R -PT Sanwa Musen (Yen) </v>
          </cell>
          <cell r="E234" t="str">
            <v>Foreign Exchange Loss</v>
          </cell>
          <cell r="F234" t="str">
            <v>110035-1</v>
          </cell>
          <cell r="J234">
            <v>0</v>
          </cell>
          <cell r="K234" t="str">
            <v>forex</v>
          </cell>
        </row>
        <row r="235">
          <cell r="A235">
            <v>820012</v>
          </cell>
          <cell r="B235">
            <v>39141</v>
          </cell>
          <cell r="C235" t="str">
            <v>AJE-02</v>
          </cell>
          <cell r="D235" t="str">
            <v>T/R - PT. Galindra M.C (USD)  GALVA</v>
          </cell>
          <cell r="E235" t="str">
            <v>Foreign Exchange Loss</v>
          </cell>
          <cell r="F235" t="str">
            <v>110035-2</v>
          </cell>
          <cell r="J235">
            <v>0</v>
          </cell>
          <cell r="K235" t="str">
            <v>forex</v>
          </cell>
        </row>
        <row r="236">
          <cell r="A236">
            <v>820012</v>
          </cell>
          <cell r="B236">
            <v>39141</v>
          </cell>
          <cell r="C236" t="str">
            <v>AJE-02</v>
          </cell>
          <cell r="D236" t="str">
            <v>T/R - PT. Sanken (USD)</v>
          </cell>
          <cell r="E236" t="str">
            <v>Foreign Exchange Loss</v>
          </cell>
          <cell r="F236" t="str">
            <v>110035-3</v>
          </cell>
          <cell r="J236">
            <v>0</v>
          </cell>
          <cell r="K236" t="str">
            <v>forex</v>
          </cell>
        </row>
        <row r="237">
          <cell r="A237">
            <v>820012</v>
          </cell>
          <cell r="B237">
            <v>39141</v>
          </cell>
          <cell r="C237" t="str">
            <v>AJE-02</v>
          </cell>
          <cell r="D237" t="str">
            <v>T/R - PT. Padi Trust Component (USD)</v>
          </cell>
          <cell r="E237" t="str">
            <v>Foreign Exchange Loss</v>
          </cell>
          <cell r="F237" t="str">
            <v>110035-4</v>
          </cell>
          <cell r="J237">
            <v>0</v>
          </cell>
          <cell r="K237" t="str">
            <v>forex</v>
          </cell>
        </row>
        <row r="238">
          <cell r="A238">
            <v>820012</v>
          </cell>
          <cell r="B238">
            <v>39141</v>
          </cell>
          <cell r="C238" t="str">
            <v>AJE-02</v>
          </cell>
          <cell r="D238" t="str">
            <v>T/R - PT. PGCOM Panasonic (USD)</v>
          </cell>
          <cell r="E238" t="str">
            <v>Foreign Exchange Loss</v>
          </cell>
          <cell r="F238" t="str">
            <v>110035-5</v>
          </cell>
          <cell r="J238">
            <v>0</v>
          </cell>
          <cell r="K238" t="str">
            <v>forex</v>
          </cell>
        </row>
        <row r="239">
          <cell r="A239">
            <v>820012</v>
          </cell>
          <cell r="B239">
            <v>39141</v>
          </cell>
          <cell r="C239" t="str">
            <v>AJE-02</v>
          </cell>
          <cell r="D239" t="str">
            <v>T/R - PT. Samwha Indonesia (USD)</v>
          </cell>
          <cell r="E239" t="str">
            <v>Foreign Exchange Loss</v>
          </cell>
          <cell r="F239" t="str">
            <v>110035-6</v>
          </cell>
          <cell r="J239">
            <v>0</v>
          </cell>
          <cell r="K239" t="str">
            <v>forex</v>
          </cell>
        </row>
        <row r="240">
          <cell r="A240">
            <v>820012</v>
          </cell>
          <cell r="B240">
            <v>39141</v>
          </cell>
          <cell r="C240" t="str">
            <v>AJE-02</v>
          </cell>
          <cell r="D240" t="str">
            <v>T/R - PT. Toshiba (USD)</v>
          </cell>
          <cell r="E240" t="str">
            <v>Foreign Exchange Loss</v>
          </cell>
          <cell r="F240" t="str">
            <v>110035-7</v>
          </cell>
          <cell r="J240">
            <v>0</v>
          </cell>
          <cell r="K240" t="str">
            <v>forex</v>
          </cell>
        </row>
        <row r="241">
          <cell r="A241">
            <v>820012</v>
          </cell>
          <cell r="B241">
            <v>39141</v>
          </cell>
          <cell r="C241" t="str">
            <v>AJE-02</v>
          </cell>
          <cell r="D241" t="str">
            <v xml:space="preserve">Totoku Electric Co., Ltd., Japan  (USD) </v>
          </cell>
          <cell r="E241" t="str">
            <v>Foreign Exchange Loss</v>
          </cell>
          <cell r="F241">
            <v>110036</v>
          </cell>
          <cell r="J241">
            <v>0</v>
          </cell>
          <cell r="K241" t="str">
            <v>forex</v>
          </cell>
        </row>
        <row r="242">
          <cell r="A242">
            <v>820012</v>
          </cell>
          <cell r="B242">
            <v>39141</v>
          </cell>
          <cell r="C242" t="str">
            <v>AJE-02</v>
          </cell>
          <cell r="D242" t="str">
            <v>Totoku Electric Co., Ltd., Singapore  (USD)</v>
          </cell>
          <cell r="E242" t="str">
            <v>Foreign Exchange Loss</v>
          </cell>
          <cell r="F242">
            <v>110037</v>
          </cell>
          <cell r="J242">
            <v>0</v>
          </cell>
          <cell r="K242" t="str">
            <v>forex</v>
          </cell>
        </row>
        <row r="243">
          <cell r="A243">
            <v>820012</v>
          </cell>
          <cell r="B243">
            <v>39141</v>
          </cell>
          <cell r="C243" t="str">
            <v>AJE-02</v>
          </cell>
          <cell r="D243" t="str">
            <v>Totoku North Amerika (USD)</v>
          </cell>
          <cell r="E243" t="str">
            <v>Foreign Exchange Loss</v>
          </cell>
          <cell r="F243" t="str">
            <v>110037-1</v>
          </cell>
          <cell r="J243">
            <v>0</v>
          </cell>
          <cell r="K243" t="str">
            <v>forex</v>
          </cell>
        </row>
        <row r="244">
          <cell r="A244">
            <v>820012</v>
          </cell>
          <cell r="B244">
            <v>39141</v>
          </cell>
          <cell r="C244" t="str">
            <v>AJE-02</v>
          </cell>
          <cell r="D244" t="str">
            <v>Totoku Malaysia (USD)</v>
          </cell>
          <cell r="E244" t="str">
            <v>Foreign Exchange Loss</v>
          </cell>
          <cell r="F244" t="str">
            <v>110037-2</v>
          </cell>
          <cell r="J244">
            <v>0</v>
          </cell>
          <cell r="K244" t="str">
            <v>forex</v>
          </cell>
        </row>
        <row r="245">
          <cell r="A245">
            <v>820012</v>
          </cell>
          <cell r="B245">
            <v>39141</v>
          </cell>
          <cell r="C245" t="str">
            <v>AJE-02</v>
          </cell>
          <cell r="D245" t="str">
            <v>Totoku China (Zhejiang) Co. Ltd (USD)</v>
          </cell>
          <cell r="E245" t="str">
            <v>Foreign Exchange Loss</v>
          </cell>
          <cell r="F245" t="str">
            <v>110037-3</v>
          </cell>
          <cell r="J245">
            <v>0</v>
          </cell>
          <cell r="K245" t="str">
            <v>forex</v>
          </cell>
        </row>
        <row r="246">
          <cell r="A246">
            <v>820012</v>
          </cell>
          <cell r="B246">
            <v>39141</v>
          </cell>
          <cell r="C246" t="str">
            <v>AJE-02</v>
          </cell>
          <cell r="D246" t="str">
            <v>Noble Batam (USD)</v>
          </cell>
          <cell r="E246" t="str">
            <v>Foreign Exchange Loss</v>
          </cell>
          <cell r="F246">
            <v>110038</v>
          </cell>
          <cell r="J246">
            <v>0</v>
          </cell>
          <cell r="K246" t="str">
            <v>forex</v>
          </cell>
        </row>
        <row r="247">
          <cell r="A247">
            <v>820012</v>
          </cell>
          <cell r="B247">
            <v>39141</v>
          </cell>
          <cell r="C247" t="str">
            <v>AJE-02</v>
          </cell>
          <cell r="D247" t="str">
            <v>Sanyo Industries, UK (USD)</v>
          </cell>
          <cell r="E247" t="str">
            <v>Foreign Exchange Loss</v>
          </cell>
          <cell r="F247">
            <v>110039</v>
          </cell>
          <cell r="J247">
            <v>0</v>
          </cell>
          <cell r="K247" t="str">
            <v>forex</v>
          </cell>
        </row>
        <row r="248">
          <cell r="A248">
            <v>820012</v>
          </cell>
          <cell r="B248">
            <v>39141</v>
          </cell>
          <cell r="C248" t="str">
            <v>AJE-02</v>
          </cell>
          <cell r="D248" t="str">
            <v>NEC Tokin Electronic (USD)</v>
          </cell>
          <cell r="E248" t="str">
            <v>Foreign Exchange Loss</v>
          </cell>
          <cell r="F248" t="str">
            <v>110039-1</v>
          </cell>
          <cell r="J248">
            <v>0</v>
          </cell>
          <cell r="K248" t="str">
            <v>forex</v>
          </cell>
        </row>
        <row r="249">
          <cell r="A249">
            <v>820012</v>
          </cell>
          <cell r="B249">
            <v>39141</v>
          </cell>
          <cell r="C249" t="str">
            <v>AJE-02</v>
          </cell>
          <cell r="D249" t="str">
            <v>Yutaka (USD)</v>
          </cell>
          <cell r="E249" t="str">
            <v>Foreign Exchange Loss</v>
          </cell>
          <cell r="F249" t="str">
            <v>110039-2</v>
          </cell>
          <cell r="J249">
            <v>0</v>
          </cell>
          <cell r="K249" t="str">
            <v>forex</v>
          </cell>
        </row>
        <row r="250">
          <cell r="A250">
            <v>820012</v>
          </cell>
          <cell r="B250">
            <v>39141</v>
          </cell>
          <cell r="C250" t="str">
            <v>AJE-02</v>
          </cell>
          <cell r="D250" t="str">
            <v>T/ R  (L) Shibata Electronics (USD)</v>
          </cell>
          <cell r="E250" t="str">
            <v>Foreign Exchange Loss</v>
          </cell>
          <cell r="F250" t="str">
            <v>110039-3</v>
          </cell>
          <cell r="J250">
            <v>0</v>
          </cell>
          <cell r="K250" t="str">
            <v>forex</v>
          </cell>
        </row>
        <row r="251">
          <cell r="A251">
            <v>820012</v>
          </cell>
          <cell r="B251">
            <v>39141</v>
          </cell>
          <cell r="C251" t="str">
            <v>AJE-02</v>
          </cell>
          <cell r="D251" t="str">
            <v>Sanwa Musen - Thailand</v>
          </cell>
          <cell r="E251" t="str">
            <v>Foreign Exchange Loss</v>
          </cell>
          <cell r="F251" t="str">
            <v>110039-4</v>
          </cell>
          <cell r="J251">
            <v>0</v>
          </cell>
          <cell r="K251" t="str">
            <v>forex</v>
          </cell>
        </row>
        <row r="252">
          <cell r="A252">
            <v>820012</v>
          </cell>
          <cell r="B252">
            <v>39141</v>
          </cell>
          <cell r="C252" t="str">
            <v>AJE-02</v>
          </cell>
          <cell r="D252" t="str">
            <v xml:space="preserve">A-Tex Worldwide SDN., BHD </v>
          </cell>
          <cell r="E252" t="str">
            <v>Foreign Exchange Loss</v>
          </cell>
          <cell r="F252" t="str">
            <v>110039-5</v>
          </cell>
          <cell r="J252">
            <v>0</v>
          </cell>
          <cell r="K252" t="str">
            <v>forex</v>
          </cell>
        </row>
        <row r="253">
          <cell r="A253">
            <v>820012</v>
          </cell>
          <cell r="B253">
            <v>39141</v>
          </cell>
          <cell r="C253" t="str">
            <v>AJE-02</v>
          </cell>
          <cell r="D253" t="str">
            <v>PT. KEL Indonesia</v>
          </cell>
          <cell r="E253" t="str">
            <v>Foreign Exchange Loss</v>
          </cell>
          <cell r="F253" t="str">
            <v>110039-6</v>
          </cell>
          <cell r="J253">
            <v>0</v>
          </cell>
          <cell r="K253" t="str">
            <v>forex</v>
          </cell>
        </row>
        <row r="254">
          <cell r="A254">
            <v>820012</v>
          </cell>
          <cell r="B254">
            <v>39141</v>
          </cell>
          <cell r="C254" t="str">
            <v>AJE-02</v>
          </cell>
          <cell r="D254" t="str">
            <v>Other Receivable</v>
          </cell>
          <cell r="E254" t="str">
            <v>Foreign Exchange Loss</v>
          </cell>
          <cell r="F254" t="str">
            <v>110039-10</v>
          </cell>
          <cell r="J254">
            <v>0</v>
          </cell>
          <cell r="K254" t="str">
            <v>forex</v>
          </cell>
        </row>
        <row r="255">
          <cell r="A255">
            <v>820012</v>
          </cell>
          <cell r="B255">
            <v>39141</v>
          </cell>
          <cell r="C255" t="str">
            <v>AJE-02</v>
          </cell>
          <cell r="D255" t="str">
            <v>Refundable Deposits -PT. Karawang Sport Centre</v>
          </cell>
          <cell r="E255" t="str">
            <v>Foreign Exchange Loss</v>
          </cell>
          <cell r="F255">
            <v>130011</v>
          </cell>
          <cell r="J255">
            <v>0</v>
          </cell>
          <cell r="K255" t="str">
            <v>forex</v>
          </cell>
        </row>
        <row r="256">
          <cell r="A256">
            <v>820012</v>
          </cell>
          <cell r="B256">
            <v>39141</v>
          </cell>
          <cell r="C256" t="str">
            <v>AJE-02</v>
          </cell>
          <cell r="D256" t="str">
            <v>Refundable Deposits -PT. Secom Indopratama</v>
          </cell>
          <cell r="E256" t="str">
            <v>Foreign Exchange Loss</v>
          </cell>
          <cell r="F256">
            <v>130011</v>
          </cell>
          <cell r="J256">
            <v>0</v>
          </cell>
          <cell r="K256" t="str">
            <v>forex</v>
          </cell>
        </row>
        <row r="257">
          <cell r="A257">
            <v>820012</v>
          </cell>
          <cell r="B257">
            <v>39141</v>
          </cell>
          <cell r="C257" t="str">
            <v>AJE-02</v>
          </cell>
          <cell r="D257" t="str">
            <v>Refundable Deposits -PT. Griya Karawang</v>
          </cell>
          <cell r="E257" t="str">
            <v>Foreign Exchange Loss</v>
          </cell>
          <cell r="F257">
            <v>130011</v>
          </cell>
          <cell r="J257">
            <v>0</v>
          </cell>
          <cell r="K257" t="str">
            <v>forex</v>
          </cell>
        </row>
        <row r="258">
          <cell r="A258">
            <v>820012</v>
          </cell>
          <cell r="B258">
            <v>39141</v>
          </cell>
          <cell r="C258" t="str">
            <v>AJE-02</v>
          </cell>
          <cell r="D258" t="str">
            <v>Refundable Deposits -PT. Besland Pertiwi (II)</v>
          </cell>
          <cell r="E258" t="str">
            <v>Foreign Exchange Loss</v>
          </cell>
          <cell r="F258">
            <v>130011</v>
          </cell>
          <cell r="J258">
            <v>0</v>
          </cell>
          <cell r="K258" t="str">
            <v>forex</v>
          </cell>
        </row>
        <row r="259">
          <cell r="A259">
            <v>820012</v>
          </cell>
          <cell r="B259">
            <v>39141</v>
          </cell>
          <cell r="C259" t="str">
            <v>AJE-02</v>
          </cell>
          <cell r="D259" t="str">
            <v>Refundable Deposits -PT. Besland Pertiwi (III)</v>
          </cell>
          <cell r="E259" t="str">
            <v>Foreign Exchange Loss</v>
          </cell>
          <cell r="F259">
            <v>130011</v>
          </cell>
          <cell r="J259">
            <v>0</v>
          </cell>
          <cell r="K259" t="str">
            <v>forex</v>
          </cell>
        </row>
        <row r="260">
          <cell r="A260">
            <v>820012</v>
          </cell>
          <cell r="B260">
            <v>39141</v>
          </cell>
          <cell r="C260" t="str">
            <v>AJE-02</v>
          </cell>
          <cell r="D260" t="str">
            <v>Refundable Deposits -PT. Tatajabar Sejahtera (III)</v>
          </cell>
          <cell r="E260" t="str">
            <v>Foreign Exchange Loss</v>
          </cell>
          <cell r="F260">
            <v>130011</v>
          </cell>
          <cell r="J260">
            <v>0</v>
          </cell>
          <cell r="K260" t="str">
            <v>forex</v>
          </cell>
        </row>
        <row r="261">
          <cell r="A261">
            <v>820012</v>
          </cell>
          <cell r="B261">
            <v>39141</v>
          </cell>
          <cell r="C261" t="str">
            <v>AJE-02</v>
          </cell>
          <cell r="D261" t="str">
            <v>Refundable Deposits -PT. Besland Pertiwi (IV)</v>
          </cell>
          <cell r="E261" t="str">
            <v>Foreign Exchange Loss</v>
          </cell>
          <cell r="F261">
            <v>130011</v>
          </cell>
          <cell r="J261">
            <v>0</v>
          </cell>
          <cell r="K261" t="str">
            <v>forex</v>
          </cell>
        </row>
        <row r="262">
          <cell r="A262">
            <v>820012</v>
          </cell>
          <cell r="B262">
            <v>39141</v>
          </cell>
          <cell r="C262" t="str">
            <v>AJE-02</v>
          </cell>
          <cell r="D262" t="str">
            <v>Refundable Deposits -PT. Tatajabar Sejahtera (IV)</v>
          </cell>
          <cell r="E262" t="str">
            <v>Foreign Exchange Loss</v>
          </cell>
          <cell r="F262">
            <v>130011</v>
          </cell>
          <cell r="J262">
            <v>0</v>
          </cell>
          <cell r="K262" t="str">
            <v>forex</v>
          </cell>
        </row>
        <row r="263">
          <cell r="A263">
            <v>820012</v>
          </cell>
          <cell r="B263">
            <v>39141</v>
          </cell>
          <cell r="C263" t="str">
            <v>AJE-02</v>
          </cell>
          <cell r="D263" t="str">
            <v xml:space="preserve">Totoku Electric Co., Ltd., Japan </v>
          </cell>
          <cell r="E263" t="str">
            <v>Foreign Exchange Loss</v>
          </cell>
          <cell r="F263">
            <v>210011</v>
          </cell>
          <cell r="J263">
            <v>902593</v>
          </cell>
          <cell r="K263" t="str">
            <v>forex</v>
          </cell>
        </row>
        <row r="264">
          <cell r="A264">
            <v>820012</v>
          </cell>
          <cell r="B264">
            <v>39141</v>
          </cell>
          <cell r="C264" t="str">
            <v>AJE-02</v>
          </cell>
          <cell r="D264" t="str">
            <v>Totoku Electrica Mexicana. S.A. DE.C.V, Mexico</v>
          </cell>
          <cell r="E264" t="str">
            <v>Foreign Exchange Loss</v>
          </cell>
          <cell r="F264">
            <v>210012</v>
          </cell>
          <cell r="J264">
            <v>0</v>
          </cell>
          <cell r="K264" t="str">
            <v>forex</v>
          </cell>
        </row>
        <row r="265">
          <cell r="A265">
            <v>820012</v>
          </cell>
          <cell r="B265">
            <v>39141</v>
          </cell>
          <cell r="C265" t="str">
            <v>AJE-02</v>
          </cell>
          <cell r="D265" t="str">
            <v>Totoku Malaysia</v>
          </cell>
          <cell r="E265" t="str">
            <v>Foreign Exchange Loss</v>
          </cell>
          <cell r="F265" t="str">
            <v>210012-1</v>
          </cell>
          <cell r="J265">
            <v>0</v>
          </cell>
          <cell r="K265" t="str">
            <v>forex</v>
          </cell>
        </row>
        <row r="266">
          <cell r="A266">
            <v>820012</v>
          </cell>
          <cell r="B266">
            <v>39141</v>
          </cell>
          <cell r="C266" t="str">
            <v>AJE-02</v>
          </cell>
          <cell r="D266" t="str">
            <v>Furukawa Electric Singapore (US$)</v>
          </cell>
          <cell r="E266" t="str">
            <v>Foreign Exchange Loss</v>
          </cell>
          <cell r="F266">
            <v>210013</v>
          </cell>
          <cell r="J266">
            <v>0</v>
          </cell>
          <cell r="K266" t="str">
            <v>forex</v>
          </cell>
        </row>
        <row r="267">
          <cell r="A267">
            <v>820012</v>
          </cell>
          <cell r="B267">
            <v>39141</v>
          </cell>
          <cell r="C267" t="str">
            <v>AJE-02</v>
          </cell>
          <cell r="D267" t="str">
            <v>Honami Electronics (002-0157)</v>
          </cell>
          <cell r="E267" t="str">
            <v>Foreign Exchange Loss</v>
          </cell>
          <cell r="F267" t="str">
            <v>210013-2</v>
          </cell>
          <cell r="J267">
            <v>0</v>
          </cell>
          <cell r="K267" t="str">
            <v>forex</v>
          </cell>
        </row>
        <row r="268">
          <cell r="A268">
            <v>820012</v>
          </cell>
          <cell r="B268">
            <v>39141</v>
          </cell>
          <cell r="C268" t="str">
            <v>AJE-02</v>
          </cell>
          <cell r="D268" t="str">
            <v>Nitto Denko</v>
          </cell>
          <cell r="E268" t="str">
            <v>Foreign Exchange Loss</v>
          </cell>
          <cell r="F268" t="str">
            <v>210013-3</v>
          </cell>
          <cell r="J268">
            <v>0</v>
          </cell>
          <cell r="K268" t="str">
            <v>forex</v>
          </cell>
        </row>
        <row r="269">
          <cell r="A269">
            <v>820012</v>
          </cell>
          <cell r="B269">
            <v>39141</v>
          </cell>
          <cell r="C269" t="str">
            <v>AJE-02</v>
          </cell>
          <cell r="D269" t="str">
            <v>Local T/P -PT. Yontomo (USD)</v>
          </cell>
          <cell r="E269" t="str">
            <v>Foreign Exchange Loss</v>
          </cell>
          <cell r="F269">
            <v>210014</v>
          </cell>
          <cell r="J269">
            <v>0</v>
          </cell>
          <cell r="K269" t="str">
            <v>forex</v>
          </cell>
        </row>
        <row r="270">
          <cell r="A270">
            <v>820012</v>
          </cell>
          <cell r="B270">
            <v>39141</v>
          </cell>
          <cell r="C270" t="str">
            <v>AJE-02</v>
          </cell>
          <cell r="D270" t="str">
            <v>Local T/P -PT. Nitto (USD)</v>
          </cell>
          <cell r="E270" t="str">
            <v>Foreign Exchange Loss</v>
          </cell>
          <cell r="F270">
            <v>210015</v>
          </cell>
          <cell r="J270">
            <v>0</v>
          </cell>
          <cell r="K270" t="str">
            <v>forex</v>
          </cell>
        </row>
        <row r="271">
          <cell r="A271">
            <v>820012</v>
          </cell>
          <cell r="B271">
            <v>39141</v>
          </cell>
          <cell r="C271" t="str">
            <v>AJE-02</v>
          </cell>
          <cell r="D271" t="str">
            <v>Local T/P -PT. Sumitomo Electric (USD) OPTEC</v>
          </cell>
          <cell r="E271" t="str">
            <v>Foreign Exchange Loss</v>
          </cell>
          <cell r="F271">
            <v>210016</v>
          </cell>
          <cell r="J271">
            <v>0</v>
          </cell>
          <cell r="K271" t="str">
            <v>forex</v>
          </cell>
        </row>
        <row r="272">
          <cell r="A272">
            <v>820012</v>
          </cell>
          <cell r="B272">
            <v>39141</v>
          </cell>
          <cell r="C272" t="str">
            <v>AJE-02</v>
          </cell>
          <cell r="D272" t="str">
            <v>Local T/P -PT. Dia Electro (USD)  DECSI</v>
          </cell>
          <cell r="E272" t="str">
            <v>Foreign Exchange Loss</v>
          </cell>
          <cell r="F272">
            <v>210017</v>
          </cell>
          <cell r="J272">
            <v>339816</v>
          </cell>
          <cell r="K272" t="str">
            <v>forex</v>
          </cell>
        </row>
        <row r="273">
          <cell r="A273">
            <v>820012</v>
          </cell>
          <cell r="B273">
            <v>39141</v>
          </cell>
          <cell r="C273" t="str">
            <v>AJE-02</v>
          </cell>
          <cell r="D273" t="str">
            <v xml:space="preserve">Local T/P - PT Sanko Material (USD) </v>
          </cell>
          <cell r="E273" t="str">
            <v>Foreign Exchange Loss</v>
          </cell>
          <cell r="F273">
            <v>210018</v>
          </cell>
          <cell r="J273">
            <v>0</v>
          </cell>
          <cell r="K273" t="str">
            <v>forex</v>
          </cell>
        </row>
        <row r="274">
          <cell r="A274">
            <v>820012</v>
          </cell>
          <cell r="B274">
            <v>39141</v>
          </cell>
          <cell r="C274" t="str">
            <v>AJE-02</v>
          </cell>
          <cell r="D274" t="str">
            <v>Local T/P -PT. Four Pillars (USD)</v>
          </cell>
          <cell r="E274" t="str">
            <v>Foreign Exchange Loss</v>
          </cell>
          <cell r="F274">
            <v>210019</v>
          </cell>
          <cell r="J274">
            <v>0</v>
          </cell>
          <cell r="K274" t="str">
            <v>forex</v>
          </cell>
        </row>
        <row r="275">
          <cell r="A275">
            <v>820012</v>
          </cell>
          <cell r="B275">
            <v>39141</v>
          </cell>
          <cell r="C275" t="str">
            <v>AJE-02</v>
          </cell>
          <cell r="D275" t="str">
            <v>Local T/P -PT. Sucaco (USD)</v>
          </cell>
          <cell r="E275" t="str">
            <v>Foreign Exchange Loss</v>
          </cell>
          <cell r="F275" t="str">
            <v>210019-1</v>
          </cell>
          <cell r="J275">
            <v>1786954</v>
          </cell>
          <cell r="K275" t="str">
            <v>forex</v>
          </cell>
        </row>
        <row r="276">
          <cell r="A276">
            <v>820012</v>
          </cell>
          <cell r="B276">
            <v>39141</v>
          </cell>
          <cell r="C276" t="str">
            <v>AJE-02</v>
          </cell>
          <cell r="D276" t="str">
            <v xml:space="preserve">Local T/P -PT. Rapindo </v>
          </cell>
          <cell r="E276" t="str">
            <v>Foreign Exchange Loss</v>
          </cell>
          <cell r="F276" t="str">
            <v>210019-2</v>
          </cell>
          <cell r="J276">
            <v>0</v>
          </cell>
          <cell r="K276" t="str">
            <v>forex</v>
          </cell>
        </row>
        <row r="277">
          <cell r="A277">
            <v>820012</v>
          </cell>
          <cell r="B277">
            <v>39141</v>
          </cell>
          <cell r="C277" t="str">
            <v>AJE-02</v>
          </cell>
          <cell r="D277" t="str">
            <v>Local T/P - Harmonics Techindo (USD)</v>
          </cell>
          <cell r="E277" t="str">
            <v>Foreign Exchange Loss</v>
          </cell>
          <cell r="F277" t="str">
            <v>210019-3</v>
          </cell>
          <cell r="J277">
            <v>0</v>
          </cell>
          <cell r="K277" t="str">
            <v>forex</v>
          </cell>
        </row>
        <row r="278">
          <cell r="A278">
            <v>820012</v>
          </cell>
          <cell r="B278">
            <v>39141</v>
          </cell>
          <cell r="C278" t="str">
            <v>AJE-02</v>
          </cell>
          <cell r="D278" t="str">
            <v>Local T/P -Tessa (USD)</v>
          </cell>
          <cell r="E278" t="str">
            <v>Foreign Exchange Loss</v>
          </cell>
          <cell r="F278" t="str">
            <v>210019-4</v>
          </cell>
          <cell r="J278">
            <v>0</v>
          </cell>
          <cell r="K278" t="str">
            <v>forex</v>
          </cell>
        </row>
        <row r="279">
          <cell r="A279">
            <v>820012</v>
          </cell>
          <cell r="B279">
            <v>39141</v>
          </cell>
          <cell r="C279" t="str">
            <v>AJE-02</v>
          </cell>
          <cell r="D279" t="str">
            <v>Local T/P -  PT. Kyoei Denki (USD)</v>
          </cell>
          <cell r="E279" t="str">
            <v>Foreign Exchange Loss</v>
          </cell>
          <cell r="F279" t="str">
            <v>210019-5</v>
          </cell>
          <cell r="J279">
            <v>0</v>
          </cell>
          <cell r="K279" t="str">
            <v>forex</v>
          </cell>
        </row>
        <row r="280">
          <cell r="A280">
            <v>820012</v>
          </cell>
          <cell r="B280">
            <v>39141</v>
          </cell>
          <cell r="C280" t="str">
            <v>AJE-02</v>
          </cell>
          <cell r="D280" t="str">
            <v>Local T/P -  PT. Kel Indonesia (USD)</v>
          </cell>
          <cell r="E280" t="str">
            <v>Foreign Exchange Loss</v>
          </cell>
          <cell r="F280" t="str">
            <v>210019-6</v>
          </cell>
          <cell r="J280">
            <v>0</v>
          </cell>
          <cell r="K280" t="str">
            <v>forex</v>
          </cell>
        </row>
        <row r="281">
          <cell r="A281">
            <v>820012</v>
          </cell>
          <cell r="B281">
            <v>39141</v>
          </cell>
          <cell r="C281" t="str">
            <v>AJE-02</v>
          </cell>
          <cell r="D281" t="str">
            <v>Local T/P -  Furukawa (Yen)</v>
          </cell>
          <cell r="E281" t="str">
            <v>Foreign Exchange Loss</v>
          </cell>
          <cell r="F281" t="str">
            <v>210019-7</v>
          </cell>
          <cell r="J281">
            <v>38493072</v>
          </cell>
          <cell r="K281" t="str">
            <v>forex</v>
          </cell>
        </row>
        <row r="282">
          <cell r="A282">
            <v>820012</v>
          </cell>
          <cell r="B282">
            <v>39141</v>
          </cell>
          <cell r="C282" t="str">
            <v>AJE-02</v>
          </cell>
          <cell r="D282" t="str">
            <v>Output Payables :</v>
          </cell>
          <cell r="E282" t="str">
            <v>Foreign Exchange Loss</v>
          </cell>
          <cell r="F282">
            <v>210030</v>
          </cell>
          <cell r="J282">
            <v>0</v>
          </cell>
          <cell r="K282" t="str">
            <v>forex</v>
          </cell>
        </row>
        <row r="283">
          <cell r="A283">
            <v>820012</v>
          </cell>
          <cell r="B283">
            <v>39141</v>
          </cell>
          <cell r="C283" t="str">
            <v>AJE-02</v>
          </cell>
          <cell r="D283" t="str">
            <v>Other Payables :</v>
          </cell>
          <cell r="E283" t="str">
            <v>Foreign Exchange Loss</v>
          </cell>
          <cell r="F283" t="str">
            <v>210030-1</v>
          </cell>
          <cell r="J283">
            <v>63682</v>
          </cell>
          <cell r="K283" t="str">
            <v>forex</v>
          </cell>
        </row>
        <row r="284">
          <cell r="A284">
            <v>820012</v>
          </cell>
          <cell r="B284">
            <v>39141</v>
          </cell>
          <cell r="C284" t="str">
            <v>AJE-02</v>
          </cell>
          <cell r="D284" t="str">
            <v>Temporary Receivable Subject (Royalty) (usd)</v>
          </cell>
          <cell r="E284" t="str">
            <v>Foreign Exchange Loss</v>
          </cell>
          <cell r="F284">
            <v>210039</v>
          </cell>
          <cell r="J284">
            <v>0</v>
          </cell>
          <cell r="K284" t="str">
            <v>forex</v>
          </cell>
        </row>
        <row r="285">
          <cell r="A285">
            <v>820012</v>
          </cell>
          <cell r="B285">
            <v>39141</v>
          </cell>
          <cell r="C285" t="str">
            <v>AJE-02</v>
          </cell>
          <cell r="D285" t="str">
            <v>Suspense Receivable - Totoku Electric</v>
          </cell>
          <cell r="E285" t="str">
            <v>Foreign Exchange Loss</v>
          </cell>
          <cell r="F285">
            <v>210041</v>
          </cell>
          <cell r="J285">
            <v>0</v>
          </cell>
          <cell r="K285" t="str">
            <v>forex</v>
          </cell>
        </row>
        <row r="286">
          <cell r="A286">
            <v>820012</v>
          </cell>
          <cell r="B286">
            <v>39141</v>
          </cell>
          <cell r="C286" t="str">
            <v>AJE-02</v>
          </cell>
          <cell r="D286" t="str">
            <v>Long Term Loans - Totoku Electric Co. Ltd</v>
          </cell>
          <cell r="E286" t="str">
            <v>Foreign Exchange Loss</v>
          </cell>
          <cell r="F286">
            <v>210071</v>
          </cell>
          <cell r="J286">
            <v>10500000</v>
          </cell>
          <cell r="K286" t="str">
            <v>forex</v>
          </cell>
        </row>
        <row r="287">
          <cell r="A287">
            <v>820012</v>
          </cell>
          <cell r="B287">
            <v>39141</v>
          </cell>
          <cell r="C287" t="str">
            <v>AJE-02</v>
          </cell>
          <cell r="D287" t="str">
            <v>PT. Resona Perdania Indonesia (max -usd 500,000)</v>
          </cell>
          <cell r="E287" t="str">
            <v>Foreign Exchange Loss</v>
          </cell>
          <cell r="F287">
            <v>210061</v>
          </cell>
          <cell r="J287">
            <v>70000000</v>
          </cell>
          <cell r="K287" t="str">
            <v>forex</v>
          </cell>
        </row>
        <row r="288">
          <cell r="A288">
            <v>820012</v>
          </cell>
          <cell r="B288">
            <v>39141</v>
          </cell>
          <cell r="C288" t="str">
            <v>AJE-02</v>
          </cell>
          <cell r="D288" t="str">
            <v>PT. Bank Dai-Ichi Kangyo Indonesia (max -usd 1,000,000)</v>
          </cell>
          <cell r="E288" t="str">
            <v>Foreign Exchange Loss</v>
          </cell>
          <cell r="F288">
            <v>210062</v>
          </cell>
          <cell r="J288">
            <v>70000000</v>
          </cell>
          <cell r="K288" t="str">
            <v>forex</v>
          </cell>
        </row>
        <row r="289">
          <cell r="A289">
            <v>820012</v>
          </cell>
          <cell r="B289">
            <v>39141</v>
          </cell>
          <cell r="C289" t="str">
            <v>AJE-02</v>
          </cell>
          <cell r="D289" t="str">
            <v>Totoku Electric Co. Ltd</v>
          </cell>
          <cell r="E289" t="str">
            <v>Foreign Exchange Loss</v>
          </cell>
          <cell r="F289">
            <v>210063</v>
          </cell>
          <cell r="J289">
            <v>65750000</v>
          </cell>
          <cell r="K289" t="str">
            <v>forex</v>
          </cell>
        </row>
        <row r="291">
          <cell r="D291" t="str">
            <v>AUDIT JOURNAL</v>
          </cell>
        </row>
        <row r="292">
          <cell r="A292">
            <v>210021</v>
          </cell>
          <cell r="B292">
            <v>39082</v>
          </cell>
          <cell r="C292" t="str">
            <v>AUDJ-001</v>
          </cell>
          <cell r="D292" t="str">
            <v>Retirement Allowance Reservation Cost (F)</v>
          </cell>
          <cell r="E292" t="str">
            <v>Provision for Retirement Allowance</v>
          </cell>
          <cell r="F292">
            <v>310022</v>
          </cell>
          <cell r="G292">
            <v>4001.72</v>
          </cell>
          <cell r="H292">
            <v>36095514</v>
          </cell>
          <cell r="K292">
            <v>9020</v>
          </cell>
        </row>
        <row r="293">
          <cell r="A293">
            <v>210021</v>
          </cell>
          <cell r="B293">
            <v>39082</v>
          </cell>
          <cell r="C293" t="str">
            <v>AUDJ-001</v>
          </cell>
          <cell r="D293" t="str">
            <v>Retirement Allowance Reservation Cost (L)</v>
          </cell>
          <cell r="E293" t="str">
            <v>Provision for Retirement Allowance</v>
          </cell>
          <cell r="F293">
            <v>310022</v>
          </cell>
          <cell r="G293">
            <v>1850.25</v>
          </cell>
          <cell r="H293">
            <v>16689255</v>
          </cell>
          <cell r="K293">
            <v>9020</v>
          </cell>
        </row>
        <row r="294">
          <cell r="A294">
            <v>210021</v>
          </cell>
          <cell r="B294">
            <v>39082</v>
          </cell>
          <cell r="C294" t="str">
            <v>AUDJ-001</v>
          </cell>
          <cell r="D294" t="str">
            <v>Retirement Allowance Reservation Cost (G)</v>
          </cell>
          <cell r="E294" t="str">
            <v>Provision for Retirement Allowance</v>
          </cell>
          <cell r="F294">
            <v>310022</v>
          </cell>
          <cell r="G294">
            <v>2753.87</v>
          </cell>
          <cell r="H294">
            <v>24839907</v>
          </cell>
          <cell r="K294">
            <v>9020</v>
          </cell>
        </row>
        <row r="295">
          <cell r="A295">
            <v>310022</v>
          </cell>
          <cell r="B295">
            <v>39082</v>
          </cell>
          <cell r="C295" t="str">
            <v>AUDJ-001</v>
          </cell>
          <cell r="D295" t="str">
            <v>Provision for Retirement Allowance</v>
          </cell>
          <cell r="E295" t="str">
            <v>Retirement Allowance Reservation Cost (F)</v>
          </cell>
          <cell r="F295">
            <v>210021</v>
          </cell>
          <cell r="I295">
            <v>4001.72</v>
          </cell>
          <cell r="J295">
            <v>36095514</v>
          </cell>
          <cell r="K295">
            <v>9020</v>
          </cell>
        </row>
        <row r="296">
          <cell r="A296">
            <v>310022</v>
          </cell>
          <cell r="B296">
            <v>39082</v>
          </cell>
          <cell r="C296" t="str">
            <v>AUDJ-001</v>
          </cell>
          <cell r="D296" t="str">
            <v>Provision for Retirement Allowance</v>
          </cell>
          <cell r="E296" t="str">
            <v>Retirement Allowance Reservation Cost (L)</v>
          </cell>
          <cell r="F296">
            <v>210021</v>
          </cell>
          <cell r="I296">
            <v>1850.25</v>
          </cell>
          <cell r="J296">
            <v>16689255</v>
          </cell>
          <cell r="K296">
            <v>9020</v>
          </cell>
        </row>
        <row r="297">
          <cell r="A297">
            <v>310022</v>
          </cell>
          <cell r="B297">
            <v>39082</v>
          </cell>
          <cell r="C297" t="str">
            <v>AUDJ-001</v>
          </cell>
          <cell r="D297" t="str">
            <v>Provision for Retirement Allowance</v>
          </cell>
          <cell r="E297" t="str">
            <v>Retirement Allowance Reservation Cost (G)</v>
          </cell>
          <cell r="F297">
            <v>210021</v>
          </cell>
          <cell r="I297">
            <v>2753.87</v>
          </cell>
          <cell r="J297">
            <v>24839907</v>
          </cell>
          <cell r="K297">
            <v>9020</v>
          </cell>
        </row>
        <row r="299">
          <cell r="A299">
            <v>210021</v>
          </cell>
          <cell r="B299">
            <v>39082</v>
          </cell>
          <cell r="C299" t="str">
            <v>AUDJ-002</v>
          </cell>
          <cell r="D299" t="str">
            <v>Foreign Exchange Loss</v>
          </cell>
          <cell r="E299" t="str">
            <v>Provision for Retirement Allowance</v>
          </cell>
          <cell r="F299">
            <v>310022</v>
          </cell>
          <cell r="G299">
            <v>3114.16</v>
          </cell>
          <cell r="H299">
            <v>28089723</v>
          </cell>
          <cell r="K299">
            <v>9020</v>
          </cell>
        </row>
        <row r="300">
          <cell r="A300">
            <v>310022</v>
          </cell>
          <cell r="B300">
            <v>39082</v>
          </cell>
          <cell r="C300" t="str">
            <v>AUDJ-002</v>
          </cell>
          <cell r="D300" t="str">
            <v>Provision for Retirement Allowance</v>
          </cell>
          <cell r="E300" t="str">
            <v>Foreign Exchange Loss</v>
          </cell>
          <cell r="F300">
            <v>210021</v>
          </cell>
          <cell r="I300">
            <v>3114.16</v>
          </cell>
          <cell r="J300">
            <v>28089723</v>
          </cell>
          <cell r="K300">
            <v>9020</v>
          </cell>
        </row>
        <row r="302">
          <cell r="A302">
            <v>0</v>
          </cell>
          <cell r="B302">
            <v>39082</v>
          </cell>
          <cell r="C302" t="str">
            <v>AUDJ-002</v>
          </cell>
          <cell r="D302" t="str">
            <v>Foreign Exchange Loss</v>
          </cell>
          <cell r="E302" t="str">
            <v xml:space="preserve">Tax Allowance Expense (G) </v>
          </cell>
          <cell r="G302">
            <v>221.73</v>
          </cell>
          <cell r="H302">
            <v>2000000</v>
          </cell>
          <cell r="K302">
            <v>9019.9792540477156</v>
          </cell>
        </row>
        <row r="303">
          <cell r="A303">
            <v>0</v>
          </cell>
          <cell r="B303">
            <v>39082</v>
          </cell>
          <cell r="C303" t="str">
            <v>AUDJ-002</v>
          </cell>
          <cell r="D303" t="str">
            <v xml:space="preserve">Tax Allowance Expense (G) </v>
          </cell>
          <cell r="E303" t="str">
            <v>Foreign Exchange Loss</v>
          </cell>
          <cell r="I303">
            <v>221.73</v>
          </cell>
          <cell r="J303">
            <v>2000000</v>
          </cell>
          <cell r="K303">
            <v>9019.9792540477156</v>
          </cell>
        </row>
        <row r="305">
          <cell r="A305">
            <v>210063</v>
          </cell>
          <cell r="B305">
            <v>39082</v>
          </cell>
          <cell r="C305" t="str">
            <v>AUDJ-003</v>
          </cell>
          <cell r="D305" t="str">
            <v>Long Term Loans - Totoku Electric Co. Ltd</v>
          </cell>
          <cell r="E305" t="str">
            <v>Totoku Electric Co. Ltd</v>
          </cell>
          <cell r="F305">
            <v>210071</v>
          </cell>
          <cell r="G305">
            <v>550000</v>
          </cell>
          <cell r="H305">
            <v>4961000000</v>
          </cell>
          <cell r="K305">
            <v>9020</v>
          </cell>
        </row>
        <row r="306">
          <cell r="A306">
            <v>210071</v>
          </cell>
          <cell r="B306">
            <v>39082</v>
          </cell>
          <cell r="C306" t="str">
            <v>AUDJ-003</v>
          </cell>
          <cell r="D306" t="str">
            <v>Totoku Electric Co. Ltd</v>
          </cell>
          <cell r="E306" t="str">
            <v>Long Term Loans - Totoku Electric Co. Ltd</v>
          </cell>
          <cell r="F306">
            <v>210063</v>
          </cell>
          <cell r="I306">
            <v>550000</v>
          </cell>
          <cell r="J306">
            <v>4961000000</v>
          </cell>
          <cell r="K306">
            <v>9020</v>
          </cell>
        </row>
        <row r="308">
          <cell r="A308" t="str">
            <v>120022-2</v>
          </cell>
          <cell r="B308">
            <v>39082</v>
          </cell>
          <cell r="C308" t="str">
            <v>AUDJ-004</v>
          </cell>
          <cell r="D308" t="str">
            <v>Acc. -  Machinery</v>
          </cell>
          <cell r="E308" t="str">
            <v>Acc. -  Machinery (F)</v>
          </cell>
          <cell r="F308">
            <v>120022</v>
          </cell>
          <cell r="G308">
            <v>172417.63</v>
          </cell>
          <cell r="H308">
            <v>1582210173</v>
          </cell>
          <cell r="K308">
            <v>9176.6147870145287</v>
          </cell>
        </row>
        <row r="309">
          <cell r="A309">
            <v>120022</v>
          </cell>
          <cell r="B309">
            <v>39082</v>
          </cell>
          <cell r="C309" t="str">
            <v>AUDJ-004</v>
          </cell>
          <cell r="D309" t="str">
            <v>Acc. -  Machinery (F)</v>
          </cell>
          <cell r="E309" t="str">
            <v>Acc. -  Machinery</v>
          </cell>
          <cell r="F309" t="str">
            <v>120022-2</v>
          </cell>
          <cell r="I309">
            <v>172417.63</v>
          </cell>
          <cell r="J309">
            <v>1582210173</v>
          </cell>
          <cell r="K309">
            <v>9176.6147870145287</v>
          </cell>
        </row>
        <row r="311">
          <cell r="A311">
            <v>0</v>
          </cell>
          <cell r="B311">
            <v>39082</v>
          </cell>
          <cell r="C311" t="str">
            <v>AUDJ-005</v>
          </cell>
          <cell r="D311" t="str">
            <v>Accrued Expense - Interco</v>
          </cell>
          <cell r="E311" t="str">
            <v>Accrued Expense - Third</v>
          </cell>
        </row>
        <row r="312">
          <cell r="A312">
            <v>0</v>
          </cell>
          <cell r="B312">
            <v>39082</v>
          </cell>
          <cell r="C312" t="str">
            <v>AUDJ-005</v>
          </cell>
          <cell r="D312" t="str">
            <v>Accrued Expense - Third</v>
          </cell>
          <cell r="E312" t="str">
            <v>Accrued Expense - Interco</v>
          </cell>
          <cell r="I312">
            <v>0</v>
          </cell>
        </row>
        <row r="314">
          <cell r="A314">
            <v>0</v>
          </cell>
          <cell r="B314">
            <v>39082</v>
          </cell>
          <cell r="C314" t="str">
            <v>AUDJ-006</v>
          </cell>
          <cell r="D314" t="str">
            <v>Other Income</v>
          </cell>
          <cell r="E314" t="str">
            <v>Other Income (Sales Scrap)</v>
          </cell>
          <cell r="G314">
            <v>4035.88</v>
          </cell>
          <cell r="H314">
            <v>36817350</v>
          </cell>
          <cell r="K314">
            <v>9122.5085978770421</v>
          </cell>
        </row>
        <row r="315">
          <cell r="A315">
            <v>0</v>
          </cell>
          <cell r="B315">
            <v>39082</v>
          </cell>
          <cell r="C315" t="str">
            <v>AUDJ-006</v>
          </cell>
          <cell r="D315" t="str">
            <v>Other Income (Sales Scrap)</v>
          </cell>
          <cell r="E315" t="str">
            <v>Other Income</v>
          </cell>
          <cell r="I315">
            <v>4035.88</v>
          </cell>
          <cell r="J315">
            <v>36817350</v>
          </cell>
          <cell r="K315">
            <v>9122.5085978770421</v>
          </cell>
        </row>
        <row r="317">
          <cell r="A317">
            <v>310022</v>
          </cell>
          <cell r="B317">
            <v>39082</v>
          </cell>
          <cell r="C317" t="str">
            <v>AUDJ-007</v>
          </cell>
          <cell r="D317" t="str">
            <v>Deferred Tax Assets</v>
          </cell>
          <cell r="E317" t="str">
            <v>Deffered Tax Income (Expense)</v>
          </cell>
          <cell r="F317">
            <v>260000</v>
          </cell>
          <cell r="G317">
            <v>14236.33</v>
          </cell>
          <cell r="H317">
            <v>128411697</v>
          </cell>
          <cell r="K317">
            <v>9020</v>
          </cell>
        </row>
        <row r="318">
          <cell r="A318">
            <v>260000</v>
          </cell>
          <cell r="B318">
            <v>39082</v>
          </cell>
          <cell r="C318" t="str">
            <v>AUDJ-007</v>
          </cell>
          <cell r="D318" t="str">
            <v>Deffered Tax Income (Expense)</v>
          </cell>
          <cell r="E318" t="str">
            <v>Deferred Tax Assets</v>
          </cell>
          <cell r="F318">
            <v>310022</v>
          </cell>
          <cell r="I318">
            <v>14236.33</v>
          </cell>
          <cell r="J318">
            <v>128411697</v>
          </cell>
          <cell r="K318">
            <v>9020</v>
          </cell>
        </row>
        <row r="390">
          <cell r="G390">
            <v>1302541.5</v>
          </cell>
          <cell r="H390">
            <v>12088890152</v>
          </cell>
          <cell r="I390">
            <v>1302541.5</v>
          </cell>
          <cell r="J390">
            <v>12088890152</v>
          </cell>
        </row>
      </sheetData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ENDIX"/>
      <sheetName val="CASH FLOW"/>
      <sheetName val="CASH OUT DETAIL"/>
      <sheetName val="P_LOSS"/>
      <sheetName val="SLS_BGT"/>
      <sheetName val="SALES&amp;COGS CALC"/>
      <sheetName val="KWH OF COMP USED"/>
      <sheetName val="COST OF COMP USED"/>
      <sheetName val="DM-DL KWH"/>
      <sheetName val="TOTAL KWH"/>
      <sheetName val="INVENTORY"/>
      <sheetName val="RM USE"/>
      <sheetName val="COMB OH"/>
      <sheetName val="OH (380 PPD)"/>
      <sheetName val="OH (212 ELEC)"/>
      <sheetName val="OH-DEPT"/>
      <sheetName val="COST CALC (+Electric)"/>
      <sheetName val="------"/>
      <sheetName val="COST CALC (-Electric)"/>
      <sheetName val="JURNAL"/>
      <sheetName val="JURNAL (Month)"/>
      <sheetName val="ALL-EED"/>
      <sheetName val="BT99PPD"/>
      <sheetName val="#REF"/>
      <sheetName val="_REF"/>
      <sheetName val="Sheet3"/>
      <sheetName val="Workshop Tools"/>
      <sheetName val="Notes 08"/>
      <sheetName val="gvl"/>
      <sheetName val="NS"/>
      <sheetName val="Links"/>
      <sheetName val="CASH_FLOW"/>
      <sheetName val="CASH_OUT_DETAIL"/>
      <sheetName val="SALES&amp;COGS_CALC"/>
      <sheetName val="KWH_OF_COMP_USED"/>
      <sheetName val="COST_OF_COMP_USED"/>
      <sheetName val="DM-DL_KWH"/>
      <sheetName val="TOTAL_KWH"/>
      <sheetName val="RM_USE"/>
      <sheetName val="COMB_OH"/>
      <sheetName val="OH_(380_PPD)"/>
      <sheetName val="OH_(212_ELEC)"/>
      <sheetName val="COST_CALC_(+Electric)"/>
      <sheetName val="COST_CALC_(-Electric)"/>
      <sheetName val="JURNAL_(Month)"/>
      <sheetName val="CASH_FLOW1"/>
      <sheetName val="CASH_OUT_DETAIL1"/>
      <sheetName val="SALES&amp;COGS_CALC1"/>
      <sheetName val="KWH_OF_COMP_USED1"/>
      <sheetName val="COST_OF_COMP_USED1"/>
      <sheetName val="DM-DL_KWH1"/>
      <sheetName val="TOTAL_KWH1"/>
      <sheetName val="RM_USE1"/>
      <sheetName val="COMB_OH1"/>
      <sheetName val="OH_(380_PPD)1"/>
      <sheetName val="OH_(212_ELEC)1"/>
      <sheetName val="COST_CALC_(+Electric)1"/>
      <sheetName val="COST_CALC_(-Electric)1"/>
      <sheetName val="JURNAL_(Month)1"/>
      <sheetName val="Instructions"/>
      <sheetName val="CASH_FLOW2"/>
      <sheetName val="CASH_OUT_DETAIL2"/>
      <sheetName val="SALES&amp;COGS_CALC2"/>
      <sheetName val="KWH_OF_COMP_USED2"/>
      <sheetName val="COST_OF_COMP_USED2"/>
      <sheetName val="DM-DL_KWH2"/>
      <sheetName val="TOTAL_KWH2"/>
      <sheetName val="RM_USE2"/>
      <sheetName val="COMB_OH2"/>
      <sheetName val="OH_(380_PPD)2"/>
      <sheetName val="OH_(212_ELEC)2"/>
      <sheetName val="COST_CALC_(+Electric)2"/>
      <sheetName val="COST_CALC_(-Electric)2"/>
      <sheetName val="JURNAL_(Month)2"/>
      <sheetName val="BK WHS SUMMARY"/>
      <sheetName val="Notes_08"/>
      <sheetName val="Workshop_Tools"/>
      <sheetName val="CODE"/>
      <sheetName val="CASH_FLOW3"/>
      <sheetName val="CASH_OUT_DETAIL3"/>
      <sheetName val="SALES&amp;COGS_CALC3"/>
      <sheetName val="KWH_OF_COMP_USED3"/>
      <sheetName val="COST_OF_COMP_USED3"/>
      <sheetName val="DM-DL_KWH3"/>
      <sheetName val="TOTAL_KWH3"/>
      <sheetName val="RM_USE3"/>
      <sheetName val="COMB_OH3"/>
      <sheetName val="OH_(380_PPD)3"/>
      <sheetName val="OH_(212_ELEC)3"/>
      <sheetName val="COST_CALC_(+Electric)3"/>
      <sheetName val="COST_CALC_(-Electric)3"/>
      <sheetName val="JURNAL_(Month)3"/>
      <sheetName val="CASH_FLOW4"/>
      <sheetName val="CASH_OUT_DETAIL4"/>
      <sheetName val="SALES&amp;COGS_CALC4"/>
      <sheetName val="KWH_OF_COMP_USED4"/>
      <sheetName val="COST_OF_COMP_USED4"/>
      <sheetName val="DM-DL_KWH4"/>
      <sheetName val="TOTAL_KWH4"/>
      <sheetName val="RM_USE4"/>
      <sheetName val="COMB_OH4"/>
      <sheetName val="OH_(380_PPD)4"/>
      <sheetName val="OH_(212_ELEC)4"/>
      <sheetName val="COST_CALC_(+Electric)4"/>
      <sheetName val="COST_CALC_(-Electric)4"/>
      <sheetName val="JURNAL_(Month)4"/>
      <sheetName val="Notes_081"/>
      <sheetName val="Workshop_Tools1"/>
      <sheetName val="CASH_FLOW5"/>
      <sheetName val="CASH_OUT_DETAIL5"/>
      <sheetName val="SALES&amp;COGS_CALC5"/>
      <sheetName val="KWH_OF_COMP_USED5"/>
      <sheetName val="COST_OF_COMP_USED5"/>
      <sheetName val="DM-DL_KWH5"/>
      <sheetName val="TOTAL_KWH5"/>
      <sheetName val="RM_USE5"/>
      <sheetName val="COMB_OH5"/>
      <sheetName val="OH_(380_PPD)5"/>
      <sheetName val="OH_(212_ELEC)5"/>
      <sheetName val="COST_CALC_(+Electric)5"/>
      <sheetName val="COST_CALC_(-Electric)5"/>
      <sheetName val="JURNAL_(Month)5"/>
      <sheetName val="Notes_082"/>
      <sheetName val="Workshop_Tools2"/>
      <sheetName val="CASH_FLOW6"/>
      <sheetName val="CASH_OUT_DETAIL6"/>
      <sheetName val="SALES&amp;COGS_CALC6"/>
      <sheetName val="KWH_OF_COMP_USED6"/>
      <sheetName val="COST_OF_COMP_USED6"/>
      <sheetName val="DM-DL_KWH6"/>
      <sheetName val="TOTAL_KWH6"/>
      <sheetName val="RM_USE6"/>
      <sheetName val="COMB_OH6"/>
      <sheetName val="OH_(380_PPD)6"/>
      <sheetName val="OH_(212_ELEC)6"/>
      <sheetName val="COST_CALC_(+Electric)6"/>
      <sheetName val="COST_CALC_(-Electric)6"/>
      <sheetName val="JURNAL_(Month)6"/>
      <sheetName val="Notes_083"/>
      <sheetName val="Workshop_Tools3"/>
      <sheetName val="CASH_FLOW7"/>
      <sheetName val="CASH_OUT_DETAIL7"/>
      <sheetName val="SALES&amp;COGS_CALC7"/>
      <sheetName val="KWH_OF_COMP_USED7"/>
      <sheetName val="COST_OF_COMP_USED7"/>
      <sheetName val="DM-DL_KWH7"/>
      <sheetName val="TOTAL_KWH7"/>
      <sheetName val="RM_USE7"/>
      <sheetName val="COMB_OH7"/>
      <sheetName val="OH_(380_PPD)7"/>
      <sheetName val="OH_(212_ELEC)7"/>
      <sheetName val="COST_CALC_(+Electric)7"/>
      <sheetName val="COST_CALC_(-Electric)7"/>
      <sheetName val="JURNAL_(Month)7"/>
      <sheetName val="Notes_084"/>
      <sheetName val="Workshop_Tools4"/>
      <sheetName val="CASH_FLOW8"/>
      <sheetName val="CASH_OUT_DETAIL8"/>
      <sheetName val="SALES&amp;COGS_CALC8"/>
      <sheetName val="KWH_OF_COMP_USED8"/>
      <sheetName val="COST_OF_COMP_USED8"/>
      <sheetName val="DM-DL_KWH8"/>
      <sheetName val="TOTAL_KWH8"/>
      <sheetName val="RM_USE8"/>
      <sheetName val="COMB_OH8"/>
      <sheetName val="OH_(380_PPD)8"/>
      <sheetName val="OH_(212_ELEC)8"/>
      <sheetName val="COST_CALC_(+Electric)8"/>
      <sheetName val="COST_CALC_(-Electric)8"/>
      <sheetName val="JURNAL_(Month)8"/>
      <sheetName val="Notes_085"/>
      <sheetName val="Workshop_Tools5"/>
      <sheetName val="CASH_FLOW9"/>
      <sheetName val="CASH_OUT_DETAIL9"/>
      <sheetName val="SALES&amp;COGS_CALC9"/>
      <sheetName val="KWH_OF_COMP_USED9"/>
      <sheetName val="COST_OF_COMP_USED9"/>
      <sheetName val="DM-DL_KWH9"/>
      <sheetName val="TOTAL_KWH9"/>
      <sheetName val="RM_USE9"/>
      <sheetName val="COMB_OH9"/>
      <sheetName val="OH_(380_PPD)9"/>
      <sheetName val="OH_(212_ELEC)9"/>
      <sheetName val="COST_CALC_(+Electric)9"/>
      <sheetName val="COST_CALC_(-Electric)9"/>
      <sheetName val="JURNAL_(Month)9"/>
      <sheetName val="Notes_086"/>
      <sheetName val="Workshop_Tools6"/>
      <sheetName val="CASH_FLOW10"/>
      <sheetName val="CASH_OUT_DETAIL10"/>
      <sheetName val="SALES&amp;COGS_CALC10"/>
      <sheetName val="KWH_OF_COMP_USED10"/>
      <sheetName val="COST_OF_COMP_USED10"/>
      <sheetName val="DM-DL_KWH10"/>
      <sheetName val="TOTAL_KWH10"/>
      <sheetName val="RM_USE10"/>
      <sheetName val="COMB_OH10"/>
      <sheetName val="OH_(380_PPD)10"/>
      <sheetName val="OH_(212_ELEC)10"/>
      <sheetName val="COST_CALC_(+Electric)10"/>
      <sheetName val="COST_CALC_(-Electric)10"/>
      <sheetName val="JURNAL_(Month)10"/>
      <sheetName val="Notes_087"/>
      <sheetName val="Workshop_Tools7"/>
      <sheetName val="CASH_FLOW11"/>
      <sheetName val="CASH_OUT_DETAIL11"/>
      <sheetName val="SALES&amp;COGS_CALC11"/>
      <sheetName val="KWH_OF_COMP_USED11"/>
      <sheetName val="COST_OF_COMP_USED11"/>
      <sheetName val="DM-DL_KWH11"/>
      <sheetName val="TOTAL_KWH11"/>
      <sheetName val="RM_USE11"/>
      <sheetName val="COMB_OH11"/>
      <sheetName val="OH_(380_PPD)11"/>
      <sheetName val="OH_(212_ELEC)11"/>
      <sheetName val="COST_CALC_(+Electric)11"/>
      <sheetName val="COST_CALC_(-Electric)11"/>
      <sheetName val="JURNAL_(Month)11"/>
      <sheetName val="Notes_088"/>
      <sheetName val="Workshop_Tools8"/>
      <sheetName val="adj"/>
      <sheetName val="tarif"/>
      <sheetName val="Data Sheet"/>
      <sheetName val="FX Rates"/>
      <sheetName val="A"/>
      <sheetName val="PL (MONTHLY)"/>
      <sheetName val="Tran0104"/>
      <sheetName val="Untprc"/>
      <sheetName val="Customer"/>
      <sheetName val="Sheet1"/>
      <sheetName val="orderpakan"/>
      <sheetName val="Introduction"/>
      <sheetName val="NR _ MTM"/>
      <sheetName val="NR - MTM"/>
      <sheetName val="Calcs"/>
      <sheetName val="General Data"/>
      <sheetName val="Main"/>
      <sheetName val="Print Format"/>
      <sheetName val="Ex_Rate"/>
      <sheetName val="Parameters"/>
      <sheetName val="Assump"/>
      <sheetName val="Control"/>
      <sheetName val="PARAMETER"/>
      <sheetName val="Organization Chart"/>
      <sheetName val="Cust"/>
      <sheetName val="SILICATE"/>
      <sheetName val="rekap"/>
      <sheetName val="ASSUM-COMB-Prop"/>
      <sheetName val="Amdal"/>
      <sheetName val="KODEP"/>
      <sheetName val="#REF!"/>
      <sheetName val="TRBP"/>
      <sheetName val="Tariptunda"/>
      <sheetName val="CF"/>
      <sheetName val="Marshal"/>
      <sheetName val="Index"/>
      <sheetName val="Data"/>
      <sheetName val="cuscode"/>
      <sheetName val="72_04_01"/>
      <sheetName val="72_04_07"/>
      <sheetName val="72_04_82"/>
      <sheetName val="Form B_2 31"/>
      <sheetName val="kode SAP-new"/>
      <sheetName val="KBB-CIB BANK"/>
      <sheetName val="blok 03"/>
      <sheetName val="HARVEST02"/>
      <sheetName val="Assumption"/>
      <sheetName val="APR"/>
      <sheetName val="FEB"/>
      <sheetName val="aju_tr"/>
      <sheetName val="Form A_2"/>
      <sheetName val="INP-FARMER USE"/>
      <sheetName val="Combined Controller"/>
      <sheetName val="PROD.FRY-MONODON"/>
      <sheetName val="PL_(MONTHLY)"/>
      <sheetName val="Form_B_2_31"/>
      <sheetName val="kode_SAP-new"/>
      <sheetName val="KBB-CIB_BANK"/>
      <sheetName val="blok_03"/>
      <sheetName val="Data_Sheet"/>
      <sheetName val="Form_A_2"/>
      <sheetName val="INP-FARMER_USE"/>
      <sheetName val="Combined_Controller"/>
      <sheetName val="PL_(MONTHLY)2"/>
      <sheetName val="Form_B_2_312"/>
      <sheetName val="kode_SAP-new2"/>
      <sheetName val="KBB-CIB_BANK2"/>
      <sheetName val="blok_032"/>
      <sheetName val="Data_Sheet2"/>
      <sheetName val="Form_A_22"/>
      <sheetName val="INP-FARMER_USE2"/>
      <sheetName val="Combined_Controller2"/>
      <sheetName val="PL_(MONTHLY)1"/>
      <sheetName val="Form_B_2_311"/>
      <sheetName val="kode_SAP-new1"/>
      <sheetName val="KBB-CIB_BANK1"/>
      <sheetName val="blok_031"/>
      <sheetName val="Data_Sheet1"/>
      <sheetName val="Form_A_21"/>
      <sheetName val="INP-FARMER_USE1"/>
      <sheetName val="Combined_Controller1"/>
      <sheetName val="Capex"/>
      <sheetName val="A-ars"/>
      <sheetName val="table"/>
      <sheetName val="ING Basis"/>
      <sheetName val="General Info"/>
      <sheetName val="FX_Rates"/>
      <sheetName val="A-Material__value_"/>
      <sheetName val="Summary"/>
      <sheetName val="shipping_program"/>
      <sheetName val="Profile"/>
      <sheetName val="COSTSALES"/>
      <sheetName val="Coding"/>
      <sheetName val="Cut Mat"/>
      <sheetName val="Sales"/>
      <sheetName val="Sales Plan"/>
      <sheetName val="OTA"/>
      <sheetName val="Kode"/>
      <sheetName val="PL_(MONTHLY)3"/>
      <sheetName val="Form_B_2_313"/>
      <sheetName val="kode_SAP-new3"/>
      <sheetName val="KBB-CIB_BANK3"/>
      <sheetName val="blok_033"/>
      <sheetName val="Data_Sheet3"/>
      <sheetName val="Form_A_23"/>
      <sheetName val="INP-FARMER_USE3"/>
      <sheetName val="Combined_Controller3"/>
      <sheetName val="PROD_FRY-MONODON"/>
      <sheetName val="KBB_CIB BANK"/>
      <sheetName val="Size Variasi"/>
      <sheetName val="cek"/>
      <sheetName val="CSD"/>
      <sheetName val="P&amp;L"/>
      <sheetName val="Listing"/>
      <sheetName val="CASH_FLOW12"/>
      <sheetName val="CASH_OUT_DETAIL12"/>
      <sheetName val="SALES&amp;COGS_CALC12"/>
      <sheetName val="KWH_OF_COMP_USED12"/>
      <sheetName val="COST_OF_COMP_USED12"/>
      <sheetName val="DM-DL_KWH12"/>
      <sheetName val="TOTAL_KWH12"/>
      <sheetName val="RM_USE12"/>
      <sheetName val="COMB_OH12"/>
      <sheetName val="OH_(380_PPD)12"/>
      <sheetName val="OH_(212_ELEC)12"/>
      <sheetName val="COST_CALC_(+Electric)12"/>
      <sheetName val="COST_CALC_(-Electric)12"/>
      <sheetName val="JURNAL_(Month)12"/>
      <sheetName val="Notes_089"/>
      <sheetName val="Workshop_Tools9"/>
      <sheetName val="CASH_FLOW13"/>
      <sheetName val="CASH_OUT_DETAIL13"/>
      <sheetName val="SALES&amp;COGS_CALC13"/>
      <sheetName val="KWH_OF_COMP_USED13"/>
      <sheetName val="COST_OF_COMP_USED13"/>
      <sheetName val="DM-DL_KWH13"/>
      <sheetName val="TOTAL_KWH13"/>
      <sheetName val="RM_USE13"/>
      <sheetName val="COMB_OH13"/>
      <sheetName val="OH_(380_PPD)13"/>
      <sheetName val="OH_(212_ELEC)13"/>
      <sheetName val="COST_CALC_(+Electric)13"/>
      <sheetName val="COST_CALC_(-Electric)13"/>
      <sheetName val="JURNAL_(Month)13"/>
      <sheetName val="Notes_0810"/>
      <sheetName val="Workshop_Tools10"/>
      <sheetName val="Customers"/>
      <sheetName val="Rates"/>
      <sheetName val="Income Statement"/>
      <sheetName val="FINALPHP"/>
      <sheetName val="Param"/>
      <sheetName val="Control Sheet"/>
      <sheetName val="Lease"/>
      <sheetName val="SUPPORT"/>
      <sheetName val="Customize Your Loan Manager"/>
      <sheetName val="Loan Amortization Table"/>
      <sheetName val="HOME"/>
      <sheetName val="Text File"/>
      <sheetName val="CD JUAL"/>
      <sheetName val="AUG02"/>
      <sheetName val="COA"/>
      <sheetName val="Currency Rates"/>
      <sheetName val="Country Totals"/>
      <sheetName val="NH &amp; NHP Spes."/>
      <sheetName val="daftar"/>
      <sheetName val="List Data"/>
      <sheetName val="F1771"/>
      <sheetName val="0220"/>
      <sheetName val="REF-CRB"/>
      <sheetName val="Asset"/>
      <sheetName val="Curr_conv"/>
      <sheetName val="客戶清單customer list"/>
      <sheetName val="Permanent info"/>
      <sheetName val="FE-1770-I"/>
      <sheetName val="FE-1770.P1"/>
      <sheetName val="FE-1770-II"/>
      <sheetName val="LOOKUP"/>
      <sheetName val="Rincian"/>
      <sheetName val="EditInput"/>
      <sheetName val="Rollfwd Final"/>
      <sheetName val="ptkp"/>
      <sheetName val="DV"/>
      <sheetName val="RvsC Table"/>
      <sheetName val="Data Countries"/>
      <sheetName val="Menu"/>
      <sheetName val="Komputer"/>
      <sheetName val="①　BP vs SPR (TTL Impact)"/>
      <sheetName val="Sheet8"/>
      <sheetName val="Ex-Rate"/>
      <sheetName val="Currency-Total"/>
      <sheetName val="Fin High"/>
      <sheetName val="GSDC"/>
      <sheetName val="SDE"/>
      <sheetName val="BLE"/>
      <sheetName val="BLF"/>
      <sheetName val="Price"/>
      <sheetName val="WACC (LB_Y)"/>
      <sheetName val="Bal Sheet"/>
      <sheetName val="F2"/>
      <sheetName val="PPh 22"/>
      <sheetName val="Ratio Budget"/>
      <sheetName val="TGR"/>
      <sheetName val="Elim CKR"/>
      <sheetName val="CKR"/>
      <sheetName val="Summary of B_P"/>
      <sheetName val="Okt"/>
      <sheetName val="Quantity"/>
      <sheetName val="TB"/>
      <sheetName val="Account Code"/>
      <sheetName val="5"/>
      <sheetName val="DB"/>
      <sheetName val="ocean voyage"/>
      <sheetName val="BKKAS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Mutation"/>
      <sheetName val="Input"/>
      <sheetName val="co_data"/>
      <sheetName val="Index - details"/>
      <sheetName val="DataItems"/>
      <sheetName val="Reference"/>
      <sheetName val="CPABSS"/>
      <sheetName val="FCOC"/>
      <sheetName val="Pesanan"/>
      <sheetName val="Penjualan"/>
      <sheetName val="Difference Cons"/>
      <sheetName val="Proyek"/>
      <sheetName val="Jakarta Cikampek"/>
      <sheetName val="Rekap Piutang"/>
      <sheetName val="MasterMksAgst07"/>
      <sheetName val="BQMP"/>
      <sheetName val="KKP A.2.1"/>
      <sheetName val="CONSUMABLE"/>
      <sheetName val="CONTROL_ENVIRONMENT_FACTORS"/>
      <sheetName val="RISK_ASSESSMENT"/>
      <sheetName val="Customers-source"/>
      <sheetName val="Du_lieu"/>
      <sheetName val="Payback Analysis"/>
      <sheetName val="64_6"/>
      <sheetName val="37"/>
      <sheetName val="36_1"/>
      <sheetName val="3 - Balance Sheet"/>
      <sheetName val="5 - Cash Flow"/>
      <sheetName val="2-(2) Gangguan Peralatan (1)"/>
      <sheetName val="Program Triwulanan-04"/>
      <sheetName val="DPPN"/>
      <sheetName val="Tabel"/>
      <sheetName val="Cucian"/>
      <sheetName val="SC Pusat krd"/>
      <sheetName val="R"/>
      <sheetName val="Revenue 2006"/>
      <sheetName val="조립"/>
      <sheetName val="Cost_Center"/>
      <sheetName val="E.1 AR-Trade"/>
      <sheetName val="Lookup Tables"/>
      <sheetName val="Data Pendukung WCG (2)"/>
      <sheetName val="Daftar Harga"/>
      <sheetName val=" YIELD PM WCG4 W51"/>
      <sheetName val="Yield PM "/>
      <sheetName val="Bobot rev"/>
      <sheetName val="CustosPlano2002"/>
      <sheetName val="Plan 2003"/>
      <sheetName val="CustosRevisãoPlanoVersão1"/>
      <sheetName val="B28"/>
      <sheetName val="12"/>
      <sheetName val="2-asi-00"/>
      <sheetName val="Answer"/>
      <sheetName val="03 Detailed"/>
      <sheetName val="11b"/>
      <sheetName val="Beli1-7"/>
      <sheetName val="? BP vs SPR (TTL Impact)"/>
      <sheetName val="ALOKASI"/>
      <sheetName val="manager"/>
      <sheetName val="Assumptions"/>
      <sheetName val="Local PNL"/>
      <sheetName val="FF-6"/>
      <sheetName val="GeneralInfo"/>
      <sheetName val="Danamon LK"/>
      <sheetName val="FF-21(a)"/>
      <sheetName val="FO"/>
      <sheetName val="lam-ssp"/>
      <sheetName val="addl cost"/>
      <sheetName val="accumdeprn"/>
      <sheetName val="kki"/>
      <sheetName val="fin pro centers"/>
      <sheetName val="Ws Jul-2004"/>
      <sheetName val="1 LeadSchedule"/>
      <sheetName val="FACILITIES=&gt;"/>
      <sheetName val="DCF Inputs"/>
      <sheetName val="TB-DKI"/>
      <sheetName val="Kor-DKI"/>
      <sheetName val="SC Pusat BB303"/>
      <sheetName val="SC Pusat BB304"/>
      <sheetName val="Data Parameter"/>
      <sheetName val="Belmera"/>
      <sheetName val="Cawang Tomang Cengkareng"/>
      <sheetName val="Citarum"/>
      <sheetName val="Jagorawi"/>
      <sheetName val="Jakarta Merak"/>
      <sheetName val="Padalarang Cileunyi"/>
      <sheetName val="Palikanci"/>
      <sheetName val="Semarang"/>
      <sheetName val="Surabaya Gempol Mojokerto"/>
      <sheetName val="analisa"/>
      <sheetName val="divisi sarana"/>
      <sheetName val="pro ra op"/>
      <sheetName val="grafik"/>
      <sheetName val="MPP0102"/>
      <sheetName val="CustomerList"/>
      <sheetName val="Kunlun P&amp;L"/>
      <sheetName val="Company Info"/>
      <sheetName val="CA Comp"/>
      <sheetName val="Inputs"/>
      <sheetName val="BPR"/>
      <sheetName val="FF-2"/>
      <sheetName val="Building Your PAR"/>
      <sheetName val="Enter FSA Data"/>
      <sheetName val="List Area"/>
      <sheetName val="Calc"/>
      <sheetName val="LAP 035HO"/>
      <sheetName val="TABEL2"/>
      <sheetName val="Harga ME "/>
      <sheetName val="Currency Rate"/>
      <sheetName val="Accounts"/>
      <sheetName val="BBM-03"/>
      <sheetName val="3_-_Balance_Sheet"/>
      <sheetName val="5_-_Cash_Flow"/>
      <sheetName val="2-(2)_Gangguan_Peralatan_(1)"/>
      <sheetName val="Program_Triwulanan-04"/>
      <sheetName val="SC_Pusat_krd"/>
      <sheetName val="SC_Pusat_BB303"/>
      <sheetName val="SC_Pusat_BB304"/>
      <sheetName val="Data_Parameter"/>
      <sheetName val="Cawang_Tomang_Cengkareng"/>
      <sheetName val="Jakarta_Cikampek"/>
      <sheetName val="Jakarta_Merak"/>
      <sheetName val="Padalarang_Cileunyi"/>
      <sheetName val="Surabaya_Gempol_Mojokerto"/>
      <sheetName val="LAP_035HO"/>
      <sheetName val="Configuration"/>
      <sheetName val="BARGING"/>
      <sheetName val="CLOSING"/>
      <sheetName val="summ. crush"/>
      <sheetName val="GETTING"/>
      <sheetName val="Lists"/>
      <sheetName val="PAL 2012"/>
      <sheetName val="daya tarik loko"/>
      <sheetName val="data berat"/>
      <sheetName val="SC Pusat BB301"/>
      <sheetName val="DPro"/>
      <sheetName val="form-A7"/>
      <sheetName val="jpr"/>
      <sheetName val="PPN-M"/>
      <sheetName val="Cover"/>
      <sheetName val="Lain2"/>
      <sheetName val="Daf-Rek"/>
      <sheetName val="COMBINE"/>
      <sheetName val="metode "/>
      <sheetName val="CTIPricing"/>
      <sheetName val="SDAYA"/>
      <sheetName val="PriceList"/>
      <sheetName val="NLsimpro"/>
      <sheetName val="I2T2005"/>
      <sheetName val="Tanah 09"/>
      <sheetName val="kode Baru "/>
      <sheetName val="D.5"/>
      <sheetName val="Govt BI"/>
      <sheetName val="Projects"/>
      <sheetName val="LABEL"/>
      <sheetName val="NC-CM"/>
      <sheetName val="H.Satuan"/>
      <sheetName val="SITE-E"/>
      <sheetName val="ARP-U501"/>
      <sheetName val="BASE"/>
      <sheetName val="COYLIST"/>
      <sheetName val="PL_(MONTHLY)4"/>
      <sheetName val="Form_B_2_314"/>
      <sheetName val="kode_SAP-new4"/>
      <sheetName val="KBB-CIB_BANK4"/>
      <sheetName val="blok_034"/>
      <sheetName val="Data_Sheet4"/>
      <sheetName val="Form_A_24"/>
      <sheetName val="INP-FARMER_USE4"/>
      <sheetName val="Combined_Controller4"/>
      <sheetName val="PROD_FRY-MONODON1"/>
      <sheetName val="KBB_CIB_BANK"/>
      <sheetName val="Size_Variasi"/>
      <sheetName val="BK_WHS_SUMMARY"/>
      <sheetName val="revisiSTR-pondasi"/>
      <sheetName val="AQC"/>
      <sheetName val="Detail-AQC"/>
      <sheetName val="Invoice"/>
      <sheetName val="A-Expenses"/>
      <sheetName val="A-Equity"/>
      <sheetName val="M-Assumptions"/>
      <sheetName val="A-Debt"/>
      <sheetName val="A-Operations Cashflow"/>
      <sheetName val="A-Tax"/>
      <sheetName val="A-Revenues"/>
      <sheetName val="MRC1"/>
      <sheetName val="BS-RTI"/>
      <sheetName val="DB BDG"/>
      <sheetName val="Upload Roadmap100117"/>
      <sheetName val="Current IMP"/>
      <sheetName val="Benefit"/>
      <sheetName val="FRN"/>
      <sheetName val="Noodles (assumptions)"/>
      <sheetName val="Tanggapan"/>
      <sheetName val="DAFTAR ISI"/>
      <sheetName val="CASH_FLOW14"/>
      <sheetName val="CASH_OUT_DETAIL14"/>
      <sheetName val="SALES&amp;COGS_CALC14"/>
      <sheetName val="KWH_OF_COMP_USED14"/>
      <sheetName val="COST_OF_COMP_USED14"/>
      <sheetName val="DM-DL_KWH14"/>
      <sheetName val="TOTAL_KWH14"/>
      <sheetName val="RM_USE14"/>
      <sheetName val="COMB_OH14"/>
      <sheetName val="OH_(380_PPD)14"/>
      <sheetName val="OH_(212_ELEC)14"/>
      <sheetName val="COST_CALC_(+Electric)14"/>
      <sheetName val="COST_CALC_(-Electric)14"/>
      <sheetName val="JURNAL_(Month)14"/>
      <sheetName val="FX_Rates1"/>
      <sheetName val="3_-_Balance_Sheet1"/>
      <sheetName val="5_-_Cash_Flow1"/>
      <sheetName val="2-(2)_Gangguan_Peralatan_(1)1"/>
      <sheetName val="Program_Triwulanan-041"/>
      <sheetName val="SC_Pusat_krd1"/>
      <sheetName val="SC_Pusat_BB3031"/>
      <sheetName val="SC_Pusat_BB3041"/>
      <sheetName val="Data_Parameter1"/>
      <sheetName val="Cawang_Tomang_Cengkareng1"/>
      <sheetName val="Jakarta_Cikampek1"/>
      <sheetName val="Jakarta_Merak1"/>
      <sheetName val="Padalarang_Cileunyi1"/>
      <sheetName val="Surabaya_Gempol_Mojokerto1"/>
      <sheetName val="LAP_035HO1"/>
      <sheetName val="Workshop_Tools11"/>
      <sheetName val="Difference_Cons"/>
      <sheetName val="Local_PNL"/>
      <sheetName val="Harga_ME_"/>
      <sheetName val="Notes_0811"/>
      <sheetName val="Currency_Rate"/>
      <sheetName val="Income_Statement"/>
      <sheetName val="Payback_Analysis"/>
      <sheetName val="H_Satuan"/>
      <sheetName val="General_Data"/>
      <sheetName val="Print_Format"/>
      <sheetName val="ING_Basis"/>
      <sheetName val="Cut_Mat"/>
      <sheetName val="Sales_Plan"/>
      <sheetName val="General_Info"/>
      <sheetName val="KONS_BID_P&amp;N"/>
      <sheetName val="UP_II_DUMAI"/>
      <sheetName val="KP_DIT_HULU"/>
      <sheetName val="UP_VI_BALONGAN"/>
      <sheetName val="UP_1_BRANDAN"/>
      <sheetName val="UP_V_BALIKPAPAN"/>
      <sheetName val="DIT_HILIR"/>
      <sheetName val="UP_IV_CILACAP"/>
      <sheetName val="UP_III_PLAJU"/>
      <sheetName val="KONS_DIT_HULU"/>
      <sheetName val="KR_AMPEL"/>
      <sheetName val="UP_VII_KASIM"/>
      <sheetName val="KONS_BID_P"/>
      <sheetName val="igp08"/>
      <sheetName val="TJ1Q47"/>
      <sheetName val="struktur tdk dipakai"/>
      <sheetName val="PCA TOTAL"/>
      <sheetName val="akun"/>
      <sheetName val="2002"/>
      <sheetName val="AOP Summary-2"/>
      <sheetName val="Data Customer"/>
      <sheetName val="LK2004"/>
      <sheetName val="Resume"/>
      <sheetName val="Sudah Berjalan"/>
      <sheetName val="F-3"/>
      <sheetName val="AR Days-JHHP Group"/>
      <sheetName val="ACUAN"/>
      <sheetName val="CH"/>
      <sheetName val="data-hujan"/>
      <sheetName val="FRYPROD"/>
      <sheetName val="JURNAL_(Mon勨O닑⿐_x0005_"/>
      <sheetName val="MTO REV.2(ARMOR)"/>
      <sheetName val="Belakang"/>
      <sheetName val="JL_BEL"/>
      <sheetName val="DATA2"/>
      <sheetName val="HSBC-USD (Sell)"/>
      <sheetName val="HA STATEMENT PE1_REV1"/>
      <sheetName val="costing by deliote"/>
      <sheetName val="STKBB"/>
      <sheetName val="analis"/>
      <sheetName val="GD-BHN KEMASAN"/>
      <sheetName val="GD-BB Kt. A"/>
      <sheetName val="Sheet2"/>
      <sheetName val="simulation99"/>
      <sheetName val="DATA_PENJUALAN"/>
      <sheetName val="INQ"/>
      <sheetName val="% Lbr vs GP"/>
      <sheetName val="Deferred Rev"/>
      <sheetName val="Apr'07"/>
      <sheetName val="Drop down"/>
      <sheetName val="237"/>
      <sheetName val="Vehicle"/>
      <sheetName val="Building"/>
      <sheetName val="EUC"/>
      <sheetName val="Hutang"/>
      <sheetName val="total PB"/>
      <sheetName val="Usul Pnn"/>
      <sheetName val="PC_2"/>
      <sheetName val="tab"/>
      <sheetName val="Jenis"/>
      <sheetName val="OWP Farm"/>
      <sheetName val="Nm Brg"/>
      <sheetName val="PB(B)"/>
      <sheetName val="Dropdown Menu Maintenance"/>
      <sheetName val="Mat "/>
      <sheetName val="Personnel"/>
      <sheetName val="vol"/>
      <sheetName val="F-2"/>
      <sheetName val="賦課費比較"/>
      <sheetName val="G&amp;A"/>
      <sheetName val="N-UNTR"/>
      <sheetName val="N-ASII"/>
      <sheetName val="AUTO"/>
      <sheetName val="N-ISAT"/>
      <sheetName val="MEGA"/>
      <sheetName val="N-RALS"/>
      <sheetName val="BBCA"/>
      <sheetName val="BMTR"/>
      <sheetName val="N-GGRM"/>
      <sheetName val="N-HMSP"/>
      <sheetName val="N-INDF"/>
      <sheetName val="N-INKP"/>
      <sheetName val="AMFG"/>
      <sheetName val="ANTM-N"/>
      <sheetName val="BDMN"/>
      <sheetName val="N-BLTA"/>
      <sheetName val="BMTR-N"/>
      <sheetName val="BNGA"/>
      <sheetName val="BNGAN"/>
      <sheetName val="CPIN"/>
      <sheetName val="N-INTP"/>
      <sheetName val="LPBNN"/>
      <sheetName val="TRIM"/>
      <sheetName val="MEDC"/>
      <sheetName val="MPPA"/>
      <sheetName val="N-SMGR"/>
      <sheetName val="JUAL"/>
      <sheetName val="N-UNVR"/>
      <sheetName val="Variables"/>
      <sheetName val="WP"/>
      <sheetName val="Basic data"/>
      <sheetName val="U201"/>
      <sheetName val="TST"/>
      <sheetName val="×1.2020 Sales"/>
      <sheetName val="１.2020PL"/>
      <sheetName val="2.Sales breakdown"/>
      <sheetName val="2.PLdetailQ"/>
      <sheetName val="3.BS"/>
      <sheetName val="5.graph2020"/>
      <sheetName val="5.Summary list2020"/>
      <sheetName val="6.7.Inventory"/>
      <sheetName val="Rate"/>
      <sheetName val="2.by Factories"/>
      <sheetName val="8.Summery"/>
      <sheetName val="1.Summery "/>
      <sheetName val="Kriteria"/>
      <sheetName val="Rekap_Piutang"/>
      <sheetName val="Vendors"/>
      <sheetName val="N-KLBF"/>
      <sheetName val="N-TLKM"/>
      <sheetName val="N-TSPC"/>
      <sheetName val="SONA"/>
      <sheetName val="TLKM-J"/>
      <sheetName val="DNKS-N"/>
      <sheetName val="Jabar"/>
      <sheetName val="Jateng"/>
      <sheetName val="Jatim"/>
      <sheetName val="Pusat"/>
      <sheetName val="Sulawesi"/>
      <sheetName val="Sumbagsel"/>
      <sheetName val="4 - Income Statement"/>
      <sheetName val="fiscal depr(E)"/>
      <sheetName val="COGS"/>
      <sheetName val="GL Rec."/>
      <sheetName val="ALIPE"/>
      <sheetName val="Data_Pendukung_WCG_(2)"/>
      <sheetName val="Daftar_Harga"/>
      <sheetName val="_YIELD_PM_WCG4_W51"/>
      <sheetName val="Yield_PM_"/>
      <sheetName val="Bobot_rev"/>
      <sheetName val="Fin_High"/>
      <sheetName val="AKTIVA1TB"/>
      <sheetName val="CASH_FLOW15"/>
      <sheetName val="CASH_OUT_DETAIL15"/>
      <sheetName val="SALES&amp;COGS_CALC15"/>
      <sheetName val="KWH_OF_COMP_USED15"/>
      <sheetName val="COST_OF_COMP_USED15"/>
      <sheetName val="DM-DL_KWH15"/>
      <sheetName val="TOTAL_KWH15"/>
      <sheetName val="RM_USE15"/>
      <sheetName val="COMB_OH15"/>
      <sheetName val="OH_(380_PPD)15"/>
      <sheetName val="OH_(212_ELEC)15"/>
      <sheetName val="COST_CALC_(+Electric)15"/>
      <sheetName val="COST_CALC_(-Electric)15"/>
      <sheetName val="JURNAL_(Month)15"/>
      <sheetName val="Workshop_Tools12"/>
      <sheetName val="Income_Statement1"/>
      <sheetName val="FX_Rates2"/>
      <sheetName val="PL_(MONTHLY)5"/>
      <sheetName val="Data_Sheet5"/>
      <sheetName val="ING_Basis1"/>
      <sheetName val="General_Data1"/>
      <sheetName val="Print_Format1"/>
      <sheetName val="Cut_Mat1"/>
      <sheetName val="Sales_Plan1"/>
      <sheetName val="KBB-CIB_BANK5"/>
      <sheetName val="General_Info1"/>
      <sheetName val="Notes_0812"/>
      <sheetName val="BK_WHS_SUMMARY1"/>
      <sheetName val="Difference_Cons1"/>
      <sheetName val="Rekap_Piutang1"/>
      <sheetName val="Payback_Analysis1"/>
      <sheetName val="Harga_ME_1"/>
      <sheetName val="Currency_Rate1"/>
      <sheetName val="Form_B_2_315"/>
      <sheetName val="kode_SAP-new5"/>
      <sheetName val="blok_035"/>
      <sheetName val="Form_A_25"/>
      <sheetName val="INP-FARMER_USE5"/>
      <sheetName val="Combined_Controller5"/>
      <sheetName val="H_Satuan1"/>
      <sheetName val="PROD_FRY-MONODON2"/>
      <sheetName val="KBB_CIB_BANK1"/>
      <sheetName val="Size_Variasi1"/>
      <sheetName val="Local_PNL1"/>
      <sheetName val="ANALISA ALAT BERAT"/>
      <sheetName val="An. Beton"/>
      <sheetName val="tarip"/>
      <sheetName val="tunj."/>
      <sheetName val="trf-d-w"/>
      <sheetName val="trf d-i"/>
      <sheetName val="trf"/>
      <sheetName val="Cash Flow bulanan"/>
      <sheetName val="Pipa 200"/>
      <sheetName val="BQ"/>
      <sheetName val="colection"/>
      <sheetName val="CASH_FLOW16"/>
      <sheetName val="CASH_OUT_DETAIL16"/>
      <sheetName val="SALES&amp;COGS_CALC16"/>
      <sheetName val="KWH_OF_COMP_USED16"/>
      <sheetName val="COST_OF_COMP_USED16"/>
      <sheetName val="DM-DL_KWH16"/>
      <sheetName val="TOTAL_KWH16"/>
      <sheetName val="RM_USE16"/>
      <sheetName val="COMB_OH16"/>
      <sheetName val="OH_(380_PPD)16"/>
      <sheetName val="OH_(212_ELEC)16"/>
      <sheetName val="COST_CALC_(+Electric)16"/>
      <sheetName val="COST_CALC_(-Electric)16"/>
      <sheetName val="JURNAL_(Month)16"/>
      <sheetName val="Difference_Cons2"/>
      <sheetName val="Workshop_Tools13"/>
      <sheetName val="Notes_0813"/>
      <sheetName val="BK_WHS_SUMMARY2"/>
      <sheetName val="Harga_ME_2"/>
      <sheetName val="Currency_Rate2"/>
      <sheetName val="Income_Statement2"/>
      <sheetName val="Payback_Analysis2"/>
      <sheetName val="H_Satuan2"/>
      <sheetName val="Local_PNL2"/>
      <sheetName val="3_-_Balance_Sheet2"/>
      <sheetName val="5_-_Cash_Flow2"/>
      <sheetName val="2-(2)_Gangguan_Peralatan_(1)2"/>
      <sheetName val="Program_Triwulanan-042"/>
      <sheetName val="SC_Pusat_krd2"/>
      <sheetName val="ING_Basis2"/>
      <sheetName val="General_Data2"/>
      <sheetName val="Print_Format2"/>
      <sheetName val="Cut_Mat2"/>
      <sheetName val="Sales_Plan2"/>
      <sheetName val="General_Info2"/>
      <sheetName val="Jakarta_Cikampek2"/>
      <sheetName val="Rekap_Piutang2"/>
      <sheetName val="struktur_tdk_dipakai"/>
      <sheetName val="ANALISA_ALAT_BERAT"/>
      <sheetName val="An__Beton"/>
      <sheetName val="Cash_Flow_bulanan"/>
      <sheetName val="tunj_"/>
      <sheetName val="trf_d-i"/>
      <sheetName val="Pipa_200"/>
      <sheetName val="SC_Pusat_BB3032"/>
      <sheetName val="SC_Pusat_BB3042"/>
      <sheetName val="Data_Parameter2"/>
      <sheetName val="Cawang_Tomang_Cengkareng2"/>
      <sheetName val="Jakarta_Merak2"/>
      <sheetName val="Padalarang_Cileunyi2"/>
      <sheetName val="Surabaya_Gempol_Mojokerto2"/>
      <sheetName val="LAP_035HO2"/>
      <sheetName val="KONS_BID_P&amp;N1"/>
      <sheetName val="UP_II_DUMAI1"/>
      <sheetName val="KP_DIT_HULU1"/>
      <sheetName val="UP_VI_BALONGAN1"/>
      <sheetName val="UP_1_BRANDAN1"/>
      <sheetName val="UP_V_BALIKPAPAN1"/>
      <sheetName val="DIT_HILIR1"/>
      <sheetName val="UP_IV_CILACAP1"/>
      <sheetName val="UP_III_PLAJU1"/>
      <sheetName val="KONS_DIT_HULU1"/>
      <sheetName val="KR_AMPEL1"/>
      <sheetName val="UP_VII_KASIM1"/>
      <sheetName val="KONS_BID_P1"/>
      <sheetName val="pro_ra_op"/>
      <sheetName val="divisi_sarana"/>
      <sheetName val="PAL_2012"/>
      <sheetName val="daya_tarik_loko"/>
      <sheetName val="data_berat"/>
      <sheetName val="SC_Pusat_BB301"/>
      <sheetName val="DAFTAR_ISI"/>
      <sheetName val="CASH_FLOW17"/>
      <sheetName val="CASH_OUT_DETAIL17"/>
      <sheetName val="SALES&amp;COGS_CALC17"/>
      <sheetName val="KWH_OF_COMP_USED17"/>
      <sheetName val="COST_OF_COMP_USED17"/>
      <sheetName val="DM-DL_KWH17"/>
      <sheetName val="TOTAL_KWH17"/>
      <sheetName val="RM_USE17"/>
      <sheetName val="COMB_OH17"/>
      <sheetName val="OH_(380_PPD)17"/>
      <sheetName val="OH_(212_ELEC)17"/>
      <sheetName val="COST_CALC_(+Electric)17"/>
      <sheetName val="COST_CALC_(-Electric)17"/>
      <sheetName val="JURNAL_(Month)17"/>
      <sheetName val="Difference_Cons3"/>
      <sheetName val="Workshop_Tools14"/>
      <sheetName val="FX_Rates3"/>
      <sheetName val="PL_(MONTHLY)6"/>
      <sheetName val="Data_Sheet6"/>
      <sheetName val="Notes_0814"/>
      <sheetName val="BK_WHS_SUMMARY3"/>
      <sheetName val="Harga_ME_3"/>
      <sheetName val="Currency_Rate3"/>
      <sheetName val="Income_Statement3"/>
      <sheetName val="Form_B_2_316"/>
      <sheetName val="kode_SAP-new6"/>
      <sheetName val="KBB-CIB_BANK6"/>
      <sheetName val="blok_036"/>
      <sheetName val="Form_A_26"/>
      <sheetName val="INP-FARMER_USE6"/>
      <sheetName val="Combined_Controller6"/>
      <sheetName val="Payback_Analysis3"/>
      <sheetName val="H_Satuan3"/>
      <sheetName val="Local_PNL3"/>
      <sheetName val="3_-_Balance_Sheet3"/>
      <sheetName val="5_-_Cash_Flow3"/>
      <sheetName val="2-(2)_Gangguan_Peralatan_(1)3"/>
      <sheetName val="Program_Triwulanan-043"/>
      <sheetName val="SC_Pusat_krd3"/>
      <sheetName val="ING_Basis3"/>
      <sheetName val="General_Data3"/>
      <sheetName val="Print_Format3"/>
      <sheetName val="Cut_Mat3"/>
      <sheetName val="Sales_Plan3"/>
      <sheetName val="General_Info3"/>
      <sheetName val="Jakarta_Cikampek3"/>
      <sheetName val="Rekap_Piutang3"/>
      <sheetName val="struktur_tdk_dipakai1"/>
      <sheetName val="ANALISA_ALAT_BERAT1"/>
      <sheetName val="An__Beton1"/>
      <sheetName val="PROD_FRY-MONODON3"/>
      <sheetName val="KBB_CIB_BANK2"/>
      <sheetName val="Size_Variasi2"/>
      <sheetName val="Cash_Flow_bulanan1"/>
      <sheetName val="tunj_1"/>
      <sheetName val="trf_d-i1"/>
      <sheetName val="Pipa_2001"/>
      <sheetName val="SC_Pusat_BB3033"/>
      <sheetName val="SC_Pusat_BB3043"/>
      <sheetName val="Data_Parameter3"/>
      <sheetName val="Cawang_Tomang_Cengkareng3"/>
      <sheetName val="Jakarta_Merak3"/>
      <sheetName val="Padalarang_Cileunyi3"/>
      <sheetName val="Surabaya_Gempol_Mojokerto3"/>
      <sheetName val="LAP_035HO3"/>
      <sheetName val="KONS_BID_P&amp;N2"/>
      <sheetName val="UP_II_DUMAI2"/>
      <sheetName val="KP_DIT_HULU2"/>
      <sheetName val="UP_VI_BALONGAN2"/>
      <sheetName val="UP_1_BRANDAN2"/>
      <sheetName val="UP_V_BALIKPAPAN2"/>
      <sheetName val="DIT_HILIR2"/>
      <sheetName val="UP_IV_CILACAP2"/>
      <sheetName val="UP_III_PLAJU2"/>
      <sheetName val="KONS_DIT_HULU2"/>
      <sheetName val="KR_AMPEL2"/>
      <sheetName val="UP_VII_KASIM2"/>
      <sheetName val="KONS_BID_P2"/>
      <sheetName val="pro_ra_op1"/>
      <sheetName val="divisi_sarana1"/>
      <sheetName val="PAL_20121"/>
      <sheetName val="daya_tarik_loko1"/>
      <sheetName val="data_berat1"/>
      <sheetName val="SC_Pusat_BB3011"/>
      <sheetName val="DAFTAR_ISI1"/>
      <sheetName val="SUMMARY NDE"/>
      <sheetName val="Organization_Chart"/>
      <sheetName val="TH VL, NC, DDHT Thanhphuoc"/>
      <sheetName val="LOVs"/>
      <sheetName val="BETON"/>
      <sheetName val="NOTES "/>
      <sheetName val="INFORMATION"/>
      <sheetName val="BALANCE SHEET"/>
      <sheetName val="2007"/>
      <sheetName val="Scenarios and Sensitivities"/>
      <sheetName val="Global Assumptions"/>
      <sheetName val="Library Procedures"/>
      <sheetName val="Permanent"/>
      <sheetName val=""/>
      <sheetName val="Ref- Curr. code"/>
      <sheetName val="depre6"/>
      <sheetName val="CRA-Detail"/>
      <sheetName val="FEED &amp; SAMPLING"/>
      <sheetName val="DBASE PARTIAL "/>
      <sheetName val="FD PROGRAM"/>
      <sheetName val="Setup"/>
      <sheetName val="Front sheet"/>
      <sheetName val="세부"/>
      <sheetName val="LOKO ONLINE"/>
      <sheetName val="hitung"/>
      <sheetName val="harga"/>
      <sheetName val="Control_Sheet"/>
      <sheetName val="RvsC_Table"/>
      <sheetName val="Data_Countries"/>
      <sheetName val="Customize_Your_Loan_Manager"/>
      <sheetName val="Loan_Amortization_Table"/>
      <sheetName val="Currency_Rates"/>
      <sheetName val="Country_Totals"/>
      <sheetName val="NH_&amp;_NHP_Spes_"/>
      <sheetName val="Text_File"/>
      <sheetName val="CD_JUAL"/>
      <sheetName val="List_Data"/>
      <sheetName val="KKP_A_2_1"/>
      <sheetName val="客戶清單customer_list"/>
      <sheetName val="Account_Code"/>
      <sheetName val="Bal_Sheet"/>
      <sheetName val="PPh_22"/>
      <sheetName val="Ratio_Budget"/>
      <sheetName val="Elim_CKR"/>
      <sheetName val="Summary_of_B_P"/>
      <sheetName val="03_Detailed"/>
      <sheetName val="Rollfwd_Final"/>
      <sheetName val="Permanent_info"/>
      <sheetName val="FE-1770_P1"/>
      <sheetName val="①　BP_vs_SPR_(TTL_Impact)"/>
      <sheetName val="Revenue_2006"/>
      <sheetName val="WACC_(LB_Y)"/>
      <sheetName val="NR___MTM"/>
      <sheetName val="NR_-_MTM"/>
      <sheetName val="metode_"/>
      <sheetName val="Tanah_09"/>
      <sheetName val="kode_Baru_"/>
      <sheetName val="D_5"/>
      <sheetName val="Govt_BI"/>
      <sheetName val="Pk prod"/>
      <sheetName val="31JAN07"/>
      <sheetName val="DATABASE"/>
      <sheetName val="Marshal -1"/>
      <sheetName val="Cover Sheet"/>
      <sheetName val="PRO"/>
      <sheetName val="R-1"/>
      <sheetName val="Sheet29"/>
      <sheetName val="cw(1)"/>
      <sheetName val="MASTER"/>
      <sheetName val="neraca 1999-2000"/>
      <sheetName val="Lead"/>
      <sheetName val="chemcal"/>
      <sheetName val="Inv_MALUKU"/>
      <sheetName val="Inv_NAD"/>
      <sheetName val="Inv_SUMUT"/>
      <sheetName val="Inv_RIAU"/>
      <sheetName val="Inv_SUMBAR"/>
      <sheetName val="Inv_S2JB"/>
      <sheetName val="Inv_LAMPUNG"/>
      <sheetName val="Inv_KITLUR SUMBAGUT"/>
      <sheetName val="Inv_KITLUR SUMBAGSEL"/>
      <sheetName val="Inv_KALBAR"/>
      <sheetName val="Inv_SULUTENGGO"/>
      <sheetName val="Inv_SULSELRA"/>
      <sheetName val="Inv_NTB"/>
      <sheetName val="Inv_KALTIM"/>
      <sheetName val="Inv_KALSELTENG"/>
      <sheetName val="cov"/>
      <sheetName val="PIVOT"/>
      <sheetName val="assumpt_cons"/>
      <sheetName val="mapping"/>
      <sheetName val="MSC Product Characteristics"/>
      <sheetName val="status"/>
      <sheetName val="Ist"/>
      <sheetName val="BASIC ASSUMPTION"/>
      <sheetName val="dl asset(th'01)"/>
      <sheetName val="tabel nilai"/>
      <sheetName val="data (2)"/>
      <sheetName val="SE-C"/>
      <sheetName val="villa"/>
      <sheetName val="List-Value"/>
      <sheetName val="Form 2-FRG"/>
      <sheetName val="BELI _SEPTEMBER"/>
      <sheetName val="A.4.3"/>
      <sheetName val="A.4.2"/>
      <sheetName val="RumusTB 1 bln"/>
      <sheetName val="I.4.1 (2)"/>
      <sheetName val="Penyusutan Kendaraan"/>
      <sheetName val="scope of works"/>
      <sheetName val="escon"/>
      <sheetName val="SOURCE"/>
      <sheetName val="rumus"/>
      <sheetName val="nama"/>
      <sheetName val="Sch"/>
      <sheetName val="General"/>
      <sheetName val="PL-Srt2"/>
      <sheetName val="PL_Srt2"/>
      <sheetName val="AHSbj"/>
      <sheetName val="Unit Rate"/>
      <sheetName val="Sheet1 (2)"/>
      <sheetName val="gl"/>
      <sheetName val="MEytd"/>
      <sheetName val="Controls"/>
      <sheetName val="Taxes &amp; Deductions"/>
      <sheetName val="Consolidated"/>
      <sheetName val="Locked"/>
      <sheetName val="Customer Summary"/>
      <sheetName val="Brix Sudah dikoreksi HK"/>
      <sheetName val="Brix Belum Dikoreksi %Pol"/>
      <sheetName val="Brix Sudah dikoreksi NN"/>
      <sheetName val="Suhu"/>
      <sheetName val="Rinci sekt 13-14"/>
      <sheetName val="Treshing"/>
      <sheetName val="Pondasi Panel A"/>
      <sheetName val="L. Ramp "/>
      <sheetName val="Clarifikasi "/>
      <sheetName val="Data Input"/>
      <sheetName val="_ BP vs SPR (TTL Impact)"/>
      <sheetName val="Stocks CIK"/>
      <sheetName val="Mekanik"/>
      <sheetName val="FR"/>
      <sheetName val="412"/>
      <sheetName val="SELISIHKURSSOURCE"/>
      <sheetName val="2009"/>
      <sheetName val="DATA21"/>
      <sheetName val="data_val"/>
      <sheetName val="DropDowns"/>
      <sheetName val="PPT"/>
      <sheetName val="Sensititivy"/>
      <sheetName val="K2-FA"/>
      <sheetName val="Non-Statistical Sampling Master"/>
      <sheetName val="Two Step Revenue Testing Master"/>
      <sheetName val="Global Data"/>
      <sheetName val="PkRp"/>
      <sheetName val="REG TOTAL"/>
      <sheetName val="LbKtr"/>
      <sheetName val="Gorong2"/>
      <sheetName val="Sirtu"/>
      <sheetName val="Aspal"/>
      <sheetName val="SDMPROG"/>
      <sheetName val="HARGADASAR"/>
      <sheetName val="CashFlow"/>
      <sheetName val="SEX"/>
      <sheetName val=" BEP-1999"/>
      <sheetName val="REF_ONLY"/>
      <sheetName val="FINISHING"/>
      <sheetName val="PLUMBING"/>
      <sheetName val="STRUKTUR"/>
      <sheetName val="KKP"/>
      <sheetName val="BoQ, Piping"/>
      <sheetName val="BoQ, Exhaust Gas"/>
      <sheetName val="GKP"/>
      <sheetName val="ALLOWANCE"/>
      <sheetName val="MH RATE"/>
      <sheetName val="summ__crush"/>
      <sheetName val="REG_TOTAL"/>
      <sheetName val="Plan"/>
      <sheetName val="LBK1"/>
      <sheetName val="M+MC"/>
      <sheetName val="name"/>
      <sheetName val="SALA-002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estm_mech"/>
      <sheetName val="12CGOU"/>
      <sheetName val="CASH_FLOW18"/>
      <sheetName val="CASH_OUT_DETAIL18"/>
      <sheetName val="SALES&amp;COGS_CALC18"/>
      <sheetName val="KWH_OF_COMP_USED18"/>
      <sheetName val="COST_OF_COMP_USED18"/>
      <sheetName val="DM-DL_KWH18"/>
      <sheetName val="TOTAL_KWH18"/>
      <sheetName val="RM_USE18"/>
      <sheetName val="COMB_OH18"/>
      <sheetName val="OH_(380_PPD)18"/>
      <sheetName val="OH_(212_ELEC)18"/>
      <sheetName val="COST_CALC_(+Electric)18"/>
      <sheetName val="COST_CALC_(-Electric)18"/>
      <sheetName val="JURNAL_(Month)18"/>
      <sheetName val="Difference_Cons4"/>
      <sheetName val="Workshop_Tools15"/>
      <sheetName val="FX_Rates4"/>
      <sheetName val="PL_(MONTHLY)7"/>
      <sheetName val="Data_Sheet7"/>
      <sheetName val="Notes_0815"/>
      <sheetName val="BK_WHS_SUMMARY4"/>
      <sheetName val="Harga_ME_4"/>
      <sheetName val="Currency_Rate4"/>
      <sheetName val="Income_Statement4"/>
      <sheetName val="Form_B_2_317"/>
      <sheetName val="kode_SAP-new7"/>
      <sheetName val="KBB-CIB_BANK7"/>
      <sheetName val="blok_037"/>
      <sheetName val="Form_A_27"/>
      <sheetName val="INP-FARMER_USE7"/>
      <sheetName val="Combined_Controller7"/>
      <sheetName val="Payback_Analysis4"/>
      <sheetName val="H_Satuan4"/>
      <sheetName val="Local_PNL4"/>
      <sheetName val="3_-_Balance_Sheet4"/>
      <sheetName val="5_-_Cash_Flow4"/>
      <sheetName val="2-(2)_Gangguan_Peralatan_(1)4"/>
      <sheetName val="Program_Triwulanan-044"/>
      <sheetName val="SC_Pusat_krd4"/>
      <sheetName val="SC_Pusat_BB3034"/>
      <sheetName val="SC_Pusat_BB3044"/>
      <sheetName val="Data_Parameter4"/>
      <sheetName val="Cawang_Tomang_Cengkareng4"/>
      <sheetName val="Jakarta_Cikampek4"/>
      <sheetName val="Jakarta_Merak4"/>
      <sheetName val="Padalarang_Cileunyi4"/>
      <sheetName val="Surabaya_Gempol_Mojokerto4"/>
      <sheetName val="LAP_035HO4"/>
      <sheetName val="ING_Basis4"/>
      <sheetName val="General_Data4"/>
      <sheetName val="Print_Format4"/>
      <sheetName val="Cut_Mat4"/>
      <sheetName val="Sales_Plan4"/>
      <sheetName val="General_Info4"/>
      <sheetName val="Rekap_Piutang4"/>
      <sheetName val="PROD_FRY-MONODON4"/>
      <sheetName val="KBB_CIB_BANK3"/>
      <sheetName val="Size_Variasi3"/>
      <sheetName val="KONS_BID_P&amp;N3"/>
      <sheetName val="UP_II_DUMAI3"/>
      <sheetName val="KP_DIT_HULU3"/>
      <sheetName val="UP_VI_BALONGAN3"/>
      <sheetName val="UP_1_BRANDAN3"/>
      <sheetName val="UP_V_BALIKPAPAN3"/>
      <sheetName val="DIT_HILIR3"/>
      <sheetName val="UP_IV_CILACAP3"/>
      <sheetName val="UP_III_PLAJU3"/>
      <sheetName val="KONS_DIT_HULU3"/>
      <sheetName val="KR_AMPEL3"/>
      <sheetName val="UP_VII_KASIM3"/>
      <sheetName val="KONS_BID_P3"/>
      <sheetName val="pro_ra_op2"/>
      <sheetName val="divisi_sarana2"/>
      <sheetName val="PAL_20122"/>
      <sheetName val="daya_tarik_loko2"/>
      <sheetName val="data_berat2"/>
      <sheetName val="SC_Pusat_BB3012"/>
      <sheetName val="DAFTAR_ISI2"/>
      <sheetName val="struktur_tdk_dipakai2"/>
      <sheetName val="ANALISA_ALAT_BERAT2"/>
      <sheetName val="An__Beton2"/>
      <sheetName val="Cash_Flow_bulanan2"/>
      <sheetName val="tunj_2"/>
      <sheetName val="trf_d-i2"/>
      <sheetName val="Pipa_2002"/>
      <sheetName val="CASH_FLOW19"/>
      <sheetName val="CASH_OUT_DETAIL19"/>
      <sheetName val="SALES&amp;COGS_CALC19"/>
      <sheetName val="KWH_OF_COMP_USED19"/>
      <sheetName val="COST_OF_COMP_USED19"/>
      <sheetName val="DM-DL_KWH19"/>
      <sheetName val="TOTAL_KWH19"/>
      <sheetName val="RM_USE19"/>
      <sheetName val="COMB_OH19"/>
      <sheetName val="OH_(380_PPD)19"/>
      <sheetName val="OH_(212_ELEC)19"/>
      <sheetName val="COST_CALC_(+Electric)19"/>
      <sheetName val="COST_CALC_(-Electric)19"/>
      <sheetName val="JURNAL_(Month)19"/>
      <sheetName val="Difference_Cons5"/>
      <sheetName val="Workshop_Tools16"/>
      <sheetName val="FX_Rates5"/>
      <sheetName val="PL_(MONTHLY)8"/>
      <sheetName val="Data_Sheet8"/>
      <sheetName val="Notes_0816"/>
      <sheetName val="BK_WHS_SUMMARY5"/>
      <sheetName val="Harga_ME_5"/>
      <sheetName val="Currency_Rate5"/>
      <sheetName val="Income_Statement5"/>
      <sheetName val="Form_B_2_318"/>
      <sheetName val="kode_SAP-new8"/>
      <sheetName val="KBB-CIB_BANK8"/>
      <sheetName val="blok_038"/>
      <sheetName val="Form_A_28"/>
      <sheetName val="INP-FARMER_USE8"/>
      <sheetName val="Combined_Controller8"/>
      <sheetName val="Payback_Analysis5"/>
      <sheetName val="H_Satuan5"/>
      <sheetName val="Local_PNL5"/>
      <sheetName val="3_-_Balance_Sheet5"/>
      <sheetName val="5_-_Cash_Flow5"/>
      <sheetName val="2-(2)_Gangguan_Peralatan_(1)5"/>
      <sheetName val="Program_Triwulanan-045"/>
      <sheetName val="SC_Pusat_krd5"/>
      <sheetName val="SC_Pusat_BB3035"/>
      <sheetName val="SC_Pusat_BB3045"/>
      <sheetName val="Data_Parameter5"/>
      <sheetName val="Cawang_Tomang_Cengkareng5"/>
      <sheetName val="Jakarta_Cikampek5"/>
      <sheetName val="Jakarta_Merak5"/>
      <sheetName val="Padalarang_Cileunyi5"/>
      <sheetName val="Surabaya_Gempol_Mojokerto5"/>
      <sheetName val="LAP_035HO5"/>
      <sheetName val="ING_Basis5"/>
      <sheetName val="General_Data5"/>
      <sheetName val="Print_Format5"/>
      <sheetName val="Cut_Mat5"/>
      <sheetName val="Sales_Plan5"/>
      <sheetName val="General_Info5"/>
      <sheetName val="Rekap_Piutang5"/>
      <sheetName val="PROD_FRY-MONODON5"/>
      <sheetName val="KBB_CIB_BANK4"/>
      <sheetName val="Size_Variasi4"/>
      <sheetName val="KONS_BID_P&amp;N4"/>
      <sheetName val="UP_II_DUMAI4"/>
      <sheetName val="KP_DIT_HULU4"/>
      <sheetName val="UP_VI_BALONGAN4"/>
      <sheetName val="UP_1_BRANDAN4"/>
      <sheetName val="UP_V_BALIKPAPAN4"/>
      <sheetName val="DIT_HILIR4"/>
      <sheetName val="UP_IV_CILACAP4"/>
      <sheetName val="UP_III_PLAJU4"/>
      <sheetName val="KONS_DIT_HULU4"/>
      <sheetName val="KR_AMPEL4"/>
      <sheetName val="UP_VII_KASIM4"/>
      <sheetName val="KONS_BID_P4"/>
      <sheetName val="pro_ra_op3"/>
      <sheetName val="divisi_sarana3"/>
      <sheetName val="PAL_20123"/>
      <sheetName val="daya_tarik_loko3"/>
      <sheetName val="data_berat3"/>
      <sheetName val="SC_Pusat_BB3013"/>
      <sheetName val="DAFTAR_ISI3"/>
      <sheetName val="struktur_tdk_dipakai3"/>
      <sheetName val="ANALISA_ALAT_BERAT3"/>
      <sheetName val="An__Beton3"/>
      <sheetName val="Cash_Flow_bulanan3"/>
      <sheetName val="tunj_3"/>
      <sheetName val="trf_d-i3"/>
      <sheetName val="Pipa_2003"/>
      <sheetName val="POM Dir Cost"/>
      <sheetName val="E_1_AR-Trade"/>
      <sheetName val="Index_-_details"/>
      <sheetName val="ocean_voyage"/>
      <sheetName val="DB_BDG"/>
      <sheetName val="Main Menu"/>
      <sheetName val="Proj Summ"/>
      <sheetName val="Team"/>
      <sheetName val="Effort.P"/>
      <sheetName val="Effort.A"/>
      <sheetName val="Subcontracted"/>
      <sheetName val="Expense.P"/>
      <sheetName val="Expense.A"/>
      <sheetName val="Tracker"/>
      <sheetName val="Time Report"/>
      <sheetName val="Analysis"/>
      <sheetName val="Help"/>
      <sheetName val="Codestable"/>
      <sheetName val="Front_sheet"/>
      <sheetName val="POM_Dir_Cost"/>
      <sheetName val="?_BP_vs_SPR_(TTL_Impact)"/>
      <sheetName val="fiscal_depr(E)"/>
      <sheetName val="GL_Rec_"/>
      <sheetName val="HSBC-USD_(Sell)"/>
      <sheetName val="Plan_2003"/>
      <sheetName val="Lookup_Tables"/>
      <sheetName val="HA_STATEMENT_PE1_REV1"/>
      <sheetName val="PCA_TOTAL"/>
      <sheetName val="Customer_Summary"/>
      <sheetName val="Lookup "/>
      <sheetName val="CROP-9"/>
      <sheetName val="Tebar all jan"/>
      <sheetName val="Variable"/>
      <sheetName val="S_Suramadu"/>
      <sheetName val="B2 (Act by Mth) Total"/>
      <sheetName val="2003 Bgt"/>
      <sheetName val="HO"/>
      <sheetName val="RATE-NEW"/>
      <sheetName val="Built"/>
      <sheetName val="4_-_Income_Statement"/>
      <sheetName val="BS pricing"/>
      <sheetName val="Validasi"/>
      <sheetName val="Disposals"/>
      <sheetName val="CAPIN99B"/>
      <sheetName val="FA99B"/>
      <sheetName val="PEGAWAI"/>
      <sheetName val="DATA3"/>
      <sheetName val="Sheet4"/>
      <sheetName val="CASH_FLOW20"/>
      <sheetName val="CASH_OUT_DETAIL20"/>
      <sheetName val="SALES&amp;COGS_CALC20"/>
      <sheetName val="KWH_OF_COMP_USED20"/>
      <sheetName val="COST_OF_COMP_USED20"/>
      <sheetName val="DM-DL_KWH20"/>
      <sheetName val="TOTAL_KWH20"/>
      <sheetName val="RM_USE20"/>
      <sheetName val="COMB_OH20"/>
      <sheetName val="OH_(380_PPD)20"/>
      <sheetName val="OH_(212_ELEC)20"/>
      <sheetName val="COST_CALC_(+Electric)20"/>
      <sheetName val="COST_CALC_(-Electric)20"/>
      <sheetName val="JURNAL_(Month)20"/>
      <sheetName val="Workshop_Tools17"/>
      <sheetName val="BK_WHS_SUMMARY6"/>
      <sheetName val="PL_(MONTHLY)9"/>
      <sheetName val="Form_B_2_319"/>
      <sheetName val="kode_SAP-new9"/>
      <sheetName val="KBB-CIB_BANK9"/>
      <sheetName val="blok_039"/>
      <sheetName val="Data_Sheet9"/>
      <sheetName val="Form_A_29"/>
      <sheetName val="INP-FARMER_USE9"/>
      <sheetName val="Combined_Controller9"/>
      <sheetName val="FX_Rates6"/>
      <sheetName val="PROD_FRY-MONODON6"/>
      <sheetName val="KBB_CIB_BANK5"/>
      <sheetName val="Size_Variasi5"/>
      <sheetName val="Notes_0817"/>
      <sheetName val="General_Data6"/>
      <sheetName val="Print_Format6"/>
      <sheetName val="ING_Basis6"/>
      <sheetName val="Cut_Mat6"/>
      <sheetName val="Sales_Plan6"/>
      <sheetName val="General_Info6"/>
      <sheetName val="KONS_BID_P&amp;N5"/>
      <sheetName val="UP_II_DUMAI5"/>
      <sheetName val="KP_DIT_HULU5"/>
      <sheetName val="UP_VI_BALONGAN5"/>
      <sheetName val="UP_1_BRANDAN5"/>
      <sheetName val="UP_V_BALIKPAPAN5"/>
      <sheetName val="DIT_HILIR5"/>
      <sheetName val="UP_IV_CILACAP5"/>
      <sheetName val="UP_III_PLAJU5"/>
      <sheetName val="KONS_DIT_HULU5"/>
      <sheetName val="KR_AMPEL5"/>
      <sheetName val="UP_VII_KASIM5"/>
      <sheetName val="KONS_BID_P5"/>
      <sheetName val="Income_Statement6"/>
      <sheetName val="3_-_Balance_Sheet6"/>
      <sheetName val="5_-_Cash_Flow6"/>
      <sheetName val="2-(2)_Gangguan_Peralatan_(1)6"/>
      <sheetName val="Program_Triwulanan-046"/>
      <sheetName val="SC_Pusat_krd6"/>
      <sheetName val="SC_Pusat_BB3036"/>
      <sheetName val="SC_Pusat_BB3046"/>
      <sheetName val="Data_Parameter6"/>
      <sheetName val="Cawang_Tomang_Cengkareng6"/>
      <sheetName val="Jakarta_Cikampek6"/>
      <sheetName val="Jakarta_Merak6"/>
      <sheetName val="Padalarang_Cileunyi6"/>
      <sheetName val="Surabaya_Gempol_Mojokerto6"/>
      <sheetName val="pro_ra_op4"/>
      <sheetName val="divisi_sarana4"/>
      <sheetName val="PAL_20124"/>
      <sheetName val="daya_tarik_loko4"/>
      <sheetName val="data_berat4"/>
      <sheetName val="SC_Pusat_BB3014"/>
      <sheetName val="Difference_Cons6"/>
      <sheetName val="JURNAL_(Mon勨O닑⿐"/>
      <sheetName val="MTO_REV_2(ARMOR)"/>
      <sheetName val="Rekap_Piutang6"/>
      <sheetName val="Payback_Analysis6"/>
      <sheetName val="LAP_035HO6"/>
      <sheetName val="Local_PNL6"/>
      <sheetName val="Harga_ME_6"/>
      <sheetName val="Currency_Rate6"/>
      <sheetName val="H_Satuan6"/>
      <sheetName val="AR_Days-JHHP_Group"/>
      <sheetName val="Pk_prod"/>
      <sheetName val="Danamon_LK"/>
      <sheetName val="addl_cost"/>
      <sheetName val="fin_pro_centers"/>
      <sheetName val="Ws_Jul-2004"/>
      <sheetName val="1_LeadSchedule"/>
      <sheetName val="DCF_Inputs"/>
      <sheetName val="Kunlun_P&amp;L"/>
      <sheetName val="Company_Info"/>
      <sheetName val="CA_Comp"/>
      <sheetName val="Building_Your_PAR"/>
      <sheetName val="Enter_FSA_Data"/>
      <sheetName val="List_Area"/>
      <sheetName val="×1_2020_Sales"/>
      <sheetName val="１_2020PL"/>
      <sheetName val="2_Sales_breakdown"/>
      <sheetName val="2_PLdetailQ"/>
      <sheetName val="3_BS"/>
      <sheetName val="5_graph2020"/>
      <sheetName val="5_Summary_list2020"/>
      <sheetName val="6_7_Inventory"/>
      <sheetName val="2_by_Factories"/>
      <sheetName val="8_Summery"/>
      <sheetName val="1_Summery_"/>
      <sheetName val="%_Lbr_vs_GP"/>
      <sheetName val="Current_IMP"/>
      <sheetName val="AOP_Summary-2"/>
      <sheetName val="Data_Customer"/>
      <sheetName val="Sudah_Berjalan"/>
      <sheetName val="Drop_down"/>
      <sheetName val="FEED_&amp;_SAMPLING"/>
      <sheetName val="DBASE_PARTIAL_"/>
      <sheetName val="FD_PROGRAM"/>
      <sheetName val="Lookup_"/>
      <sheetName val="Ref-_Curr__code"/>
      <sheetName val="costing_by_deliote"/>
      <sheetName val="GD-BHN_KEMASAN"/>
      <sheetName val="GD-BB_Kt__A"/>
      <sheetName val="Noodles_(assumptions)"/>
      <sheetName val="DAFTAR_ISI4"/>
      <sheetName val="struktur_tdk_dipakai4"/>
      <sheetName val="Deferred_Rev"/>
      <sheetName val="ANALISA_ALAT_BERAT4"/>
      <sheetName val="An__Beton4"/>
      <sheetName val="Cash_Flow_bulanan4"/>
      <sheetName val="tunj_4"/>
      <sheetName val="trf_d-i4"/>
      <sheetName val="Pipa_2004"/>
      <sheetName val="Marshal_-1"/>
      <sheetName val="Cover_Sheet"/>
      <sheetName val="LOKO_ONLINE"/>
      <sheetName val="total_PB"/>
      <sheetName val="Usul_Pnn"/>
      <sheetName val="Nm_Brg"/>
      <sheetName val="OWP_Farm"/>
      <sheetName val="Dropdown_Menu_Maintenance"/>
      <sheetName val="Mat_"/>
      <sheetName val="Basic_data"/>
      <sheetName val="Balance_Sheet"/>
      <sheetName val="neraca_1999-2000"/>
      <sheetName val="Inv_KITLUR_SUMBAGUT"/>
      <sheetName val="Inv_KITLUR_SUMBAGSEL"/>
      <sheetName val="SUMMARY_NDE"/>
      <sheetName val="NOTES_"/>
      <sheetName val="Scenarios_and_Sensitivities"/>
      <sheetName val="Global_Assumptions"/>
      <sheetName val="AkPro"/>
      <sheetName val="EXRA"/>
      <sheetName val="CR TYPE"/>
      <sheetName val="ISI"/>
      <sheetName val="Ctr"/>
      <sheetName val="39"/>
      <sheetName val="Kend"/>
      <sheetName val="CR_TYPE"/>
      <sheetName val="CROP"/>
      <sheetName val="keb-bbm"/>
      <sheetName val="PHL Borongan"/>
      <sheetName val="Staff"/>
      <sheetName val="RPT"/>
      <sheetName val="Lembur"/>
      <sheetName val="RPS"/>
      <sheetName val="Prm.Angkut Buah"/>
      <sheetName val="MN"/>
      <sheetName val="Form"/>
      <sheetName val="PN"/>
      <sheetName val="36"/>
      <sheetName val="SPTParameter"/>
      <sheetName val="Harga Spare Part-revisi"/>
      <sheetName val="unit"/>
      <sheetName val="Trading Statement"/>
      <sheetName val="Premi Iuran"/>
      <sheetName val="MGR-12"/>
      <sheetName val="hal_8"/>
      <sheetName val="LHP7"/>
      <sheetName val="TBSv"/>
      <sheetName val="Exlfoxpro final"/>
      <sheetName val="harga_TBS"/>
      <sheetName val="GRFK BJR_SBH_02"/>
      <sheetName val="GRFK BJR_TGS_01"/>
      <sheetName val="GRFK BJR_SKC_03"/>
      <sheetName val="LUK(B)-KTR12"/>
      <sheetName val="H"/>
      <sheetName val="I"/>
      <sheetName val="budget_up"/>
      <sheetName val="N_Saldo"/>
      <sheetName val="PREV"/>
      <sheetName val="Assumes"/>
      <sheetName val="①_BP vs SPR _TTL Impact_"/>
      <sheetName val="K1-total 2004"/>
      <sheetName val="kepmenaker150"/>
      <sheetName val="TRF 150"/>
      <sheetName val="ACC_NUM"/>
      <sheetName val="LOADDAT"/>
      <sheetName val="BP 21-F MDN"/>
      <sheetName val="CODE,NAME"/>
      <sheetName val="Matrix Model"/>
      <sheetName val="A-Operations_Cashflow"/>
      <sheetName val="Upload_Roadmap100117"/>
      <sheetName val="rekap.kategori gangguan"/>
      <sheetName val="RAB"/>
      <sheetName val="NP"/>
      <sheetName val="COMMITMENT"/>
      <sheetName val="GL ACCOUNT"/>
      <sheetName val="kode akun"/>
      <sheetName val="U2.5 RM From Purhase"/>
      <sheetName val="ca"/>
      <sheetName val="NOPAT_VDF"/>
      <sheetName val="Invested capital_VDF"/>
      <sheetName val="DCF_VDF"/>
      <sheetName val="WACC_VDF"/>
      <sheetName val="PV of Op Leases_VDF"/>
      <sheetName val="Income Statement_VDF"/>
      <sheetName val="UNIT1"/>
      <sheetName val="UNIT2"/>
      <sheetName val="NB UNIT2"/>
      <sheetName val="D985"/>
      <sheetName val="CiMaPlbStd"/>
      <sheetName val="GrafikProd"/>
      <sheetName val="BUDGETPI"/>
      <sheetName val="Construction Period Costs"/>
      <sheetName val="Plant Characteristics"/>
      <sheetName val="Asumsi"/>
      <sheetName val="WBS"/>
      <sheetName val="Organization_Chart1"/>
      <sheetName val="Currency_Rates1"/>
      <sheetName val="Country_Totals1"/>
      <sheetName val="NH_&amp;_NHP_Spes_1"/>
      <sheetName val="List_Data1"/>
      <sheetName val="Control_Sheet1"/>
      <sheetName val="RvsC_Table1"/>
      <sheetName val="Data_Countries1"/>
      <sheetName val="Text_File1"/>
      <sheetName val="CD_JUAL1"/>
      <sheetName val="Customize_Your_Loan_Manager1"/>
      <sheetName val="Loan_Amortization_Table1"/>
      <sheetName val="Account_Code1"/>
      <sheetName val="NR___MTM1"/>
      <sheetName val="NR_-_MTM1"/>
      <sheetName val="客戶清單customer_list1"/>
      <sheetName val="WACC_(LB_Y)1"/>
      <sheetName val="①　BP_vs_SPR_(TTL_Impact)1"/>
      <sheetName val="KKP_A_2_11"/>
      <sheetName val="Index_-_details1"/>
      <sheetName val="Fin_High1"/>
      <sheetName val="Bal_Sheet1"/>
      <sheetName val="PPh_221"/>
      <sheetName val="Ratio_Budget1"/>
      <sheetName val="Elim_CKR1"/>
      <sheetName val="Summary_of_B_P1"/>
      <sheetName val="03_Detailed1"/>
      <sheetName val="Rollfwd_Final1"/>
      <sheetName val="Permanent_info1"/>
      <sheetName val="FE-1770_P11"/>
      <sheetName val="ocean_voyage1"/>
      <sheetName val="Revenue_20061"/>
      <sheetName val="Data_Pendukung_WCG_(2)1"/>
      <sheetName val="Daftar_Harga1"/>
      <sheetName val="_YIELD_PM_WCG4_W511"/>
      <sheetName val="Yield_PM_1"/>
      <sheetName val="Bobot_rev1"/>
      <sheetName val="metode_1"/>
      <sheetName val="Tanah_091"/>
      <sheetName val="kode_Baru_1"/>
      <sheetName val="D_51"/>
      <sheetName val="Govt_BI1"/>
      <sheetName val="DB_BDG1"/>
      <sheetName val="summ__crush1"/>
      <sheetName val="MSC_Product_Characteristics"/>
      <sheetName val="BASIC_ASSUMPTION"/>
      <sheetName val="dl_asset(th'01)"/>
      <sheetName val="tabel_nilai"/>
      <sheetName val="data_(2)"/>
      <sheetName val="Form_2-FRG"/>
      <sheetName val="BELI__SEPTEMBER"/>
      <sheetName val="A_4_3"/>
      <sheetName val="A_4_2"/>
      <sheetName val="RumusTB_1_bln"/>
      <sheetName val="I_4_1_(2)"/>
      <sheetName val="Penyusutan_Kendaraan"/>
      <sheetName val="scope_of_works"/>
      <sheetName val="A-Operations_Cashflow1"/>
      <sheetName val="Upload_Roadmap1001171"/>
      <sheetName val="Library_Procedures"/>
      <sheetName val="Taxes_&amp;_Deductions"/>
      <sheetName val="rekap_kategori_gangguan"/>
      <sheetName val="GL_ACCOUNT"/>
      <sheetName val="kode_akun"/>
      <sheetName val="Non-Statistical_Sampling_Master"/>
      <sheetName val="Two_Step_Revenue_Testing_Master"/>
      <sheetName val="Global_Data"/>
      <sheetName val="U2_5_RM_From_Purhase"/>
      <sheetName val="Invested_capital_VDF"/>
      <sheetName val="PV_of_Op_Leases_VDF"/>
      <sheetName val="Income_Statement_VDF"/>
      <sheetName val="NB_UNIT2"/>
      <sheetName val="_BEP-1999"/>
      <sheetName val="Construction_Period_Costs"/>
      <sheetName val="Plant_Characteristics"/>
      <sheetName val="Jenis Pelatihan"/>
      <sheetName val="IRR sponsor"/>
      <sheetName val="RefG"/>
      <sheetName val="C"/>
      <sheetName val="M"/>
      <sheetName val="Bank Recon"/>
      <sheetName val="F1771-2"/>
      <sheetName val="TB KONS PIT 2019"/>
      <sheetName val="Source HPI"/>
      <sheetName val="Source HP"/>
      <sheetName val="HPP_19_"/>
      <sheetName val="Nov"/>
      <sheetName val="tbl"/>
      <sheetName val="L_23"/>
      <sheetName val="FP_JUAL_"/>
      <sheetName val="L-R"/>
      <sheetName val="RKAP"/>
      <sheetName val="dapeg lama"/>
      <sheetName val="PDPKonstruksi"/>
      <sheetName val="HARDY_BQ _rev_"/>
      <sheetName val="TBM"/>
      <sheetName val="Notes"/>
      <sheetName val="Shareholders_ Equity"/>
      <sheetName val="Picklist"/>
      <sheetName val="Kesbank"/>
      <sheetName val="data_ee_&lt;nra(2)"/>
      <sheetName val="Worksheet-03"/>
      <sheetName val="Charge Code"/>
      <sheetName val="Cover-Group"/>
      <sheetName val="note_defect"/>
      <sheetName val="07-01"/>
      <sheetName val="SDH"/>
      <sheetName val="Formulas"/>
      <sheetName val="SOL Budget 2008"/>
      <sheetName val="NAMA DEPT"/>
      <sheetName val="jl 03"/>
      <sheetName val="MP3"/>
      <sheetName val="PGCC and ITEM"/>
      <sheetName val="List"/>
      <sheetName val="dwa-01"/>
      <sheetName val="HRG BHN"/>
      <sheetName val="Pipe"/>
      <sheetName val="Comp equip"/>
      <sheetName val="Div2"/>
      <sheetName val="Profil"/>
      <sheetName val="Rkp"/>
      <sheetName val="Perm. Test"/>
      <sheetName val="SKK"/>
      <sheetName val="HRG_BHN"/>
      <sheetName val="Perm__Test"/>
      <sheetName val="H036HO"/>
      <sheetName val="比較表"/>
      <sheetName val="Component Details"/>
      <sheetName val="Other Inputs"/>
      <sheetName val="Budget_11_12"/>
      <sheetName val="Forecast 11_12"/>
      <sheetName val="Last Year 10_11"/>
      <sheetName val="Ref"/>
      <sheetName val="Summary Table"/>
      <sheetName val="Telephone &amp; KSO Rev"/>
      <sheetName val="Summary_Table"/>
      <sheetName val="TARGET KALTIM"/>
      <sheetName val="PPH1298S"/>
      <sheetName val="BDT"/>
      <sheetName val="Cost"/>
      <sheetName val="VPR"/>
      <sheetName val="tc"/>
      <sheetName val="A1"/>
      <sheetName val="Sum All"/>
      <sheetName val="jan04"/>
      <sheetName val="~By Brand"/>
      <sheetName val="Volume &amp; OCI vs. Budget"/>
      <sheetName val="Volume &amp; OCI vs. PY"/>
      <sheetName val="~By Market_OCI"/>
      <sheetName val="~By Market_vol"/>
      <sheetName val="~By Region_vol"/>
      <sheetName val="~Options_vol"/>
      <sheetName val="CR2"/>
      <sheetName val="xlSVH_T"/>
      <sheetName val="CUMULATIVE"/>
      <sheetName val="FEB O4"/>
      <sheetName val="チャネル別売上数量"/>
      <sheetName val="Q1"/>
      <sheetName val="PEMAKAIAN PAKAN &amp; OBAT"/>
      <sheetName val="Companies"/>
      <sheetName val="FX"/>
      <sheetName val="BSliRp"/>
      <sheetName val="1257"/>
      <sheetName val="Workflow"/>
      <sheetName val="List&amp;Lookup"/>
      <sheetName val="code2"/>
      <sheetName val="gg.1"/>
      <sheetName val="F1771-IV"/>
      <sheetName val="F1771-V"/>
      <sheetName val="DAILY BANK"/>
      <sheetName val="Customer Rel Powertrain"/>
      <sheetName val="Rinc RAB"/>
      <sheetName val="E"/>
      <sheetName val="K"/>
      <sheetName val="XLR_NoRangeSheet"/>
      <sheetName val="Sat~Bahu"/>
      <sheetName val="경비2내역"/>
      <sheetName val="Estimate"/>
      <sheetName val="Agregat Halus &amp; Kasar"/>
      <sheetName val="GiaVL"/>
      <sheetName val="harga dasar"/>
      <sheetName val="Legend"/>
      <sheetName val="VV보온LINK"/>
      <sheetName val="SYMBOL"/>
      <sheetName val="RT13526 CPI"/>
      <sheetName val="4-Basic Price"/>
      <sheetName val="ARC"/>
      <sheetName val="DISPOSE"/>
      <sheetName val="DPKlah"/>
      <sheetName val="REKAP A BESAR"/>
      <sheetName val="TEKNIS"/>
      <sheetName val="石炭性状"/>
      <sheetName val="BQ29"/>
      <sheetName val="ELKP"/>
      <sheetName val="RES-BLN INI"/>
      <sheetName val="RES-SD BLN INI"/>
      <sheetName val="BOQ_INT"/>
      <sheetName val="UNIT 3"/>
      <sheetName val="Kuantitas &amp; Harga"/>
      <sheetName val="Individual Gross Profit J - Aug"/>
      <sheetName val="이자율"/>
      <sheetName val="Fill this out first___"/>
      <sheetName val="PK RM"/>
      <sheetName val="Sheet5"/>
      <sheetName val="Sheet6"/>
      <sheetName val="Sheet7"/>
      <sheetName val="Sheet9"/>
      <sheetName val="Sheet20"/>
      <sheetName val="Sheet12"/>
      <sheetName val="NewFunding"/>
      <sheetName val="Graphs"/>
      <sheetName val="RunOff"/>
      <sheetName val="Bid"/>
      <sheetName val="UV.10"/>
      <sheetName val="Step"/>
      <sheetName val="HSD"/>
      <sheetName val="Analisa Harga Satuan"/>
      <sheetName val="Harga Material"/>
      <sheetName val="rkp-bgt"/>
      <sheetName val="GRFK BJR_TT_00"/>
      <sheetName val="GRFK BJR_TT_01"/>
      <sheetName val="GRFK BJR_TT_02"/>
      <sheetName val="GRFK BJR_TT_03"/>
      <sheetName val="GRFK BJR_TT_04"/>
      <sheetName val="GRFK BJR_SBB_00"/>
      <sheetName val="GRFK BJR_SBB_01"/>
      <sheetName val="GRFK BJR_SBB_02"/>
      <sheetName val="GRFK BJR_TGS_02"/>
      <sheetName val="GRFK BJR_TGS_03"/>
      <sheetName val="GRFK BJR_SK1_01"/>
      <sheetName val="GRFK BJR_SKB_03"/>
      <sheetName val="GRFK BJR_MTL_02"/>
      <sheetName val="GRFK BJR_SBH_03"/>
      <sheetName val="GRFK BJR_TNB_04"/>
      <sheetName val="GRFK BJR_SBU_04"/>
      <sheetName val="tonper Ha-TT 2000"/>
      <sheetName val="DATA _TM _2_"/>
      <sheetName val="DATA TAHUN TANAM"/>
      <sheetName val="1"/>
      <sheetName val="II"/>
      <sheetName val="Kertas Kerja IU"/>
      <sheetName val="RKB1"/>
      <sheetName val="RKB2"/>
      <sheetName val="RKB3"/>
      <sheetName val="RKB4"/>
      <sheetName val="INDIRECT DETAIL"/>
      <sheetName val="ProArcInfo"/>
      <sheetName val="UMR"/>
      <sheetName val="Mat_P3"/>
      <sheetName val="Mat_LOG"/>
      <sheetName val="main_harga"/>
      <sheetName val="Jns Order P3"/>
      <sheetName val="Jns Orde LOG"/>
      <sheetName val="sp2"/>
      <sheetName val="EN10216;2002"/>
      <sheetName val="EN10028;2003"/>
      <sheetName val="EN 12952-2;2001"/>
      <sheetName val="MAT'LGROUP"/>
      <sheetName val="CtrList"/>
      <sheetName val="mandiri 790"/>
      <sheetName val="budget idr"/>
      <sheetName val="ytd _dept_"/>
      <sheetName val="FS (2)"/>
      <sheetName val="tahunan"/>
      <sheetName val="LN"/>
      <sheetName val="NONNRC"/>
      <sheetName val="TB-Dec05 ID2"/>
      <sheetName val="spec"/>
      <sheetName val="t"/>
      <sheetName val="Upah SKUB"/>
      <sheetName val="Isian"/>
      <sheetName val="__BP_vs_SPR_(TTL_Impact)"/>
      <sheetName val="Names"/>
      <sheetName val="Sat. Pek."/>
      <sheetName val="DAT-1"/>
      <sheetName val="Budget"/>
      <sheetName val="Fomat  1"/>
      <sheetName val="손익예상"/>
      <sheetName val="template baru"/>
      <sheetName val="Contents"/>
      <sheetName val="Current PTD"/>
      <sheetName val="NEGARA"/>
      <sheetName val="Koreksi"/>
      <sheetName val="UshDeb00"/>
      <sheetName val="Pengalaman Per"/>
      <sheetName val="KPB"/>
      <sheetName val="見積PL飲"/>
      <sheetName val="EDTL"/>
      <sheetName val="GLdownload"/>
      <sheetName val="CRITERIA3"/>
      <sheetName val="CV MAY09"/>
      <sheetName val="JV APRIL09"/>
      <sheetName val="JV AUGUST09"/>
      <sheetName val="JV JULY09"/>
      <sheetName val="JV JUNE09"/>
      <sheetName val="JV MAY09"/>
      <sheetName val="Owners"/>
      <sheetName val="Matrix_Model"/>
      <sheetName val="FF-1"/>
      <sheetName val="costing_by_deliote1"/>
      <sheetName val="GD-BHN_KEMASAN1"/>
      <sheetName val="GD-BB_Kt__A1"/>
      <sheetName val="AR_Days-JHHP_Group1"/>
      <sheetName val="TH_VL,_NC,_DDHT_Thanhphuoc"/>
      <sheetName val="Shareholders__Equity"/>
      <sheetName val="Read Me"/>
      <sheetName val="Instructions Fin Pack"/>
      <sheetName val="instalasi disp Mei"/>
      <sheetName val="bahan"/>
      <sheetName val="upah"/>
      <sheetName val="Currency"/>
      <sheetName val="Net Assets"/>
      <sheetName val="Gmd3"/>
      <sheetName val="Data WP"/>
      <sheetName val="HO Use"/>
      <sheetName val="Monthly"/>
      <sheetName val="BGT Cashflow"/>
      <sheetName val="Option List"/>
      <sheetName val="BELI"/>
      <sheetName val="Cash Flow - CY Workings"/>
      <sheetName val="CGSgm2"/>
      <sheetName val="CGSsp"/>
      <sheetName val="BAG_III"/>
      <sheetName val="Hrn I"/>
      <sheetName val="Hrn II"/>
      <sheetName val="Hrn III"/>
      <sheetName val="HB "/>
      <sheetName val="Irregular Income"/>
      <sheetName val="P&amp;L98"/>
      <sheetName val="FORM01"/>
      <sheetName val="Basic_Information"/>
      <sheetName val="TOWN"/>
      <sheetName val="ALEK"/>
      <sheetName val="Exchange Rates"/>
      <sheetName val="PROJ CASH"/>
      <sheetName val="Purchase Order (2)"/>
      <sheetName val="Customize Your Purchase Order"/>
      <sheetName val="HARGA ALAT"/>
      <sheetName val="Harga Satuan"/>
      <sheetName val="AC"/>
      <sheetName val="XREF"/>
      <sheetName val="5312Lead"/>
      <sheetName val="description"/>
      <sheetName val="PEMAKAIAN PAKAN _ OBAT"/>
      <sheetName val="1721"/>
      <sheetName val="Index Logo"/>
      <sheetName val="Consolidation Worksheet"/>
      <sheetName val="Daftar Upah"/>
      <sheetName val="HS"/>
      <sheetName val="AHS"/>
      <sheetName val="ANTEK"/>
      <sheetName val="COSTMAR"/>
      <sheetName val="B28(old version)"/>
      <sheetName val="Kredit"/>
      <sheetName val="CALK 2015"/>
      <sheetName val="Work_Sheet_2015 awal"/>
      <sheetName val="Buku Besar"/>
      <sheetName val="saldounitkerja"/>
      <sheetName val="Saldo Juni"/>
      <sheetName val="01ADDL.F.A."/>
      <sheetName val="PC_1"/>
      <sheetName val="data07fib"/>
      <sheetName val="tr"/>
      <sheetName val="Capex-PC"/>
      <sheetName val="Prod-Stat"/>
      <sheetName val="Kalkulasi Loan"/>
      <sheetName val="SAD"/>
      <sheetName val="Detail"/>
      <sheetName val="Tableau"/>
      <sheetName val="Benefit_Tab"/>
      <sheetName val="output"/>
      <sheetName val="summary_frm_output"/>
      <sheetName val="decr_table"/>
      <sheetName val="Input_tables"/>
      <sheetName val="PSC_Calc"/>
      <sheetName val="BP1_23"/>
      <sheetName val="acc"/>
      <sheetName val="KKP 01 Audit"/>
      <sheetName val="EXC-R"/>
      <sheetName val="Davina"/>
      <sheetName val="Page_2"/>
      <sheetName val="GEMiner"/>
      <sheetName val="Sheet994"/>
      <sheetName val="IPIndex"/>
      <sheetName val="Sheet1369"/>
      <sheetName val="Comparable Firms"/>
      <sheetName val="AILC004"/>
      <sheetName val="MainMen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/>
      <sheetData sheetId="830"/>
      <sheetData sheetId="831"/>
      <sheetData sheetId="832"/>
      <sheetData sheetId="833"/>
      <sheetData sheetId="834"/>
      <sheetData sheetId="835" refreshError="1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 refreshError="1"/>
      <sheetData sheetId="1049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/>
      <sheetData sheetId="1223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 refreshError="1"/>
      <sheetData sheetId="1420"/>
      <sheetData sheetId="1421"/>
      <sheetData sheetId="1422"/>
      <sheetData sheetId="1423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 refreshError="1"/>
      <sheetData sheetId="1614"/>
      <sheetData sheetId="1615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/>
      <sheetData sheetId="1664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/>
      <sheetData sheetId="1814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/>
      <sheetData sheetId="1903"/>
      <sheetData sheetId="1904"/>
      <sheetData sheetId="1905"/>
      <sheetData sheetId="1906"/>
      <sheetData sheetId="1907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/>
      <sheetData sheetId="194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/>
      <sheetData sheetId="1988" refreshError="1"/>
      <sheetData sheetId="1989"/>
      <sheetData sheetId="1990"/>
      <sheetData sheetId="1991"/>
      <sheetData sheetId="1992"/>
      <sheetData sheetId="1993"/>
      <sheetData sheetId="1994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/>
      <sheetData sheetId="2070" refreshError="1"/>
      <sheetData sheetId="2071" refreshError="1"/>
      <sheetData sheetId="2072"/>
      <sheetData sheetId="2073"/>
      <sheetData sheetId="2074"/>
      <sheetData sheetId="2075" refreshError="1"/>
      <sheetData sheetId="2076" refreshError="1"/>
      <sheetData sheetId="207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PL"/>
      <sheetName val="Guidance"/>
      <sheetName val="Balance Sheet"/>
      <sheetName val="Income Statement"/>
      <sheetName val="Graphs"/>
      <sheetName val="Graphs Data"/>
      <sheetName val="Ratios"/>
      <sheetName val="Other procedures"/>
      <sheetName val="TB ela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WIN"/>
      <sheetName val="Permanent info"/>
      <sheetName val="Marshal"/>
      <sheetName val="F1771"/>
      <sheetName val="F1771-I"/>
      <sheetName val="F1771-V"/>
      <sheetName val="F1771-IA"/>
      <sheetName val="F1771-II"/>
      <sheetName val="F1771-III"/>
      <sheetName val="Depreciation  schedule "/>
      <sheetName val="Penyusutan"/>
      <sheetName val="Attach"/>
      <sheetName val="interest"/>
      <sheetName val="Lampiran"/>
      <sheetName val="disposal"/>
      <sheetName val="fiscal depr(E)"/>
      <sheetName val="fiscal depr. (I)"/>
      <sheetName val="Cadangan premi"/>
      <sheetName val="amortisasi"/>
      <sheetName val="supervision"/>
      <sheetName val="Rounding off"/>
      <sheetName val="fiscal depr_E_"/>
      <sheetName val="C1 NOV"/>
      <sheetName val="A"/>
      <sheetName val="9"/>
      <sheetName val="Dashboard"/>
      <sheetName val="Data_Umum"/>
      <sheetName val="Populasi"/>
      <sheetName val="5"/>
      <sheetName val="Control"/>
      <sheetName val="Contents"/>
      <sheetName val="Instructions"/>
      <sheetName val="Sum All"/>
      <sheetName val="JUAL_STD"/>
      <sheetName val="WP"/>
      <sheetName val="CODE"/>
      <sheetName val="REv DCR Kar"/>
      <sheetName val="BCA Stat"/>
      <sheetName val="Interactive_Chart1"/>
      <sheetName val="Interactive_Chart2"/>
      <sheetName val="CRITERIA3"/>
      <sheetName val="E4.1d"/>
      <sheetName val="trial"/>
      <sheetName val="Resource Costs"/>
      <sheetName val="Data"/>
      <sheetName val="Work Requirement"/>
      <sheetName val="Rental"/>
      <sheetName val="Tabel Kode"/>
      <sheetName val="CRITERIA1"/>
      <sheetName val="Source"/>
      <sheetName val="Danamon LK"/>
      <sheetName val="DataC&amp;S"/>
      <sheetName val="Cash Estimate Local"/>
      <sheetName val="worksheet"/>
      <sheetName val="6385000"/>
      <sheetName val=".5 Additional"/>
      <sheetName val=".6 Depresiasi"/>
      <sheetName val=".3 Mutasi Final"/>
      <sheetName val="RATE"/>
      <sheetName val="3M Indonesia (9011-001)"/>
      <sheetName val="calendar"/>
      <sheetName val="Data Sheet"/>
      <sheetName val="PPH GB"/>
      <sheetName val="NOTES "/>
      <sheetName val="INFORMATION"/>
      <sheetName val="BALANCE SHEET"/>
      <sheetName val="設備費内訳"/>
      <sheetName val="検具"/>
      <sheetName val="仕様確認"/>
      <sheetName val="Data "/>
      <sheetName val="Sheet4"/>
      <sheetName val="Saldo Awal 2006"/>
      <sheetName val="Monthly Data"/>
      <sheetName val="DbKtr"/>
      <sheetName val="Sheet1"/>
      <sheetName val="Index"/>
      <sheetName val="Deferred Rev"/>
      <sheetName val="Variance_Report"/>
      <sheetName val="Consolidated_Forecast"/>
      <sheetName val="Consolidated_Actuals"/>
      <sheetName val="Permanent_info"/>
      <sheetName val="Depreciation__schedule_"/>
      <sheetName val="fiscal_depr(E)"/>
      <sheetName val="fiscal_depr__(I)"/>
      <sheetName val="Cadangan_premi"/>
      <sheetName val="Rounding_off"/>
      <sheetName val="fiscal_depr_E_"/>
      <sheetName val="Family"/>
      <sheetName val="Lead"/>
      <sheetName val="11b"/>
      <sheetName val="SUD"/>
      <sheetName val="JV Form"/>
      <sheetName val="MRC1"/>
      <sheetName val="Val_Ind"/>
      <sheetName val="Val_Mean"/>
      <sheetName val="Para_Assumption"/>
      <sheetName val="Mult_Decrement"/>
      <sheetName val="Val_Result"/>
      <sheetName val="Plan_Rules"/>
      <sheetName val="???1?"/>
      <sheetName val="DPS OK"/>
      <sheetName val="Principale"/>
      <sheetName val="FF-5"/>
      <sheetName val="MMIP(JU)"/>
      <sheetName val="F-1&amp;F-2"/>
      <sheetName val="Calculations"/>
      <sheetName val="KREDIT&amp;MASA"/>
      <sheetName val="CITR98Final2"/>
      <sheetName val="Marshal (2)"/>
      <sheetName val="COMB"/>
      <sheetName val="Menu"/>
      <sheetName val="AP Trade"/>
      <sheetName val="TBDec03"/>
      <sheetName val="DATA21"/>
      <sheetName val="Salesanalysis"/>
      <sheetName val="PEG"/>
      <sheetName val="01ACT_Pack"/>
      <sheetName val="02EA_Pack"/>
      <sheetName val="03EA_Pack"/>
      <sheetName val="03PP_Pack"/>
      <sheetName val="Ex-Rate"/>
      <sheetName val="IMS Trend"/>
      <sheetName val="Other charges (income)"/>
      <sheetName val="PPAP2"/>
      <sheetName val="Cash Estimate Local Q1"/>
      <sheetName val="Cash Estmate $ Q1"/>
      <sheetName val="Ex_Rate"/>
      <sheetName val="Data23"/>
      <sheetName val="Data26"/>
      <sheetName val="LIST"/>
      <sheetName val="E-4.6ANADARCO"/>
      <sheetName val="N-4.4ELNUSA -HOLDING"/>
      <sheetName val="U-2.1detail cost of sales"/>
      <sheetName val="Calcs"/>
      <sheetName val="Original"/>
      <sheetName val="Data Ben"/>
      <sheetName val="CUSTOMER"/>
      <sheetName val="TAG-GAJI"/>
      <sheetName val="Daftar Karyawan"/>
      <sheetName val="ABS Jun ~Juli 2011"/>
      <sheetName val="WHT_21"/>
      <sheetName val="Template "/>
      <sheetName val="Data Client"/>
      <sheetName val="Penyusutan Kendaraan"/>
      <sheetName val="GeneralInfo"/>
      <sheetName val="(Global Parameters)"/>
      <sheetName val="D"/>
      <sheetName val="Dumtk"/>
      <sheetName val="Premi Iuran"/>
      <sheetName val="Sheet2"/>
      <sheetName val="Invoice"/>
      <sheetName val="C-200"/>
      <sheetName val="ANLKL"/>
      <sheetName val="Farmer-Pond-Monodon"/>
      <sheetName val="Data Base"/>
      <sheetName val="A6A"/>
      <sheetName val="Indeks"/>
      <sheetName val="adj"/>
      <sheetName val="ALVXXL01"/>
      <sheetName val="AA.1.1 BNI"/>
      <sheetName val="Marks-up"/>
      <sheetName val="Statutory Query"/>
      <sheetName val="Sheet3"/>
      <sheetName val="ner"/>
      <sheetName val="Posting"/>
      <sheetName val="POMALAA"/>
      <sheetName val="data2004"/>
      <sheetName val="E4_1d"/>
      <sheetName val="date"/>
      <sheetName val="___1_"/>
      <sheetName val="FE-1770-I"/>
      <sheetName val="FE-1770.P1"/>
      <sheetName val="FE-1770-II"/>
      <sheetName val="SELLING PRICE"/>
      <sheetName val="Setle-Carloan"/>
      <sheetName val="MGM_Forecast"/>
      <sheetName val="MTot_Fcast"/>
      <sheetName val="WP-230420 2009"/>
      <sheetName val="BalanceSummary"/>
      <sheetName val="C1_NOV"/>
      <sheetName val="REv_DCR_Kar"/>
      <sheetName val="BCA_Stat"/>
      <sheetName val="Sum_All"/>
      <sheetName val="Resource_Costs"/>
      <sheetName val="Work_Requirement"/>
      <sheetName val="Tabel_Kode"/>
      <sheetName val="Danamon_LK"/>
      <sheetName val="Cash_Estimate_Local"/>
      <sheetName val="_5_Additional"/>
      <sheetName val="3M_Indonesia_(9011-001)"/>
      <sheetName val="_3_Mutasi_Final"/>
      <sheetName val="Data_Sheet"/>
      <sheetName val="PPH_GB"/>
      <sheetName val="NOTES_"/>
      <sheetName val="BALANCE_SHEET"/>
      <sheetName val="_6_Depresiasi"/>
      <sheetName val="Data_"/>
      <sheetName val="Saldo_Awal_2006"/>
      <sheetName val="Monthly_Data"/>
      <sheetName val="Retail Pt days"/>
      <sheetName val="TRGREV vs REVXXXSWL"/>
      <sheetName val="TRGREV Summary"/>
      <sheetName val="REVXXXSWL Summary"/>
      <sheetName val="coeffs"/>
      <sheetName val="Check Sheet"/>
      <sheetName val="Front"/>
      <sheetName val="PLHO Report"/>
      <sheetName val="PLHOENG"/>
      <sheetName val="load"/>
      <sheetName val="ACT Cashflow"/>
      <sheetName val="Workshop Tools"/>
      <sheetName val="FX Rates"/>
      <sheetName val="Profile"/>
      <sheetName val="Marshal -1"/>
      <sheetName val="M_(3q2007)"/>
      <sheetName val="Budget04"/>
      <sheetName val="daftar"/>
      <sheetName val="#REF"/>
      <sheetName val="EXRA"/>
      <sheetName val="A. Data Permintaan Produk"/>
      <sheetName val="C. Data Faktur "/>
      <sheetName val="Data Kalender"/>
      <sheetName val="M. Data Biaya Kirim"/>
      <sheetName val="S e p"/>
      <sheetName val="M a r"/>
      <sheetName val="M a y"/>
      <sheetName val="J u l"/>
      <sheetName val="A p r"/>
      <sheetName val="A u g"/>
      <sheetName val="O c t"/>
      <sheetName val="J u n"/>
      <sheetName val="N o v"/>
      <sheetName val="F e b"/>
      <sheetName val="J a n"/>
      <sheetName val="00 received in 01"/>
      <sheetName val="01"/>
      <sheetName val="COA0103"/>
      <sheetName val="TAX ON SALARY"/>
      <sheetName val="Rekap Cop&amp;Mop Nov 07"/>
      <sheetName val="Dbasepesut"/>
      <sheetName val="Income Statement"/>
      <sheetName val="6510200"/>
      <sheetName val="Attachement"/>
      <sheetName val="VAT out"/>
      <sheetName val="Markas"/>
      <sheetName val="3.kurdin-Bag"/>
      <sheetName val="2.Gaji-Bag"/>
      <sheetName val="Ags"/>
      <sheetName val="Nop"/>
      <sheetName val="Okt"/>
      <sheetName val="tempxxl"/>
      <sheetName val="原紙"/>
      <sheetName val="Permanent_info1"/>
      <sheetName val="Depreciation__schedule_1"/>
      <sheetName val="fiscal_depr(E)1"/>
      <sheetName val="fiscal_depr__(I)1"/>
      <sheetName val="Cadangan_premi1"/>
      <sheetName val="Rounding_off1"/>
      <sheetName val="fiscal_depr_E_1"/>
      <sheetName val="Deferred_Rev"/>
      <sheetName val="bayar_04_fak"/>
      <sheetName val="DBASE"/>
      <sheetName val="TABLE"/>
      <sheetName val="Form A-Input-Current2005"/>
      <sheetName val="Assumes"/>
      <sheetName val="1200.1.1.1 Detail Mesin PA3"/>
      <sheetName val="Data_Sheet1"/>
      <sheetName val="PPH_GB1"/>
      <sheetName val="NOTES_1"/>
      <sheetName val="BALANCE_SHEET1"/>
      <sheetName val="C1_NOV1"/>
      <sheetName val="REv_DCR_Kar1"/>
      <sheetName val="BCA_Stat1"/>
      <sheetName val="Sum_All1"/>
      <sheetName val="E4_1d1"/>
      <sheetName val="Cash_Estimate_Local1"/>
      <sheetName val="Resource_Costs1"/>
      <sheetName val="Work_Requirement1"/>
      <sheetName val="3M_Indonesia_(9011-001)1"/>
      <sheetName val="Saldo_Awal_20061"/>
      <sheetName val="Monthly_Data1"/>
      <sheetName val="JV_Form"/>
      <sheetName val="Danamon_LK1"/>
      <sheetName val="Tabel_Kode1"/>
      <sheetName val="Data_1"/>
      <sheetName val="Daftar_Karyawan"/>
      <sheetName val="ABS_Jun_~Juli_2011"/>
      <sheetName val="_5_Additional1"/>
      <sheetName val="_6_Depresiasi1"/>
      <sheetName val="_3_Mutasi_Final1"/>
      <sheetName val="DPS_OK"/>
      <sheetName val="IMS_Trend"/>
      <sheetName val="Cash_Estimate_Local_Q1"/>
      <sheetName val="Cash_Estmate_$_Q1"/>
      <sheetName val="Other_charges_(income)"/>
      <sheetName val="E-4_6ANADARCO"/>
      <sheetName val="N-4_4ELNUSA_-HOLDING"/>
      <sheetName val="Marshal_(2)"/>
      <sheetName val="U-2_1detail_cost_of_sales"/>
      <sheetName val="Template_"/>
      <sheetName val="Data_Client"/>
      <sheetName val="Penyusutan_Kendaraan"/>
      <sheetName val="(Global_Parameters)"/>
      <sheetName val="FE-1770_P1"/>
      <sheetName val="3_kurdin-Bag"/>
      <sheetName val="2_Gaji-Bag"/>
      <sheetName val="Data_Ben"/>
      <sheetName val="TRGREV_vs_REVXXXSWL"/>
      <sheetName val="TRGREV_Summary"/>
      <sheetName val="REVXXXSWL_Summary"/>
      <sheetName val="Retail_Pt_days"/>
      <sheetName val="AP_Trade"/>
      <sheetName val="Statutory_Query"/>
      <sheetName val="SELLING_PRICE"/>
      <sheetName val="100100-100220"/>
      <sheetName val="HUT-MESIN"/>
      <sheetName val="DownloadData"/>
      <sheetName val="DATA KYW"/>
      <sheetName val="MALE"/>
      <sheetName val="SING"/>
      <sheetName val="SRI L"/>
      <sheetName val="VIET"/>
      <sheetName val="AA_1_1_BNI"/>
      <sheetName val="Income_Statement"/>
      <sheetName val="Premi_Iuran"/>
      <sheetName val="Data_Base"/>
      <sheetName val="TAX_ON_SALARY"/>
      <sheetName val="WP-230420_2009"/>
      <sheetName val="Permanent_info2"/>
      <sheetName val="Depreciation__schedule_2"/>
      <sheetName val="fiscal_depr(E)2"/>
      <sheetName val="fiscal_depr__(I)2"/>
      <sheetName val="Cadangan_premi2"/>
      <sheetName val="Rounding_off2"/>
      <sheetName val="fiscal_depr_E_2"/>
      <sheetName val="Data_2"/>
      <sheetName val="C1_NOV2"/>
      <sheetName val="REv_DCR_Kar2"/>
      <sheetName val="BCA_Stat2"/>
      <sheetName val="Daftar_Karyawan1"/>
      <sheetName val="ABS_Jun_~Juli_20111"/>
      <sheetName val="Sum_All2"/>
      <sheetName val="E4_1d2"/>
      <sheetName val="Resource_Costs2"/>
      <sheetName val="Work_Requirement2"/>
      <sheetName val="3M_Indonesia_(9011-001)2"/>
      <sheetName val="Data_Sheet2"/>
      <sheetName val="PPH_GB2"/>
      <sheetName val="NOTES_2"/>
      <sheetName val="BALANCE_SHEET2"/>
      <sheetName val="Saldo_Awal_20062"/>
      <sheetName val="Monthly_Data2"/>
      <sheetName val="JV_Form1"/>
      <sheetName val="Danamon_LK2"/>
      <sheetName val="Cash_Estimate_Local2"/>
      <sheetName val="Template_1"/>
      <sheetName val="Data_Client1"/>
      <sheetName val="Penyusutan_Kendaraan1"/>
      <sheetName val="(Global_Parameters)1"/>
      <sheetName val="Statutory_Query1"/>
      <sheetName val="Tabel_Kode2"/>
      <sheetName val="Deferred_Rev1"/>
      <sheetName val="DPS_OK1"/>
      <sheetName val="AA_1_1_BNI1"/>
      <sheetName val="Income_Statement1"/>
      <sheetName val="_5_Additional2"/>
      <sheetName val="Marshal_(2)1"/>
      <sheetName val="_3_Mutasi_Final2"/>
      <sheetName val="_6_Depresiasi2"/>
      <sheetName val="Other_charges_(income)1"/>
      <sheetName val="Cash_Estimate_Local_Q11"/>
      <sheetName val="Cash_Estmate_$_Q11"/>
      <sheetName val="Data_Ben1"/>
      <sheetName val="IMS_Trend1"/>
      <sheetName val="Premi_Iuran1"/>
      <sheetName val="Data_Base1"/>
      <sheetName val="E-4_6ANADARCO1"/>
      <sheetName val="N-4_4ELNUSA_-HOLDING1"/>
      <sheetName val="U-2_1detail_cost_of_sales1"/>
      <sheetName val="FE-1770_P11"/>
      <sheetName val="TAX_ON_SALARY1"/>
      <sheetName val="Retail_Pt_days1"/>
      <sheetName val="TRGREV_vs_REVXXXSWL1"/>
      <sheetName val="TRGREV_Summary1"/>
      <sheetName val="REVXXXSWL_Summary1"/>
      <sheetName val="AP_Trade1"/>
      <sheetName val="SELLING_PRICE1"/>
      <sheetName val="WP-230420_20091"/>
      <sheetName val="MasterSheet"/>
      <sheetName val="WPL"/>
      <sheetName val="THCT"/>
      <sheetName val="THDZ0,4"/>
      <sheetName val="TH DZ35"/>
      <sheetName val="THTram"/>
      <sheetName val="KLHT"/>
      <sheetName val="Account Code"/>
      <sheetName val="R&amp;P"/>
      <sheetName val="Permanent invo"/>
      <sheetName val="Balance_ISS_AS"/>
      <sheetName val="crushnsp"/>
      <sheetName val="pittonsp"/>
      <sheetName val="Nomor Id"/>
      <sheetName val="Allowance"/>
      <sheetName val="Trainer"/>
      <sheetName val="INCOME 2007"/>
      <sheetName val="Safety 2"/>
      <sheetName val="XREF"/>
      <sheetName val="F1771_II"/>
      <sheetName val="OLDDATA"/>
      <sheetName val="Sales"/>
      <sheetName val="2002"/>
      <sheetName val="PRODUCTION REPORTS"/>
      <sheetName val="tb"/>
      <sheetName val="PKP"/>
      <sheetName val="int-h wk1"/>
      <sheetName val="Data Asuransi"/>
      <sheetName val="Rmh Dinas"/>
      <sheetName val="Ex Rate"/>
      <sheetName val="Master"/>
      <sheetName val="①　BP vs SPR (TTL Impact)"/>
      <sheetName val="COSTSALES"/>
      <sheetName val="NAMA DEPT"/>
      <sheetName val="ACT_Cashflow"/>
      <sheetName val="Rekap_Cop&amp;Mop_Nov_07"/>
      <sheetName val="Check_Sheet"/>
      <sheetName val="PLHO_Report"/>
      <sheetName val="Form_A-Input-Current2005"/>
      <sheetName val="1200_1_1_1_Detail_Mesin_PA3"/>
      <sheetName val="S_e_p"/>
      <sheetName val="M_a_r"/>
      <sheetName val="M_a_y"/>
      <sheetName val="J_u_l"/>
      <sheetName val="A_p_r"/>
      <sheetName val="A_u_g"/>
      <sheetName val="O_c_t"/>
      <sheetName val="J_u_n"/>
      <sheetName val="N_o_v"/>
      <sheetName val="F_e_b"/>
      <sheetName val="J_a_n"/>
      <sheetName val="00_received_in_01"/>
      <sheetName val="Workshop_Tools"/>
      <sheetName val="FX_Rates"/>
      <sheetName val="Nomor_Id"/>
      <sheetName val="Ex_Rate1"/>
      <sheetName val="Marshal_-1"/>
      <sheetName val="Param"/>
      <sheetName val="Permanent_invo"/>
      <sheetName val="DATA_KYW"/>
      <sheetName val="Main"/>
      <sheetName val="Print Format"/>
      <sheetName val="Performance Detail SI"/>
      <sheetName val="PIVOT OH"/>
      <sheetName val="TB RBB"/>
      <sheetName val="TBSDW"/>
      <sheetName val="TBSL"/>
      <sheetName val="TB SME"/>
      <sheetName val="TBmaster"/>
      <sheetName val="PIVOT GM"/>
      <sheetName val="DCF"/>
      <sheetName val="Allgemein"/>
      <sheetName val="AST-Intern2000"/>
      <sheetName val="Codestable"/>
      <sheetName val="Effort.A"/>
      <sheetName val="Effort.P"/>
      <sheetName val="Proj Summ"/>
      <sheetName val="EigenValue"/>
      <sheetName val="DBシート"/>
      <sheetName val="TIV PACK"/>
      <sheetName val="CFWork"/>
      <sheetName val="ISQR"/>
      <sheetName val="Cost centre expenditure"/>
      <sheetName val="dbDJP"/>
      <sheetName val="Interbank detail"/>
      <sheetName val="Parameters"/>
      <sheetName val="Start-up financing"/>
      <sheetName val="Opex"/>
      <sheetName val="MainMenu"/>
      <sheetName val="Unearned premiums"/>
      <sheetName val="b4.sm"/>
      <sheetName val="FC"/>
      <sheetName val="SUMMARY NDE"/>
      <sheetName val="SCEN"/>
      <sheetName val="B_Spareparts"/>
      <sheetName val="Module2"/>
      <sheetName val="H.100Ye"/>
      <sheetName val="DataValidation"/>
      <sheetName val="Asumsi"/>
      <sheetName val="Maret 2007"/>
      <sheetName val="Permanent_info5"/>
      <sheetName val="Depreciation__schedule_5"/>
      <sheetName val="fiscal_depr(E)5"/>
      <sheetName val="fiscal_depr__(I)5"/>
      <sheetName val="Cadangan_premi5"/>
      <sheetName val="Rounding_off5"/>
      <sheetName val="fiscal_depr_E_5"/>
      <sheetName val="Data_Sheet5"/>
      <sheetName val="PPH_GB5"/>
      <sheetName val="NOTES_5"/>
      <sheetName val="BALANCE_SHEET5"/>
      <sheetName val="C1_NOV5"/>
      <sheetName val="Saldo_Awal_20065"/>
      <sheetName val="3M_Indonesia_(9011-001)5"/>
      <sheetName val="Monthly_Data5"/>
      <sheetName val="REv_DCR_Kar5"/>
      <sheetName val="BCA_Stat5"/>
      <sheetName val="Sum_All5"/>
      <sheetName val="E4_1d5"/>
      <sheetName val="Resource_Costs5"/>
      <sheetName val="Work_Requirement5"/>
      <sheetName val="JV_Form4"/>
      <sheetName val="Danamon_LK5"/>
      <sheetName val="Cash_Estimate_Local5"/>
      <sheetName val="Tabel_Kode5"/>
      <sheetName val="Data_5"/>
      <sheetName val="Daftar_Karyawan4"/>
      <sheetName val="ABS_Jun_~Juli_20114"/>
      <sheetName val="Deferred_Rev4"/>
      <sheetName val="DPS_OK4"/>
      <sheetName val="Template_4"/>
      <sheetName val="Data_Client4"/>
      <sheetName val="Penyusutan_Kendaraan4"/>
      <sheetName val="(Global_Parameters)4"/>
      <sheetName val="_5_Additional5"/>
      <sheetName val="_3_Mutasi_Final5"/>
      <sheetName val="_6_Depresiasi5"/>
      <sheetName val="Marshal_(2)4"/>
      <sheetName val="Other_charges_(income)4"/>
      <sheetName val="Cash_Estimate_Local_Q14"/>
      <sheetName val="Cash_Estmate_$_Q14"/>
      <sheetName val="Data_Ben4"/>
      <sheetName val="Premi_Iuran4"/>
      <sheetName val="IMS_Trend4"/>
      <sheetName val="E-4_6ANADARCO4"/>
      <sheetName val="N-4_4ELNUSA_-HOLDING4"/>
      <sheetName val="Data_Base4"/>
      <sheetName val="AA_1_1_BNI4"/>
      <sheetName val="Statutory_Query4"/>
      <sheetName val="U-2_1detail_cost_of_sales4"/>
      <sheetName val="SELLING_PRICE4"/>
      <sheetName val="ACT_Cashflow2"/>
      <sheetName val="Retail_Pt_days4"/>
      <sheetName val="TRGREV_vs_REVXXXSWL4"/>
      <sheetName val="TRGREV_Summary4"/>
      <sheetName val="REVXXXSWL_Summary4"/>
      <sheetName val="AP_Trade4"/>
      <sheetName val="FE-1770_P14"/>
      <sheetName val="Rekap_Cop&amp;Mop_Nov_072"/>
      <sheetName val="Check_Sheet2"/>
      <sheetName val="PLHO_Report2"/>
      <sheetName val="TAX_ON_SALARY4"/>
      <sheetName val="Income_Statement4"/>
      <sheetName val="WP-230420_20094"/>
      <sheetName val="S_e_p2"/>
      <sheetName val="M_a_r2"/>
      <sheetName val="M_a_y2"/>
      <sheetName val="J_u_l2"/>
      <sheetName val="A_p_r2"/>
      <sheetName val="A_u_g2"/>
      <sheetName val="O_c_t2"/>
      <sheetName val="J_u_n2"/>
      <sheetName val="N_o_v2"/>
      <sheetName val="F_e_b2"/>
      <sheetName val="J_a_n2"/>
      <sheetName val="00_received_in_012"/>
      <sheetName val="Workshop_Tools2"/>
      <sheetName val="FX_Rates2"/>
      <sheetName val="Form_A-Input-Current20052"/>
      <sheetName val="Permanent_info4"/>
      <sheetName val="Depreciation__schedule_4"/>
      <sheetName val="fiscal_depr(E)4"/>
      <sheetName val="fiscal_depr__(I)4"/>
      <sheetName val="Cadangan_premi4"/>
      <sheetName val="Rounding_off4"/>
      <sheetName val="fiscal_depr_E_4"/>
      <sheetName val="Data_Sheet4"/>
      <sheetName val="PPH_GB4"/>
      <sheetName val="NOTES_4"/>
      <sheetName val="BALANCE_SHEET4"/>
      <sheetName val="C1_NOV4"/>
      <sheetName val="Saldo_Awal_20064"/>
      <sheetName val="3M_Indonesia_(9011-001)4"/>
      <sheetName val="Monthly_Data4"/>
      <sheetName val="REv_DCR_Kar4"/>
      <sheetName val="BCA_Stat4"/>
      <sheetName val="Sum_All4"/>
      <sheetName val="E4_1d4"/>
      <sheetName val="Resource_Costs4"/>
      <sheetName val="Work_Requirement4"/>
      <sheetName val="JV_Form3"/>
      <sheetName val="Danamon_LK4"/>
      <sheetName val="Cash_Estimate_Local4"/>
      <sheetName val="Tabel_Kode4"/>
      <sheetName val="Data_4"/>
      <sheetName val="Daftar_Karyawan3"/>
      <sheetName val="ABS_Jun_~Juli_20113"/>
      <sheetName val="Deferred_Rev3"/>
      <sheetName val="DPS_OK3"/>
      <sheetName val="Template_3"/>
      <sheetName val="Data_Client3"/>
      <sheetName val="Penyusutan_Kendaraan3"/>
      <sheetName val="(Global_Parameters)3"/>
      <sheetName val="_5_Additional4"/>
      <sheetName val="_3_Mutasi_Final4"/>
      <sheetName val="_6_Depresiasi4"/>
      <sheetName val="Marshal_(2)3"/>
      <sheetName val="Other_charges_(income)3"/>
      <sheetName val="Cash_Estimate_Local_Q13"/>
      <sheetName val="Cash_Estmate_$_Q13"/>
      <sheetName val="Data_Ben3"/>
      <sheetName val="Premi_Iuran3"/>
      <sheetName val="IMS_Trend3"/>
      <sheetName val="E-4_6ANADARCO3"/>
      <sheetName val="N-4_4ELNUSA_-HOLDING3"/>
      <sheetName val="Data_Base3"/>
      <sheetName val="AA_1_1_BNI3"/>
      <sheetName val="Statutory_Query3"/>
      <sheetName val="U-2_1detail_cost_of_sales3"/>
      <sheetName val="SELLING_PRICE3"/>
      <sheetName val="ACT_Cashflow1"/>
      <sheetName val="Retail_Pt_days3"/>
      <sheetName val="TRGREV_vs_REVXXXSWL3"/>
      <sheetName val="TRGREV_Summary3"/>
      <sheetName val="REVXXXSWL_Summary3"/>
      <sheetName val="AP_Trade3"/>
      <sheetName val="FE-1770_P13"/>
      <sheetName val="Rekap_Cop&amp;Mop_Nov_071"/>
      <sheetName val="Check_Sheet1"/>
      <sheetName val="PLHO_Report1"/>
      <sheetName val="TAX_ON_SALARY3"/>
      <sheetName val="Income_Statement3"/>
      <sheetName val="WP-230420_20093"/>
      <sheetName val="S_e_p1"/>
      <sheetName val="M_a_r1"/>
      <sheetName val="M_a_y1"/>
      <sheetName val="J_u_l1"/>
      <sheetName val="A_p_r1"/>
      <sheetName val="A_u_g1"/>
      <sheetName val="O_c_t1"/>
      <sheetName val="J_u_n1"/>
      <sheetName val="N_o_v1"/>
      <sheetName val="F_e_b1"/>
      <sheetName val="J_a_n1"/>
      <sheetName val="00_received_in_011"/>
      <sheetName val="Workshop_Tools1"/>
      <sheetName val="FX_Rates1"/>
      <sheetName val="Form_A-Input-Current20051"/>
      <sheetName val="Permanent_info3"/>
      <sheetName val="Depreciation__schedule_3"/>
      <sheetName val="fiscal_depr(E)3"/>
      <sheetName val="fiscal_depr__(I)3"/>
      <sheetName val="Cadangan_premi3"/>
      <sheetName val="Rounding_off3"/>
      <sheetName val="fiscal_depr_E_3"/>
      <sheetName val="Data_Sheet3"/>
      <sheetName val="PPH_GB3"/>
      <sheetName val="NOTES_3"/>
      <sheetName val="BALANCE_SHEET3"/>
      <sheetName val="C1_NOV3"/>
      <sheetName val="Saldo_Awal_20063"/>
      <sheetName val="3M_Indonesia_(9011-001)3"/>
      <sheetName val="Monthly_Data3"/>
      <sheetName val="REv_DCR_Kar3"/>
      <sheetName val="BCA_Stat3"/>
      <sheetName val="Sum_All3"/>
      <sheetName val="E4_1d3"/>
      <sheetName val="Resource_Costs3"/>
      <sheetName val="Work_Requirement3"/>
      <sheetName val="JV_Form2"/>
      <sheetName val="Danamon_LK3"/>
      <sheetName val="Cash_Estimate_Local3"/>
      <sheetName val="Tabel_Kode3"/>
      <sheetName val="Data_3"/>
      <sheetName val="Daftar_Karyawan2"/>
      <sheetName val="ABS_Jun_~Juli_20112"/>
      <sheetName val="Deferred_Rev2"/>
      <sheetName val="DPS_OK2"/>
      <sheetName val="Template_2"/>
      <sheetName val="Data_Client2"/>
      <sheetName val="Penyusutan_Kendaraan2"/>
      <sheetName val="(Global_Parameters)2"/>
      <sheetName val="_5_Additional3"/>
      <sheetName val="_3_Mutasi_Final3"/>
      <sheetName val="_6_Depresiasi3"/>
      <sheetName val="Marshal_(2)2"/>
      <sheetName val="Other_charges_(income)2"/>
      <sheetName val="Cash_Estimate_Local_Q12"/>
      <sheetName val="Cash_Estmate_$_Q12"/>
      <sheetName val="Data_Ben2"/>
      <sheetName val="Premi_Iuran2"/>
      <sheetName val="IMS_Trend2"/>
      <sheetName val="E-4_6ANADARCO2"/>
      <sheetName val="N-4_4ELNUSA_-HOLDING2"/>
      <sheetName val="Data_Base2"/>
      <sheetName val="AA_1_1_BNI2"/>
      <sheetName val="Statutory_Query2"/>
      <sheetName val="U-2_1detail_cost_of_sales2"/>
      <sheetName val="SELLING_PRICE2"/>
      <sheetName val="Retail_Pt_days2"/>
      <sheetName val="TRGREV_vs_REVXXXSWL2"/>
      <sheetName val="TRGREV_Summary2"/>
      <sheetName val="REVXXXSWL_Summary2"/>
      <sheetName val="AP_Trade2"/>
      <sheetName val="FE-1770_P12"/>
      <sheetName val="TAX_ON_SALARY2"/>
      <sheetName val="Income_Statement2"/>
      <sheetName val="WP-230420_20092"/>
      <sheetName val="SUMMARY"/>
      <sheetName val="Royalty"/>
      <sheetName val="Contents (YE)"/>
      <sheetName val="PBC July 2011"/>
      <sheetName val="Db"/>
      <sheetName val="SAPDb"/>
      <sheetName val="BW-SERVICE"/>
      <sheetName val="PEB"/>
      <sheetName val="KKP 01 Audit"/>
      <sheetName val="SST Inv"/>
      <sheetName val="OFF"/>
      <sheetName val="Ranges"/>
      <sheetName val="DieCut"/>
      <sheetName val="TAMBAHAN"/>
      <sheetName val="Printing"/>
      <sheetName val="FORM"/>
      <sheetName val="FG"/>
      <sheetName val="June 10"/>
      <sheetName val="FAC"/>
      <sheetName val="tunj."/>
      <sheetName val="COA"/>
      <sheetName val="SPRS breakdown pricing"/>
      <sheetName val="DbCost"/>
      <sheetName val="Sheet1 (2)"/>
      <sheetName val="Sales Rental"/>
      <sheetName val="Sales Parameter"/>
      <sheetName val="Base Unit"/>
      <sheetName val="ER"/>
      <sheetName val="Cumul sal 0902"/>
      <sheetName val="Rém Normale"/>
      <sheetName val="ACCTS CHECK"/>
      <sheetName val="70120000"/>
      <sheetName val="WS"/>
      <sheetName val="H-1.3"/>
      <sheetName val="M.4_Goodwill"/>
      <sheetName val="G.1.2"/>
      <sheetName val="SOL Budget 2008"/>
      <sheetName val="M.6_Goodwill"/>
      <sheetName val="WBS1"/>
      <sheetName val="WBS2"/>
      <sheetName val="LIAB&amp;EQUITY"/>
      <sheetName val="MPI_TB_Sep10"/>
      <sheetName val="BS"/>
      <sheetName val="PL"/>
      <sheetName val="A_Equity"/>
      <sheetName val="F.1_Prepaid Tax"/>
      <sheetName val="JE"/>
      <sheetName val="input"/>
      <sheetName val="calcu"/>
      <sheetName val="Calculation"/>
      <sheetName val="EmpData"/>
      <sheetName val="LABARUGI"/>
      <sheetName val="JURNAL"/>
      <sheetName val="REF"/>
      <sheetName val="เงินกู้ธนชาติ"/>
      <sheetName val="Profit Loss"/>
      <sheetName val="SETTINGS"/>
      <sheetName val="LU"/>
      <sheetName val="Marshal_-11"/>
      <sheetName val="3_kurdin-Bag1"/>
      <sheetName val="2_Gaji-Bag1"/>
      <sheetName val="Permanent_invo1"/>
      <sheetName val="DATA_KYW1"/>
      <sheetName val="int-h_wk1"/>
      <sheetName val="1200_1_1_1_Detail_Mesin_PA31"/>
      <sheetName val="b4_sm"/>
      <sheetName val="TH_DZ35"/>
      <sheetName val="PRODUCTION_REPORTS"/>
      <sheetName val="SRI_L"/>
      <sheetName val="Account_Code"/>
      <sheetName val="Data_Asuransi"/>
      <sheetName val="Rmh_Dinas"/>
      <sheetName val="Maret_2007"/>
      <sheetName val="①　BP_vs_SPR_(TTL_Impact)"/>
      <sheetName val="VAT_out"/>
      <sheetName val="NAMA_DEPT"/>
      <sheetName val="ARYO"/>
      <sheetName val="Data-2008"/>
      <sheetName val="Currency"/>
      <sheetName val="Cost Range"/>
      <sheetName val="ManPower"/>
      <sheetName val="OP"/>
      <sheetName val="Capex"/>
      <sheetName val="ManPower Cost"/>
      <sheetName val="Legenda"/>
      <sheetName val="General Assumptions"/>
      <sheetName val="asset beta model"/>
      <sheetName val="Emp_Npwp List"/>
      <sheetName val="Dates"/>
      <sheetName val="Data Gaji BTB"/>
      <sheetName val="User Database"/>
      <sheetName val="Summary Pending Shipment"/>
      <sheetName val="Control -page"/>
      <sheetName val="SAPfile"/>
      <sheetName val="Plan"/>
      <sheetName val="P6. Building"/>
      <sheetName val="P9 Power Plant"/>
      <sheetName val="P15. Mess Eqp"/>
      <sheetName val="P8. Machinery"/>
      <sheetName val="P10. Vehicles"/>
      <sheetName val="P11. Misc Asset"/>
      <sheetName val="P7. Leasehold"/>
      <sheetName val="P14. Office equipment"/>
      <sheetName val="P12. Furniture"/>
      <sheetName val="P13. Computer"/>
      <sheetName val="P5 Gain Loss Disposal"/>
      <sheetName val="#3"/>
      <sheetName val="April"/>
      <sheetName val="Definitions"/>
      <sheetName val="Module list"/>
      <sheetName val="Whse Structure"/>
      <sheetName val="ASSR"/>
      <sheetName val="CIP_USD"/>
      <sheetName val="sap on 2feb03"/>
      <sheetName val="중장비1월"/>
      <sheetName val="DataOR"/>
      <sheetName val="Laba rugi"/>
      <sheetName val="Neraca"/>
      <sheetName val="Ref List"/>
      <sheetName val="gVL"/>
      <sheetName val="Tables"/>
      <sheetName val="Stake_98"/>
      <sheetName val="YearEnd02"/>
      <sheetName val="Company Info"/>
      <sheetName val="tra-vat-lieu"/>
      <sheetName val="Appendix1"/>
      <sheetName val="DAY"/>
      <sheetName val="A.Deal"/>
      <sheetName val="NSS Price Erosion"/>
      <sheetName val="BSS AM Page"/>
      <sheetName val="P&amp;L98"/>
      <sheetName val="Stewardship"/>
      <sheetName val="Property and Equipment"/>
      <sheetName val="Other Payable and Accrued exps"/>
      <sheetName val="Recon. PPh 23 26 15 4"/>
      <sheetName val="WHData"/>
      <sheetName val="tom-ref"/>
      <sheetName val="DCOST"/>
      <sheetName val="MCOST2"/>
      <sheetName val="ut_no stm"/>
      <sheetName val="H7.1"/>
      <sheetName val="PRODUKSI"/>
      <sheetName val="BAsis"/>
      <sheetName val="?????"/>
      <sheetName val="??"/>
      <sheetName val="????"/>
      <sheetName val="Cache"/>
      <sheetName val="UMUR PIUT"/>
      <sheetName val="CHARTACCOUNT(2)"/>
      <sheetName val="SE"/>
      <sheetName val="gol1"/>
      <sheetName val="A.Tetap"/>
      <sheetName val="laporan"/>
      <sheetName val="COGS"/>
      <sheetName val="Ist"/>
      <sheetName val="TBM"/>
      <sheetName val="Employee List　従業員管理表"/>
      <sheetName val="OT Feb 08"/>
      <sheetName val="A1-B ASSET"/>
      <sheetName val="N2"/>
      <sheetName val="Q2"/>
      <sheetName val="2501"/>
      <sheetName val="TABEL"/>
      <sheetName val="Payable Fee - Liquidity (supp)"/>
      <sheetName val="Tab.Daten"/>
      <sheetName val="INCOME_2007"/>
      <sheetName val="A__Data_Permintaan_Produk"/>
      <sheetName val="C__Data_Faktur_"/>
      <sheetName val="Data_Kalender"/>
      <sheetName val="M__Data_Biaya_Kirim"/>
      <sheetName val="ID02"/>
      <sheetName val="WP-PBM-04"/>
      <sheetName val="DBBUD95"/>
      <sheetName val="Grand Total"/>
      <sheetName val="North Region"/>
      <sheetName val="South Region"/>
      <sheetName val="Cover Sheet"/>
      <sheetName val="GLSU Upload"/>
      <sheetName val="NERACA-03"/>
      <sheetName val="Mutasi"/>
      <sheetName val="PB(B)"/>
      <sheetName val="BPR"/>
      <sheetName val="DCF Inputs"/>
      <sheetName val="CA Comp"/>
      <sheetName val="REKAP"/>
      <sheetName val="Rincian"/>
      <sheetName val="Controls"/>
      <sheetName val="Inputs"/>
      <sheetName val="K4. F&amp;F"/>
      <sheetName val="Mgu 3"/>
      <sheetName val="Mgu 4"/>
      <sheetName val="Kode Rek PJA"/>
      <sheetName val="Kunlun P&amp;L"/>
      <sheetName val="Assumptions"/>
      <sheetName val="To Generate"/>
      <sheetName val="FF-50"/>
      <sheetName val="database"/>
      <sheetName val="TCM Lists"/>
      <sheetName val="Contact list"/>
      <sheetName val="COMMON"/>
      <sheetName val="ACtable"/>
      <sheetName val="T1 DUE DATE SMT 1"/>
      <sheetName val="COST SMT 1"/>
      <sheetName val="NILAI TAMBAH"/>
      <sheetName val="RATIO"/>
      <sheetName val="TROUBLE &amp; BURRY"/>
      <sheetName val="IDEA BOX SMT 1. 2019"/>
      <sheetName val="NG REJECT"/>
      <sheetName val="expense"/>
      <sheetName val="D.MAKAN"/>
      <sheetName val="SDRAC2"/>
      <sheetName val="TIV_PACK"/>
      <sheetName val="Cost_centre_expenditure"/>
      <sheetName val="Worksheet-03"/>
      <sheetName val="Trf-SAP"/>
      <sheetName val="Permanent_info6"/>
      <sheetName val="Depreciation__schedule_6"/>
      <sheetName val="fiscal_depr(E)6"/>
      <sheetName val="fiscal_depr__(I)6"/>
      <sheetName val="Cadangan_premi6"/>
      <sheetName val="Rounding_off6"/>
      <sheetName val="fiscal_depr_E_6"/>
      <sheetName val="Data_Sheet6"/>
      <sheetName val="PPH_GB6"/>
      <sheetName val="NOTES_6"/>
      <sheetName val="BALANCE_SHEET6"/>
      <sheetName val="C1_NOV6"/>
      <sheetName val="Saldo_Awal_20066"/>
      <sheetName val="3M_Indonesia_(9011-001)6"/>
      <sheetName val="Monthly_Data6"/>
      <sheetName val="REv_DCR_Kar6"/>
      <sheetName val="BCA_Stat6"/>
      <sheetName val="Sum_All6"/>
      <sheetName val="E4_1d6"/>
      <sheetName val="Resource_Costs6"/>
      <sheetName val="Work_Requirement6"/>
      <sheetName val="JV_Form5"/>
      <sheetName val="Danamon_LK6"/>
      <sheetName val="Cash_Estimate_Local6"/>
      <sheetName val="Tabel_Kode6"/>
      <sheetName val="Data_6"/>
      <sheetName val="Daftar_Karyawan5"/>
      <sheetName val="ABS_Jun_~Juli_20115"/>
      <sheetName val="Deferred_Rev5"/>
      <sheetName val="DPS_OK5"/>
      <sheetName val="Template_5"/>
      <sheetName val="Data_Client5"/>
      <sheetName val="Penyusutan_Kendaraan5"/>
      <sheetName val="(Global_Parameters)5"/>
      <sheetName val="_5_Additional6"/>
      <sheetName val="_3_Mutasi_Final6"/>
      <sheetName val="_6_Depresiasi6"/>
      <sheetName val="Marshal_(2)5"/>
      <sheetName val="Other_charges_(income)5"/>
      <sheetName val="Cash_Estimate_Local_Q15"/>
      <sheetName val="Cash_Estmate_$_Q15"/>
      <sheetName val="Data_Ben5"/>
      <sheetName val="Premi_Iuran5"/>
      <sheetName val="IMS_Trend5"/>
      <sheetName val="E-4_6ANADARCO5"/>
      <sheetName val="N-4_4ELNUSA_-HOLDING5"/>
      <sheetName val="Data_Base5"/>
      <sheetName val="AA_1_1_BNI5"/>
      <sheetName val="Statutory_Query5"/>
      <sheetName val="U-2_1detail_cost_of_sales5"/>
      <sheetName val="SELLING_PRICE5"/>
      <sheetName val="ACT_Cashflow3"/>
      <sheetName val="Retail_Pt_days5"/>
      <sheetName val="TRGREV_vs_REVXXXSWL5"/>
      <sheetName val="TRGREV_Summary5"/>
      <sheetName val="REVXXXSWL_Summary5"/>
      <sheetName val="AP_Trade5"/>
      <sheetName val="FE-1770_P15"/>
      <sheetName val="Rekap_Cop&amp;Mop_Nov_073"/>
      <sheetName val="Check_Sheet3"/>
      <sheetName val="PLHO_Report3"/>
      <sheetName val="TAX_ON_SALARY5"/>
      <sheetName val="Income_Statement5"/>
      <sheetName val="WP-230420_20095"/>
      <sheetName val="S_e_p3"/>
      <sheetName val="M_a_r3"/>
      <sheetName val="M_a_y3"/>
      <sheetName val="J_u_l3"/>
      <sheetName val="A_p_r3"/>
      <sheetName val="A_u_g3"/>
      <sheetName val="O_c_t3"/>
      <sheetName val="J_u_n3"/>
      <sheetName val="N_o_v3"/>
      <sheetName val="F_e_b3"/>
      <sheetName val="J_a_n3"/>
      <sheetName val="00_received_in_013"/>
      <sheetName val="Workshop_Tools3"/>
      <sheetName val="FX_Rates3"/>
      <sheetName val="Form_A-Input-Current20053"/>
      <sheetName val="Nomor_Id1"/>
      <sheetName val="Ex_Rate2"/>
      <sheetName val="Company_Info"/>
      <sheetName val="Permanent_info7"/>
      <sheetName val="Depreciation__schedule_7"/>
      <sheetName val="fiscal_depr(E)7"/>
      <sheetName val="fiscal_depr__(I)7"/>
      <sheetName val="Cadangan_premi7"/>
      <sheetName val="Rounding_off7"/>
      <sheetName val="fiscal_depr_E_7"/>
      <sheetName val="Data_Sheet7"/>
      <sheetName val="PPH_GB7"/>
      <sheetName val="NOTES_7"/>
      <sheetName val="BALANCE_SHEET7"/>
      <sheetName val="C1_NOV7"/>
      <sheetName val="Saldo_Awal_20067"/>
      <sheetName val="3M_Indonesia_(9011-001)7"/>
      <sheetName val="Monthly_Data7"/>
      <sheetName val="REv_DCR_Kar7"/>
      <sheetName val="BCA_Stat7"/>
      <sheetName val="Sum_All7"/>
      <sheetName val="E4_1d7"/>
      <sheetName val="Resource_Costs7"/>
      <sheetName val="Work_Requirement7"/>
      <sheetName val="JV_Form6"/>
      <sheetName val="Danamon_LK7"/>
      <sheetName val="Cash_Estimate_Local7"/>
      <sheetName val="Tabel_Kode7"/>
      <sheetName val="Data_7"/>
      <sheetName val="Daftar_Karyawan6"/>
      <sheetName val="ABS_Jun_~Juli_20116"/>
      <sheetName val="Deferred_Rev6"/>
      <sheetName val="DPS_OK6"/>
      <sheetName val="Template_6"/>
      <sheetName val="Data_Client6"/>
      <sheetName val="Penyusutan_Kendaraan6"/>
      <sheetName val="(Global_Parameters)6"/>
      <sheetName val="_5_Additional7"/>
      <sheetName val="_3_Mutasi_Final7"/>
      <sheetName val="_6_Depresiasi7"/>
      <sheetName val="Marshal_(2)6"/>
      <sheetName val="Other_charges_(income)6"/>
      <sheetName val="Cash_Estimate_Local_Q16"/>
      <sheetName val="Cash_Estmate_$_Q16"/>
      <sheetName val="Data_Ben6"/>
      <sheetName val="Premi_Iuran6"/>
      <sheetName val="IMS_Trend6"/>
      <sheetName val="E-4_6ANADARCO6"/>
      <sheetName val="N-4_4ELNUSA_-HOLDING6"/>
      <sheetName val="Data_Base6"/>
      <sheetName val="AA_1_1_BNI6"/>
      <sheetName val="Statutory_Query6"/>
      <sheetName val="U-2_1detail_cost_of_sales6"/>
      <sheetName val="SELLING_PRICE6"/>
      <sheetName val="ACT_Cashflow4"/>
      <sheetName val="Retail_Pt_days6"/>
      <sheetName val="TRGREV_vs_REVXXXSWL6"/>
      <sheetName val="TRGREV_Summary6"/>
      <sheetName val="REVXXXSWL_Summary6"/>
      <sheetName val="AP_Trade6"/>
      <sheetName val="FE-1770_P16"/>
      <sheetName val="Rekap_Cop&amp;Mop_Nov_074"/>
      <sheetName val="Check_Sheet4"/>
      <sheetName val="PLHO_Report4"/>
      <sheetName val="TAX_ON_SALARY6"/>
      <sheetName val="Income_Statement6"/>
      <sheetName val="WP-230420_20096"/>
      <sheetName val="S_e_p4"/>
      <sheetName val="M_a_r4"/>
      <sheetName val="M_a_y4"/>
      <sheetName val="J_u_l4"/>
      <sheetName val="A_p_r4"/>
      <sheetName val="A_u_g4"/>
      <sheetName val="O_c_t4"/>
      <sheetName val="J_u_n4"/>
      <sheetName val="N_o_v4"/>
      <sheetName val="F_e_b4"/>
      <sheetName val="J_a_n4"/>
      <sheetName val="00_received_in_014"/>
      <sheetName val="Workshop_Tools4"/>
      <sheetName val="FX_Rates4"/>
      <sheetName val="Form_A-Input-Current20054"/>
      <sheetName val="1200_1_1_1_Detail_Mesin_PA32"/>
      <sheetName val="3_kurdin-Bag2"/>
      <sheetName val="2_Gaji-Bag2"/>
      <sheetName val="TH_DZ351"/>
      <sheetName val="Account_Code1"/>
      <sheetName val="Marshal_-12"/>
      <sheetName val="Nomor_Id2"/>
      <sheetName val="Ex_Rate3"/>
      <sheetName val="①　BP_vs_SPR_(TTL_Impact)1"/>
      <sheetName val="VAT_out1"/>
      <sheetName val="NAMA_DEPT1"/>
      <sheetName val="PRODUCTION_REPORTS1"/>
      <sheetName val="INCOME_20071"/>
      <sheetName val="Data_Asuransi1"/>
      <sheetName val="Rmh_Dinas1"/>
      <sheetName val="Company_Info1"/>
      <sheetName val="GL"/>
      <sheetName val="BS-RTI"/>
      <sheetName val="FRS3"/>
      <sheetName val="Answer"/>
      <sheetName val="PARAMETER"/>
      <sheetName val="Intang Amortization by Qtr"/>
      <sheetName val="Note"/>
      <sheetName val="자본조정"/>
      <sheetName val="U3"/>
      <sheetName val="AR"/>
      <sheetName val="Operating Cycle"/>
      <sheetName val="SERV.EQ"/>
      <sheetName val="TAC_Terms"/>
      <sheetName val="DATA_KYW2"/>
      <sheetName val="Permanent_invo2"/>
      <sheetName val="A__Data_Permintaan_Produk1"/>
      <sheetName val="C__Data_Faktur_1"/>
      <sheetName val="Data_Kalender1"/>
      <sheetName val="M__Data_Biaya_Kirim1"/>
      <sheetName val="Safety_2"/>
      <sheetName val="SRI_L1"/>
      <sheetName val="Print_Format"/>
      <sheetName val="Performance_Detail_SI"/>
      <sheetName val="PIVOT_OH"/>
      <sheetName val="TB_RBB"/>
      <sheetName val="TB_SME"/>
      <sheetName val="PIVOT_GM"/>
      <sheetName val="Effort_A"/>
      <sheetName val="Effort_P"/>
      <sheetName val="Proj_Summ"/>
      <sheetName val="Interbank_detail"/>
      <sheetName val="Start-up_financing"/>
      <sheetName val="Unearned_premiums"/>
      <sheetName val="SUMMARY_NDE"/>
      <sheetName val="H_100Ye"/>
      <sheetName val="DCF_Inputs"/>
      <sheetName val="CA_Comp"/>
      <sheetName val="K4__F&amp;F"/>
      <sheetName val="Mgu_3"/>
      <sheetName val="Mgu_4"/>
      <sheetName val="Kode_Rek_PJA"/>
      <sheetName val="Kunlun_P&amp;L"/>
      <sheetName val="To_Generate"/>
      <sheetName val="UMUR_PIUT"/>
      <sheetName val="Profit_Loss"/>
      <sheetName val="PBC_July_2011"/>
      <sheetName val="KKP_01_Audit"/>
      <sheetName val="SST_Inv"/>
      <sheetName val="Emp_Npwp_List"/>
      <sheetName val="ACCTS_CHECK"/>
      <sheetName val="Cost_Range"/>
      <sheetName val="Sheet1_(2)"/>
      <sheetName val="Sales_Rental"/>
      <sheetName val="Sales_Parameter"/>
      <sheetName val="June_10"/>
      <sheetName val="Base_Unit"/>
      <sheetName val="ManPower_Cost"/>
      <sheetName val="General_Assumptions"/>
      <sheetName val="asset_beta_model"/>
      <sheetName val="tunj_"/>
      <sheetName val="Cumul_sal_0902"/>
      <sheetName val="Rém_Normale"/>
      <sheetName val="SPRS_breakdown_pricing"/>
      <sheetName val="P6__Building"/>
      <sheetName val="P9_Power_Plant"/>
      <sheetName val="P15__Mess_Eqp"/>
      <sheetName val="P8__Machinery"/>
      <sheetName val="P10__Vehicles"/>
      <sheetName val="P11__Misc_Asset"/>
      <sheetName val="P7__Leasehold"/>
      <sheetName val="P14__Office_equipment"/>
      <sheetName val="P12__Furniture"/>
      <sheetName val="P13__Computer"/>
      <sheetName val="P5_Gain_Loss_Disposal"/>
      <sheetName val="Laba_rugi"/>
      <sheetName val="sap_on_2feb03"/>
      <sheetName val="Data_Gaji_BTB"/>
      <sheetName val="User_Database"/>
      <sheetName val="Summary_Pending_Shipment"/>
      <sheetName val="Control_-page"/>
      <sheetName val="Operating_Cycle"/>
      <sheetName val="SERV_EQ"/>
      <sheetName val="ut_no_stm"/>
      <sheetName val="H7_1"/>
      <sheetName val="Ref_List"/>
      <sheetName val="Permanent_info8"/>
      <sheetName val="Depreciation__schedule_8"/>
      <sheetName val="fiscal_depr(E)8"/>
      <sheetName val="fiscal_depr__(I)8"/>
      <sheetName val="Cadangan_premi8"/>
      <sheetName val="Rounding_off8"/>
      <sheetName val="fiscal_depr_E_8"/>
      <sheetName val="PPH_GB8"/>
      <sheetName val="Data_Sheet8"/>
      <sheetName val="NOTES_8"/>
      <sheetName val="BALANCE_SHEET8"/>
      <sheetName val="C1_NOV8"/>
      <sheetName val="Sum_All8"/>
      <sheetName val="E4_1d8"/>
      <sheetName val="REv_DCR_Kar8"/>
      <sheetName val="BCA_Stat8"/>
      <sheetName val="Resource_Costs8"/>
      <sheetName val="Work_Requirement8"/>
      <sheetName val="JV_Form7"/>
      <sheetName val="Saldo_Awal_20068"/>
      <sheetName val="3M_Indonesia_(9011-001)8"/>
      <sheetName val="Monthly_Data8"/>
      <sheetName val="Danamon_LK8"/>
      <sheetName val="Cash_Estimate_Local8"/>
      <sheetName val="Tabel_Kode8"/>
      <sheetName val="Data_8"/>
      <sheetName val="Daftar_Karyawan7"/>
      <sheetName val="ABS_Jun_~Juli_20117"/>
      <sheetName val="DPS_OK7"/>
      <sheetName val="Deferred_Rev7"/>
      <sheetName val="Template_7"/>
      <sheetName val="Data_Client7"/>
      <sheetName val="Penyusutan_Kendaraan7"/>
      <sheetName val="(Global_Parameters)7"/>
      <sheetName val="_5_Additional8"/>
      <sheetName val="_3_Mutasi_Final8"/>
      <sheetName val="_6_Depresiasi8"/>
      <sheetName val="Marshal_(2)7"/>
      <sheetName val="Other_charges_(income)7"/>
      <sheetName val="Cash_Estimate_Local_Q17"/>
      <sheetName val="Cash_Estmate_$_Q17"/>
      <sheetName val="Data_Ben7"/>
      <sheetName val="Premi_Iuran7"/>
      <sheetName val="AA_1_1_BNI7"/>
      <sheetName val="Statutory_Query7"/>
      <sheetName val="IMS_Trend7"/>
      <sheetName val="Retail_Pt_days7"/>
      <sheetName val="AP_Trade7"/>
      <sheetName val="TRGREV_vs_REVXXXSWL7"/>
      <sheetName val="TRGREV_Summary7"/>
      <sheetName val="REVXXXSWL_Summary7"/>
      <sheetName val="FE-1770_P17"/>
      <sheetName val="E-4_6ANADARCO7"/>
      <sheetName val="N-4_4ELNUSA_-HOLDING7"/>
      <sheetName val="U-2_1detail_cost_of_sales7"/>
      <sheetName val="Data_Base7"/>
      <sheetName val="SELLING_PRICE7"/>
      <sheetName val="FX_Rates5"/>
      <sheetName val="ACT_Cashflow5"/>
      <sheetName val="TAX_ON_SALARY7"/>
      <sheetName val="Rekap_Cop&amp;Mop_Nov_075"/>
      <sheetName val="Income_Statement7"/>
      <sheetName val="Check_Sheet5"/>
      <sheetName val="PLHO_Report5"/>
      <sheetName val="WP-230420_20097"/>
      <sheetName val="S_e_p5"/>
      <sheetName val="M_a_r5"/>
      <sheetName val="M_a_y5"/>
      <sheetName val="J_u_l5"/>
      <sheetName val="A_p_r5"/>
      <sheetName val="A_u_g5"/>
      <sheetName val="O_c_t5"/>
      <sheetName val="J_u_n5"/>
      <sheetName val="N_o_v5"/>
      <sheetName val="F_e_b5"/>
      <sheetName val="J_a_n5"/>
      <sheetName val="00_received_in_015"/>
      <sheetName val="Workshop_Tools5"/>
      <sheetName val="Form_A-Input-Current20055"/>
      <sheetName val="1200_1_1_1_Detail_Mesin_PA34"/>
      <sheetName val="3_kurdin-Bag4"/>
      <sheetName val="2_Gaji-Bag4"/>
      <sheetName val="TH_DZ353"/>
      <sheetName val="Account_Code3"/>
      <sheetName val="Marshal_-14"/>
      <sheetName val="DATA_KYW4"/>
      <sheetName val="Nomor_Id3"/>
      <sheetName val="Ex_Rate4"/>
      <sheetName val="INCOME_20073"/>
      <sheetName val="NAMA_DEPT2"/>
      <sheetName val="①　BP_vs_SPR_(TTL_Impact)2"/>
      <sheetName val="VAT_out2"/>
      <sheetName val="Permanent_invo4"/>
      <sheetName val="A__Data_Permintaan_Produk3"/>
      <sheetName val="C__Data_Faktur_3"/>
      <sheetName val="Data_Kalender3"/>
      <sheetName val="M__Data_Biaya_Kirim3"/>
      <sheetName val="Safety_22"/>
      <sheetName val="PRODUCTION_REPORTS3"/>
      <sheetName val="SRI_L3"/>
      <sheetName val="Print_Format2"/>
      <sheetName val="Performance_Detail_SI2"/>
      <sheetName val="PIVOT_OH2"/>
      <sheetName val="TB_RBB2"/>
      <sheetName val="TB_SME2"/>
      <sheetName val="PIVOT_GM2"/>
      <sheetName val="int-h_wk12"/>
      <sheetName val="Effort_A2"/>
      <sheetName val="Effort_P2"/>
      <sheetName val="Proj_Summ2"/>
      <sheetName val="TIV_PACK2"/>
      <sheetName val="Cost_centre_expenditure2"/>
      <sheetName val="Data_Asuransi2"/>
      <sheetName val="Rmh_Dinas2"/>
      <sheetName val="Interbank_detail2"/>
      <sheetName val="Start-up_financing2"/>
      <sheetName val="Unearned_premiums2"/>
      <sheetName val="b4_sm2"/>
      <sheetName val="SUMMARY_NDE2"/>
      <sheetName val="H_100Ye2"/>
      <sheetName val="DCF_Inputs2"/>
      <sheetName val="Company_Info2"/>
      <sheetName val="CA_Comp2"/>
      <sheetName val="K4__F&amp;F2"/>
      <sheetName val="Mgu_32"/>
      <sheetName val="Mgu_42"/>
      <sheetName val="Kode_Rek_PJA2"/>
      <sheetName val="Kunlun_P&amp;L2"/>
      <sheetName val="To_Generate2"/>
      <sheetName val="UMUR_PIUT2"/>
      <sheetName val="Maret_20072"/>
      <sheetName val="Profit_Loss2"/>
      <sheetName val="PBC_July_20112"/>
      <sheetName val="KKP_01_Audit2"/>
      <sheetName val="SST_Inv2"/>
      <sheetName val="Emp_Npwp_List2"/>
      <sheetName val="ACCTS_CHECK2"/>
      <sheetName val="Cost_Range2"/>
      <sheetName val="Sheet1_(2)2"/>
      <sheetName val="Sales_Rental2"/>
      <sheetName val="Sales_Parameter2"/>
      <sheetName val="June_102"/>
      <sheetName val="Base_Unit2"/>
      <sheetName val="ManPower_Cost2"/>
      <sheetName val="General_Assumptions2"/>
      <sheetName val="asset_beta_model2"/>
      <sheetName val="tunj_2"/>
      <sheetName val="Cumul_sal_09022"/>
      <sheetName val="Rém_Normale2"/>
      <sheetName val="SPRS_breakdown_pricing2"/>
      <sheetName val="P6__Building2"/>
      <sheetName val="P9_Power_Plant2"/>
      <sheetName val="P15__Mess_Eqp2"/>
      <sheetName val="P8__Machinery2"/>
      <sheetName val="P10__Vehicles2"/>
      <sheetName val="P11__Misc_Asset2"/>
      <sheetName val="P7__Leasehold2"/>
      <sheetName val="P14__Office_equipment2"/>
      <sheetName val="P12__Furniture2"/>
      <sheetName val="P13__Computer2"/>
      <sheetName val="P5_Gain_Loss_Disposal2"/>
      <sheetName val="Laba_rugi2"/>
      <sheetName val="sap_on_2feb032"/>
      <sheetName val="Data_Gaji_BTB2"/>
      <sheetName val="User_Database2"/>
      <sheetName val="Summary_Pending_Shipment2"/>
      <sheetName val="Control_-page2"/>
      <sheetName val="Operating_Cycle2"/>
      <sheetName val="SERV_EQ2"/>
      <sheetName val="ut_no_stm2"/>
      <sheetName val="H7_12"/>
      <sheetName val="Ref_List2"/>
      <sheetName val="1200_1_1_1_Detail_Mesin_PA33"/>
      <sheetName val="3_kurdin-Bag3"/>
      <sheetName val="2_Gaji-Bag3"/>
      <sheetName val="TH_DZ352"/>
      <sheetName val="Account_Code2"/>
      <sheetName val="Marshal_-13"/>
      <sheetName val="DATA_KYW3"/>
      <sheetName val="INCOME_20072"/>
      <sheetName val="Permanent_invo3"/>
      <sheetName val="A__Data_Permintaan_Produk2"/>
      <sheetName val="C__Data_Faktur_2"/>
      <sheetName val="Data_Kalender2"/>
      <sheetName val="M__Data_Biaya_Kirim2"/>
      <sheetName val="Safety_21"/>
      <sheetName val="PRODUCTION_REPORTS2"/>
      <sheetName val="SRI_L2"/>
      <sheetName val="Print_Format1"/>
      <sheetName val="Performance_Detail_SI1"/>
      <sheetName val="PIVOT_OH1"/>
      <sheetName val="TB_RBB1"/>
      <sheetName val="TB_SME1"/>
      <sheetName val="PIVOT_GM1"/>
      <sheetName val="int-h_wk11"/>
      <sheetName val="Effort_A1"/>
      <sheetName val="Effort_P1"/>
      <sheetName val="Proj_Summ1"/>
      <sheetName val="TIV_PACK1"/>
      <sheetName val="Cost_centre_expenditure1"/>
      <sheetName val="Interbank_detail1"/>
      <sheetName val="Start-up_financing1"/>
      <sheetName val="Unearned_premiums1"/>
      <sheetName val="b4_sm1"/>
      <sheetName val="SUMMARY_NDE1"/>
      <sheetName val="H_100Ye1"/>
      <sheetName val="DCF_Inputs1"/>
      <sheetName val="CA_Comp1"/>
      <sheetName val="K4__F&amp;F1"/>
      <sheetName val="Mgu_31"/>
      <sheetName val="Mgu_41"/>
      <sheetName val="Kode_Rek_PJA1"/>
      <sheetName val="Kunlun_P&amp;L1"/>
      <sheetName val="To_Generate1"/>
      <sheetName val="UMUR_PIUT1"/>
      <sheetName val="Maret_20071"/>
      <sheetName val="Profit_Loss1"/>
      <sheetName val="PBC_July_20111"/>
      <sheetName val="KKP_01_Audit1"/>
      <sheetName val="SST_Inv1"/>
      <sheetName val="Emp_Npwp_List1"/>
      <sheetName val="ACCTS_CHECK1"/>
      <sheetName val="Cost_Range1"/>
      <sheetName val="Sheet1_(2)1"/>
      <sheetName val="Sales_Rental1"/>
      <sheetName val="Sales_Parameter1"/>
      <sheetName val="June_101"/>
      <sheetName val="Base_Unit1"/>
      <sheetName val="ManPower_Cost1"/>
      <sheetName val="General_Assumptions1"/>
      <sheetName val="asset_beta_model1"/>
      <sheetName val="tunj_1"/>
      <sheetName val="Cumul_sal_09021"/>
      <sheetName val="Rém_Normale1"/>
      <sheetName val="SPRS_breakdown_pricing1"/>
      <sheetName val="P6__Building1"/>
      <sheetName val="P9_Power_Plant1"/>
      <sheetName val="P15__Mess_Eqp1"/>
      <sheetName val="P8__Machinery1"/>
      <sheetName val="P10__Vehicles1"/>
      <sheetName val="P11__Misc_Asset1"/>
      <sheetName val="P7__Leasehold1"/>
      <sheetName val="P14__Office_equipment1"/>
      <sheetName val="P12__Furniture1"/>
      <sheetName val="P13__Computer1"/>
      <sheetName val="P5_Gain_Loss_Disposal1"/>
      <sheetName val="Laba_rugi1"/>
      <sheetName val="sap_on_2feb031"/>
      <sheetName val="Data_Gaji_BTB1"/>
      <sheetName val="User_Database1"/>
      <sheetName val="Summary_Pending_Shipment1"/>
      <sheetName val="Control_-page1"/>
      <sheetName val="Operating_Cycle1"/>
      <sheetName val="SERV_EQ1"/>
      <sheetName val="ut_no_stm1"/>
      <sheetName val="H7_11"/>
      <sheetName val="Ref_List1"/>
      <sheetName val="Permanent_info9"/>
      <sheetName val="Depreciation__schedule_9"/>
      <sheetName val="fiscal_depr(E)9"/>
      <sheetName val="fiscal_depr__(I)9"/>
      <sheetName val="Cadangan_premi9"/>
      <sheetName val="Rounding_off9"/>
      <sheetName val="fiscal_depr_E_9"/>
      <sheetName val="PPH_GB9"/>
      <sheetName val="Data_Sheet9"/>
      <sheetName val="NOTES_9"/>
      <sheetName val="BALANCE_SHEET9"/>
      <sheetName val="C1_NOV9"/>
      <sheetName val="Sum_All9"/>
      <sheetName val="E4_1d9"/>
      <sheetName val="REv_DCR_Kar9"/>
      <sheetName val="BCA_Stat9"/>
      <sheetName val="Resource_Costs9"/>
      <sheetName val="Work_Requirement9"/>
      <sheetName val="JV_Form8"/>
      <sheetName val="Saldo_Awal_20069"/>
      <sheetName val="3M_Indonesia_(9011-001)9"/>
      <sheetName val="Monthly_Data9"/>
      <sheetName val="Danamon_LK9"/>
      <sheetName val="Cash_Estimate_Local9"/>
      <sheetName val="Tabel_Kode9"/>
      <sheetName val="Data_9"/>
      <sheetName val="Daftar_Karyawan8"/>
      <sheetName val="ABS_Jun_~Juli_20118"/>
      <sheetName val="DPS_OK8"/>
      <sheetName val="Deferred_Rev8"/>
      <sheetName val="Template_8"/>
      <sheetName val="Data_Client8"/>
      <sheetName val="Penyusutan_Kendaraan8"/>
      <sheetName val="(Global_Parameters)8"/>
      <sheetName val="_5_Additional9"/>
      <sheetName val="_3_Mutasi_Final9"/>
      <sheetName val="_6_Depresiasi9"/>
      <sheetName val="Marshal_(2)8"/>
      <sheetName val="Other_charges_(income)8"/>
      <sheetName val="Cash_Estimate_Local_Q18"/>
      <sheetName val="Cash_Estmate_$_Q18"/>
      <sheetName val="Data_Ben8"/>
      <sheetName val="Premi_Iuran8"/>
      <sheetName val="AA_1_1_BNI8"/>
      <sheetName val="Statutory_Query8"/>
      <sheetName val="IMS_Trend8"/>
      <sheetName val="Retail_Pt_days8"/>
      <sheetName val="AP_Trade8"/>
      <sheetName val="TRGREV_vs_REVXXXSWL8"/>
      <sheetName val="TRGREV_Summary8"/>
      <sheetName val="REVXXXSWL_Summary8"/>
      <sheetName val="FE-1770_P18"/>
      <sheetName val="E-4_6ANADARCO8"/>
      <sheetName val="N-4_4ELNUSA_-HOLDING8"/>
      <sheetName val="U-2_1detail_cost_of_sales8"/>
      <sheetName val="Data_Base8"/>
      <sheetName val="SELLING_PRICE8"/>
      <sheetName val="FX_Rates6"/>
      <sheetName val="ACT_Cashflow6"/>
      <sheetName val="TAX_ON_SALARY8"/>
      <sheetName val="Rekap_Cop&amp;Mop_Nov_076"/>
      <sheetName val="Income_Statement8"/>
      <sheetName val="Check_Sheet6"/>
      <sheetName val="PLHO_Report6"/>
      <sheetName val="WP-230420_20098"/>
      <sheetName val="S_e_p6"/>
      <sheetName val="M_a_r6"/>
      <sheetName val="M_a_y6"/>
      <sheetName val="J_u_l6"/>
      <sheetName val="A_p_r6"/>
      <sheetName val="A_u_g6"/>
      <sheetName val="O_c_t6"/>
      <sheetName val="J_u_n6"/>
      <sheetName val="N_o_v6"/>
      <sheetName val="F_e_b6"/>
      <sheetName val="J_a_n6"/>
      <sheetName val="00_received_in_016"/>
      <sheetName val="Workshop_Tools6"/>
      <sheetName val="Form_A-Input-Current20056"/>
      <sheetName val="1200_1_1_1_Detail_Mesin_PA35"/>
      <sheetName val="3_kurdin-Bag5"/>
      <sheetName val="2_Gaji-Bag5"/>
      <sheetName val="TH_DZ354"/>
      <sheetName val="Account_Code4"/>
      <sheetName val="Marshal_-15"/>
      <sheetName val="DATA_KYW5"/>
      <sheetName val="Nomor_Id4"/>
      <sheetName val="Ex_Rate5"/>
      <sheetName val="INCOME_20074"/>
      <sheetName val="NAMA_DEPT3"/>
      <sheetName val="①　BP_vs_SPR_(TTL_Impact)3"/>
      <sheetName val="VAT_out3"/>
      <sheetName val="Permanent_invo5"/>
      <sheetName val="A__Data_Permintaan_Produk4"/>
      <sheetName val="C__Data_Faktur_4"/>
      <sheetName val="Data_Kalender4"/>
      <sheetName val="M__Data_Biaya_Kirim4"/>
      <sheetName val="Safety_23"/>
      <sheetName val="PRODUCTION_REPORTS4"/>
      <sheetName val="SRI_L4"/>
      <sheetName val="Print_Format3"/>
      <sheetName val="Performance_Detail_SI3"/>
      <sheetName val="PIVOT_OH3"/>
      <sheetName val="TB_RBB3"/>
      <sheetName val="TB_SME3"/>
      <sheetName val="PIVOT_GM3"/>
      <sheetName val="int-h_wk13"/>
      <sheetName val="Effort_A3"/>
      <sheetName val="Effort_P3"/>
      <sheetName val="Proj_Summ3"/>
      <sheetName val="TIV_PACK3"/>
      <sheetName val="Cost_centre_expenditure3"/>
      <sheetName val="Data_Asuransi3"/>
      <sheetName val="Rmh_Dinas3"/>
      <sheetName val="Interbank_detail3"/>
      <sheetName val="Start-up_financing3"/>
      <sheetName val="Unearned_premiums3"/>
      <sheetName val="b4_sm3"/>
      <sheetName val="SUMMARY_NDE3"/>
      <sheetName val="H_100Ye3"/>
      <sheetName val="DCF_Inputs3"/>
      <sheetName val="Company_Info3"/>
      <sheetName val="CA_Comp3"/>
      <sheetName val="K4__F&amp;F3"/>
      <sheetName val="Mgu_33"/>
      <sheetName val="Mgu_43"/>
      <sheetName val="Kode_Rek_PJA3"/>
      <sheetName val="Kunlun_P&amp;L3"/>
      <sheetName val="To_Generate3"/>
      <sheetName val="UMUR_PIUT3"/>
      <sheetName val="Maret_20073"/>
      <sheetName val="Profit_Loss3"/>
      <sheetName val="PBC_July_20113"/>
      <sheetName val="KKP_01_Audit3"/>
      <sheetName val="SST_Inv3"/>
      <sheetName val="Emp_Npwp_List3"/>
      <sheetName val="ACCTS_CHECK3"/>
      <sheetName val="Cost_Range3"/>
      <sheetName val="Sheet1_(2)3"/>
      <sheetName val="Sales_Rental3"/>
      <sheetName val="Sales_Parameter3"/>
      <sheetName val="June_103"/>
      <sheetName val="Base_Unit3"/>
      <sheetName val="ManPower_Cost3"/>
      <sheetName val="General_Assumptions3"/>
      <sheetName val="asset_beta_model3"/>
      <sheetName val="tunj_3"/>
      <sheetName val="Cumul_sal_09023"/>
      <sheetName val="Rém_Normale3"/>
      <sheetName val="SPRS_breakdown_pricing3"/>
      <sheetName val="P6__Building3"/>
      <sheetName val="P9_Power_Plant3"/>
      <sheetName val="P15__Mess_Eqp3"/>
      <sheetName val="P8__Machinery3"/>
      <sheetName val="P10__Vehicles3"/>
      <sheetName val="P11__Misc_Asset3"/>
      <sheetName val="P7__Leasehold3"/>
      <sheetName val="P14__Office_equipment3"/>
      <sheetName val="P12__Furniture3"/>
      <sheetName val="P13__Computer3"/>
      <sheetName val="P5_Gain_Loss_Disposal3"/>
      <sheetName val="Laba_rugi3"/>
      <sheetName val="sap_on_2feb033"/>
      <sheetName val="Data_Gaji_BTB3"/>
      <sheetName val="User_Database3"/>
      <sheetName val="Summary_Pending_Shipment3"/>
      <sheetName val="Control_-page3"/>
      <sheetName val="Operating_Cycle3"/>
      <sheetName val="SERV_EQ3"/>
      <sheetName val="ut_no_stm3"/>
      <sheetName val="H7_13"/>
      <sheetName val="Ref_List3"/>
      <sheetName val="Permanent_info10"/>
      <sheetName val="Depreciation__schedule_10"/>
      <sheetName val="fiscal_depr(E)10"/>
      <sheetName val="fiscal_depr__(I)10"/>
      <sheetName val="Cadangan_premi10"/>
      <sheetName val="Rounding_off10"/>
      <sheetName val="fiscal_depr_E_10"/>
      <sheetName val="PPH_GB10"/>
      <sheetName val="Data_Sheet10"/>
      <sheetName val="NOTES_10"/>
      <sheetName val="BALANCE_SHEET10"/>
      <sheetName val="C1_NOV10"/>
      <sheetName val="Sum_All10"/>
      <sheetName val="E4_1d10"/>
      <sheetName val="REv_DCR_Kar10"/>
      <sheetName val="BCA_Stat10"/>
      <sheetName val="Resource_Costs10"/>
      <sheetName val="Work_Requirement10"/>
      <sheetName val="JV_Form9"/>
      <sheetName val="Saldo_Awal_200610"/>
      <sheetName val="3M_Indonesia_(9011-001)10"/>
      <sheetName val="Monthly_Data10"/>
      <sheetName val="Danamon_LK10"/>
      <sheetName val="Cash_Estimate_Local10"/>
      <sheetName val="Tabel_Kode10"/>
      <sheetName val="Data_10"/>
      <sheetName val="Daftar_Karyawan9"/>
      <sheetName val="ABS_Jun_~Juli_20119"/>
      <sheetName val="DPS_OK9"/>
      <sheetName val="Deferred_Rev9"/>
      <sheetName val="Template_9"/>
      <sheetName val="Data_Client9"/>
      <sheetName val="Penyusutan_Kendaraan9"/>
      <sheetName val="(Global_Parameters)9"/>
      <sheetName val="_5_Additional10"/>
      <sheetName val="_3_Mutasi_Final10"/>
      <sheetName val="_6_Depresiasi10"/>
      <sheetName val="Marshal_(2)9"/>
      <sheetName val="Other_charges_(income)9"/>
      <sheetName val="Cash_Estimate_Local_Q19"/>
      <sheetName val="Cash_Estmate_$_Q19"/>
      <sheetName val="Data_Ben9"/>
      <sheetName val="Premi_Iuran9"/>
      <sheetName val="AA_1_1_BNI9"/>
      <sheetName val="Statutory_Query9"/>
      <sheetName val="IMS_Trend9"/>
      <sheetName val="Retail_Pt_days9"/>
      <sheetName val="AP_Trade9"/>
      <sheetName val="TRGREV_vs_REVXXXSWL9"/>
      <sheetName val="TRGREV_Summary9"/>
      <sheetName val="REVXXXSWL_Summary9"/>
      <sheetName val="FE-1770_P19"/>
      <sheetName val="E-4_6ANADARCO9"/>
      <sheetName val="N-4_4ELNUSA_-HOLDING9"/>
      <sheetName val="U-2_1detail_cost_of_sales9"/>
      <sheetName val="Data_Base9"/>
      <sheetName val="SELLING_PRICE9"/>
      <sheetName val="FX_Rates7"/>
      <sheetName val="ACT_Cashflow7"/>
      <sheetName val="TAX_ON_SALARY9"/>
      <sheetName val="Rekap_Cop&amp;Mop_Nov_077"/>
      <sheetName val="Income_Statement9"/>
      <sheetName val="Check_Sheet7"/>
      <sheetName val="PLHO_Report7"/>
      <sheetName val="WP-230420_20099"/>
      <sheetName val="S_e_p7"/>
      <sheetName val="M_a_r7"/>
      <sheetName val="M_a_y7"/>
      <sheetName val="J_u_l7"/>
      <sheetName val="A_p_r7"/>
      <sheetName val="A_u_g7"/>
      <sheetName val="O_c_t7"/>
      <sheetName val="J_u_n7"/>
      <sheetName val="N_o_v7"/>
      <sheetName val="F_e_b7"/>
      <sheetName val="J_a_n7"/>
      <sheetName val="00_received_in_017"/>
      <sheetName val="Workshop_Tools7"/>
      <sheetName val="Form_A-Input-Current20057"/>
      <sheetName val="1200_1_1_1_Detail_Mesin_PA36"/>
      <sheetName val="3_kurdin-Bag6"/>
      <sheetName val="2_Gaji-Bag6"/>
      <sheetName val="TH_DZ355"/>
      <sheetName val="Account_Code5"/>
      <sheetName val="Marshal_-16"/>
      <sheetName val="DATA_KYW6"/>
      <sheetName val="Nomor_Id5"/>
      <sheetName val="Ex_Rate6"/>
      <sheetName val="INCOME_20075"/>
      <sheetName val="NAMA_DEPT4"/>
      <sheetName val="①　BP_vs_SPR_(TTL_Impact)4"/>
      <sheetName val="VAT_out4"/>
      <sheetName val="Permanent_invo6"/>
      <sheetName val="A__Data_Permintaan_Produk5"/>
      <sheetName val="C__Data_Faktur_5"/>
      <sheetName val="Data_Kalender5"/>
      <sheetName val="M__Data_Biaya_Kirim5"/>
      <sheetName val="Safety_24"/>
      <sheetName val="PRODUCTION_REPORTS5"/>
      <sheetName val="SRI_L5"/>
      <sheetName val="Print_Format4"/>
      <sheetName val="Performance_Detail_SI4"/>
      <sheetName val="PIVOT_OH4"/>
      <sheetName val="TB_RBB4"/>
      <sheetName val="TB_SME4"/>
      <sheetName val="PIVOT_GM4"/>
      <sheetName val="int-h_wk14"/>
      <sheetName val="Effort_A4"/>
      <sheetName val="Effort_P4"/>
      <sheetName val="Proj_Summ4"/>
      <sheetName val="TIV_PACK4"/>
      <sheetName val="Cost_centre_expenditure4"/>
      <sheetName val="Data_Asuransi4"/>
      <sheetName val="Rmh_Dinas4"/>
      <sheetName val="Interbank_detail4"/>
      <sheetName val="Start-up_financing4"/>
      <sheetName val="Unearned_premiums4"/>
      <sheetName val="b4_sm4"/>
      <sheetName val="SUMMARY_NDE4"/>
      <sheetName val="H_100Ye4"/>
      <sheetName val="DCF_Inputs4"/>
      <sheetName val="Company_Info4"/>
      <sheetName val="CA_Comp4"/>
      <sheetName val="K4__F&amp;F4"/>
      <sheetName val="Mgu_34"/>
      <sheetName val="Mgu_44"/>
      <sheetName val="Kode_Rek_PJA4"/>
      <sheetName val="Kunlun_P&amp;L4"/>
      <sheetName val="To_Generate4"/>
      <sheetName val="UMUR_PIUT4"/>
      <sheetName val="Maret_20074"/>
      <sheetName val="Profit_Loss4"/>
      <sheetName val="PBC_July_20114"/>
      <sheetName val="KKP_01_Audit4"/>
      <sheetName val="SST_Inv4"/>
      <sheetName val="Emp_Npwp_List4"/>
      <sheetName val="ACCTS_CHECK4"/>
      <sheetName val="Cost_Range4"/>
      <sheetName val="Sheet1_(2)4"/>
      <sheetName val="Sales_Rental4"/>
      <sheetName val="Sales_Parameter4"/>
      <sheetName val="June_104"/>
      <sheetName val="Base_Unit4"/>
      <sheetName val="ManPower_Cost4"/>
      <sheetName val="General_Assumptions4"/>
      <sheetName val="asset_beta_model4"/>
      <sheetName val="tunj_4"/>
      <sheetName val="Cumul_sal_09024"/>
      <sheetName val="Rém_Normale4"/>
      <sheetName val="SPRS_breakdown_pricing4"/>
      <sheetName val="P6__Building4"/>
      <sheetName val="P9_Power_Plant4"/>
      <sheetName val="P15__Mess_Eqp4"/>
      <sheetName val="P8__Machinery4"/>
      <sheetName val="P10__Vehicles4"/>
      <sheetName val="P11__Misc_Asset4"/>
      <sheetName val="P7__Leasehold4"/>
      <sheetName val="P14__Office_equipment4"/>
      <sheetName val="P12__Furniture4"/>
      <sheetName val="P13__Computer4"/>
      <sheetName val="P5_Gain_Loss_Disposal4"/>
      <sheetName val="Laba_rugi4"/>
      <sheetName val="sap_on_2feb034"/>
      <sheetName val="Data_Gaji_BTB4"/>
      <sheetName val="User_Database4"/>
      <sheetName val="Summary_Pending_Shipment4"/>
      <sheetName val="Control_-page4"/>
      <sheetName val="Operating_Cycle4"/>
      <sheetName val="SERV_EQ4"/>
      <sheetName val="ut_no_stm4"/>
      <sheetName val="H7_14"/>
      <sheetName val="Ref_List4"/>
      <sheetName val="Permanent_info11"/>
      <sheetName val="Depreciation__schedule_11"/>
      <sheetName val="fiscal_depr(E)11"/>
      <sheetName val="fiscal_depr__(I)11"/>
      <sheetName val="Cadangan_premi11"/>
      <sheetName val="Rounding_off11"/>
      <sheetName val="fiscal_depr_E_11"/>
      <sheetName val="PPH_GB11"/>
      <sheetName val="Data_Sheet11"/>
      <sheetName val="NOTES_11"/>
      <sheetName val="BALANCE_SHEET11"/>
      <sheetName val="C1_NOV11"/>
      <sheetName val="Sum_All11"/>
      <sheetName val="E4_1d11"/>
      <sheetName val="REv_DCR_Kar11"/>
      <sheetName val="BCA_Stat11"/>
      <sheetName val="Resource_Costs11"/>
      <sheetName val="Work_Requirement11"/>
      <sheetName val="JV_Form10"/>
      <sheetName val="Saldo_Awal_200611"/>
      <sheetName val="3M_Indonesia_(9011-001)11"/>
      <sheetName val="Monthly_Data11"/>
      <sheetName val="Danamon_LK11"/>
      <sheetName val="Cash_Estimate_Local11"/>
      <sheetName val="Tabel_Kode11"/>
      <sheetName val="Data_11"/>
      <sheetName val="Daftar_Karyawan10"/>
      <sheetName val="ABS_Jun_~Juli_201110"/>
      <sheetName val="DPS_OK10"/>
      <sheetName val="Deferred_Rev10"/>
      <sheetName val="Template_10"/>
      <sheetName val="Data_Client10"/>
      <sheetName val="Penyusutan_Kendaraan10"/>
      <sheetName val="(Global_Parameters)10"/>
      <sheetName val="_5_Additional11"/>
      <sheetName val="_3_Mutasi_Final11"/>
      <sheetName val="_6_Depresiasi11"/>
      <sheetName val="Marshal_(2)10"/>
      <sheetName val="Other_charges_(income)10"/>
      <sheetName val="Cash_Estimate_Local_Q110"/>
      <sheetName val="Cash_Estmate_$_Q110"/>
      <sheetName val="Data_Ben10"/>
      <sheetName val="Premi_Iuran10"/>
      <sheetName val="AA_1_1_BNI10"/>
      <sheetName val="Statutory_Query10"/>
      <sheetName val="IMS_Trend10"/>
      <sheetName val="Retail_Pt_days10"/>
      <sheetName val="AP_Trade10"/>
      <sheetName val="TRGREV_vs_REVXXXSWL10"/>
      <sheetName val="TRGREV_Summary10"/>
      <sheetName val="REVXXXSWL_Summary10"/>
      <sheetName val="FE-1770_P110"/>
      <sheetName val="E-4_6ANADARCO10"/>
      <sheetName val="N-4_4ELNUSA_-HOLDING10"/>
      <sheetName val="U-2_1detail_cost_of_sales10"/>
      <sheetName val="Data_Base10"/>
      <sheetName val="SELLING_PRICE10"/>
      <sheetName val="FX_Rates8"/>
      <sheetName val="ACT_Cashflow8"/>
      <sheetName val="TAX_ON_SALARY10"/>
      <sheetName val="Rekap_Cop&amp;Mop_Nov_078"/>
      <sheetName val="Income_Statement10"/>
      <sheetName val="Check_Sheet8"/>
      <sheetName val="PLHO_Report8"/>
      <sheetName val="WP-230420_200910"/>
      <sheetName val="S_e_p8"/>
      <sheetName val="M_a_r8"/>
      <sheetName val="M_a_y8"/>
      <sheetName val="J_u_l8"/>
      <sheetName val="A_p_r8"/>
      <sheetName val="A_u_g8"/>
      <sheetName val="O_c_t8"/>
      <sheetName val="J_u_n8"/>
      <sheetName val="N_o_v8"/>
      <sheetName val="F_e_b8"/>
      <sheetName val="J_a_n8"/>
      <sheetName val="00_received_in_018"/>
      <sheetName val="Workshop_Tools8"/>
      <sheetName val="Form_A-Input-Current20058"/>
      <sheetName val="1200_1_1_1_Detail_Mesin_PA37"/>
      <sheetName val="3_kurdin-Bag7"/>
      <sheetName val="2_Gaji-Bag7"/>
      <sheetName val="TH_DZ356"/>
      <sheetName val="Account_Code6"/>
      <sheetName val="Marshal_-17"/>
      <sheetName val="DATA_KYW7"/>
      <sheetName val="Nomor_Id6"/>
      <sheetName val="Ex_Rate7"/>
      <sheetName val="INCOME_20076"/>
      <sheetName val="NAMA_DEPT5"/>
      <sheetName val="①　BP_vs_SPR_(TTL_Impact)5"/>
      <sheetName val="VAT_out5"/>
      <sheetName val="Permanent_invo7"/>
      <sheetName val="A__Data_Permintaan_Produk6"/>
      <sheetName val="C__Data_Faktur_6"/>
      <sheetName val="Data_Kalender6"/>
      <sheetName val="M__Data_Biaya_Kirim6"/>
      <sheetName val="Safety_25"/>
      <sheetName val="PRODUCTION_REPORTS6"/>
      <sheetName val="SRI_L6"/>
      <sheetName val="Print_Format5"/>
      <sheetName val="Performance_Detail_SI5"/>
      <sheetName val="PIVOT_OH5"/>
      <sheetName val="TB_RBB5"/>
      <sheetName val="TB_SME5"/>
      <sheetName val="PIVOT_GM5"/>
      <sheetName val="int-h_wk15"/>
      <sheetName val="Effort_A5"/>
      <sheetName val="Effort_P5"/>
      <sheetName val="Proj_Summ5"/>
      <sheetName val="TIV_PACK5"/>
      <sheetName val="Cost_centre_expenditure5"/>
      <sheetName val="Data_Asuransi5"/>
      <sheetName val="Rmh_Dinas5"/>
      <sheetName val="Interbank_detail5"/>
      <sheetName val="Start-up_financing5"/>
      <sheetName val="Unearned_premiums5"/>
      <sheetName val="b4_sm5"/>
      <sheetName val="SUMMARY_NDE5"/>
      <sheetName val="H_100Ye5"/>
      <sheetName val="DCF_Inputs5"/>
      <sheetName val="Company_Info5"/>
      <sheetName val="CA_Comp5"/>
      <sheetName val="K4__F&amp;F5"/>
      <sheetName val="Mgu_35"/>
      <sheetName val="Mgu_45"/>
      <sheetName val="Kode_Rek_PJA5"/>
      <sheetName val="Kunlun_P&amp;L5"/>
      <sheetName val="To_Generate5"/>
      <sheetName val="UMUR_PIUT5"/>
      <sheetName val="Maret_20075"/>
      <sheetName val="Profit_Loss5"/>
      <sheetName val="PBC_July_20115"/>
      <sheetName val="KKP_01_Audit5"/>
      <sheetName val="SST_Inv5"/>
      <sheetName val="Emp_Npwp_List5"/>
      <sheetName val="ACCTS_CHECK5"/>
      <sheetName val="Cost_Range5"/>
      <sheetName val="Sheet1_(2)5"/>
      <sheetName val="Sales_Rental5"/>
      <sheetName val="Sales_Parameter5"/>
      <sheetName val="June_105"/>
      <sheetName val="Base_Unit5"/>
      <sheetName val="ManPower_Cost5"/>
      <sheetName val="General_Assumptions5"/>
      <sheetName val="asset_beta_model5"/>
      <sheetName val="tunj_5"/>
      <sheetName val="Cumul_sal_09025"/>
      <sheetName val="Rém_Normale5"/>
      <sheetName val="SPRS_breakdown_pricing5"/>
      <sheetName val="P6__Building5"/>
      <sheetName val="P9_Power_Plant5"/>
      <sheetName val="P15__Mess_Eqp5"/>
      <sheetName val="P8__Machinery5"/>
      <sheetName val="P10__Vehicles5"/>
      <sheetName val="P11__Misc_Asset5"/>
      <sheetName val="P7__Leasehold5"/>
      <sheetName val="P14__Office_equipment5"/>
      <sheetName val="P12__Furniture5"/>
      <sheetName val="P13__Computer5"/>
      <sheetName val="P5_Gain_Loss_Disposal5"/>
      <sheetName val="Laba_rugi5"/>
      <sheetName val="sap_on_2feb035"/>
      <sheetName val="Data_Gaji_BTB5"/>
      <sheetName val="User_Database5"/>
      <sheetName val="Summary_Pending_Shipment5"/>
      <sheetName val="Control_-page5"/>
      <sheetName val="Operating_Cycle5"/>
      <sheetName val="SERV_EQ5"/>
      <sheetName val="ut_no_stm5"/>
      <sheetName val="H7_15"/>
      <sheetName val="Ref_List5"/>
      <sheetName val="Minilink Eqp EAB, CIP"/>
      <sheetName val="Checker"/>
      <sheetName val="Working Paper"/>
      <sheetName val="Front sheet"/>
      <sheetName val="KONSOL UNIT"/>
      <sheetName val="FinStat"/>
      <sheetName val="Daily Report"/>
      <sheetName val="ITEM BAHAN BAKU"/>
      <sheetName val="TRANSFER"/>
      <sheetName val="SO BAR"/>
      <sheetName val="SO GUDANG"/>
      <sheetName val="SO KITCHEN"/>
      <sheetName val="TSB"/>
      <sheetName val="Daily_Report"/>
      <sheetName val="DATA2"/>
      <sheetName val="JL_BEL"/>
      <sheetName val="exf"/>
      <sheetName val="Daily_Report1"/>
      <sheetName val="ITEM_BAHAN_BAKU"/>
      <sheetName val="SO_BAR"/>
      <sheetName val="SO_GUDANG"/>
      <sheetName val="SO_KITCHEN"/>
      <sheetName val="Payable_Fee_-_Liquidity_(supp)"/>
      <sheetName val="Tab_Daten"/>
      <sheetName val="TB 2009"/>
      <sheetName val="Daily_Report2"/>
      <sheetName val="Daily_Report4"/>
      <sheetName val="ITEM_BAHAN_BAKU2"/>
      <sheetName val="SO_BAR2"/>
      <sheetName val="SO_GUDANG2"/>
      <sheetName val="SO_KITCHEN2"/>
      <sheetName val="Payable_Fee_-_Liquidity_(supp)2"/>
      <sheetName val="Tab_Daten2"/>
      <sheetName val="Daily_Report3"/>
      <sheetName val="ITEM_BAHAN_BAKU1"/>
      <sheetName val="SO_BAR1"/>
      <sheetName val="SO_GUDANG1"/>
      <sheetName val="SO_KITCHEN1"/>
      <sheetName val="Payable_Fee_-_Liquidity_(supp)1"/>
      <sheetName val="Tab_Daten1"/>
      <sheetName val="Alamat"/>
      <sheetName val="Trial Bal"/>
      <sheetName val="Exc. Rate"/>
      <sheetName val="CF Oman Oil"/>
      <sheetName val="Result"/>
      <sheetName val="Resume"/>
      <sheetName val="Harga Minyak Oman"/>
      <sheetName val="Final PEEP Oil Prod match S (2)"/>
      <sheetName val="Input Development"/>
      <sheetName val="Analysis"/>
      <sheetName val="G-Split"/>
      <sheetName val="E (Return)"/>
      <sheetName val="Sheet5"/>
      <sheetName val="General Info"/>
      <sheetName val="Permanent_info13"/>
      <sheetName val="Depreciation__schedule_13"/>
      <sheetName val="fiscal_depr(E)13"/>
      <sheetName val="fiscal_depr__(I)13"/>
      <sheetName val="Cadangan_premi13"/>
      <sheetName val="Rounding_off13"/>
      <sheetName val="fiscal_depr_E_13"/>
      <sheetName val="PPH_GB13"/>
      <sheetName val="Data_Sheet13"/>
      <sheetName val="NOTES_13"/>
      <sheetName val="BALANCE_SHEET13"/>
      <sheetName val="C1_NOV13"/>
      <sheetName val="Sum_All13"/>
      <sheetName val="E4_1d13"/>
      <sheetName val="REv_DCR_Kar13"/>
      <sheetName val="BCA_Stat13"/>
      <sheetName val="Resource_Costs13"/>
      <sheetName val="Work_Requirement13"/>
      <sheetName val="JV_Form12"/>
      <sheetName val="Saldo_Awal_200613"/>
      <sheetName val="3M_Indonesia_(9011-001)13"/>
      <sheetName val="Monthly_Data13"/>
      <sheetName val="Danamon_LK13"/>
      <sheetName val="Cash_Estimate_Local13"/>
      <sheetName val="Tabel_Kode13"/>
      <sheetName val="Data_13"/>
      <sheetName val="Daftar_Karyawan12"/>
      <sheetName val="ABS_Jun_~Juli_201112"/>
      <sheetName val="DPS_OK12"/>
      <sheetName val="Deferred_Rev12"/>
      <sheetName val="Template_12"/>
      <sheetName val="Data_Client12"/>
      <sheetName val="Penyusutan_Kendaraan12"/>
      <sheetName val="(Global_Parameters)12"/>
      <sheetName val="_5_Additional13"/>
      <sheetName val="_3_Mutasi_Final13"/>
      <sheetName val="_6_Depresiasi13"/>
      <sheetName val="Marshal_(2)12"/>
      <sheetName val="Other_charges_(income)12"/>
      <sheetName val="Cash_Estimate_Local_Q112"/>
      <sheetName val="Cash_Estmate_$_Q112"/>
      <sheetName val="Data_Ben12"/>
      <sheetName val="Premi_Iuran12"/>
      <sheetName val="AA_1_1_BNI12"/>
      <sheetName val="Statutory_Query12"/>
      <sheetName val="IMS_Trend12"/>
      <sheetName val="Retail_Pt_days12"/>
      <sheetName val="AP_Trade12"/>
      <sheetName val="TRGREV_vs_REVXXXSWL12"/>
      <sheetName val="TRGREV_Summary12"/>
      <sheetName val="REVXXXSWL_Summary12"/>
      <sheetName val="FE-1770_P112"/>
      <sheetName val="E-4_6ANADARCO12"/>
      <sheetName val="N-4_4ELNUSA_-HOLDING12"/>
      <sheetName val="U-2_1detail_cost_of_sales12"/>
      <sheetName val="Data_Base12"/>
      <sheetName val="SELLING_PRICE12"/>
      <sheetName val="FX_Rates10"/>
      <sheetName val="ACT_Cashflow10"/>
      <sheetName val="TAX_ON_SALARY12"/>
      <sheetName val="Rekap_Cop&amp;Mop_Nov_0710"/>
      <sheetName val="Income_Statement12"/>
      <sheetName val="Check_Sheet10"/>
      <sheetName val="PLHO_Report10"/>
      <sheetName val="WP-230420_200912"/>
      <sheetName val="S_e_p10"/>
      <sheetName val="M_a_r10"/>
      <sheetName val="M_a_y10"/>
      <sheetName val="J_u_l10"/>
      <sheetName val="A_p_r10"/>
      <sheetName val="A_u_g10"/>
      <sheetName val="O_c_t10"/>
      <sheetName val="J_u_n10"/>
      <sheetName val="N_o_v10"/>
      <sheetName val="F_e_b10"/>
      <sheetName val="J_a_n10"/>
      <sheetName val="00_received_in_0110"/>
      <sheetName val="Workshop_Tools10"/>
      <sheetName val="Form_A-Input-Current200510"/>
      <sheetName val="1200_1_1_1_Detail_Mesin_PA39"/>
      <sheetName val="3_kurdin-Bag9"/>
      <sheetName val="2_Gaji-Bag9"/>
      <sheetName val="TH_DZ358"/>
      <sheetName val="Account_Code8"/>
      <sheetName val="Marshal_-19"/>
      <sheetName val="DATA_KYW9"/>
      <sheetName val="Nomor_Id8"/>
      <sheetName val="Ex_Rate9"/>
      <sheetName val="INCOME_20078"/>
      <sheetName val="NAMA_DEPT7"/>
      <sheetName val="①　BP_vs_SPR_(TTL_Impact)7"/>
      <sheetName val="VAT_out7"/>
      <sheetName val="Permanent_invo9"/>
      <sheetName val="A__Data_Permintaan_Produk8"/>
      <sheetName val="C__Data_Faktur_8"/>
      <sheetName val="Data_Kalender8"/>
      <sheetName val="M__Data_Biaya_Kirim8"/>
      <sheetName val="Safety_27"/>
      <sheetName val="PRODUCTION_REPORTS8"/>
      <sheetName val="SRI_L8"/>
      <sheetName val="Print_Format7"/>
      <sheetName val="Performance_Detail_SI7"/>
      <sheetName val="PIVOT_OH7"/>
      <sheetName val="TB_RBB7"/>
      <sheetName val="TB_SME7"/>
      <sheetName val="PIVOT_GM7"/>
      <sheetName val="int-h_wk17"/>
      <sheetName val="Effort_A7"/>
      <sheetName val="Effort_P7"/>
      <sheetName val="Proj_Summ7"/>
      <sheetName val="TIV_PACK7"/>
      <sheetName val="Cost_centre_expenditure7"/>
      <sheetName val="Data_Asuransi7"/>
      <sheetName val="Rmh_Dinas7"/>
      <sheetName val="Interbank_detail7"/>
      <sheetName val="Start-up_financing7"/>
      <sheetName val="Unearned_premiums7"/>
      <sheetName val="b4_sm7"/>
      <sheetName val="SUMMARY_NDE7"/>
      <sheetName val="H_100Ye7"/>
      <sheetName val="DCF_Inputs7"/>
      <sheetName val="Company_Info7"/>
      <sheetName val="CA_Comp7"/>
      <sheetName val="K4__F&amp;F7"/>
      <sheetName val="Mgu_37"/>
      <sheetName val="Mgu_47"/>
      <sheetName val="Kode_Rek_PJA7"/>
      <sheetName val="Kunlun_P&amp;L7"/>
      <sheetName val="To_Generate7"/>
      <sheetName val="UMUR_PIUT7"/>
      <sheetName val="Maret_20077"/>
      <sheetName val="Profit_Loss7"/>
      <sheetName val="PBC_July_20117"/>
      <sheetName val="KKP_01_Audit7"/>
      <sheetName val="SST_Inv7"/>
      <sheetName val="Emp_Npwp_List7"/>
      <sheetName val="ACCTS_CHECK7"/>
      <sheetName val="Cost_Range7"/>
      <sheetName val="Sheet1_(2)7"/>
      <sheetName val="Sales_Rental7"/>
      <sheetName val="Sales_Parameter7"/>
      <sheetName val="June_107"/>
      <sheetName val="Base_Unit7"/>
      <sheetName val="ManPower_Cost7"/>
      <sheetName val="General_Assumptions7"/>
      <sheetName val="asset_beta_model7"/>
      <sheetName val="tunj_7"/>
      <sheetName val="Cumul_sal_09027"/>
      <sheetName val="Rém_Normale7"/>
      <sheetName val="SPRS_breakdown_pricing7"/>
      <sheetName val="P6__Building7"/>
      <sheetName val="P9_Power_Plant7"/>
      <sheetName val="P15__Mess_Eqp7"/>
      <sheetName val="P8__Machinery7"/>
      <sheetName val="P10__Vehicles7"/>
      <sheetName val="P11__Misc_Asset7"/>
      <sheetName val="P7__Leasehold7"/>
      <sheetName val="P14__Office_equipment7"/>
      <sheetName val="P12__Furniture7"/>
      <sheetName val="P13__Computer7"/>
      <sheetName val="P5_Gain_Loss_Disposal7"/>
      <sheetName val="Laba_rugi7"/>
      <sheetName val="sap_on_2feb037"/>
      <sheetName val="Data_Gaji_BTB7"/>
      <sheetName val="User_Database7"/>
      <sheetName val="Summary_Pending_Shipment7"/>
      <sheetName val="Control_-page7"/>
      <sheetName val="Operating_Cycle7"/>
      <sheetName val="SERV_EQ7"/>
      <sheetName val="ut_no_stm7"/>
      <sheetName val="H7_17"/>
      <sheetName val="Ref_List7"/>
      <sheetName val="Permanent_info12"/>
      <sheetName val="Depreciation__schedule_12"/>
      <sheetName val="fiscal_depr(E)12"/>
      <sheetName val="fiscal_depr__(I)12"/>
      <sheetName val="Cadangan_premi12"/>
      <sheetName val="Rounding_off12"/>
      <sheetName val="fiscal_depr_E_12"/>
      <sheetName val="PPH_GB12"/>
      <sheetName val="Data_Sheet12"/>
      <sheetName val="NOTES_12"/>
      <sheetName val="BALANCE_SHEET12"/>
      <sheetName val="C1_NOV12"/>
      <sheetName val="Sum_All12"/>
      <sheetName val="E4_1d12"/>
      <sheetName val="REv_DCR_Kar12"/>
      <sheetName val="BCA_Stat12"/>
      <sheetName val="Resource_Costs12"/>
      <sheetName val="Work_Requirement12"/>
      <sheetName val="JV_Form11"/>
      <sheetName val="Saldo_Awal_200612"/>
      <sheetName val="3M_Indonesia_(9011-001)12"/>
      <sheetName val="Monthly_Data12"/>
      <sheetName val="Danamon_LK12"/>
      <sheetName val="Cash_Estimate_Local12"/>
      <sheetName val="Tabel_Kode12"/>
      <sheetName val="Data_12"/>
      <sheetName val="Daftar_Karyawan11"/>
      <sheetName val="ABS_Jun_~Juli_201111"/>
      <sheetName val="DPS_OK11"/>
      <sheetName val="Deferred_Rev11"/>
      <sheetName val="Template_11"/>
      <sheetName val="Data_Client11"/>
      <sheetName val="Penyusutan_Kendaraan11"/>
      <sheetName val="(Global_Parameters)11"/>
      <sheetName val="_5_Additional12"/>
      <sheetName val="_3_Mutasi_Final12"/>
      <sheetName val="_6_Depresiasi12"/>
      <sheetName val="Marshal_(2)11"/>
      <sheetName val="Other_charges_(income)11"/>
      <sheetName val="Cash_Estimate_Local_Q111"/>
      <sheetName val="Cash_Estmate_$_Q111"/>
      <sheetName val="Data_Ben11"/>
      <sheetName val="Premi_Iuran11"/>
      <sheetName val="AA_1_1_BNI11"/>
      <sheetName val="Statutory_Query11"/>
      <sheetName val="IMS_Trend11"/>
      <sheetName val="Retail_Pt_days11"/>
      <sheetName val="AP_Trade11"/>
      <sheetName val="TRGREV_vs_REVXXXSWL11"/>
      <sheetName val="TRGREV_Summary11"/>
      <sheetName val="REVXXXSWL_Summary11"/>
      <sheetName val="FE-1770_P111"/>
      <sheetName val="E-4_6ANADARCO11"/>
      <sheetName val="N-4_4ELNUSA_-HOLDING11"/>
      <sheetName val="U-2_1detail_cost_of_sales11"/>
      <sheetName val="Data_Base11"/>
      <sheetName val="SELLING_PRICE11"/>
      <sheetName val="FX_Rates9"/>
      <sheetName val="ACT_Cashflow9"/>
      <sheetName val="TAX_ON_SALARY11"/>
      <sheetName val="Rekap_Cop&amp;Mop_Nov_079"/>
      <sheetName val="Income_Statement11"/>
      <sheetName val="Check_Sheet9"/>
      <sheetName val="PLHO_Report9"/>
      <sheetName val="WP-230420_200911"/>
      <sheetName val="S_e_p9"/>
      <sheetName val="M_a_r9"/>
      <sheetName val="M_a_y9"/>
      <sheetName val="J_u_l9"/>
      <sheetName val="A_p_r9"/>
      <sheetName val="A_u_g9"/>
      <sheetName val="O_c_t9"/>
      <sheetName val="J_u_n9"/>
      <sheetName val="N_o_v9"/>
      <sheetName val="F_e_b9"/>
      <sheetName val="J_a_n9"/>
      <sheetName val="00_received_in_019"/>
      <sheetName val="Workshop_Tools9"/>
      <sheetName val="Form_A-Input-Current20059"/>
      <sheetName val="1200_1_1_1_Detail_Mesin_PA38"/>
      <sheetName val="3_kurdin-Bag8"/>
      <sheetName val="2_Gaji-Bag8"/>
      <sheetName val="TH_DZ357"/>
      <sheetName val="Account_Code7"/>
      <sheetName val="Marshal_-18"/>
      <sheetName val="DATA_KYW8"/>
      <sheetName val="Nomor_Id7"/>
      <sheetName val="Ex_Rate8"/>
      <sheetName val="INCOME_20077"/>
      <sheetName val="NAMA_DEPT6"/>
      <sheetName val="①　BP_vs_SPR_(TTL_Impact)6"/>
      <sheetName val="VAT_out6"/>
      <sheetName val="Permanent_invo8"/>
      <sheetName val="A__Data_Permintaan_Produk7"/>
      <sheetName val="C__Data_Faktur_7"/>
      <sheetName val="Data_Kalender7"/>
      <sheetName val="M__Data_Biaya_Kirim7"/>
      <sheetName val="Safety_26"/>
      <sheetName val="PRODUCTION_REPORTS7"/>
      <sheetName val="SRI_L7"/>
      <sheetName val="Print_Format6"/>
      <sheetName val="Performance_Detail_SI6"/>
      <sheetName val="PIVOT_OH6"/>
      <sheetName val="TB_RBB6"/>
      <sheetName val="TB_SME6"/>
      <sheetName val="PIVOT_GM6"/>
      <sheetName val="int-h_wk16"/>
      <sheetName val="Effort_A6"/>
      <sheetName val="Effort_P6"/>
      <sheetName val="Proj_Summ6"/>
      <sheetName val="TIV_PACK6"/>
      <sheetName val="Cost_centre_expenditure6"/>
      <sheetName val="Data_Asuransi6"/>
      <sheetName val="Rmh_Dinas6"/>
      <sheetName val="Interbank_detail6"/>
      <sheetName val="Start-up_financing6"/>
      <sheetName val="Unearned_premiums6"/>
      <sheetName val="b4_sm6"/>
      <sheetName val="SUMMARY_NDE6"/>
      <sheetName val="H_100Ye6"/>
      <sheetName val="DCF_Inputs6"/>
      <sheetName val="Company_Info6"/>
      <sheetName val="CA_Comp6"/>
      <sheetName val="K4__F&amp;F6"/>
      <sheetName val="Mgu_36"/>
      <sheetName val="Mgu_46"/>
      <sheetName val="Kode_Rek_PJA6"/>
      <sheetName val="Kunlun_P&amp;L6"/>
      <sheetName val="To_Generate6"/>
      <sheetName val="UMUR_PIUT6"/>
      <sheetName val="Maret_20076"/>
      <sheetName val="Profit_Loss6"/>
      <sheetName val="PBC_July_20116"/>
      <sheetName val="KKP_01_Audit6"/>
      <sheetName val="SST_Inv6"/>
      <sheetName val="Emp_Npwp_List6"/>
      <sheetName val="ACCTS_CHECK6"/>
      <sheetName val="Cost_Range6"/>
      <sheetName val="Sheet1_(2)6"/>
      <sheetName val="Sales_Rental6"/>
      <sheetName val="Sales_Parameter6"/>
      <sheetName val="June_106"/>
      <sheetName val="Base_Unit6"/>
      <sheetName val="ManPower_Cost6"/>
      <sheetName val="General_Assumptions6"/>
      <sheetName val="asset_beta_model6"/>
      <sheetName val="tunj_6"/>
      <sheetName val="Cumul_sal_09026"/>
      <sheetName val="Rém_Normale6"/>
      <sheetName val="SPRS_breakdown_pricing6"/>
      <sheetName val="P6__Building6"/>
      <sheetName val="P9_Power_Plant6"/>
      <sheetName val="P15__Mess_Eqp6"/>
      <sheetName val="P8__Machinery6"/>
      <sheetName val="P10__Vehicles6"/>
      <sheetName val="P11__Misc_Asset6"/>
      <sheetName val="P7__Leasehold6"/>
      <sheetName val="P14__Office_equipment6"/>
      <sheetName val="P12__Furniture6"/>
      <sheetName val="P13__Computer6"/>
      <sheetName val="P5_Gain_Loss_Disposal6"/>
      <sheetName val="Laba_rugi6"/>
      <sheetName val="sap_on_2feb036"/>
      <sheetName val="Data_Gaji_BTB6"/>
      <sheetName val="User_Database6"/>
      <sheetName val="Summary_Pending_Shipment6"/>
      <sheetName val="Control_-page6"/>
      <sheetName val="Operating_Cycle6"/>
      <sheetName val="SERV_EQ6"/>
      <sheetName val="ut_no_stm6"/>
      <sheetName val="H7_16"/>
      <sheetName val="Ref_List6"/>
      <sheetName val="Permanent_info14"/>
      <sheetName val="Depreciation__schedule_14"/>
      <sheetName val="fiscal_depr(E)14"/>
      <sheetName val="fiscal_depr__(I)14"/>
      <sheetName val="Cadangan_premi14"/>
      <sheetName val="Rounding_off14"/>
      <sheetName val="fiscal_depr_E_14"/>
      <sheetName val="PPH_GB14"/>
      <sheetName val="Data_Sheet14"/>
      <sheetName val="NOTES_14"/>
      <sheetName val="BALANCE_SHEET14"/>
      <sheetName val="C1_NOV14"/>
      <sheetName val="Sum_All14"/>
      <sheetName val="E4_1d14"/>
      <sheetName val="REv_DCR_Kar14"/>
      <sheetName val="BCA_Stat14"/>
      <sheetName val="Resource_Costs14"/>
      <sheetName val="Work_Requirement14"/>
      <sheetName val="JV_Form13"/>
      <sheetName val="Saldo_Awal_200614"/>
      <sheetName val="3M_Indonesia_(9011-001)14"/>
      <sheetName val="Monthly_Data14"/>
      <sheetName val="Danamon_LK14"/>
      <sheetName val="Cash_Estimate_Local14"/>
      <sheetName val="Tabel_Kode14"/>
      <sheetName val="Data_14"/>
      <sheetName val="Daftar_Karyawan13"/>
      <sheetName val="ABS_Jun_~Juli_201113"/>
      <sheetName val="DPS_OK13"/>
      <sheetName val="Deferred_Rev13"/>
      <sheetName val="Template_13"/>
      <sheetName val="Data_Client13"/>
      <sheetName val="Penyusutan_Kendaraan13"/>
      <sheetName val="(Global_Parameters)13"/>
      <sheetName val="_5_Additional14"/>
      <sheetName val="_3_Mutasi_Final14"/>
      <sheetName val="_6_Depresiasi14"/>
      <sheetName val="Marshal_(2)13"/>
      <sheetName val="Other_charges_(income)13"/>
      <sheetName val="Cash_Estimate_Local_Q113"/>
      <sheetName val="Cash_Estmate_$_Q113"/>
      <sheetName val="Data_Ben13"/>
      <sheetName val="Premi_Iuran13"/>
      <sheetName val="AA_1_1_BNI13"/>
      <sheetName val="Statutory_Query13"/>
      <sheetName val="IMS_Trend13"/>
      <sheetName val="Retail_Pt_days13"/>
      <sheetName val="AP_Trade13"/>
      <sheetName val="TRGREV_vs_REVXXXSWL13"/>
      <sheetName val="TRGREV_Summary13"/>
      <sheetName val="REVXXXSWL_Summary13"/>
      <sheetName val="FE-1770_P113"/>
      <sheetName val="E-4_6ANADARCO13"/>
      <sheetName val="N-4_4ELNUSA_-HOLDING13"/>
      <sheetName val="U-2_1detail_cost_of_sales13"/>
      <sheetName val="Data_Base13"/>
      <sheetName val="SELLING_PRICE13"/>
      <sheetName val="FX_Rates11"/>
      <sheetName val="ACT_Cashflow11"/>
      <sheetName val="TAX_ON_SALARY13"/>
      <sheetName val="Rekap_Cop&amp;Mop_Nov_0711"/>
      <sheetName val="Income_Statement13"/>
      <sheetName val="Check_Sheet11"/>
      <sheetName val="PLHO_Report11"/>
      <sheetName val="WP-230420_200913"/>
      <sheetName val="S_e_p11"/>
      <sheetName val="M_a_r11"/>
      <sheetName val="M_a_y11"/>
      <sheetName val="J_u_l11"/>
      <sheetName val="A_p_r11"/>
      <sheetName val="A_u_g11"/>
      <sheetName val="O_c_t11"/>
      <sheetName val="J_u_n11"/>
      <sheetName val="N_o_v11"/>
      <sheetName val="F_e_b11"/>
      <sheetName val="J_a_n11"/>
      <sheetName val="00_received_in_0111"/>
      <sheetName val="Workshop_Tools11"/>
      <sheetName val="Form_A-Input-Current200511"/>
      <sheetName val="1200_1_1_1_Detail_Mesin_PA310"/>
      <sheetName val="3_kurdin-Bag10"/>
      <sheetName val="2_Gaji-Bag10"/>
      <sheetName val="TH_DZ359"/>
      <sheetName val="Account_Code9"/>
      <sheetName val="Marshal_-110"/>
      <sheetName val="DATA_KYW10"/>
      <sheetName val="Nomor_Id9"/>
      <sheetName val="Ex_Rate10"/>
      <sheetName val="INCOME_20079"/>
      <sheetName val="NAMA_DEPT8"/>
      <sheetName val="①　BP_vs_SPR_(TTL_Impact)8"/>
      <sheetName val="VAT_out8"/>
      <sheetName val="Permanent_invo10"/>
      <sheetName val="A__Data_Permintaan_Produk9"/>
      <sheetName val="C__Data_Faktur_9"/>
      <sheetName val="Data_Kalender9"/>
      <sheetName val="M__Data_Biaya_Kirim9"/>
      <sheetName val="Safety_28"/>
      <sheetName val="PRODUCTION_REPORTS9"/>
      <sheetName val="SRI_L9"/>
      <sheetName val="Print_Format8"/>
      <sheetName val="Performance_Detail_SI8"/>
      <sheetName val="PIVOT_OH8"/>
      <sheetName val="TB_RBB8"/>
      <sheetName val="TB_SME8"/>
      <sheetName val="PIVOT_GM8"/>
      <sheetName val="int-h_wk18"/>
      <sheetName val="Effort_A8"/>
      <sheetName val="Effort_P8"/>
      <sheetName val="Proj_Summ8"/>
      <sheetName val="TIV_PACK8"/>
      <sheetName val="Cost_centre_expenditure8"/>
      <sheetName val="Data_Asuransi8"/>
      <sheetName val="Rmh_Dinas8"/>
      <sheetName val="Interbank_detail8"/>
      <sheetName val="Start-up_financing8"/>
      <sheetName val="Unearned_premiums8"/>
      <sheetName val="b4_sm8"/>
      <sheetName val="SUMMARY_NDE8"/>
      <sheetName val="H_100Ye8"/>
      <sheetName val="DCF_Inputs8"/>
      <sheetName val="Company_Info8"/>
      <sheetName val="CA_Comp8"/>
      <sheetName val="K4__F&amp;F8"/>
      <sheetName val="Mgu_38"/>
      <sheetName val="Mgu_48"/>
      <sheetName val="Kode_Rek_PJA8"/>
      <sheetName val="Kunlun_P&amp;L8"/>
      <sheetName val="To_Generate8"/>
      <sheetName val="UMUR_PIUT8"/>
      <sheetName val="Maret_20078"/>
      <sheetName val="Profit_Loss8"/>
      <sheetName val="PBC_July_20118"/>
      <sheetName val="KKP_01_Audit8"/>
      <sheetName val="SST_Inv8"/>
      <sheetName val="Emp_Npwp_List8"/>
      <sheetName val="ACCTS_CHECK8"/>
      <sheetName val="Cost_Range8"/>
      <sheetName val="Sheet1_(2)8"/>
      <sheetName val="Sales_Rental8"/>
      <sheetName val="Sales_Parameter8"/>
      <sheetName val="June_108"/>
      <sheetName val="Base_Unit8"/>
      <sheetName val="ManPower_Cost8"/>
      <sheetName val="General_Assumptions8"/>
      <sheetName val="asset_beta_model8"/>
      <sheetName val="tunj_8"/>
      <sheetName val="Cumul_sal_09028"/>
      <sheetName val="Rém_Normale8"/>
      <sheetName val="SPRS_breakdown_pricing8"/>
      <sheetName val="P6__Building8"/>
      <sheetName val="P9_Power_Plant8"/>
      <sheetName val="P15__Mess_Eqp8"/>
      <sheetName val="P8__Machinery8"/>
      <sheetName val="P10__Vehicles8"/>
      <sheetName val="P11__Misc_Asset8"/>
      <sheetName val="P7__Leasehold8"/>
      <sheetName val="P14__Office_equipment8"/>
      <sheetName val="P12__Furniture8"/>
      <sheetName val="P13__Computer8"/>
      <sheetName val="P5_Gain_Loss_Disposal8"/>
      <sheetName val="Laba_rugi8"/>
      <sheetName val="sap_on_2feb038"/>
      <sheetName val="Data_Gaji_BTB8"/>
      <sheetName val="User_Database8"/>
      <sheetName val="Summary_Pending_Shipment8"/>
      <sheetName val="Control_-page8"/>
      <sheetName val="Operating_Cycle8"/>
      <sheetName val="SERV_EQ8"/>
      <sheetName val="ut_no_stm8"/>
      <sheetName val="H7_18"/>
      <sheetName val="Ref_List8"/>
      <sheetName val="Permanent_info16"/>
      <sheetName val="Depreciation__schedule_16"/>
      <sheetName val="fiscal_depr(E)16"/>
      <sheetName val="fiscal_depr__(I)16"/>
      <sheetName val="Cadangan_premi16"/>
      <sheetName val="Rounding_off16"/>
      <sheetName val="fiscal_depr_E_16"/>
      <sheetName val="PPH_GB16"/>
      <sheetName val="Data_Sheet16"/>
      <sheetName val="NOTES_16"/>
      <sheetName val="BALANCE_SHEET16"/>
      <sheetName val="C1_NOV16"/>
      <sheetName val="Sum_All16"/>
      <sheetName val="E4_1d16"/>
      <sheetName val="REv_DCR_Kar16"/>
      <sheetName val="BCA_Stat16"/>
      <sheetName val="Resource_Costs16"/>
      <sheetName val="Work_Requirement16"/>
      <sheetName val="JV_Form15"/>
      <sheetName val="Saldo_Awal_200616"/>
      <sheetName val="3M_Indonesia_(9011-001)16"/>
      <sheetName val="Monthly_Data16"/>
      <sheetName val="Danamon_LK16"/>
      <sheetName val="Cash_Estimate_Local16"/>
      <sheetName val="Tabel_Kode16"/>
      <sheetName val="Data_16"/>
      <sheetName val="Daftar_Karyawan15"/>
      <sheetName val="ABS_Jun_~Juli_201115"/>
      <sheetName val="DPS_OK15"/>
      <sheetName val="Deferred_Rev15"/>
      <sheetName val="Template_15"/>
      <sheetName val="Data_Client15"/>
      <sheetName val="Penyusutan_Kendaraan15"/>
      <sheetName val="(Global_Parameters)15"/>
      <sheetName val="_5_Additional16"/>
      <sheetName val="_3_Mutasi_Final16"/>
      <sheetName val="_6_Depresiasi16"/>
      <sheetName val="Marshal_(2)15"/>
      <sheetName val="Other_charges_(income)15"/>
      <sheetName val="Cash_Estimate_Local_Q115"/>
      <sheetName val="Cash_Estmate_$_Q115"/>
      <sheetName val="Data_Ben15"/>
      <sheetName val="Premi_Iuran15"/>
      <sheetName val="AA_1_1_BNI15"/>
      <sheetName val="Statutory_Query15"/>
      <sheetName val="IMS_Trend15"/>
      <sheetName val="Retail_Pt_days15"/>
      <sheetName val="AP_Trade15"/>
      <sheetName val="TRGREV_vs_REVXXXSWL15"/>
      <sheetName val="TRGREV_Summary15"/>
      <sheetName val="REVXXXSWL_Summary15"/>
      <sheetName val="FE-1770_P115"/>
      <sheetName val="E-4_6ANADARCO15"/>
      <sheetName val="N-4_4ELNUSA_-HOLDING15"/>
      <sheetName val="U-2_1detail_cost_of_sales15"/>
      <sheetName val="Data_Base15"/>
      <sheetName val="SELLING_PRICE15"/>
      <sheetName val="FX_Rates13"/>
      <sheetName val="ACT_Cashflow13"/>
      <sheetName val="TAX_ON_SALARY15"/>
      <sheetName val="Rekap_Cop&amp;Mop_Nov_0713"/>
      <sheetName val="Income_Statement15"/>
      <sheetName val="Check_Sheet13"/>
      <sheetName val="PLHO_Report13"/>
      <sheetName val="WP-230420_200915"/>
      <sheetName val="S_e_p13"/>
      <sheetName val="M_a_r13"/>
      <sheetName val="M_a_y13"/>
      <sheetName val="J_u_l13"/>
      <sheetName val="A_p_r13"/>
      <sheetName val="A_u_g13"/>
      <sheetName val="O_c_t13"/>
      <sheetName val="J_u_n13"/>
      <sheetName val="N_o_v13"/>
      <sheetName val="F_e_b13"/>
      <sheetName val="J_a_n13"/>
      <sheetName val="00_received_in_0113"/>
      <sheetName val="Workshop_Tools13"/>
      <sheetName val="Form_A-Input-Current200513"/>
      <sheetName val="1200_1_1_1_Detail_Mesin_PA312"/>
      <sheetName val="3_kurdin-Bag12"/>
      <sheetName val="2_Gaji-Bag12"/>
      <sheetName val="TH_DZ3511"/>
      <sheetName val="Account_Code11"/>
      <sheetName val="Marshal_-112"/>
      <sheetName val="DATA_KYW12"/>
      <sheetName val="Nomor_Id11"/>
      <sheetName val="Ex_Rate12"/>
      <sheetName val="INCOME_200711"/>
      <sheetName val="NAMA_DEPT10"/>
      <sheetName val="①　BP_vs_SPR_(TTL_Impact)10"/>
      <sheetName val="VAT_out10"/>
      <sheetName val="Permanent_invo12"/>
      <sheetName val="A__Data_Permintaan_Produk11"/>
      <sheetName val="C__Data_Faktur_11"/>
      <sheetName val="Data_Kalender11"/>
      <sheetName val="M__Data_Biaya_Kirim11"/>
      <sheetName val="Safety_210"/>
      <sheetName val="PRODUCTION_REPORTS11"/>
      <sheetName val="SRI_L11"/>
      <sheetName val="Print_Format10"/>
      <sheetName val="Performance_Detail_SI10"/>
      <sheetName val="PIVOT_OH10"/>
      <sheetName val="TB_RBB10"/>
      <sheetName val="TB_SME10"/>
      <sheetName val="PIVOT_GM10"/>
      <sheetName val="int-h_wk110"/>
      <sheetName val="Effort_A10"/>
      <sheetName val="Effort_P10"/>
      <sheetName val="Proj_Summ10"/>
      <sheetName val="TIV_PACK10"/>
      <sheetName val="Cost_centre_expenditure10"/>
      <sheetName val="Data_Asuransi10"/>
      <sheetName val="Rmh_Dinas10"/>
      <sheetName val="Interbank_detail10"/>
      <sheetName val="Start-up_financing10"/>
      <sheetName val="Unearned_premiums10"/>
      <sheetName val="b4_sm10"/>
      <sheetName val="SUMMARY_NDE10"/>
      <sheetName val="H_100Ye10"/>
      <sheetName val="DCF_Inputs10"/>
      <sheetName val="Company_Info10"/>
      <sheetName val="CA_Comp10"/>
      <sheetName val="K4__F&amp;F10"/>
      <sheetName val="Mgu_310"/>
      <sheetName val="Mgu_410"/>
      <sheetName val="Kode_Rek_PJA10"/>
      <sheetName val="Kunlun_P&amp;L10"/>
      <sheetName val="To_Generate10"/>
      <sheetName val="UMUR_PIUT10"/>
      <sheetName val="Maret_200710"/>
      <sheetName val="Profit_Loss10"/>
      <sheetName val="PBC_July_201110"/>
      <sheetName val="KKP_01_Audit10"/>
      <sheetName val="SST_Inv10"/>
      <sheetName val="Emp_Npwp_List10"/>
      <sheetName val="ACCTS_CHECK10"/>
      <sheetName val="Cost_Range10"/>
      <sheetName val="Sheet1_(2)10"/>
      <sheetName val="Sales_Rental10"/>
      <sheetName val="Sales_Parameter10"/>
      <sheetName val="June_1010"/>
      <sheetName val="Base_Unit10"/>
      <sheetName val="ManPower_Cost10"/>
      <sheetName val="General_Assumptions10"/>
      <sheetName val="asset_beta_model10"/>
      <sheetName val="tunj_10"/>
      <sheetName val="Cumul_sal_090210"/>
      <sheetName val="Rém_Normale10"/>
      <sheetName val="SPRS_breakdown_pricing10"/>
      <sheetName val="P6__Building10"/>
      <sheetName val="P9_Power_Plant10"/>
      <sheetName val="P15__Mess_Eqp10"/>
      <sheetName val="P8__Machinery10"/>
      <sheetName val="P10__Vehicles10"/>
      <sheetName val="P11__Misc_Asset10"/>
      <sheetName val="P7__Leasehold10"/>
      <sheetName val="P14__Office_equipment10"/>
      <sheetName val="P12__Furniture10"/>
      <sheetName val="P13__Computer10"/>
      <sheetName val="P5_Gain_Loss_Disposal10"/>
      <sheetName val="Laba_rugi10"/>
      <sheetName val="sap_on_2feb0310"/>
      <sheetName val="Data_Gaji_BTB10"/>
      <sheetName val="User_Database10"/>
      <sheetName val="Summary_Pending_Shipment10"/>
      <sheetName val="Control_-page10"/>
      <sheetName val="Operating_Cycle10"/>
      <sheetName val="SERV_EQ10"/>
      <sheetName val="ut_no_stm10"/>
      <sheetName val="H7_110"/>
      <sheetName val="Ref_List10"/>
      <sheetName val="Permanent_info15"/>
      <sheetName val="Depreciation__schedule_15"/>
      <sheetName val="fiscal_depr(E)15"/>
      <sheetName val="fiscal_depr__(I)15"/>
      <sheetName val="Cadangan_premi15"/>
      <sheetName val="Rounding_off15"/>
      <sheetName val="fiscal_depr_E_15"/>
      <sheetName val="PPH_GB15"/>
      <sheetName val="Data_Sheet15"/>
      <sheetName val="NOTES_15"/>
      <sheetName val="BALANCE_SHEET15"/>
      <sheetName val="C1_NOV15"/>
      <sheetName val="Sum_All15"/>
      <sheetName val="E4_1d15"/>
      <sheetName val="REv_DCR_Kar15"/>
      <sheetName val="BCA_Stat15"/>
      <sheetName val="Resource_Costs15"/>
      <sheetName val="Work_Requirement15"/>
      <sheetName val="JV_Form14"/>
      <sheetName val="Saldo_Awal_200615"/>
      <sheetName val="3M_Indonesia_(9011-001)15"/>
      <sheetName val="Monthly_Data15"/>
      <sheetName val="Danamon_LK15"/>
      <sheetName val="Cash_Estimate_Local15"/>
      <sheetName val="Tabel_Kode15"/>
      <sheetName val="Data_15"/>
      <sheetName val="Daftar_Karyawan14"/>
      <sheetName val="ABS_Jun_~Juli_201114"/>
      <sheetName val="DPS_OK14"/>
      <sheetName val="Deferred_Rev14"/>
      <sheetName val="Template_14"/>
      <sheetName val="Data_Client14"/>
      <sheetName val="Penyusutan_Kendaraan14"/>
      <sheetName val="(Global_Parameters)14"/>
      <sheetName val="_5_Additional15"/>
      <sheetName val="_3_Mutasi_Final15"/>
      <sheetName val="_6_Depresiasi15"/>
      <sheetName val="Marshal_(2)14"/>
      <sheetName val="Other_charges_(income)14"/>
      <sheetName val="Cash_Estimate_Local_Q114"/>
      <sheetName val="Cash_Estmate_$_Q114"/>
      <sheetName val="Data_Ben14"/>
      <sheetName val="Premi_Iuran14"/>
      <sheetName val="AA_1_1_BNI14"/>
      <sheetName val="Statutory_Query14"/>
      <sheetName val="IMS_Trend14"/>
      <sheetName val="Retail_Pt_days14"/>
      <sheetName val="AP_Trade14"/>
      <sheetName val="TRGREV_vs_REVXXXSWL14"/>
      <sheetName val="TRGREV_Summary14"/>
      <sheetName val="REVXXXSWL_Summary14"/>
      <sheetName val="FE-1770_P114"/>
      <sheetName val="E-4_6ANADARCO14"/>
      <sheetName val="N-4_4ELNUSA_-HOLDING14"/>
      <sheetName val="U-2_1detail_cost_of_sales14"/>
      <sheetName val="Data_Base14"/>
      <sheetName val="SELLING_PRICE14"/>
      <sheetName val="FX_Rates12"/>
      <sheetName val="ACT_Cashflow12"/>
      <sheetName val="TAX_ON_SALARY14"/>
      <sheetName val="Rekap_Cop&amp;Mop_Nov_0712"/>
      <sheetName val="Income_Statement14"/>
      <sheetName val="Check_Sheet12"/>
      <sheetName val="PLHO_Report12"/>
      <sheetName val="WP-230420_200914"/>
      <sheetName val="S_e_p12"/>
      <sheetName val="M_a_r12"/>
      <sheetName val="M_a_y12"/>
      <sheetName val="J_u_l12"/>
      <sheetName val="A_p_r12"/>
      <sheetName val="A_u_g12"/>
      <sheetName val="O_c_t12"/>
      <sheetName val="J_u_n12"/>
      <sheetName val="N_o_v12"/>
      <sheetName val="F_e_b12"/>
      <sheetName val="J_a_n12"/>
      <sheetName val="00_received_in_0112"/>
      <sheetName val="Workshop_Tools12"/>
      <sheetName val="Form_A-Input-Current200512"/>
      <sheetName val="1200_1_1_1_Detail_Mesin_PA311"/>
      <sheetName val="3_kurdin-Bag11"/>
      <sheetName val="2_Gaji-Bag11"/>
      <sheetName val="TH_DZ3510"/>
      <sheetName val="Account_Code10"/>
      <sheetName val="Marshal_-111"/>
      <sheetName val="DATA_KYW11"/>
      <sheetName val="Nomor_Id10"/>
      <sheetName val="Ex_Rate11"/>
      <sheetName val="INCOME_200710"/>
      <sheetName val="NAMA_DEPT9"/>
      <sheetName val="①　BP_vs_SPR_(TTL_Impact)9"/>
      <sheetName val="VAT_out9"/>
      <sheetName val="Permanent_invo11"/>
      <sheetName val="A__Data_Permintaan_Produk10"/>
      <sheetName val="C__Data_Faktur_10"/>
      <sheetName val="Data_Kalender10"/>
      <sheetName val="M__Data_Biaya_Kirim10"/>
      <sheetName val="Safety_29"/>
      <sheetName val="PRODUCTION_REPORTS10"/>
      <sheetName val="SRI_L10"/>
      <sheetName val="Print_Format9"/>
      <sheetName val="Performance_Detail_SI9"/>
      <sheetName val="PIVOT_OH9"/>
      <sheetName val="TB_RBB9"/>
      <sheetName val="TB_SME9"/>
      <sheetName val="PIVOT_GM9"/>
      <sheetName val="int-h_wk19"/>
      <sheetName val="Effort_A9"/>
      <sheetName val="Effort_P9"/>
      <sheetName val="Proj_Summ9"/>
      <sheetName val="TIV_PACK9"/>
      <sheetName val="Cost_centre_expenditure9"/>
      <sheetName val="Data_Asuransi9"/>
      <sheetName val="Rmh_Dinas9"/>
      <sheetName val="Interbank_detail9"/>
      <sheetName val="Start-up_financing9"/>
      <sheetName val="Unearned_premiums9"/>
      <sheetName val="b4_sm9"/>
      <sheetName val="SUMMARY_NDE9"/>
      <sheetName val="H_100Ye9"/>
      <sheetName val="DCF_Inputs9"/>
      <sheetName val="Company_Info9"/>
      <sheetName val="CA_Comp9"/>
      <sheetName val="K4__F&amp;F9"/>
      <sheetName val="Mgu_39"/>
      <sheetName val="Mgu_49"/>
      <sheetName val="Kode_Rek_PJA9"/>
      <sheetName val="Kunlun_P&amp;L9"/>
      <sheetName val="To_Generate9"/>
      <sheetName val="UMUR_PIUT9"/>
      <sheetName val="Maret_20079"/>
      <sheetName val="Profit_Loss9"/>
      <sheetName val="PBC_July_20119"/>
      <sheetName val="KKP_01_Audit9"/>
      <sheetName val="SST_Inv9"/>
      <sheetName val="Emp_Npwp_List9"/>
      <sheetName val="ACCTS_CHECK9"/>
      <sheetName val="Cost_Range9"/>
      <sheetName val="Sheet1_(2)9"/>
      <sheetName val="Sales_Rental9"/>
      <sheetName val="Sales_Parameter9"/>
      <sheetName val="June_109"/>
      <sheetName val="Base_Unit9"/>
      <sheetName val="ManPower_Cost9"/>
      <sheetName val="General_Assumptions9"/>
      <sheetName val="asset_beta_model9"/>
      <sheetName val="tunj_9"/>
      <sheetName val="Cumul_sal_09029"/>
      <sheetName val="Rém_Normale9"/>
      <sheetName val="SPRS_breakdown_pricing9"/>
      <sheetName val="P6__Building9"/>
      <sheetName val="P9_Power_Plant9"/>
      <sheetName val="P15__Mess_Eqp9"/>
      <sheetName val="P8__Machinery9"/>
      <sheetName val="P10__Vehicles9"/>
      <sheetName val="P11__Misc_Asset9"/>
      <sheetName val="P7__Leasehold9"/>
      <sheetName val="P14__Office_equipment9"/>
      <sheetName val="P12__Furniture9"/>
      <sheetName val="P13__Computer9"/>
      <sheetName val="P5_Gain_Loss_Disposal9"/>
      <sheetName val="Laba_rugi9"/>
      <sheetName val="sap_on_2feb039"/>
      <sheetName val="Data_Gaji_BTB9"/>
      <sheetName val="User_Database9"/>
      <sheetName val="Summary_Pending_Shipment9"/>
      <sheetName val="Control_-page9"/>
      <sheetName val="Operating_Cycle9"/>
      <sheetName val="SERV_EQ9"/>
      <sheetName val="ut_no_stm9"/>
      <sheetName val="H7_19"/>
      <sheetName val="Ref_List9"/>
      <sheetName val="検査ﾃﾞｰﾀ"/>
      <sheetName val="MasterMksAgst07"/>
      <sheetName val="#REF!"/>
      <sheetName val="ACT DIRTY COAL"/>
      <sheetName val="DOZING"/>
      <sheetName val="OB PLAN"/>
      <sheetName val="Rain &amp; Slippery Method"/>
      <sheetName val="WASHPLANT"/>
      <sheetName val="D25KS"/>
      <sheetName val="Expl"/>
      <sheetName val="FE-1771$.P1"/>
      <sheetName val="me rate"/>
      <sheetName val="aps580"/>
      <sheetName val="EE-PROP"/>
      <sheetName val="Lookup table"/>
      <sheetName val="TAX COM"/>
      <sheetName val="CGSgm2"/>
      <sheetName val="CGSsp"/>
      <sheetName val="Factors"/>
      <sheetName val="CUSTOMS"/>
      <sheetName val="prod_sched"/>
      <sheetName val="Balance"/>
      <sheetName val="Deferred Sales Jul 04"/>
      <sheetName val="Data0308"/>
      <sheetName val="cADJcode"/>
      <sheetName val="note_defect"/>
      <sheetName val="KOMP"/>
      <sheetName val="H-1_3"/>
      <sheetName val="M_4_Goodwill"/>
      <sheetName val="G_1_2"/>
      <sheetName val="SOL_Budget_2008"/>
      <sheetName val="M_6_Goodwill"/>
      <sheetName val="F_1_Prepaid_Tax"/>
      <sheetName val="H-1_31"/>
      <sheetName val="M_4_Goodwill1"/>
      <sheetName val="G_1_21"/>
      <sheetName val="SOL_Budget_20081"/>
      <sheetName val="M_6_Goodwill1"/>
      <sheetName val="F_1_Prepaid_Tax1"/>
      <sheetName val="Whse_Structure"/>
      <sheetName val="H-1_32"/>
      <sheetName val="M_4_Goodwill2"/>
      <sheetName val="G_1_22"/>
      <sheetName val="SOL_Budget_20082"/>
      <sheetName val="M_6_Goodwill2"/>
      <sheetName val="F_1_Prepaid_Tax2"/>
      <sheetName val="Whse_Structure1"/>
      <sheetName val="RESIDU"/>
      <sheetName val="BCT"/>
      <sheetName val="JSiar"/>
      <sheetName val="Lok Bay Jul"/>
      <sheetName val="MASREK"/>
      <sheetName val="Matrik 2014"/>
      <sheetName val="FormKebutuhan_2016_AllForm (2)"/>
      <sheetName val="Matrik Bioanggaran"/>
      <sheetName val="bez.karpel"/>
      <sheetName val="pintar"/>
      <sheetName val="bez.karpim"/>
      <sheetName val="Apr'07"/>
      <sheetName val="co_data"/>
      <sheetName val="VENDOR - CROSS CLIENT INFO "/>
      <sheetName val="OT"/>
      <sheetName val="Cash"/>
      <sheetName val="Coding"/>
      <sheetName val="default"/>
      <sheetName val="WSBS"/>
      <sheetName val="DN 00142"/>
      <sheetName val="Pricelist 2004c"/>
      <sheetName val="Shareholders' Equity"/>
      <sheetName val="NAMES"/>
      <sheetName val="Biaya Departemen"/>
      <sheetName val="dasar"/>
      <sheetName val="6 mth TAC"/>
      <sheetName val="6 mth DTA"/>
      <sheetName val="input-cost"/>
      <sheetName val="Data NPWP"/>
      <sheetName val="DANH MUC"/>
      <sheetName val="Look-up"/>
      <sheetName val="Purchase Order (2)"/>
      <sheetName val="Customize Your Purchase Order"/>
      <sheetName val="Jakarta"/>
      <sheetName val="3-DIV4"/>
      <sheetName val="Macro"/>
      <sheetName val="C"/>
      <sheetName val="Quote Cover Page"/>
      <sheetName val="P-FIS"/>
      <sheetName val="IPO BoQ"/>
      <sheetName val="Deferred Sales Aug04"/>
      <sheetName val="JobDetails"/>
      <sheetName val="step"/>
      <sheetName val="WP-SP-03"/>
      <sheetName val="BS final"/>
      <sheetName val="Mei 2007"/>
      <sheetName val="FFE"/>
      <sheetName val="Daily_Report5"/>
      <sheetName val="ITEM_BAHAN_BAKU3"/>
      <sheetName val="SO_BAR3"/>
      <sheetName val="SO_GUDANG3"/>
      <sheetName val="SO_KITCHEN3"/>
      <sheetName val="Payable_Fee_-_Liquidity_(supp)3"/>
      <sheetName val="Tab_Daten3"/>
      <sheetName val="FHOAP"/>
      <sheetName val="Domains"/>
      <sheetName val="1997"/>
      <sheetName val="Data Recap"/>
      <sheetName val="ACC_NUM"/>
      <sheetName val="budget idr"/>
      <sheetName val="ytd (dept)"/>
      <sheetName val="Daily_Report6"/>
      <sheetName val="ITEM_BAHAN_BAKU4"/>
      <sheetName val="SO_BAR4"/>
      <sheetName val="SO_GUDANG4"/>
      <sheetName val="SO_KITCHEN4"/>
      <sheetName val="Payable_Fee_-_Liquidity_(supp)4"/>
      <sheetName val="Tab_Daten4"/>
      <sheetName val="TB_2009"/>
      <sheetName val="Property_and_Equipment"/>
      <sheetName val="Other_Payable_and_Accrued_exps"/>
      <sheetName val="Recon__PPh_23_26_15_4"/>
      <sheetName val="TCM_Lists"/>
      <sheetName val="Employee_List　従業員管理表"/>
      <sheetName val="OT_Feb_08"/>
      <sheetName val="Grand_Total"/>
      <sheetName val="North_Region"/>
      <sheetName val="South_Region"/>
      <sheetName val="Contents_(YE)"/>
      <sheetName val="Deferred_Sales_Jul_04"/>
      <sheetName val="gg.1"/>
      <sheetName val="Vld-SE"/>
      <sheetName val="RUGILABA"/>
      <sheetName val="tarif"/>
      <sheetName val="Raw FS"/>
      <sheetName val="GL Items MEI"/>
      <sheetName val="AR AGING DEC 07 "/>
      <sheetName val="R-1"/>
      <sheetName val="Lookups"/>
      <sheetName val="@GeneralInfo"/>
      <sheetName val="H"/>
      <sheetName val="Altman Z Score"/>
      <sheetName val="Proposed 2003 Salary Range"/>
      <sheetName val="Adjustment"/>
      <sheetName val="BS15"/>
      <sheetName val="BSHO Report"/>
      <sheetName val="K5-1"/>
      <sheetName val="809"/>
      <sheetName val="EXC-R2005"/>
      <sheetName val="Mth KPI's"/>
      <sheetName val="Pengalaman Per"/>
      <sheetName val="GLdownload"/>
      <sheetName val="ACT_DIRTY_COAL1"/>
      <sheetName val="OB_PLAN1"/>
      <sheetName val="Rain_&amp;_Slippery_Method1"/>
      <sheetName val="ACT_DIRTY_COAL"/>
      <sheetName val="OB_PLAN"/>
      <sheetName val="Rain_&amp;_Slippery_Method"/>
      <sheetName val="FE-1771$_P1"/>
      <sheetName val="me_rate"/>
      <sheetName val="Intang_Amortization_by_Qtr"/>
      <sheetName val="Module_list"/>
      <sheetName val="Aging Sept"/>
      <sheetName val="ASKRIDA"/>
      <sheetName val="Overview"/>
      <sheetName val="s"/>
      <sheetName val="1a"/>
      <sheetName val="MenuData"/>
      <sheetName val="Cover"/>
      <sheetName val="PNL Statement"/>
      <sheetName val="surat _2_"/>
      <sheetName val="ALFA"/>
      <sheetName val="BARS"/>
      <sheetName val="List Revenue"/>
      <sheetName val="FCMS FS Items"/>
      <sheetName val="VAT OUT GL"/>
      <sheetName val="Base Data"/>
      <sheetName val="Attachment"/>
      <sheetName val="birthdate"/>
      <sheetName val="F-2"/>
      <sheetName val="D3-1"/>
      <sheetName val="PG3"/>
      <sheetName val="FORM X COST"/>
      <sheetName val="DP-I "/>
      <sheetName val="Doe"/>
      <sheetName val="Selection"/>
      <sheetName val="DataItems"/>
      <sheetName val="Table Array"/>
      <sheetName val="PL98"/>
      <sheetName val="List PT"/>
      <sheetName val="j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/>
      <sheetData sheetId="447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/>
      <sheetData sheetId="872"/>
      <sheetData sheetId="873"/>
      <sheetData sheetId="874"/>
      <sheetData sheetId="875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/>
      <sheetData sheetId="886"/>
      <sheetData sheetId="887"/>
      <sheetData sheetId="888"/>
      <sheetData sheetId="889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 refreshError="1"/>
      <sheetData sheetId="916" refreshError="1"/>
      <sheetData sheetId="917"/>
      <sheetData sheetId="918"/>
      <sheetData sheetId="919" refreshError="1"/>
      <sheetData sheetId="920" refreshError="1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/>
      <sheetData sheetId="1964"/>
      <sheetData sheetId="1965"/>
      <sheetData sheetId="1966"/>
      <sheetData sheetId="1967" refreshError="1"/>
      <sheetData sheetId="1968" refreshError="1"/>
      <sheetData sheetId="1969"/>
      <sheetData sheetId="1970" refreshError="1"/>
      <sheetData sheetId="1971" refreshError="1"/>
      <sheetData sheetId="1972" refreshError="1"/>
      <sheetData sheetId="1973"/>
      <sheetData sheetId="1974"/>
      <sheetData sheetId="1975"/>
      <sheetData sheetId="1976"/>
      <sheetData sheetId="1977"/>
      <sheetData sheetId="1978"/>
      <sheetData sheetId="1979"/>
      <sheetData sheetId="1980" refreshError="1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/>
      <sheetData sheetId="2965"/>
      <sheetData sheetId="2966"/>
      <sheetData sheetId="2967"/>
      <sheetData sheetId="2968"/>
      <sheetData sheetId="2969"/>
      <sheetData sheetId="2970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/>
      <sheetData sheetId="305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manent info"/>
      <sheetName val="Marshal"/>
      <sheetName val="F1771"/>
      <sheetName val="F1771-I"/>
      <sheetName val="F1771-II"/>
      <sheetName val="F1771-III"/>
      <sheetName val="F1771-IV"/>
      <sheetName val="F1771-V"/>
      <sheetName val="Depreciation  schedule"/>
      <sheetName val="Penyusutan"/>
      <sheetName val="Lampiran"/>
      <sheetName val="Attachement"/>
      <sheetName val="daftar"/>
      <sheetName val="interest"/>
      <sheetName val="gol1"/>
      <sheetName val="gol2"/>
      <sheetName val="building"/>
      <sheetName val="cover"/>
      <sheetName val="Income Statement"/>
      <sheetName val="Shareholders' Equity"/>
      <sheetName val="Profit Loss"/>
      <sheetName val="exf"/>
      <sheetName val="FE-1770-I"/>
      <sheetName val="FE-1770.P1"/>
      <sheetName val="FE-1770-II"/>
      <sheetName val="NS"/>
      <sheetName val="A"/>
      <sheetName val="populasi"/>
      <sheetName val="TEH"/>
      <sheetName val="kki"/>
      <sheetName val="fin pro centers"/>
      <sheetName val="SUMMARY"/>
      <sheetName val="RESIDU"/>
      <sheetName val="% Lbr vs GP"/>
      <sheetName val="fiscal depr(E)"/>
      <sheetName val="GeneralInfo"/>
      <sheetName val="B_Spareparts"/>
      <sheetName val="OLD"/>
      <sheetName val="Currency"/>
      <sheetName val="DropDown"/>
      <sheetName val="Notes to BS"/>
      <sheetName val="ACT Cashflow"/>
      <sheetName val="Scope"/>
      <sheetName val="Deferred Rev"/>
      <sheetName val="TB2004"/>
      <sheetName val="LPP"/>
      <sheetName val="Other charges (income)"/>
      <sheetName val="JUAL_STD"/>
      <sheetName val="Data Sheet"/>
      <sheetName val="Data23"/>
      <sheetName val="Data26"/>
      <sheetName val="LIST"/>
      <sheetName val="rab_50"/>
      <sheetName val="Recov"/>
      <sheetName val="WP"/>
      <sheetName val="CODE"/>
      <sheetName val="Non-Statistical Sampling"/>
      <sheetName val="AR Drop Downs"/>
      <sheetName val="BGT Cashflow "/>
      <sheetName val="bdrl-usg"/>
      <sheetName val="RATE"/>
      <sheetName val="Data_Umum"/>
      <sheetName val="Interactive_Chart1"/>
      <sheetName val="Interactive_Chart2"/>
      <sheetName val="REv DCR Kar"/>
      <sheetName val="BCA Stat"/>
      <sheetName val="2"/>
      <sheetName val="MODI03"/>
      <sheetName val="Data"/>
      <sheetName val="LP2"/>
      <sheetName val="SPT"/>
      <sheetName val="KPKom"/>
      <sheetName val="SIK"/>
      <sheetName val="SPPP"/>
      <sheetName val="Berkas"/>
      <sheetName val="BCD"/>
      <sheetName val="AnlSPT"/>
      <sheetName val="Rasio"/>
      <sheetName val="APro"/>
      <sheetName val="DbTF"/>
      <sheetName val="DbKtr"/>
      <sheetName val="DbPem"/>
      <sheetName val="Tarif"/>
      <sheetName val="Kode"/>
      <sheetName val="DK"/>
      <sheetName val="LPIS"/>
      <sheetName val="CRITERIA3"/>
      <sheetName val="3M Indonesia (9011-001)"/>
      <sheetName val="Asli"/>
      <sheetName val="Retail Pt days"/>
      <sheetName val="Finance"/>
      <sheetName val="HomePage"/>
      <sheetName val="People"/>
      <sheetName val="Tabel Kode"/>
      <sheetName val="disposal"/>
      <sheetName val="old format"/>
      <sheetName val="Sum All"/>
      <sheetName val="E4.1d"/>
      <sheetName val="load"/>
      <sheetName val="LIST FA-1296"/>
      <sheetName val="Sheet1"/>
      <sheetName val="INDIRECT DETAIL"/>
      <sheetName val="Operating Cycle"/>
      <sheetName val="C1 NOV"/>
      <sheetName val="raw"/>
      <sheetName val="gg.1"/>
      <sheetName val="Family"/>
      <sheetName val="CRA-Detail"/>
      <sheetName val="jan"/>
      <sheetName val="BB"/>
      <sheetName val="ZCAUR"/>
      <sheetName val="Invoice"/>
      <sheetName val="Data "/>
      <sheetName val="DataC&amp;S"/>
      <sheetName val="(Global Parameters)"/>
      <sheetName val="TAG-GAJI"/>
      <sheetName val="Daftar Karyawan"/>
      <sheetName val="ABS Jun ~Juli 2011"/>
      <sheetName val="Danamon LK"/>
      <sheetName val="date"/>
      <sheetName val="DLOAD"/>
      <sheetName val="EPC"/>
      <sheetName val="SUMMARY NDE"/>
      <sheetName val="Trf-SAP"/>
      <sheetName val="PPH GB"/>
      <sheetName val="Input"/>
      <sheetName val="INPUT_GRAPH"/>
      <sheetName val="PAPER"/>
    </sheetNames>
    <sheetDataSet>
      <sheetData sheetId="0" refreshError="1">
        <row r="7">
          <cell r="E7" t="str">
            <v>PT KARYA YASANTARA CAKTI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0000001"/>
      <sheetName val="SALES"/>
      <sheetName val="PGCOM USD"/>
      <sheetName val="FDM"/>
      <sheetName val="FD Interconnect"/>
      <sheetName val="PGCOM YEN"/>
      <sheetName val="TANASHIN"/>
      <sheetName val="EPSON"/>
      <sheetName val="JVC"/>
      <sheetName val="FUJI FINE(YEN)"/>
      <sheetName val="MKI"/>
      <sheetName val="NSS"/>
      <sheetName val="FD JAPAN"/>
      <sheetName val="FUJI FINE(IDR)"/>
      <sheetName val="PT SONY"/>
      <sheetName val="SHARP"/>
      <sheetName val="NOBLE(BATAM)"/>
      <sheetName val="OMRON"/>
      <sheetName val="EWINDO"/>
      <sheetName val="SANDEN"/>
      <sheetName val="REPORT-PR12 (2)"/>
      <sheetName val="SANWA"/>
      <sheetName val="NAKAJIMA"/>
      <sheetName val="REPORT-PR12"/>
      <sheetName val="Account Code"/>
      <sheetName val="SONY"/>
      <sheetName val="JVC COMMISSION"/>
      <sheetName val="Permanent info"/>
      <sheetName val="H7.1"/>
      <sheetName val="PRODUKSI"/>
      <sheetName val="5"/>
      <sheetName val="PIK_QUO"/>
      <sheetName val="PGCOM_USD"/>
      <sheetName val="FD_Interconnect"/>
      <sheetName val="PGCOM_YEN"/>
      <sheetName val="FUJI_FINE(YEN)"/>
      <sheetName val="FD_JAPAN"/>
      <sheetName val="FUJI_FINE(IDR)"/>
      <sheetName val="PT_SONY"/>
      <sheetName val="REPORT-PR12_(2)"/>
      <sheetName val="Account_Code"/>
      <sheetName val="JVC_COMMISSION"/>
      <sheetName val="Permanent_info"/>
      <sheetName val="Sheet5"/>
      <sheetName val="PGCOM_USD1"/>
      <sheetName val="FD_Interconnect1"/>
      <sheetName val="PGCOM_YEN1"/>
      <sheetName val="FUJI_FINE(YEN)1"/>
      <sheetName val="FD_JAPAN1"/>
      <sheetName val="FUJI_FINE(IDR)1"/>
      <sheetName val="PT_SONY1"/>
      <sheetName val="REPORT-PR12_(2)1"/>
      <sheetName val="Account_Code1"/>
      <sheetName val="JVC_COMMISSION1"/>
      <sheetName val="Permanent_info1"/>
      <sheetName val="H7_1"/>
      <sheetName val="#REF"/>
      <sheetName val="FE-1770-I"/>
      <sheetName val="FE-1770.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0000001"/>
      <sheetName val="CArriage In"/>
      <sheetName val="FDM"/>
      <sheetName val="UNIAIR"/>
      <sheetName val="TAUPIK"/>
      <sheetName val="FUJI FINE(YEN)"/>
      <sheetName val="PRIMA"/>
      <sheetName val="PTSONY"/>
      <sheetName val="NSS"/>
      <sheetName val="FD JAPAN"/>
      <sheetName val="FUJI FINE(IDR)"/>
      <sheetName val="PT SONY"/>
      <sheetName val="SHARP"/>
      <sheetName val="NOBLE(BATAM)"/>
      <sheetName val="OMRON"/>
      <sheetName val="PT. PG COM"/>
      <sheetName val="SANDEN"/>
      <sheetName val="REPORT-PR12 (2)"/>
      <sheetName val="REPORT-PR12"/>
      <sheetName val="Account Code"/>
      <sheetName val="JVC COMMISSION"/>
      <sheetName val="TB"/>
      <sheetName val="CArriage_In"/>
      <sheetName val="FUJI_FINE(YEN)"/>
      <sheetName val="FD_JAPAN"/>
      <sheetName val="FUJI_FINE(IDR)"/>
      <sheetName val="PT_SONY"/>
      <sheetName val="PT__PG_COM"/>
      <sheetName val="REPORT-PR12_(2)"/>
      <sheetName val="Account_Code"/>
      <sheetName val="JVC_COMMISSION"/>
      <sheetName val="COGM"/>
      <sheetName val="CArriage_In1"/>
      <sheetName val="FUJI_FINE(YEN)1"/>
      <sheetName val="FD_JAPAN1"/>
      <sheetName val="FUJI_FINE(IDR)1"/>
      <sheetName val="PT_SONY1"/>
      <sheetName val="PT__PG_COM1"/>
      <sheetName val="REPORT-PR12_(2)1"/>
      <sheetName val="Account_Code1"/>
      <sheetName val="JVC_COMMISSION1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2">
          <cell r="A2" t="str">
            <v>OA001</v>
          </cell>
        </row>
        <row r="3">
          <cell r="A3" t="str">
            <v>OC001</v>
          </cell>
        </row>
        <row r="4">
          <cell r="A4" t="str">
            <v>OC002</v>
          </cell>
        </row>
        <row r="5">
          <cell r="A5" t="str">
            <v>OC003</v>
          </cell>
        </row>
        <row r="6">
          <cell r="A6" t="str">
            <v>OC004</v>
          </cell>
        </row>
        <row r="7">
          <cell r="A7" t="str">
            <v>OE001</v>
          </cell>
        </row>
        <row r="8">
          <cell r="A8" t="str">
            <v>OE002</v>
          </cell>
        </row>
        <row r="9">
          <cell r="A9" t="str">
            <v>OF001</v>
          </cell>
          <cell r="B9" t="str">
            <v>FEDEX</v>
          </cell>
        </row>
        <row r="10">
          <cell r="A10" t="str">
            <v>OF002</v>
          </cell>
        </row>
        <row r="11">
          <cell r="A11" t="str">
            <v>OF003</v>
          </cell>
        </row>
        <row r="12">
          <cell r="A12" t="str">
            <v>OF004</v>
          </cell>
        </row>
        <row r="13">
          <cell r="A13" t="str">
            <v>OF005</v>
          </cell>
        </row>
        <row r="14">
          <cell r="A14" t="str">
            <v>OF006</v>
          </cell>
        </row>
        <row r="15">
          <cell r="A15" t="str">
            <v>OH001</v>
          </cell>
          <cell r="B15" t="str">
            <v>HARTA MAS</v>
          </cell>
        </row>
        <row r="16">
          <cell r="A16" t="str">
            <v>OH002</v>
          </cell>
        </row>
        <row r="17">
          <cell r="A17" t="str">
            <v>OH003</v>
          </cell>
        </row>
        <row r="18">
          <cell r="A18" t="str">
            <v>OJ001</v>
          </cell>
        </row>
        <row r="19">
          <cell r="A19" t="str">
            <v>O002</v>
          </cell>
        </row>
        <row r="20">
          <cell r="A20" t="str">
            <v>OK001</v>
          </cell>
        </row>
        <row r="21">
          <cell r="A21" t="str">
            <v>OM001</v>
          </cell>
        </row>
        <row r="22">
          <cell r="A22" t="str">
            <v>OM002</v>
          </cell>
        </row>
        <row r="23">
          <cell r="A23" t="str">
            <v>ON001</v>
          </cell>
        </row>
        <row r="24">
          <cell r="A24" t="str">
            <v>DN002</v>
          </cell>
        </row>
        <row r="25">
          <cell r="A25" t="str">
            <v>OO001</v>
          </cell>
        </row>
        <row r="26">
          <cell r="A26" t="str">
            <v>OP001</v>
          </cell>
          <cell r="B26" t="str">
            <v>PRIMA</v>
          </cell>
        </row>
        <row r="27">
          <cell r="A27" t="str">
            <v>OP002</v>
          </cell>
          <cell r="B27" t="str">
            <v>PT. UNIAIR</v>
          </cell>
        </row>
        <row r="28">
          <cell r="A28" t="str">
            <v>OR001</v>
          </cell>
          <cell r="B28" t="str">
            <v>RITRA</v>
          </cell>
        </row>
        <row r="29">
          <cell r="A29" t="str">
            <v>OS001</v>
          </cell>
        </row>
        <row r="30">
          <cell r="A30" t="str">
            <v>OS002</v>
          </cell>
        </row>
        <row r="31">
          <cell r="A31" t="str">
            <v>OS003</v>
          </cell>
        </row>
        <row r="32">
          <cell r="A32" t="str">
            <v>OS004</v>
          </cell>
        </row>
        <row r="33">
          <cell r="A33" t="str">
            <v>OS005</v>
          </cell>
        </row>
        <row r="34">
          <cell r="A34" t="str">
            <v>OS006</v>
          </cell>
        </row>
        <row r="35">
          <cell r="A35" t="str">
            <v>OS007</v>
          </cell>
        </row>
        <row r="36">
          <cell r="A36" t="str">
            <v>OS008</v>
          </cell>
        </row>
        <row r="37">
          <cell r="A37" t="str">
            <v>OT001</v>
          </cell>
          <cell r="B37" t="str">
            <v>TRICOR</v>
          </cell>
        </row>
        <row r="38">
          <cell r="A38" t="str">
            <v>OT002</v>
          </cell>
          <cell r="B38" t="str">
            <v xml:space="preserve">TAUPIK </v>
          </cell>
        </row>
        <row r="39">
          <cell r="A39" t="str">
            <v>OT003</v>
          </cell>
        </row>
        <row r="40">
          <cell r="A40" t="str">
            <v>OT004</v>
          </cell>
        </row>
        <row r="41">
          <cell r="A41" t="str">
            <v>OT005</v>
          </cell>
        </row>
        <row r="42">
          <cell r="A42" t="str">
            <v>OT006</v>
          </cell>
        </row>
      </sheetData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nfo"/>
      <sheetName val="Marshal"/>
      <sheetName val="Depreciation-Ind"/>
      <sheetName val="Depreciation-Eng"/>
      <sheetName val="Disposal-after 95"/>
      <sheetName val="Disposal-before 1995"/>
      <sheetName val="Penambahan"/>
      <sheetName val="Addition"/>
      <sheetName val="Lampiran"/>
      <sheetName val="Attachment"/>
      <sheetName val="Art. 21"/>
      <sheetName val="Exit fiscal"/>
      <sheetName val="Entertainment"/>
      <sheetName val="Cover"/>
      <sheetName val="FI-1771.P1"/>
      <sheetName val="FE-1771.P1"/>
      <sheetName val="FI-1771.P2"/>
      <sheetName val="FE-1771.P2"/>
      <sheetName val="FI-1771-I"/>
      <sheetName val="FE-1771-I"/>
      <sheetName val="FI-1771-II"/>
      <sheetName val="FE-1771-II"/>
      <sheetName val="FI-1771-III"/>
      <sheetName val="FE-1771-III"/>
      <sheetName val="FI-1771-IV"/>
      <sheetName val="FE-1771-IV"/>
      <sheetName val="FI-1771-V"/>
      <sheetName val="FE-1771-V"/>
      <sheetName val="FI-1771-VI"/>
      <sheetName val="FE-1771-VI"/>
      <sheetName val="Ex-Rate"/>
      <sheetName val="Permanent info"/>
      <sheetName val="ACT Cashflow"/>
      <sheetName val="RATE-NEW"/>
      <sheetName val="SUMMARY"/>
      <sheetName val="CH-OV"/>
      <sheetName val="Account Code"/>
      <sheetName val="Marshal -1"/>
      <sheetName val="Balance Sheet"/>
      <sheetName val="Income Statement"/>
      <sheetName val="8-Liabilities"/>
      <sheetName val="Sheet3"/>
      <sheetName val="HO Use"/>
      <sheetName val="6510200"/>
      <sheetName val="Notes to BS"/>
      <sheetName val="OH"/>
      <sheetName val="total GA per dept"/>
      <sheetName val="9"/>
      <sheetName val="CFS US-Canada CAD"/>
      <sheetName val="CFS AP-NZD (Trade Bills)"/>
      <sheetName val="lists"/>
      <sheetName val="TP-MARKET"/>
      <sheetName val="HUB"/>
      <sheetName val="TP"/>
      <sheetName val="Marshall-Kyocera final"/>
      <sheetName val="note_defect"/>
      <sheetName val="Sheet2"/>
      <sheetName val="corp tax"/>
      <sheetName val="Dbase"/>
      <sheetName val="Sheet1"/>
      <sheetName val="BW-SERVICE"/>
      <sheetName val="data2004"/>
      <sheetName val="PEB"/>
      <sheetName val="Calcs"/>
      <sheetName val="INVOICES"/>
      <sheetName val="SST Inv"/>
      <sheetName val="MACHINE"/>
      <sheetName val="Disposal-after_95"/>
      <sheetName val="Disposal-before_1995"/>
      <sheetName val="Art__21"/>
      <sheetName val="Exit_fiscal"/>
      <sheetName val="FI-1771_P1"/>
      <sheetName val="FE-1771_P1"/>
      <sheetName val="FI-1771_P2"/>
      <sheetName val="FE-1771_P2"/>
      <sheetName val="Daftar Customer"/>
    </sheetNames>
    <sheetDataSet>
      <sheetData sheetId="0" refreshError="1">
        <row r="5">
          <cell r="I5" t="str">
            <v>PT KYOCERA INDONESIA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A DEPT"/>
      <sheetName val="key"/>
      <sheetName val="RUMS"/>
      <sheetName val="RUMS_AMTSLS"/>
      <sheetName val="MPP"/>
      <sheetName val="DB CR"/>
      <sheetName val="BGT 04"/>
      <sheetName val="ROYALTY"/>
      <sheetName val="PER UNIT UNREVAL03 (MPP ALL)"/>
      <sheetName val="PER UNIT UNREVAL03 (MPP COO)"/>
      <sheetName val="REPORT CR UNREVAL"/>
      <sheetName val="PER UNIT REVAL03 (MPP ALL)"/>
      <sheetName val="PER UNIT REVAL03 (MPP COO)"/>
      <sheetName val="REPORT CR REVAL"/>
      <sheetName val="STRUK ORG"/>
      <sheetName val="ACTUAL-MASTER (2002)"/>
      <sheetName val="BUDGET-MASTER (2003)"/>
      <sheetName val="MASTER"/>
      <sheetName val="KERTAS KERJA 03"/>
      <sheetName val="REVAL"/>
    </sheetNames>
    <sheetDataSet>
      <sheetData sheetId="0">
        <row r="2">
          <cell r="B2" t="str">
            <v>ACC BDL</v>
          </cell>
        </row>
        <row r="3">
          <cell r="B3" t="str">
            <v>ACC HATCHERY</v>
          </cell>
        </row>
        <row r="4">
          <cell r="B4" t="str">
            <v>ACC JKT</v>
          </cell>
        </row>
        <row r="5">
          <cell r="B5" t="str">
            <v>ACC PONDSITE</v>
          </cell>
        </row>
        <row r="6">
          <cell r="B6" t="str">
            <v>ADMINISTRATION - AQUACULTURE</v>
          </cell>
        </row>
        <row r="7">
          <cell r="B7" t="str">
            <v>ADMINISTRATION - FARMER SERVICE DIVISION</v>
          </cell>
        </row>
        <row r="8">
          <cell r="B8" t="str">
            <v>APLICATION SOFTWARE LAINNYA</v>
          </cell>
        </row>
        <row r="9">
          <cell r="B9" t="str">
            <v>AQUACULTURE</v>
          </cell>
        </row>
        <row r="10">
          <cell r="B10" t="str">
            <v>BUDGETING &amp; ORACLE FINANCIAL ANALYSIS</v>
          </cell>
        </row>
        <row r="11">
          <cell r="B11" t="str">
            <v>BUILDING, EQUIPMENT, MAINTENANCE &amp; TRANSPORTATION</v>
          </cell>
        </row>
        <row r="12">
          <cell r="B12" t="str">
            <v>CENTRAL HRD JKT</v>
          </cell>
        </row>
        <row r="13">
          <cell r="B13" t="str">
            <v>CENTRAL LOGISTIC &amp; SPARE PART</v>
          </cell>
        </row>
        <row r="14">
          <cell r="B14" t="str">
            <v>CEO - MR. RUDYAN KOPOT</v>
          </cell>
        </row>
        <row r="15">
          <cell r="B15" t="str">
            <v>CHIEF FINANCE OFFICER</v>
          </cell>
        </row>
        <row r="16">
          <cell r="B16" t="str">
            <v>CIVIL ENGINEERING</v>
          </cell>
        </row>
        <row r="17">
          <cell r="B17" t="str">
            <v>COMMERCIAL DIVISION  - JKT</v>
          </cell>
        </row>
        <row r="18">
          <cell r="B18" t="str">
            <v>COMMERCIAL DIVISION - BANDARLAMPUNG</v>
          </cell>
        </row>
        <row r="19">
          <cell r="B19" t="str">
            <v>COMMUNICATION &amp; PUBLIC RELATION</v>
          </cell>
        </row>
        <row r="20">
          <cell r="B20" t="str">
            <v>COMMUNITY DEVELOPMENT &amp; LEGAL PERMIT</v>
          </cell>
        </row>
        <row r="21">
          <cell r="B21" t="str">
            <v>COO - JAKARTA</v>
          </cell>
        </row>
        <row r="22">
          <cell r="B22" t="str">
            <v>CULTURE POND TANJUNG KROSOK 71</v>
          </cell>
        </row>
        <row r="23">
          <cell r="B23" t="str">
            <v>CULTURE POND TANJUNG KROSOK EXPANSI 72</v>
          </cell>
        </row>
        <row r="24">
          <cell r="B24" t="str">
            <v>DEHEADING ( SURYA Foreman )</v>
          </cell>
        </row>
        <row r="25">
          <cell r="B25" t="str">
            <v>DL CONVENTIONAL ( PRIYOKO Spv)</v>
          </cell>
        </row>
        <row r="26">
          <cell r="B26" t="str">
            <v>DL VALUE ADDED COOKED</v>
          </cell>
        </row>
        <row r="27">
          <cell r="B27" t="str">
            <v>DL VALUE ADDED PEELED</v>
          </cell>
        </row>
        <row r="28">
          <cell r="B28" t="str">
            <v>ELECTRIC, MECHANIC &amp; CONSTRUCTION (EMC)</v>
          </cell>
        </row>
        <row r="29">
          <cell r="B29" t="str">
            <v>ELECTRICAL INFRA STRUCTURE</v>
          </cell>
        </row>
        <row r="30">
          <cell r="B30" t="str">
            <v>ELECTRICAL POND MAINTENANCE  (FOR FINISHED GOODS POND)</v>
          </cell>
        </row>
        <row r="31">
          <cell r="B31" t="str">
            <v>ELECTRICITY</v>
          </cell>
        </row>
        <row r="32">
          <cell r="B32" t="str">
            <v>ENGINEERING &amp; REPAIR MAINTENANCE</v>
          </cell>
        </row>
        <row r="33">
          <cell r="B33" t="str">
            <v>ENGINEERING ( ROY SAMUEL Spv )</v>
          </cell>
        </row>
        <row r="34">
          <cell r="B34" t="str">
            <v>FG GODOWN</v>
          </cell>
        </row>
        <row r="35">
          <cell r="B35" t="str">
            <v>FLAKE ICE</v>
          </cell>
        </row>
        <row r="36">
          <cell r="B36" t="str">
            <v>FOOD PRODUCT ( NAWAKSARA sh )</v>
          </cell>
        </row>
        <row r="37">
          <cell r="B37" t="str">
            <v>FREEZING / CPF</v>
          </cell>
        </row>
        <row r="38">
          <cell r="B38" t="str">
            <v>FRIES STOCKING</v>
          </cell>
        </row>
        <row r="39">
          <cell r="B39" t="str">
            <v>FRY INFORMATION SERVICE &amp; FRY SUPPORT SERVICE (FIS)</v>
          </cell>
        </row>
        <row r="40">
          <cell r="B40" t="str">
            <v>FRY PRODUCTION UNIT  I</v>
          </cell>
        </row>
        <row r="41">
          <cell r="B41" t="str">
            <v>FRY PRODUCTION UNIT  II</v>
          </cell>
        </row>
        <row r="42">
          <cell r="B42" t="str">
            <v>FRY PRODUCTION UNIT  III</v>
          </cell>
        </row>
        <row r="43">
          <cell r="B43" t="str">
            <v>FRY PRODUCTION UNIT  IV</v>
          </cell>
        </row>
        <row r="44">
          <cell r="B44" t="str">
            <v>FRY PRODUCTION UNIT  V</v>
          </cell>
        </row>
        <row r="45">
          <cell r="B45" t="str">
            <v>GA - GS LOGISTIC</v>
          </cell>
        </row>
        <row r="46">
          <cell r="B46" t="str">
            <v>GENERAL ADMINISTRATION - SITE GA &amp; HRD DIVISION</v>
          </cell>
        </row>
        <row r="47">
          <cell r="B47" t="str">
            <v>GENERAL ADMINISTRATION - SITE OPERATION</v>
          </cell>
        </row>
        <row r="48">
          <cell r="B48" t="str">
            <v xml:space="preserve">GENERAL AFFAIR </v>
          </cell>
        </row>
        <row r="49">
          <cell r="B49" t="str">
            <v>GENERAL SERVICE</v>
          </cell>
        </row>
        <row r="50">
          <cell r="B50" t="str">
            <v>GENERAL SERVICE &amp; ADM ( AZMAN SYAIFUL, ISMAIL HAJAR )</v>
          </cell>
        </row>
        <row r="51">
          <cell r="B51" t="str">
            <v>GOAN / CORPORATE USER</v>
          </cell>
        </row>
        <row r="52">
          <cell r="B52" t="str">
            <v>GOVERNING DIRECTOR</v>
          </cell>
        </row>
        <row r="53">
          <cell r="B53" t="str">
            <v>GOVERNING DIRECTOR - ANIMAL HUSBANDRY</v>
          </cell>
        </row>
        <row r="54">
          <cell r="B54" t="str">
            <v>GOVERNING DIRECTOR - CEO</v>
          </cell>
        </row>
        <row r="55">
          <cell r="B55" t="str">
            <v>GROUP FUNDING</v>
          </cell>
        </row>
        <row r="56">
          <cell r="B56" t="str">
            <v>GS &amp; TRANSPORTATION STAFF</v>
          </cell>
        </row>
        <row r="57">
          <cell r="B57" t="str">
            <v>HAMMERMILL/PULVALIZER</v>
          </cell>
        </row>
        <row r="58">
          <cell r="B58" t="str">
            <v>HARVESTING</v>
          </cell>
        </row>
        <row r="59">
          <cell r="B59" t="str">
            <v xml:space="preserve">HRD </v>
          </cell>
        </row>
        <row r="60">
          <cell r="B60" t="str">
            <v>HRD &amp; GS &amp; SECURITY</v>
          </cell>
        </row>
        <row r="61">
          <cell r="B61" t="str">
            <v>HRD &amp; PERSONALIA</v>
          </cell>
        </row>
        <row r="62">
          <cell r="B62" t="str">
            <v>HUMAN RESOURCES INFORMATION SYSTEM SOFTWARE</v>
          </cell>
        </row>
        <row r="63">
          <cell r="B63" t="str">
            <v>INSTALASI AIR BERSIH</v>
          </cell>
        </row>
        <row r="64">
          <cell r="B64" t="str">
            <v>INSURANCE - APPRAISAL</v>
          </cell>
        </row>
        <row r="65">
          <cell r="B65" t="str">
            <v>INSURANCE - PREMI INSURANCE</v>
          </cell>
        </row>
        <row r="66">
          <cell r="B66" t="str">
            <v>INTAKE</v>
          </cell>
        </row>
        <row r="67">
          <cell r="B67" t="str">
            <v>KOMERSIAL NP B92</v>
          </cell>
        </row>
        <row r="68">
          <cell r="B68" t="str">
            <v>LABORATORIUM</v>
          </cell>
        </row>
        <row r="69">
          <cell r="B69" t="str">
            <v>LABORATORIUM &amp; EXPERIMENT (L&amp;E)</v>
          </cell>
        </row>
        <row r="70">
          <cell r="B70" t="str">
            <v>LABORATORIUM ( EKO MUJIANTO Spv )</v>
          </cell>
        </row>
        <row r="71">
          <cell r="B71" t="str">
            <v xml:space="preserve">LABORATORIUM MICRO &amp; QC </v>
          </cell>
        </row>
        <row r="72">
          <cell r="B72" t="str">
            <v>LCT</v>
          </cell>
        </row>
        <row r="73">
          <cell r="B73" t="str">
            <v>MARICULTURE RESEARCH CENTRE - HATCHERY (MRC)</v>
          </cell>
        </row>
        <row r="74">
          <cell r="B74" t="str">
            <v>MARINE FISH CULTURE (MFCD)</v>
          </cell>
        </row>
        <row r="75">
          <cell r="B75" t="str">
            <v>MARKETING CSD</v>
          </cell>
        </row>
        <row r="76">
          <cell r="B76" t="str">
            <v>MARKETING HTC</v>
          </cell>
        </row>
        <row r="77">
          <cell r="B77" t="str">
            <v>MATERIAL PLANNING &amp; INVENTORY CONTROL</v>
          </cell>
        </row>
        <row r="78">
          <cell r="B78" t="str">
            <v>MATURATION &amp; NAUPLII PRODUCTION MONODON (MNPD-M)</v>
          </cell>
        </row>
        <row r="79">
          <cell r="B79" t="str">
            <v>MATURATION &amp; NAUPLII PRODUCTION VANNAMEI (MNPD-V)</v>
          </cell>
        </row>
        <row r="80">
          <cell r="B80" t="str">
            <v>MECHANIC &amp; OPERATION</v>
          </cell>
        </row>
        <row r="81">
          <cell r="B81" t="str">
            <v>MECHANIC ENGINEERING</v>
          </cell>
        </row>
        <row r="82">
          <cell r="B82" t="str">
            <v>MEDICAL</v>
          </cell>
        </row>
        <row r="83">
          <cell r="B83" t="str">
            <v>MIXER</v>
          </cell>
        </row>
        <row r="84">
          <cell r="B84" t="str">
            <v>MQC/HE</v>
          </cell>
        </row>
        <row r="85">
          <cell r="B85" t="str">
            <v>MQC/PM</v>
          </cell>
        </row>
        <row r="86">
          <cell r="B86" t="str">
            <v>NETWORK INFRASTRUCTURE</v>
          </cell>
        </row>
        <row r="87">
          <cell r="B87" t="str">
            <v>PACKING</v>
          </cell>
        </row>
        <row r="88">
          <cell r="B88" t="str">
            <v>PACKING BLOCK ( AGUS PURWOKO Spv )</v>
          </cell>
        </row>
        <row r="89">
          <cell r="B89" t="str">
            <v>PACKING IQF / SIQF ( ARIF ARDIANTO Spv )</v>
          </cell>
        </row>
        <row r="90">
          <cell r="B90" t="str">
            <v>PAJAK BDL</v>
          </cell>
        </row>
        <row r="91">
          <cell r="B91" t="str">
            <v>PAJAK PONDSITE</v>
          </cell>
        </row>
        <row r="92">
          <cell r="B92" t="str">
            <v>PELLETMILL</v>
          </cell>
        </row>
        <row r="93">
          <cell r="B93" t="str">
            <v>PLANNING OFFICE</v>
          </cell>
        </row>
        <row r="94">
          <cell r="B94" t="str">
            <v>PPC &amp; LOGISTIC</v>
          </cell>
        </row>
        <row r="95">
          <cell r="B95" t="str">
            <v>PPC ( AGUS SRIANTO Mgr )</v>
          </cell>
        </row>
        <row r="96">
          <cell r="B96" t="str">
            <v>PPIC</v>
          </cell>
        </row>
        <row r="97">
          <cell r="B97" t="str">
            <v>PRESIDENT CPB / COO</v>
          </cell>
        </row>
        <row r="98">
          <cell r="B98" t="str">
            <v>PRESIDENT OFFICE &amp; STAFF</v>
          </cell>
        </row>
        <row r="99">
          <cell r="B99" t="str">
            <v>PROCESING CONVENTIONAL ( PROYOKO Spv )</v>
          </cell>
        </row>
        <row r="100">
          <cell r="B100" t="str">
            <v>PROCESING COOKED ( AFRINALDI sh )</v>
          </cell>
        </row>
        <row r="101">
          <cell r="B101" t="str">
            <v>PROCESING FEEL RAW ( WINANTO sh )</v>
          </cell>
        </row>
        <row r="102">
          <cell r="B102" t="str">
            <v>PRODUCTION ADMINISTRATION - BREEDING OPERATION</v>
          </cell>
        </row>
        <row r="103">
          <cell r="B103" t="str">
            <v>PRODUCTION ADMINISTRATION - C&amp;E DIV.</v>
          </cell>
        </row>
        <row r="104">
          <cell r="B104" t="str">
            <v>PRODUCTION ADMINISTRATION - FEEDMILL DIVISION</v>
          </cell>
        </row>
        <row r="105">
          <cell r="B105" t="str">
            <v>PRODUCTION ADMINISTRATION + QA ( HERU CATUR PUTRA Mgr )</v>
          </cell>
        </row>
        <row r="106">
          <cell r="B106" t="str">
            <v>PUBLIC RELATION &amp; GA JKT</v>
          </cell>
        </row>
        <row r="107">
          <cell r="B107" t="str">
            <v>QCP</v>
          </cell>
        </row>
        <row r="108">
          <cell r="B108" t="str">
            <v>QUALITY ASSURANCE</v>
          </cell>
        </row>
        <row r="109">
          <cell r="B109" t="str">
            <v>QUALITY ASSURANCE (QA)</v>
          </cell>
        </row>
        <row r="110">
          <cell r="B110" t="str">
            <v>QUALITY CONTROL ( ARIF KUNTANTO HADI sh )</v>
          </cell>
        </row>
        <row r="111">
          <cell r="B111" t="str">
            <v>R &amp; D - FEED ADDITIVE</v>
          </cell>
        </row>
        <row r="112">
          <cell r="B112" t="str">
            <v>R &amp; D AQUA</v>
          </cell>
        </row>
        <row r="113">
          <cell r="B113" t="str">
            <v>RECEIVER ( SUSTYA BUDI Spv )</v>
          </cell>
        </row>
        <row r="114">
          <cell r="B114" t="str">
            <v>REPAIR &amp; MAINT. (POND MAINTENANCE) FOR FINISHED GOODS POND</v>
          </cell>
        </row>
        <row r="115">
          <cell r="B115" t="str">
            <v>RM GODOWN &amp; COLD STORAGE</v>
          </cell>
        </row>
        <row r="116">
          <cell r="B116" t="str">
            <v>RM LOCAL PURCHASING</v>
          </cell>
        </row>
        <row r="117">
          <cell r="B117" t="str">
            <v>SAP PAYROLL</v>
          </cell>
        </row>
        <row r="118">
          <cell r="B118" t="str">
            <v>SECURITY RO BDL</v>
          </cell>
        </row>
        <row r="119">
          <cell r="B119" t="str">
            <v>SECURITY SITE</v>
          </cell>
        </row>
        <row r="120">
          <cell r="B120" t="str">
            <v>SETTING ( ASEP RIMBAWAN Spv )</v>
          </cell>
        </row>
        <row r="121">
          <cell r="B121" t="str">
            <v xml:space="preserve">SHRIMP HEAD PROCESSING ( SLAMET PURNOMO smtr) </v>
          </cell>
        </row>
        <row r="122">
          <cell r="B122" t="str">
            <v>STORE ROOM</v>
          </cell>
        </row>
        <row r="123">
          <cell r="B123" t="str">
            <v>SUPPORT ( ADM PROCESING BAMBANG, YASMAN )</v>
          </cell>
        </row>
        <row r="124">
          <cell r="B124" t="str">
            <v>SYSPRO</v>
          </cell>
        </row>
        <row r="125">
          <cell r="B125" t="str">
            <v>TANJUNG PASIR  TRANSIT STATION</v>
          </cell>
        </row>
        <row r="126">
          <cell r="B126" t="str">
            <v>TREASURY BDL</v>
          </cell>
        </row>
        <row r="127">
          <cell r="B127" t="str">
            <v>TREASURY HATCHERY</v>
          </cell>
        </row>
        <row r="128">
          <cell r="B128" t="str">
            <v>TREASURY JKT</v>
          </cell>
        </row>
        <row r="129">
          <cell r="B129" t="str">
            <v>TREASURY PONDSITE</v>
          </cell>
        </row>
        <row r="130">
          <cell r="B130" t="str">
            <v>TREATMENT POND B1 + SUPERVISOR INCHARGE (INCL.UNIT CHIEF) B1</v>
          </cell>
        </row>
        <row r="131">
          <cell r="B131" t="str">
            <v>TREATMENT POND B2 + SUPERVISOR INCHARGE (INCL.UNIT CHIEF) B2</v>
          </cell>
        </row>
        <row r="132">
          <cell r="B132" t="str">
            <v>TREATMENT POND B71 + SUPERVISOR INCHARGE (INCL.UNIT CHIEF) B71</v>
          </cell>
        </row>
        <row r="133">
          <cell r="B133" t="str">
            <v>TREATMENT POND B72 + SUPERVISOR INCHARGE (INCL.UNIT CHIEF) B72</v>
          </cell>
        </row>
        <row r="134">
          <cell r="B134" t="str">
            <v>TREATMENT POND B81 + SUPERVISOR INCHARGE (INCL.UNIT CHIEF) B81</v>
          </cell>
        </row>
        <row r="135">
          <cell r="B135" t="str">
            <v>TREATMENT POND TANJUNG KROSOK</v>
          </cell>
        </row>
        <row r="136">
          <cell r="B136" t="str">
            <v>TRIAL POND</v>
          </cell>
        </row>
        <row r="137">
          <cell r="B137" t="str">
            <v>WARE HOUSE (LOGISTIC &amp; OPERATIONAL)</v>
          </cell>
        </row>
        <row r="138">
          <cell r="B138" t="str">
            <v>WATER TREATMENT ( SLAMET PURNOMO Mgr )</v>
          </cell>
        </row>
      </sheetData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nfo"/>
      <sheetName val="Sheet5"/>
      <sheetName val="BS-Lampiran 1"/>
      <sheetName val="A"/>
      <sheetName val="B"/>
      <sheetName val="Attachment"/>
      <sheetName val="Lampiran"/>
      <sheetName val="Summary of Fiscal Depreciations"/>
      <sheetName val="Penyusutan - E"/>
      <sheetName val="MArshall-E"/>
      <sheetName val="Lampiran2000"/>
      <sheetName val="Attachment2000"/>
      <sheetName val="PPH 17"/>
      <sheetName val="FI-1771.P1"/>
      <sheetName val="FE-1771.P1"/>
      <sheetName val="FI-1771.P2"/>
      <sheetName val="FE-1771.P2"/>
      <sheetName val="FI-1771-I"/>
      <sheetName val="FE-1771-I"/>
      <sheetName val="FI-1771-II"/>
      <sheetName val="FE-1771-II"/>
      <sheetName val="FI-1771-III"/>
      <sheetName val="FE-1771-III"/>
      <sheetName val="FI-1771-IV"/>
      <sheetName val="FE-1771-IV"/>
      <sheetName val="FI-1771-V"/>
      <sheetName val="FE-1771-V"/>
      <sheetName val="FI-1771-VI"/>
      <sheetName val="FE-1771-VI"/>
      <sheetName val="VALUE_SET"/>
      <sheetName val="RWP 33"/>
      <sheetName val="Permanent info"/>
      <sheetName val="Irregular Income"/>
      <sheetName val="FE-1770.P1"/>
      <sheetName val="Ex_Rate"/>
      <sheetName val="NAMA DEPT"/>
      <sheetName val="#REF"/>
      <sheetName val="dectbl"/>
      <sheetName val="MONTH"/>
      <sheetName val="CIP_USD"/>
      <sheetName val="Desc "/>
      <sheetName val="des"/>
      <sheetName val="Org"/>
      <sheetName val="Account Payable"/>
      <sheetName val="Revenue (10)"/>
      <sheetName val="W-RATE"/>
      <sheetName val="Dept"/>
      <sheetName val="Depo"/>
      <sheetName val="Accounts Payable (AA)"/>
      <sheetName val="10-1-1"/>
      <sheetName val="BS-Lampiran_1"/>
      <sheetName val="Summary_of_Fiscal_Depreciations"/>
      <sheetName val="Penyusutan_-_E"/>
      <sheetName val="PPH_17"/>
      <sheetName val="FI-1771_P1"/>
      <sheetName val="FE-1771_P1"/>
      <sheetName val="FI-1771_P2"/>
      <sheetName val="FE-1771_P2"/>
      <sheetName val="B25-95"/>
      <sheetName val="FF-3"/>
      <sheetName val="Macro5"/>
      <sheetName val="ALMS"/>
    </sheetNames>
    <sheetDataSet>
      <sheetData sheetId="0" refreshError="1">
        <row r="5">
          <cell r="I5" t="str">
            <v>PT MAITLAND SMITH INDONESIA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-1770.P1"/>
      <sheetName val="FE-1770.P2"/>
      <sheetName val="FE-1770-I"/>
      <sheetName val="FE-1770-II"/>
      <sheetName val="FE-1770-III"/>
      <sheetName val="FI-177O.P1"/>
      <sheetName val="FI-1770.P2"/>
      <sheetName val="FI-1770-I"/>
      <sheetName val="FI-1770-II"/>
      <sheetName val="FI-1770-III"/>
      <sheetName val="PPh25-Installment"/>
      <sheetName val="TaxPaidAbroad"/>
      <sheetName val="Irregular Income"/>
      <sheetName val="Family"/>
      <sheetName val="tax calculation"/>
      <sheetName val="data wp"/>
      <sheetName val="data"/>
      <sheetName val="1.wp opex"/>
      <sheetName val="Currencies"/>
      <sheetName val="Divre 6 ok"/>
      <sheetName val="CMGRPM20"/>
      <sheetName val="GeneralInfo"/>
      <sheetName val="NAMA DEPT"/>
      <sheetName val="Master"/>
      <sheetName val="SUMMIT"/>
      <sheetName val="Value &amp; Sensitivites"/>
      <sheetName val="TB"/>
      <sheetName val="TYPE"/>
      <sheetName val="DLOAD"/>
      <sheetName val="CCtr"/>
      <sheetName val="CODES"/>
      <sheetName val="VALUE_SET"/>
      <sheetName val="Input"/>
      <sheetName val="AA3"/>
      <sheetName val="Desc "/>
      <sheetName val="Sheet1"/>
      <sheetName val="Data Sheet"/>
      <sheetName val="BASIC ASSUMPTION"/>
      <sheetName val="K.2. Predictive Depr"/>
      <sheetName val="Marshal"/>
      <sheetName val="Permanent info"/>
      <sheetName val="akun"/>
      <sheetName val="OFF"/>
      <sheetName val="FullYear"/>
      <sheetName val="Regulated Tariff"/>
      <sheetName val="data_val"/>
      <sheetName val="Summary "/>
      <sheetName val="Sheet2 _2_"/>
      <sheetName val="Sheet2"/>
      <sheetName val="DAT-1"/>
      <sheetName val="table"/>
      <sheetName val="DSR"/>
      <sheetName val="10D"/>
      <sheetName val="5"/>
      <sheetName val="Summary P&amp;L"/>
      <sheetName val="PIK_QUO"/>
      <sheetName val="SUMMARY"/>
      <sheetName val="Advanced"/>
      <sheetName val="Mth-Vana"/>
      <sheetName val="SSP"/>
      <sheetName val="daftar"/>
      <sheetName val="fiscal depr(E)"/>
      <sheetName val="Data_Umum"/>
      <sheetName val="IC DKG"/>
      <sheetName val="IC DKSH"/>
      <sheetName val="dec 09"/>
      <sheetName val="COM-HARDWARE"/>
      <sheetName val="EQUIPMENT"/>
      <sheetName val="A"/>
      <sheetName val="U2.5 RM From Purhase"/>
      <sheetName val="LP2"/>
      <sheetName val="SPT"/>
      <sheetName val="KPKom"/>
      <sheetName val="SIK"/>
      <sheetName val="SPPP"/>
      <sheetName val="Berkas"/>
      <sheetName val="BCD"/>
      <sheetName val="AnlSPT"/>
      <sheetName val="Rasio"/>
      <sheetName val="APro"/>
      <sheetName val="DbTF"/>
      <sheetName val="DbKtr"/>
      <sheetName val="DbPem"/>
      <sheetName val="Tarif"/>
      <sheetName val="Kode"/>
      <sheetName val="DK"/>
      <sheetName val="LPIS"/>
      <sheetName val="tabel"/>
      <sheetName val="ASS-UNIT"/>
      <sheetName val="18723"/>
      <sheetName val="BS-RTI"/>
      <sheetName val="SUPPORT"/>
      <sheetName val="SAP"/>
      <sheetName val="Parameters"/>
      <sheetName val="TaxLocal_Original"/>
      <sheetName val="Isolasi Luar Dalam"/>
      <sheetName val="Isolasi Luar"/>
      <sheetName val="RM-PURCH &amp; PACK"/>
      <sheetName val="JUAL_STD"/>
      <sheetName val="CPO 16-9-TID "/>
      <sheetName val="IS "/>
      <sheetName val="dl0450_28"/>
      <sheetName val="kardus"/>
      <sheetName val="Recov"/>
      <sheetName val="CIP_USD"/>
      <sheetName val="Ex_Rate"/>
      <sheetName val="B.S."/>
      <sheetName val="Input Sheet"/>
      <sheetName val="ALL"/>
      <sheetName val="TH"/>
      <sheetName val="FX Rates"/>
      <sheetName val="Lead"/>
      <sheetName val="I.4.1 (2)"/>
      <sheetName val="Drop Down"/>
      <sheetName val="Financial Statement"/>
      <sheetName val="Telephone &amp; KSO Rev"/>
      <sheetName val="B25-95"/>
      <sheetName val="BP1_23"/>
      <sheetName val="DATABASE"/>
      <sheetName val="MasterSheet"/>
      <sheetName val="FE-1770_P1"/>
      <sheetName val="FE-1770_P2"/>
      <sheetName val="FI-177O_P1"/>
      <sheetName val="FI-1770_P2"/>
      <sheetName val="Irregular_Income"/>
      <sheetName val="tax_calculation"/>
      <sheetName val="data_wp"/>
      <sheetName val="M_Maincomp"/>
      <sheetName val="Assumptions"/>
      <sheetName val="Asumsi"/>
      <sheetName val="Quantitatif"/>
      <sheetName val="T.B"/>
      <sheetName val="Trial"/>
      <sheetName val="TableLookup"/>
      <sheetName val="CODE"/>
      <sheetName val="AA.1.1 BNI"/>
      <sheetName val="Stock Report"/>
      <sheetName val="lookup table"/>
      <sheetName val="Spec 22104"/>
      <sheetName val="LP"/>
      <sheetName val="ref"/>
      <sheetName val="coeff"/>
      <sheetName val="NCG-BB"/>
      <sheetName val="Prepaid Expenses"/>
      <sheetName val="TCM Lists"/>
      <sheetName val="PP_Letter 389N"/>
      <sheetName val="11b"/>
      <sheetName val="Assump"/>
      <sheetName val="Income S"/>
      <sheetName val="balance sheet"/>
      <sheetName val="A6"/>
      <sheetName val="dghn"/>
      <sheetName val="Value_&amp;_Sensitivites"/>
      <sheetName val="CA Sheet"/>
      <sheetName val="Irregular_Income1"/>
      <sheetName val="FE-1770_P11"/>
      <sheetName val="Other charges (income)"/>
      <sheetName val="Rugilaba"/>
      <sheetName val="Biaya"/>
      <sheetName val="récapprobable98"/>
      <sheetName val="Payable"/>
      <sheetName val="CANADA"/>
      <sheetName val="Cost Centers"/>
      <sheetName val="CT PARTS - OOH 2006 "/>
      <sheetName val="DE"/>
      <sheetName val="EQ"/>
      <sheetName val="FA"/>
      <sheetName val="FS"/>
      <sheetName val="MA"/>
      <sheetName val="RE"/>
      <sheetName val="TX"/>
      <sheetName val="WC"/>
      <sheetName val="选择报表"/>
      <sheetName val="A$"/>
      <sheetName val="Jan-Dec05 PBC Rousye"/>
      <sheetName val="TEMPLATE"/>
      <sheetName val="Margin factor"/>
      <sheetName val="Power1770-2000 NEW NPWP"/>
      <sheetName val="Variabel"/>
      <sheetName val="A. Data Permintaan Produk"/>
      <sheetName val="C. Data Faktur "/>
      <sheetName val="Data Kalender"/>
      <sheetName val="M. Data Biaya Kirim"/>
      <sheetName val="NAMES"/>
      <sheetName val="populasi"/>
      <sheetName val="Tabelle1"/>
      <sheetName val="Nomor Id"/>
      <sheetName val="Bal Sheet"/>
      <sheetName val="Income Statement"/>
      <sheetName val="Introduction"/>
      <sheetName val="Profile"/>
      <sheetName val="kki"/>
      <sheetName val="fin pro centers"/>
      <sheetName val="Notes"/>
      <sheetName val="name"/>
      <sheetName val="Productivity"/>
      <sheetName val="JL_BEL"/>
      <sheetName val="DATA2"/>
      <sheetName val="PDMP"/>
      <sheetName val="PCE"/>
      <sheetName val="PRODUK"/>
      <sheetName val="TOOL-ME"/>
      <sheetName val="Biaya Op-10"/>
      <sheetName val="DOC"/>
      <sheetName val="FEED"/>
      <sheetName val="Erlang_table"/>
      <sheetName val="PercenDiv"/>
      <sheetName val="ALMS"/>
      <sheetName val="Detail"/>
      <sheetName val="IS"/>
      <sheetName val="Lenders_Ratios juneseptnov"/>
      <sheetName val="des"/>
      <sheetName val="AT"/>
      <sheetName val="UNITPRICE"/>
      <sheetName val="Client AJE"/>
      <sheetName val="Acc. Empolyee"/>
      <sheetName val="P_DPTAN _ BEBAN LAIN2"/>
      <sheetName val="AKTIVA TETAP"/>
      <sheetName val="PERINC_PASSIVA"/>
      <sheetName val="N-LTLS"/>
      <sheetName val="KAEF"/>
      <sheetName val="ADIRA-N"/>
      <sheetName val="N-ASII"/>
      <sheetName val="BBCA"/>
      <sheetName val="TLKM-J"/>
      <sheetName val="N-TLKM"/>
      <sheetName val="NRC"/>
      <sheetName val="Data Pihak ke-3"/>
      <sheetName val="Calcs"/>
      <sheetName val="CHIPPING"/>
      <sheetName val="SUMMARY NDE"/>
      <sheetName val="Macro "/>
      <sheetName val="Loan"/>
      <sheetName val="Fin Exp"/>
      <sheetName val="Info"/>
      <sheetName val="RATE"/>
      <sheetName val="WPL"/>
      <sheetName val="Data Ben"/>
      <sheetName val="Ex-Rate"/>
      <sheetName val="CONTRACT REC"/>
      <sheetName val="GJ"/>
      <sheetName val="INDIRECT DETAIL"/>
      <sheetName val="Customize Your Purchase Order"/>
      <sheetName val="Lists"/>
      <sheetName val="Probbl - Production"/>
      <sheetName val="214"/>
      <sheetName val="#REF"/>
      <sheetName val="RANGE"/>
      <sheetName val="EigenValue"/>
      <sheetName val="Data_Pihak_ke-3"/>
      <sheetName val="BASIC_ASSUMPTION"/>
      <sheetName val="COST SUMM"/>
      <sheetName val="SELISIHKURSSOURCE"/>
      <sheetName val="412"/>
      <sheetName val="INWARD PREMIUM 2010"/>
      <sheetName val="INWARD PREMIUM mei 2012"/>
      <sheetName val="Testing"/>
      <sheetName val="Cont Mc"/>
      <sheetName val="aging0307"/>
      <sheetName val="status"/>
      <sheetName val="Exc. Rate"/>
      <sheetName val="Analisa"/>
      <sheetName val="JAN"/>
      <sheetName val="FEB"/>
      <sheetName val="April"/>
      <sheetName val="Mei"/>
      <sheetName val="BAAN"/>
      <sheetName val="Analysis"/>
      <sheetName val="2RFAFRES"/>
      <sheetName val="Title"/>
      <sheetName val="Growth assumptions"/>
      <sheetName val="Belmera"/>
      <sheetName val="Cawang Tomang Cengkareng"/>
      <sheetName val="Jakarta Cikampek"/>
      <sheetName val="Citarum"/>
      <sheetName val="Jagorawi"/>
      <sheetName val="Jakarta Merak"/>
      <sheetName val="Padalarang Cileunyi"/>
      <sheetName val="Palikanci"/>
      <sheetName val="Semarang"/>
      <sheetName val="Surabaya Gempol Mojokerto"/>
      <sheetName val="Valuation"/>
      <sheetName val="Load to report pajak"/>
      <sheetName val="dBASE"/>
      <sheetName val="IMM"/>
      <sheetName val="IKK"/>
      <sheetName val="COVER"/>
      <sheetName val="X"/>
      <sheetName val="DKONSOL"/>
      <sheetName val="TABEL2"/>
      <sheetName val="TRANS"/>
      <sheetName val="SUMMFA-USD"/>
      <sheetName val="Investment"/>
      <sheetName val="A3_USD_PL02"/>
      <sheetName val="ShareCapital"/>
      <sheetName val="Inventories"/>
      <sheetName val="Statement of Cash Flows"/>
      <sheetName val="Dashboard"/>
      <sheetName val="Sheet3"/>
      <sheetName val="tank"/>
      <sheetName val="DT-BAR"/>
      <sheetName val="SELISIH HARGA"/>
      <sheetName val="An_1"/>
      <sheetName val="An_3"/>
      <sheetName val="An_2"/>
      <sheetName val="LEGEND"/>
      <sheetName val="Markup"/>
      <sheetName val="Regulated_Tariff"/>
      <sheetName val="Summary_"/>
      <sheetName val="Isolasi_Luar"/>
      <sheetName val="Permanent_info"/>
      <sheetName val="SUMMARY_NDE"/>
      <sheetName val="Financial_Statement"/>
      <sheetName val="Macro_"/>
      <sheetName val="Isolasi_Luar_Dalam"/>
      <sheetName val="SELISIH_HARGA"/>
      <sheetName val="IC_DKG"/>
      <sheetName val="IC_DKSH"/>
      <sheetName val="Desc_"/>
      <sheetName val="dec_09"/>
      <sheetName val="Summary_P&amp;L"/>
      <sheetName val="Sheet2__2_"/>
      <sheetName val="Data_Sheet"/>
      <sheetName val="IS_"/>
      <sheetName val="CPO_16-9-TID_"/>
      <sheetName val="U2_5_RM_From_Purhase"/>
      <sheetName val="fiscal_depr(E)"/>
      <sheetName val="1_wp_opex"/>
      <sheetName val="Divre_6_ok"/>
      <sheetName val="NAMA_DEPT"/>
      <sheetName val="Biaya_Op-10"/>
      <sheetName val="Telephone_&amp;_KSO_Rev"/>
      <sheetName val="A__Data_Permintaan_Produk"/>
      <sheetName val="C__Data_Faktur_"/>
      <sheetName val="Data_Kalender"/>
      <sheetName val="M__Data_Biaya_Kirim"/>
      <sheetName val="Nomor_Id"/>
      <sheetName val="Bal_Sheet"/>
      <sheetName val="Income_Statement"/>
      <sheetName val="fin_pro_centers"/>
      <sheetName val="AA_1_1_BNI"/>
      <sheetName val="Acc__Empolyee"/>
      <sheetName val="RM-PURCH_&amp;_PACK"/>
      <sheetName val="B_S_"/>
      <sheetName val="Input_Sheet"/>
      <sheetName val="FX_Rates"/>
      <sheetName val="I_4_1_(2)"/>
      <sheetName val="Drop_Down"/>
      <sheetName val="TCM_Lists"/>
      <sheetName val="Lenders_Ratios_juneseptnov"/>
      <sheetName val="Stock_Report"/>
      <sheetName val="lookup_table"/>
      <sheetName val="K_2__Predictive_Depr"/>
      <sheetName val="Client_AJE"/>
      <sheetName val="Jan-Dec05_PBC_Rousye"/>
      <sheetName val="Spec_22104"/>
      <sheetName val="CA_Sheet"/>
      <sheetName val="FE-1770_P21"/>
      <sheetName val="FI-177O_P11"/>
      <sheetName val="FI-1770_P21"/>
      <sheetName val="tax_calculation1"/>
      <sheetName val="data_wp1"/>
      <sheetName val="Regulated_Tariff1"/>
      <sheetName val="Summary_1"/>
      <sheetName val="Isolasi_Luar1"/>
      <sheetName val="BASIC_ASSUMPTION1"/>
      <sheetName val="Permanent_info1"/>
      <sheetName val="SUMMARY_NDE1"/>
      <sheetName val="Financial_Statement1"/>
      <sheetName val="Macro_1"/>
      <sheetName val="Isolasi_Luar_Dalam1"/>
      <sheetName val="SELISIH_HARGA1"/>
      <sheetName val="IC_DKG1"/>
      <sheetName val="IC_DKSH1"/>
      <sheetName val="Desc_1"/>
      <sheetName val="dec_091"/>
      <sheetName val="Summary_P&amp;L1"/>
      <sheetName val="Sheet2__2_1"/>
      <sheetName val="Value_&amp;_Sensitivites1"/>
      <sheetName val="Data_Sheet1"/>
      <sheetName val="IS_1"/>
      <sheetName val="CPO_16-9-TID_1"/>
      <sheetName val="U2_5_RM_From_Purhase1"/>
      <sheetName val="fiscal_depr(E)1"/>
      <sheetName val="1_wp_opex1"/>
      <sheetName val="Divre_6_ok1"/>
      <sheetName val="NAMA_DEPT1"/>
      <sheetName val="Biaya_Op-101"/>
      <sheetName val="Telephone_&amp;_KSO_Rev1"/>
      <sheetName val="A__Data_Permintaan_Produk1"/>
      <sheetName val="C__Data_Faktur_1"/>
      <sheetName val="Data_Kalender1"/>
      <sheetName val="M__Data_Biaya_Kirim1"/>
      <sheetName val="Nomor_Id1"/>
      <sheetName val="Bal_Sheet1"/>
      <sheetName val="Income_Statement1"/>
      <sheetName val="fin_pro_centers1"/>
      <sheetName val="AA_1_1_BNI1"/>
      <sheetName val="Acc__Empolyee1"/>
      <sheetName val="RM-PURCH_&amp;_PACK1"/>
      <sheetName val="B_S_1"/>
      <sheetName val="Input_Sheet1"/>
      <sheetName val="FX_Rates1"/>
      <sheetName val="I_4_1_(2)1"/>
      <sheetName val="Drop_Down1"/>
      <sheetName val="TCM_Lists1"/>
      <sheetName val="Lenders_Ratios_juneseptnov1"/>
      <sheetName val="Stock_Report1"/>
      <sheetName val="lookup_table1"/>
      <sheetName val="K_2__Predictive_Depr1"/>
      <sheetName val="Client_AJE1"/>
      <sheetName val="Jan-Dec05_PBC_Rousye1"/>
      <sheetName val="Spec_221041"/>
      <sheetName val="CA_Sheet1"/>
    </sheetNames>
    <sheetDataSet>
      <sheetData sheetId="0">
        <row r="5">
          <cell r="J5">
            <v>53000</v>
          </cell>
        </row>
      </sheetData>
      <sheetData sheetId="1">
        <row r="5">
          <cell r="J5">
            <v>53000</v>
          </cell>
        </row>
      </sheetData>
      <sheetData sheetId="2">
        <row r="5">
          <cell r="J5">
            <v>53000</v>
          </cell>
        </row>
      </sheetData>
      <sheetData sheetId="3">
        <row r="5">
          <cell r="J5">
            <v>53000</v>
          </cell>
        </row>
      </sheetData>
      <sheetData sheetId="4">
        <row r="5">
          <cell r="J5">
            <v>53000</v>
          </cell>
        </row>
      </sheetData>
      <sheetData sheetId="5">
        <row r="5">
          <cell r="J5">
            <v>53000</v>
          </cell>
        </row>
      </sheetData>
      <sheetData sheetId="6">
        <row r="5">
          <cell r="J5">
            <v>53000</v>
          </cell>
        </row>
      </sheetData>
      <sheetData sheetId="7">
        <row r="5">
          <cell r="J5">
            <v>53000</v>
          </cell>
        </row>
      </sheetData>
      <sheetData sheetId="8">
        <row r="5">
          <cell r="J5">
            <v>53000</v>
          </cell>
        </row>
      </sheetData>
      <sheetData sheetId="9">
        <row r="5">
          <cell r="J5">
            <v>53000</v>
          </cell>
        </row>
      </sheetData>
      <sheetData sheetId="10">
        <row r="5">
          <cell r="J5">
            <v>53000</v>
          </cell>
        </row>
      </sheetData>
      <sheetData sheetId="11">
        <row r="5">
          <cell r="J5">
            <v>53000</v>
          </cell>
        </row>
      </sheetData>
      <sheetData sheetId="12">
        <row r="5">
          <cell r="J5">
            <v>53000</v>
          </cell>
        </row>
      </sheetData>
      <sheetData sheetId="13" refreshError="1">
        <row r="5">
          <cell r="J5">
            <v>53000</v>
          </cell>
        </row>
      </sheetData>
      <sheetData sheetId="14">
        <row r="5">
          <cell r="J5">
            <v>53000</v>
          </cell>
        </row>
      </sheetData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>
        <row r="5">
          <cell r="J5">
            <v>53000</v>
          </cell>
        </row>
      </sheetData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"/>
      <sheetName val="PURCH"/>
      <sheetName val="SALES"/>
      <sheetName val="UFJRP0010"/>
      <sheetName val="UFJ$0010"/>
      <sheetName val="UFJYEN0030"/>
      <sheetName val="UFJ$0030"/>
      <sheetName val="UFJRP0030"/>
      <sheetName val="MDR"/>
      <sheetName val="BII"/>
      <sheetName val="CASH"/>
      <sheetName val="CASH$"/>
      <sheetName val="cash yen"/>
      <sheetName val="WS"/>
      <sheetName val="ADJ"/>
      <sheetName val="account"/>
      <sheetName val="data_val"/>
      <sheetName val="Account Code"/>
    </sheetNames>
    <sheetDataSet>
      <sheetData sheetId="0" refreshError="1">
        <row r="3">
          <cell r="B3">
            <v>37655</v>
          </cell>
        </row>
        <row r="4">
          <cell r="B4">
            <v>37656</v>
          </cell>
        </row>
        <row r="5">
          <cell r="B5">
            <v>37657</v>
          </cell>
        </row>
        <row r="6">
          <cell r="B6">
            <v>37658</v>
          </cell>
        </row>
        <row r="7">
          <cell r="B7">
            <v>37659</v>
          </cell>
        </row>
        <row r="8">
          <cell r="B8">
            <v>37660</v>
          </cell>
        </row>
        <row r="9">
          <cell r="B9">
            <v>37662</v>
          </cell>
        </row>
        <row r="10">
          <cell r="B10">
            <v>37663</v>
          </cell>
        </row>
        <row r="11">
          <cell r="B11">
            <v>37665</v>
          </cell>
        </row>
        <row r="12">
          <cell r="B12">
            <v>37666</v>
          </cell>
        </row>
        <row r="13">
          <cell r="B13">
            <v>37667</v>
          </cell>
        </row>
        <row r="14">
          <cell r="B14">
            <v>37669</v>
          </cell>
        </row>
        <row r="15">
          <cell r="B15">
            <v>37670</v>
          </cell>
        </row>
        <row r="16">
          <cell r="B16">
            <v>37671</v>
          </cell>
        </row>
        <row r="17">
          <cell r="B17">
            <v>37672</v>
          </cell>
        </row>
        <row r="18">
          <cell r="B18">
            <v>37673</v>
          </cell>
        </row>
        <row r="19">
          <cell r="B19">
            <v>37674</v>
          </cell>
        </row>
        <row r="20">
          <cell r="B20">
            <v>37676</v>
          </cell>
        </row>
        <row r="21">
          <cell r="B21">
            <v>37677</v>
          </cell>
        </row>
        <row r="22">
          <cell r="B22">
            <v>37678</v>
          </cell>
        </row>
        <row r="23">
          <cell r="B23">
            <v>37679</v>
          </cell>
        </row>
        <row r="24">
          <cell r="B24">
            <v>37680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manent info"/>
      <sheetName val="Marshal"/>
      <sheetName val="F1771"/>
      <sheetName val="F1771-I"/>
      <sheetName val="F1771-V"/>
      <sheetName val="F1771-IA"/>
      <sheetName val="F1771-II"/>
      <sheetName val="F1771-III"/>
      <sheetName val="Depreciation  schedule "/>
      <sheetName val="Penyusutan"/>
      <sheetName val="Attach"/>
      <sheetName val="Lampiran"/>
      <sheetName val="disposal"/>
      <sheetName val="fiscal depr(E)"/>
      <sheetName val="fiscal depr. (I)"/>
      <sheetName val="Cadangan premi"/>
      <sheetName val="amortisasi"/>
      <sheetName val="supervision"/>
      <sheetName val="Rounding off"/>
      <sheetName val="ERWIN"/>
      <sheetName val="PL"/>
      <sheetName val="Family"/>
      <sheetName val="Attachement"/>
      <sheetName val="data"/>
    </sheetNames>
    <sheetDataSet>
      <sheetData sheetId="0"/>
      <sheetData sheetId="1" refreshError="1">
        <row r="138">
          <cell r="E138">
            <v>-6772218468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MAKAIAN PAKAN &amp; OBAT"/>
    </sheetNames>
    <sheetDataSet>
      <sheetData sheetId="0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-COMB-Prop"/>
      <sheetName val="l*****"/>
      <sheetName val="****_x0000_ÿ"/>
      <sheetName val="Sheet1"/>
      <sheetName val="Tanda Terima Data"/>
      <sheetName val="Srt-Hanch"/>
      <sheetName val="Tanda Terima"/>
      <sheetName val="Srt-Pinij"/>
      <sheetName val="Srt-Sjnt"/>
      <sheetName val="ACTMPP96-99"/>
      <sheetName val="ASSUM-COMB-Sign"/>
      <sheetName val="ACT96-99"/>
      <sheetName val="Hatchery"/>
      <sheetName val="LETR-2000"/>
      <sheetName val="SRTPENG-2000"/>
      <sheetName val="SRTMEET-2000"/>
      <sheetName val="AQFSD-REQ"/>
      <sheetName val="FM-REQ"/>
      <sheetName val="HAT-REQ"/>
      <sheetName val="PPD-REQ"/>
      <sheetName val="CSD-REQ"/>
      <sheetName val="C&amp;E-REQ"/>
      <sheetName val="SUP-REQ"/>
      <sheetName val="ASSUM_COMB_Prop"/>
      <sheetName val="PEMAKAIAN PAKAN &amp; OBAT"/>
      <sheetName val="l_____"/>
      <sheetName val="____"/>
      <sheetName val="****?ÿ"/>
      <sheetName val="Account Code"/>
      <sheetName val="Tanda_Terima_Data"/>
      <sheetName val="Tanda_Terima"/>
      <sheetName val="PEMAKAIAN_PAKAN_&amp;_OBAT"/>
      <sheetName val="Tanda_Terima_Data13"/>
      <sheetName val="Tanda_Terima13"/>
      <sheetName val="Tanda_Terima_Data2"/>
      <sheetName val="Tanda_Terima2"/>
      <sheetName val="Tanda_Terima_Data1"/>
      <sheetName val="Tanda_Terima1"/>
      <sheetName val="Tanda_Terima_Data3"/>
      <sheetName val="Tanda_Terima3"/>
      <sheetName val="Tanda_Terima_Data6"/>
      <sheetName val="Tanda_Terima6"/>
      <sheetName val="Tanda_Terima_Data5"/>
      <sheetName val="Tanda_Terima5"/>
      <sheetName val="Tanda_Terima_Data4"/>
      <sheetName val="Tanda_Terima4"/>
      <sheetName val="Tanda_Terima_Data7"/>
      <sheetName val="Tanda_Terima7"/>
      <sheetName val="Tanda_Terima_Data8"/>
      <sheetName val="Tanda_Terima8"/>
      <sheetName val="Tanda_Terima_Data9"/>
      <sheetName val="Tanda_Terima9"/>
      <sheetName val="Tanda_Terima_Data11"/>
      <sheetName val="Tanda_Terima11"/>
      <sheetName val="Tanda_Terima_Data10"/>
      <sheetName val="Tanda_Terima10"/>
      <sheetName val="PEMAKAIAN_PAKAN_&amp;_OBAT1"/>
      <sheetName val="Tanda_Terima_Data12"/>
      <sheetName val="Tanda_Terima12"/>
      <sheetName val="Tanda_Terima_Data17"/>
      <sheetName val="Tanda_Terima17"/>
      <sheetName val="PEMAKAIAN_PAKAN_&amp;_OBAT5"/>
      <sheetName val="Tanda_Terima_Data15"/>
      <sheetName val="Tanda_Terima15"/>
      <sheetName val="PEMAKAIAN_PAKAN_&amp;_OBAT3"/>
      <sheetName val="Tanda_Terima_Data14"/>
      <sheetName val="Tanda_Terima14"/>
      <sheetName val="PEMAKAIAN_PAKAN_&amp;_OBAT2"/>
      <sheetName val="Tanda_Terima_Data16"/>
      <sheetName val="Tanda_Terima16"/>
      <sheetName val="PEMAKAIAN_PAKAN_&amp;_OBAT4"/>
      <sheetName val="Tanda_Terima_Data18"/>
      <sheetName val="Tanda_Terima18"/>
      <sheetName val="PEMAKAIAN_PAKAN_&amp;_OBAT6"/>
      <sheetName val="Tanda_Terima_Data19"/>
      <sheetName val="Tanda_Terima19"/>
      <sheetName val="PEMAKAIAN_PAKAN_&amp;_OBAT7"/>
      <sheetName val="Family"/>
      <sheetName val="Tanda_Terima_Data32"/>
      <sheetName val="Tanda_Terima32"/>
      <sheetName val="PEMAKAIAN_PAKAN_&amp;_OBAT20"/>
      <sheetName val="Tanda_Terima_Data21"/>
      <sheetName val="Tanda_Terima21"/>
      <sheetName val="PEMAKAIAN_PAKAN_&amp;_OBAT9"/>
      <sheetName val="Tanda_Terima_Data20"/>
      <sheetName val="Tanda_Terima20"/>
      <sheetName val="PEMAKAIAN_PAKAN_&amp;_OBAT8"/>
      <sheetName val="Tanda_Terima_Data25"/>
      <sheetName val="Tanda_Terima25"/>
      <sheetName val="PEMAKAIAN_PAKAN_&amp;_OBAT13"/>
      <sheetName val="Tanda_Terima_Data22"/>
      <sheetName val="Tanda_Terima22"/>
      <sheetName val="PEMAKAIAN_PAKAN_&amp;_OBAT10"/>
      <sheetName val="Tanda_Terima_Data24"/>
      <sheetName val="Tanda_Terima24"/>
      <sheetName val="PEMAKAIAN_PAKAN_&amp;_OBAT12"/>
      <sheetName val="Tanda_Terima_Data23"/>
      <sheetName val="Tanda_Terima23"/>
      <sheetName val="PEMAKAIAN_PAKAN_&amp;_OBAT11"/>
      <sheetName val="Tanda_Terima_Data31"/>
      <sheetName val="Tanda_Terima31"/>
      <sheetName val="PEMAKAIAN_PAKAN_&amp;_OBAT19"/>
      <sheetName val="Tanda_Terima_Data30"/>
      <sheetName val="Tanda_Terima30"/>
      <sheetName val="PEMAKAIAN_PAKAN_&amp;_OBAT18"/>
      <sheetName val="Tanda_Terima_Data27"/>
      <sheetName val="Tanda_Terima27"/>
      <sheetName val="PEMAKAIAN_PAKAN_&amp;_OBAT15"/>
      <sheetName val="Tanda_Terima_Data26"/>
      <sheetName val="Tanda_Terima26"/>
      <sheetName val="PEMAKAIAN_PAKAN_&amp;_OBAT14"/>
      <sheetName val="Tanda_Terima_Data28"/>
      <sheetName val="Tanda_Terima28"/>
      <sheetName val="PEMAKAIAN_PAKAN_&amp;_OBAT16"/>
      <sheetName val="Tanda_Terima_Data29"/>
      <sheetName val="Tanda_Terima29"/>
      <sheetName val="PEMAKAIAN_PAKAN_&amp;_OBAT17"/>
      <sheetName val="Tanda_Terima_Data33"/>
      <sheetName val="Tanda_Terima33"/>
      <sheetName val="PEMAKAIAN_PAKAN_&amp;_OBAT21"/>
      <sheetName val="Tanda_Terima_Data34"/>
      <sheetName val="Tanda_Terima34"/>
      <sheetName val="PEMAKAIAN_PAKAN_&amp;_OBAT22"/>
      <sheetName val="Tanda_Terima_Data38"/>
      <sheetName val="Tanda_Terima38"/>
      <sheetName val="PEMAKAIAN_PAKAN_&amp;_OBAT26"/>
      <sheetName val="Tanda_Terima_Data35"/>
      <sheetName val="Tanda_Terima35"/>
      <sheetName val="PEMAKAIAN_PAKAN_&amp;_OBAT23"/>
      <sheetName val="Tanda_Terima_Data36"/>
      <sheetName val="Tanda_Terima36"/>
      <sheetName val="PEMAKAIAN_PAKAN_&amp;_OBAT24"/>
      <sheetName val="Tanda_Terima_Data37"/>
      <sheetName val="Tanda_Terima37"/>
      <sheetName val="PEMAKAIAN_PAKAN_&amp;_OBAT25"/>
      <sheetName val="Tanda_Terima_Data39"/>
      <sheetName val="Tanda_Terima39"/>
      <sheetName val="PEMAKAIAN_PAKAN_&amp;_OBAT27"/>
      <sheetName val="Tanda_Terima_Data40"/>
      <sheetName val="Tanda_Terima40"/>
      <sheetName val="PEMAKAIAN_PAKAN_&amp;_OBAT28"/>
      <sheetName val="Tanda_Terima_Data42"/>
      <sheetName val="Tanda_Terima42"/>
      <sheetName val="PEMAKAIAN_PAKAN_&amp;_OBAT30"/>
      <sheetName val="Tanda_Terima_Data41"/>
      <sheetName val="Tanda_Terima41"/>
      <sheetName val="PEMAKAIAN_PAKAN_&amp;_OBAT29"/>
      <sheetName val="Tanda_Terima_Data43"/>
      <sheetName val="Tanda_Terima43"/>
      <sheetName val="PEMAKAIAN_PAKAN_&amp;_OBAT31"/>
      <sheetName val="Tanda_Terima_Data45"/>
      <sheetName val="Tanda_Terima45"/>
      <sheetName val="PEMAKAIAN_PAKAN_&amp;_OBAT33"/>
      <sheetName val="Tanda_Terima_Data44"/>
      <sheetName val="Tanda_Terima44"/>
      <sheetName val="PEMAKAIAN_PAKAN_&amp;_OBAT32"/>
      <sheetName val="Tanda_Terima_Data46"/>
      <sheetName val="Tanda_Terima46"/>
      <sheetName val="PEMAKAIAN_PAKAN_&amp;_OBAT34"/>
      <sheetName val="Tanda_Terima_Data48"/>
      <sheetName val="Tanda_Terima48"/>
      <sheetName val="PEMAKAIAN_PAKAN_&amp;_OBAT36"/>
      <sheetName val="Tanda_Terima_Data47"/>
      <sheetName val="Tanda_Terima47"/>
      <sheetName val="PEMAKAIAN_PAKAN_&amp;_OBAT35"/>
      <sheetName val="Tanda_Terima_Data49"/>
      <sheetName val="Tanda_Terima49"/>
      <sheetName val="PEMAKAIAN_PAKAN_&amp;_OBAT37"/>
      <sheetName val="Tanda_Terima_Data51"/>
      <sheetName val="Tanda_Terima51"/>
      <sheetName val="PEMAKAIAN_PAKAN_&amp;_OBAT39"/>
      <sheetName val="Tanda_Terima_Data50"/>
      <sheetName val="Tanda_Terima50"/>
      <sheetName val="PEMAKAIAN_PAKAN_&amp;_OBAT38"/>
      <sheetName val="Tanda_Terima_Data52"/>
      <sheetName val="Tanda_Terima52"/>
      <sheetName val="PEMAKAIAN_PAKAN_&amp;_OBAT40"/>
      <sheetName val="Tanda_Terima_Data54"/>
      <sheetName val="Tanda_Terima54"/>
      <sheetName val="PEMAKAIAN_PAKAN_&amp;_OBAT42"/>
      <sheetName val="Tanda_Terima_Data53"/>
      <sheetName val="Tanda_Terima53"/>
      <sheetName val="PEMAKAIAN_PAKAN_&amp;_OBAT41"/>
      <sheetName val="Tanda_Terima_Data55"/>
      <sheetName val="Tanda_Terima55"/>
      <sheetName val="PEMAKAIAN_PAKAN_&amp;_OBAT43"/>
      <sheetName val="_____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 refreshError="1"/>
      <sheetData sheetId="33" refreshError="1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nfo"/>
      <sheetName val="Marshal"/>
      <sheetName val="Attachments"/>
      <sheetName val="lampiran"/>
      <sheetName val="Depresiasi total"/>
      <sheetName val="Daftar depresiasi"/>
      <sheetName val="Rekonsiliasi aktiva tetap"/>
      <sheetName val="FI-1771.P1"/>
      <sheetName val="FE-1771.P1"/>
      <sheetName val="FI-1771.P2"/>
      <sheetName val="FE-1771.P2"/>
      <sheetName val="FI-1771-I"/>
      <sheetName val="FE-1771-I"/>
      <sheetName val="FI-1771-II"/>
      <sheetName val="FE-1771-II"/>
      <sheetName val="FI-1771-III"/>
      <sheetName val="FE-1771-III"/>
      <sheetName val="FI-1771-IV"/>
      <sheetName val="FE-1771-IV"/>
      <sheetName val="FI-1771-V"/>
      <sheetName val="FE-1771-V"/>
      <sheetName val="FI-1771-VI"/>
      <sheetName val="FE-1771-VI"/>
      <sheetName val="SM Bgn"/>
      <sheetName val="SM Tnh"/>
      <sheetName val="List"/>
      <sheetName val="BCT"/>
      <sheetName val="Tab.Daten"/>
      <sheetName val="ENS MACHINE"/>
      <sheetName val="TBS1"/>
      <sheetName val="Ranges"/>
      <sheetName val="Family"/>
      <sheetName val="database"/>
      <sheetName val="Resume"/>
      <sheetName val="Uraian Mesin"/>
      <sheetName val="Bgn-Ingg PLANTATION"/>
      <sheetName val="may'03"/>
      <sheetName val="12"/>
      <sheetName val="All Division by SBU"/>
      <sheetName val="Kertas Kerja"/>
      <sheetName val="Informatique"/>
      <sheetName val="Rfrce"/>
      <sheetName val="F1771-IV"/>
      <sheetName val="F1771-V"/>
      <sheetName val="CL-SWITZ"/>
      <sheetName val="DRIVERS"/>
      <sheetName val="Lead"/>
      <sheetName val="JVFORM"/>
      <sheetName val="Table Array"/>
      <sheetName val="SAHAM"/>
      <sheetName val="CRITERIA1"/>
      <sheetName val="F1771-II"/>
      <sheetName val="F1771-III"/>
      <sheetName val="Scenarios&amp;Sensitivities"/>
      <sheetName val="A$"/>
      <sheetName val="Depresiasi_total"/>
      <sheetName val="Daftar_depresiasi"/>
      <sheetName val="Rekonsiliasi_aktiva_tetap"/>
      <sheetName val="FI-1771_P1"/>
      <sheetName val="FE-1771_P1"/>
      <sheetName val="FI-1771_P2"/>
      <sheetName val="FE-1771_P2"/>
      <sheetName val="ENS_MACHINE"/>
      <sheetName val="Tab_Daten"/>
      <sheetName val="SM_Bgn"/>
      <sheetName val="SM_Tnh"/>
      <sheetName val="Uraian_Mesin"/>
      <sheetName val="Bgn-Ingg_PLANTATION"/>
      <sheetName val="All_Division_by_SBU"/>
      <sheetName val="gg.1"/>
      <sheetName val="data_val"/>
      <sheetName val="TB"/>
      <sheetName val="CostRecovery - JV"/>
      <sheetName val="recl JV437"/>
      <sheetName val="FE-1771$.P1"/>
      <sheetName val="Sheet1"/>
      <sheetName val="Input Param"/>
      <sheetName val="LIST FA-1296"/>
      <sheetName val="Assump"/>
      <sheetName val="Exc. Rate"/>
      <sheetName val="Attachement"/>
      <sheetName val="load"/>
      <sheetName val="PO Database@3101"/>
      <sheetName val="PROLOSS"/>
      <sheetName val="Neraca"/>
      <sheetName val="Exch.rate"/>
      <sheetName val="FA Movement"/>
      <sheetName val="WPL"/>
      <sheetName val="PL"/>
      <sheetName val="CODE"/>
      <sheetName val="SD"/>
      <sheetName val="MRC1"/>
      <sheetName val="SetUp Data"/>
      <sheetName val="Input Areas"/>
      <sheetName val="UK GAAP Adjustments"/>
      <sheetName val="UK GAAP Purchase Price"/>
      <sheetName val="Misc Data Input File"/>
      <sheetName val="AGING"/>
      <sheetName val="PENJ.NERACA"/>
      <sheetName val="base"/>
      <sheetName val="Global Assumptions"/>
      <sheetName val="Scenarios and Sensitivities"/>
      <sheetName val="EQUALISASI"/>
      <sheetName val="Sheet2"/>
      <sheetName val="CITR98"/>
      <sheetName val="Other charges (income)"/>
      <sheetName val="Setup"/>
      <sheetName val="Classification of prov bonus"/>
      <sheetName val="View-Assumption"/>
      <sheetName val="Non-Statistical Sampling"/>
      <sheetName val="AR Drop Downs"/>
      <sheetName val="DropDown"/>
      <sheetName val="CASH FLOW"/>
      <sheetName val="gg_1"/>
      <sheetName val="gg_3"/>
      <sheetName val="DELETE"/>
      <sheetName val="MASTER"/>
      <sheetName val="AC"/>
      <sheetName val="Data"/>
      <sheetName val="LP2"/>
      <sheetName val="SPT"/>
      <sheetName val="KPKom"/>
      <sheetName val="SIK"/>
      <sheetName val="SPPP"/>
      <sheetName val="Berkas"/>
      <sheetName val="BCD"/>
      <sheetName val="AnlSPT"/>
      <sheetName val="Rasio"/>
      <sheetName val="APro"/>
      <sheetName val="DbTF"/>
      <sheetName val="DbKtr"/>
      <sheetName val="DbPem"/>
      <sheetName val="Tarif"/>
      <sheetName val="Kode"/>
      <sheetName val="DK"/>
      <sheetName val="LPIS"/>
      <sheetName val="F1771-2"/>
      <sheetName val="B25-95"/>
      <sheetName val="OFF"/>
      <sheetName val="OT August  Drmx  08"/>
      <sheetName val="CCtr"/>
      <sheetName val="MACHINE"/>
      <sheetName val="STKBB"/>
      <sheetName val="SALES(영업)"/>
      <sheetName val="E.AUDIT"/>
      <sheetName val="#Lookup"/>
      <sheetName val="1105-B&amp;I-OK"/>
      <sheetName val="1106-M&amp;E"/>
      <sheetName val="A p r"/>
      <sheetName val="M a r"/>
      <sheetName val="F e b"/>
      <sheetName val="J a n"/>
      <sheetName val="00 received in 01"/>
      <sheetName val="Ex-Rate"/>
      <sheetName val="Permanent info"/>
      <sheetName val="I.4.1 (2)"/>
      <sheetName val="KK"/>
      <sheetName val="JV-ORIG-DEPN"/>
      <sheetName val="RIG027-PURCHASE-APR 97"/>
      <sheetName val="RIG027-ADDL ASSETS"/>
      <sheetName val="RIG134-PURCHASE-APR 97"/>
      <sheetName val="RIG134-ADDL ASSETS"/>
      <sheetName val="OFFICE-NEW"/>
      <sheetName val="TD Rp."/>
      <sheetName val="AU_BS"/>
      <sheetName val="D_1"/>
      <sheetName val="Prod Schedule"/>
      <sheetName val="PB(B)"/>
      <sheetName val="Inputs - Results"/>
      <sheetName val="Trial Balance - Detail"/>
      <sheetName val="fiscal depr(E)"/>
      <sheetName val="P&amp;L98"/>
      <sheetName val="SUD"/>
      <sheetName val="Penjualan"/>
      <sheetName val="PEMAKAIAN PAKAN &amp; OBAT"/>
      <sheetName val="Basic"/>
      <sheetName val="Ex_Rate"/>
      <sheetName val="SAD"/>
      <sheetName val="FE-1771"/>
      <sheetName val="Input-Expected Case"/>
      <sheetName val="Valuation"/>
      <sheetName val="DETIL"/>
      <sheetName val="TB (4)"/>
      <sheetName val="Front sheet"/>
    </sheetNames>
    <sheetDataSet>
      <sheetData sheetId="0" refreshError="1">
        <row r="73">
          <cell r="T73" t="str">
            <v>Rupiah</v>
          </cell>
        </row>
      </sheetData>
      <sheetData sheetId="1" refreshError="1">
        <row r="136">
          <cell r="S136">
            <v>9479182750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-1770.P1"/>
      <sheetName val="FE-1770.P2"/>
      <sheetName val="FE-1770-I"/>
      <sheetName val="FE-1770-II"/>
      <sheetName val="FE-1770-III"/>
      <sheetName val="FI-177O.P1"/>
      <sheetName val="FI-1770.P2"/>
      <sheetName val="FI-1770-I"/>
      <sheetName val="FI-1770-II"/>
      <sheetName val="FI-1770-III"/>
      <sheetName val="PPh25-Installment"/>
      <sheetName val="TaxPaidAbroad"/>
      <sheetName val="Final Tax"/>
      <sheetName val="Irregular Income"/>
      <sheetName val="FE_1770_P1"/>
      <sheetName val="Interest"/>
      <sheetName val="FE-1770_P1"/>
      <sheetName val="FE-1770_P2"/>
      <sheetName val="FI-177O_P1"/>
      <sheetName val="FI-1770_P2"/>
      <sheetName val="Final_Tax"/>
      <sheetName val="Irregular_Income"/>
      <sheetName val="TB"/>
      <sheetName val="AGM"/>
      <sheetName val="GeneralInfo"/>
      <sheetName val="Rinc"/>
      <sheetName val="KEUANGAN"/>
      <sheetName val="RENCANA KERJA"/>
      <sheetName val="F1771-2"/>
      <sheetName val="CFWork"/>
      <sheetName val="VAT out"/>
      <sheetName val="Marshal"/>
      <sheetName val="BS final"/>
      <sheetName val="Scenario&amp;Sensitivity"/>
      <sheetName val="Mine Assumptions"/>
      <sheetName val="Family"/>
      <sheetName val="Data"/>
      <sheetName val="JUAL"/>
      <sheetName val="THRK"/>
      <sheetName val="Journal Template"/>
      <sheetName val="Tables"/>
      <sheetName val="PM-PL"/>
      <sheetName val="Sheet2"/>
      <sheetName val="FG-chart"/>
      <sheetName val="ACRCONT"/>
      <sheetName val="NERACA"/>
      <sheetName val="trf-d-w"/>
      <sheetName val="trf d-i"/>
      <sheetName val="Main Menu"/>
      <sheetName val="Bank Recon - IDR"/>
      <sheetName val="Inputs"/>
      <sheetName val="B.1"/>
      <sheetName val="Permanent info"/>
      <sheetName val="3. Neraca dan RL"/>
      <sheetName val="@GeneralInfo"/>
      <sheetName val="WHT_21"/>
      <sheetName val="WHT-21"/>
      <sheetName val="Rp Banten"/>
      <sheetName val="Forecase 2004"/>
      <sheetName val="A u g"/>
      <sheetName val="ged"/>
      <sheetName val="RMFE 04"/>
      <sheetName val="P&amp;L98"/>
      <sheetName val="Sheet1"/>
      <sheetName val="Insurance"/>
      <sheetName val="Table"/>
      <sheetName val="BEP"/>
      <sheetName val="Interest&amp;Other"/>
      <sheetName val="K 2.1"/>
      <sheetName val="TP"/>
      <sheetName val="Ex_Rate"/>
      <sheetName val="SFKLN"/>
      <sheetName val="intmar00"/>
      <sheetName val="12-06-ins"/>
      <sheetName val="11400&amp;11405"/>
      <sheetName val="F1771-II"/>
      <sheetName val="F1771-III"/>
      <sheetName val="Details BS YTD"/>
      <sheetName val="FF-2"/>
      <sheetName val="Detail pg2"/>
      <sheetName val="Vehicle"/>
      <sheetName val="F1771-IV"/>
      <sheetName val="F1771-V"/>
      <sheetName val="BS_Recon"/>
      <sheetName val="Lead"/>
      <sheetName val="Receivable"/>
      <sheetName val="Professionals Standard"/>
      <sheetName val="INFO"/>
      <sheetName val="ESG local"/>
      <sheetName val="TBM"/>
      <sheetName val="Internal order"/>
      <sheetName val="M-2 Adjusted"/>
      <sheetName val="move (2)"/>
      <sheetName val="SUMMARY"/>
      <sheetName val="Assumptions"/>
      <sheetName val="K.1.1.1 HGU"/>
      <sheetName val="ner"/>
      <sheetName val="Posting"/>
      <sheetName val="11b"/>
      <sheetName val="PopCache"/>
      <sheetName val="TO"/>
      <sheetName val="panther"/>
      <sheetName val="India"/>
      <sheetName val="Exch.rate"/>
      <sheetName val="FE-1770_P11"/>
      <sheetName val="FE-1770_P21"/>
      <sheetName val="FI-177O_P11"/>
      <sheetName val="FI-1770_P21"/>
      <sheetName val="Final_Tax1"/>
      <sheetName val="Irregular_Income1"/>
      <sheetName val="BS_final"/>
      <sheetName val="3__Neraca_dan_RL"/>
      <sheetName val="RENCANA_KERJA"/>
      <sheetName val="Mine_Assumptions"/>
      <sheetName val="VAT_out"/>
      <sheetName val="Journal_Template"/>
      <sheetName val="Parameters"/>
      <sheetName val="1999US$"/>
      <sheetName val="BP1_23"/>
      <sheetName val="HBS Credit_Detail"/>
      <sheetName val="LP2"/>
      <sheetName val="SPT"/>
      <sheetName val="KPKom"/>
      <sheetName val="SIK"/>
      <sheetName val="SPPP"/>
      <sheetName val="Berkas"/>
      <sheetName val="BCD"/>
      <sheetName val="AnlSPT"/>
      <sheetName val="Rasio"/>
      <sheetName val="APro"/>
      <sheetName val="DbTF"/>
      <sheetName val="DbKtr"/>
      <sheetName val="DbPem"/>
      <sheetName val="Tarif"/>
      <sheetName val="Kode"/>
      <sheetName val="DK"/>
      <sheetName val="LPIS"/>
      <sheetName val="Agustus"/>
      <sheetName val="2-asi-00"/>
      <sheetName val="For Mgmt fee"/>
      <sheetName val="For GSC charge"/>
      <sheetName val="For Training Svc fee"/>
      <sheetName val="PLLT"/>
      <sheetName val="For Mgmt fee (PasteValue)"/>
      <sheetName val="For GSC charge (PasteValue)"/>
      <sheetName val="Allocation Base (GSIN)"/>
      <sheetName val="To DCIN"/>
      <sheetName val="For Training Svc fee (PasteVal)"/>
      <sheetName val="SPT-1770-BLANK"/>
      <sheetName val="AccountChart"/>
      <sheetName val="Table Array"/>
      <sheetName val="trf_d-i"/>
      <sheetName val="B_1"/>
      <sheetName val="Permanent_info"/>
      <sheetName val="Rp_Banten"/>
      <sheetName val="Main_Menu"/>
      <sheetName val="A_u_g"/>
      <sheetName val="Forecase_2004"/>
      <sheetName val="RMFE_04"/>
      <sheetName val="K_2_1"/>
      <sheetName val="move_(2)"/>
      <sheetName val="status"/>
      <sheetName val="FE-1771-I"/>
      <sheetName val="InvoiceList"/>
      <sheetName val="Mgt_P&amp;L"/>
      <sheetName val="Macro5"/>
      <sheetName val="Scenario_Sensitivity"/>
      <sheetName val="Other Current"/>
      <sheetName val="Other YTD"/>
      <sheetName val="HPP_20_"/>
      <sheetName val="HPP_19_"/>
      <sheetName val="bs"/>
      <sheetName val="MAIN"/>
      <sheetName val="BOQ price"/>
      <sheetName val="NCR"/>
      <sheetName val="TB98,oct99&amp;sap99-WPL"/>
      <sheetName val="oblig Trad&amp;AFS"/>
      <sheetName val="FS"/>
      <sheetName val="Cost Input Sheet"/>
      <sheetName val="Income Statement"/>
      <sheetName val="Calculations"/>
      <sheetName val="HBI NCD"/>
      <sheetName val="PL98"/>
      <sheetName val="Introduction"/>
      <sheetName val="DEFECTED NOV"/>
      <sheetName val="Q120 AP Aging"/>
      <sheetName val="Links"/>
      <sheetName val="A"/>
      <sheetName val="INV0299 (2)"/>
      <sheetName val="Prof2606"/>
      <sheetName val="Assumption"/>
      <sheetName val="382046NOV99"/>
      <sheetName val="LIST"/>
      <sheetName val="ExchRates"/>
      <sheetName val="FOREX 04"/>
      <sheetName val="Ex-Rate"/>
      <sheetName val="FOREX 03"/>
      <sheetName val="FOREX 04 audited"/>
      <sheetName val="Data Input"/>
      <sheetName val="RWP 33"/>
      <sheetName val="NAMECODE"/>
      <sheetName val="rate"/>
      <sheetName val="SUMMARY "/>
      <sheetName val="Setup"/>
      <sheetName val="FE-1770_P12"/>
      <sheetName val="FE-1770_P22"/>
      <sheetName val="FI-177O_P12"/>
      <sheetName val="FI-1770_P22"/>
      <sheetName val="Final_Tax2"/>
      <sheetName val="Irregular_Income2"/>
      <sheetName val="BS_final1"/>
      <sheetName val="Mine_Assumptions1"/>
      <sheetName val="trf_d-i1"/>
      <sheetName val="Journal_Template1"/>
      <sheetName val="3__Neraca_dan_RL1"/>
      <sheetName val="RENCANA_KERJA1"/>
      <sheetName val="VAT_out1"/>
      <sheetName val="Main_Menu1"/>
      <sheetName val="Professionals_Standard"/>
      <sheetName val="ESG_local"/>
      <sheetName val="Exch_rate"/>
      <sheetName val="Details_BS_YTD"/>
      <sheetName val="Detail_pg2"/>
      <sheetName val="M-2_Adjusted"/>
      <sheetName val="Internal_order"/>
      <sheetName val="K_1_1_1_HGU"/>
      <sheetName val="HBS_Credit_Detail"/>
      <sheetName val="For_Mgmt_fee"/>
      <sheetName val="For_GSC_charge"/>
      <sheetName val="For_Training_Svc_fee"/>
      <sheetName val="For_Mgmt_fee_(PasteValue)"/>
      <sheetName val="For_GSC_charge_(PasteValue)"/>
      <sheetName val="Allocation_Base_(GSIN)"/>
      <sheetName val="To_DCIN"/>
      <sheetName val="For_Training_Svc_fee_(PasteVal)"/>
      <sheetName val="oblig_Trad&amp;AFS"/>
      <sheetName val="WP-SP-03"/>
      <sheetName val="Invoices_table"/>
      <sheetName val="Set"/>
      <sheetName val="Rekap Penj"/>
      <sheetName val="perset"/>
      <sheetName val="PO"/>
      <sheetName val="Base Data"/>
      <sheetName val="BS-PL Komersil and Fiskal"/>
      <sheetName val="Results"/>
      <sheetName val="Cover-01"/>
      <sheetName val="House"/>
      <sheetName val="Tol"/>
      <sheetName val="TRADING PROFIT"/>
      <sheetName val="Graphs"/>
      <sheetName val="Revaluation"/>
      <sheetName val="EB PDT"/>
      <sheetName val="General"/>
      <sheetName val="WP-Panu'02"/>
      <sheetName val="Front Sheet"/>
      <sheetName val="ID MENADO"/>
      <sheetName val="Indicadores"/>
      <sheetName val="IR-Weights"/>
      <sheetName val="Model"/>
      <sheetName val="F2-1"/>
      <sheetName val="HospitalInfo"/>
      <sheetName val="Name Map"/>
      <sheetName val="INSTITUTION"/>
      <sheetName val="Validation"/>
      <sheetName val="InvoEâ_x0004_ist"/>
      <sheetName val="Cover"/>
      <sheetName val="PEDESB"/>
      <sheetName val="EYAS Standar"/>
      <sheetName val="BAL SHEET(2)"/>
      <sheetName val="229 Accr Exp"/>
      <sheetName val="rab_50"/>
      <sheetName val="Input"/>
      <sheetName val="Exc. Rate"/>
      <sheetName val="K2-FA"/>
      <sheetName val="07-230420"/>
      <sheetName val="CUSTOMER LOOKUP"/>
      <sheetName val="Module2"/>
      <sheetName val="InterestCalculation"/>
      <sheetName val="Rin1"/>
      <sheetName val="Table 1"/>
      <sheetName val="0"/>
      <sheetName val="InvoEâ_x005f_x0004_ist"/>
      <sheetName val="TB IDR Only"/>
      <sheetName val="IDR"/>
      <sheetName val="Breakdown LF603.1"/>
      <sheetName val="Sheet 1 (2)"/>
      <sheetName val="COA BM"/>
      <sheetName val="Check Sheet"/>
      <sheetName val="PLHO Report"/>
      <sheetName val="PLHOENG"/>
      <sheetName val="HWL (2)"/>
      <sheetName val="B_11"/>
      <sheetName val="Permanent_info1"/>
      <sheetName val="Rp_Banten1"/>
      <sheetName val="RMFE_041"/>
      <sheetName val="A_u_g1"/>
      <sheetName val="Forecase_20041"/>
      <sheetName val="K_2_11"/>
      <sheetName val="Cost_Input_Sheet"/>
      <sheetName val="move_(2)1"/>
      <sheetName val="BOQ_price"/>
      <sheetName val="HBI_NCD"/>
      <sheetName val="Table_Array"/>
      <sheetName val="dt-2003"/>
      <sheetName val="hit-311203"/>
      <sheetName val="lampiran2"/>
      <sheetName val="rekap"/>
      <sheetName val="tarip"/>
      <sheetName val="Content 3"/>
      <sheetName val="hutang DPLK"/>
      <sheetName val="CODE,NAME"/>
      <sheetName val="Des"/>
      <sheetName val="INSTMATR"/>
      <sheetName val="NL180"/>
      <sheetName val="NL240"/>
      <sheetName val="Access Radio NL400"/>
      <sheetName val="SPARE"/>
      <sheetName val="Sheet1 (19)"/>
      <sheetName val="A2.1 CAJE"/>
      <sheetName val="details"/>
      <sheetName val="fs_lines"/>
      <sheetName val="fs_sub_classes"/>
      <sheetName val="notes_lines"/>
      <sheetName val="A2_1_CAJE"/>
      <sheetName val="FE-1770_P13"/>
      <sheetName val="FE-1770_P23"/>
      <sheetName val="FI-177O_P13"/>
      <sheetName val="FI-1770_P23"/>
      <sheetName val="Final_Tax3"/>
      <sheetName val="Irregular_Income3"/>
      <sheetName val="BS_final2"/>
      <sheetName val="RENCANA_KERJA2"/>
      <sheetName val="Mine_Assumptions2"/>
      <sheetName val="3__Neraca_dan_RL2"/>
      <sheetName val="VAT_out2"/>
      <sheetName val="Journal_Template2"/>
      <sheetName val="M-2_Adjusted1"/>
      <sheetName val="FE-1770_P14"/>
      <sheetName val="FE-1770_P24"/>
      <sheetName val="FI-177O_P14"/>
      <sheetName val="FI-1770_P24"/>
      <sheetName val="Final_Tax4"/>
      <sheetName val="Irregular_Income4"/>
      <sheetName val="Permanent_info2"/>
      <sheetName val="A_u_g2"/>
      <sheetName val="BS_final3"/>
      <sheetName val="RENCANA_KERJA3"/>
      <sheetName val="Mine_Assumptions3"/>
      <sheetName val="trf_d-i2"/>
      <sheetName val="3__Neraca_dan_RL3"/>
      <sheetName val="VAT_out3"/>
      <sheetName val="Journal_Template3"/>
      <sheetName val="B_12"/>
      <sheetName val="Forecase_20042"/>
      <sheetName val="Main_Menu2"/>
      <sheetName val="Rp_Banten2"/>
      <sheetName val="M-2_Adjusted2"/>
      <sheetName val="Professionals_Standard1"/>
      <sheetName val="ESG_local1"/>
      <sheetName val="A2_1_CAJE1"/>
      <sheetName val="For_Mgmt_fee1"/>
      <sheetName val="For_GSC_charge1"/>
      <sheetName val="For_Training_Svc_fee1"/>
      <sheetName val="For_Mgmt_fee_(PasteValue)1"/>
      <sheetName val="For_GSC_charge_(PasteValue)1"/>
      <sheetName val="Allocation_Base_(GSIN)1"/>
      <sheetName val="To_DCIN1"/>
      <sheetName val="For_Training_Svc_fee_(PasteVal1"/>
      <sheetName val="Details_BS_YTD1"/>
      <sheetName val="Detail_pg21"/>
      <sheetName val="Internal_order1"/>
      <sheetName val="BOQ_price1"/>
      <sheetName val="Q120_AP_Aging"/>
      <sheetName val="DEFECTED_NOV"/>
      <sheetName val="Other_Current"/>
      <sheetName val="Other_YTD"/>
      <sheetName val="Income_Statement"/>
      <sheetName val="INV0299_(2)"/>
      <sheetName val="FOREX_04"/>
      <sheetName val="FOREX_03"/>
      <sheetName val="FOREX_04_audited"/>
      <sheetName val="Data_Input"/>
      <sheetName val="Bank_Recon_-_IDR"/>
      <sheetName val="DataWP"/>
      <sheetName val="Income State"/>
      <sheetName val="As"/>
      <sheetName val="TRAVEL PLAN"/>
      <sheetName val="Financial Statement"/>
      <sheetName val="Attachement"/>
      <sheetName val="Investasi &amp; depresiasi"/>
      <sheetName val="Asumsi"/>
      <sheetName val="Expense"/>
      <sheetName val="Tax comp"/>
      <sheetName val="TWDV over NBV"/>
      <sheetName val="DTL"/>
      <sheetName val="GRACE"/>
      <sheetName val="Product Requirement"/>
      <sheetName val="FL &amp; IC"/>
      <sheetName val="S16-CA(2000P)"/>
      <sheetName val="Scenario"/>
      <sheetName val="TB-WP"/>
      <sheetName val="Att 1-5 yr01 (Ind)"/>
      <sheetName val="Att 1-5 yr01"/>
      <sheetName val="PPh 22 - 01"/>
      <sheetName val="PPh 22 - 01 (E)"/>
      <sheetName val="Fiskal-01"/>
      <sheetName val="F1771"/>
      <sheetName val="F1771-I"/>
      <sheetName val="Depr for add 2001"/>
      <sheetName val="Perhit disp 01 (E)"/>
      <sheetName val="Perhit disp 01"/>
      <sheetName val="Depreciation DBI 01"/>
      <sheetName val="Lamp1-2"/>
      <sheetName val="Lamp3-4"/>
      <sheetName val="Amortisation DBI "/>
      <sheetName val="Sheet1 (3)"/>
      <sheetName val="Sheet1 (2)"/>
      <sheetName val="expat exp"/>
      <sheetName val="Jamsostek"/>
      <sheetName val="Stock CIW"/>
      <sheetName val="Instructions"/>
      <sheetName val="Data Submission"/>
      <sheetName val="Lookup Tables"/>
      <sheetName val="Source"/>
      <sheetName val="Customer List"/>
      <sheetName val="Pipe"/>
      <sheetName val="Other charges (income)"/>
      <sheetName val="CRITERIA1"/>
      <sheetName val="SUD"/>
      <sheetName val="2001GeneralInfo"/>
      <sheetName val="2001Marshal"/>
      <sheetName val="Contract"/>
      <sheetName val="BP-BP1"/>
      <sheetName val="Muebles y Enseres"/>
      <sheetName val="HR"/>
      <sheetName val="99.10.12"/>
      <sheetName val="laporan"/>
      <sheetName val="InvoEâ_x005f_x005f_x005f_x0004_ist"/>
      <sheetName val="lab norge"/>
      <sheetName val="K.6DEPOSIT"/>
      <sheetName val="Petrosea"/>
      <sheetName val=" INCOME STATEMENT"/>
      <sheetName val="FE-1770_P15"/>
      <sheetName val="FE-1770_P25"/>
      <sheetName val="FI-177O_P15"/>
      <sheetName val="FI-1770_P25"/>
      <sheetName val="Final_Tax5"/>
      <sheetName val="Irregular_Income5"/>
      <sheetName val="Permanent_info3"/>
      <sheetName val="Rp_Banten3"/>
      <sheetName val="B_13"/>
      <sheetName val="BS_final4"/>
      <sheetName val="RENCANA_KERJA4"/>
      <sheetName val="VAT_out4"/>
      <sheetName val="Mine_Assumptions4"/>
      <sheetName val="Journal_Template4"/>
      <sheetName val="Forecase_20043"/>
      <sheetName val="trf_d-i3"/>
      <sheetName val="A_u_g3"/>
      <sheetName val="3__Neraca_dan_RL4"/>
      <sheetName val="Main_Menu3"/>
      <sheetName val="RMFE_042"/>
      <sheetName val="K_2_12"/>
      <sheetName val="Details_BS_YTD2"/>
      <sheetName val="Detail_pg22"/>
      <sheetName val="Professionals_Standard2"/>
      <sheetName val="ESG_local2"/>
      <sheetName val="M-2_Adjusted3"/>
      <sheetName val="Internal_order2"/>
      <sheetName val="move_(2)2"/>
      <sheetName val="Exch_rate1"/>
      <sheetName val="HBS_Credit_Detail1"/>
      <sheetName val="K_1_1_1_HGU1"/>
      <sheetName val="For_Mgmt_fee2"/>
      <sheetName val="For_GSC_charge2"/>
      <sheetName val="For_Training_Svc_fee2"/>
      <sheetName val="For_Mgmt_fee_(PasteValue)2"/>
      <sheetName val="For_GSC_charge_(PasteValue)2"/>
      <sheetName val="Allocation_Base_(GSIN)2"/>
      <sheetName val="To_DCIN2"/>
      <sheetName val="For_Training_Svc_fee_(PasteVal2"/>
      <sheetName val="Table_Array1"/>
      <sheetName val="BOQ_price2"/>
      <sheetName val="oblig_Trad&amp;AFS1"/>
      <sheetName val="Cost_Input_Sheet1"/>
      <sheetName val="Base_Data"/>
      <sheetName val="Income_Statement1"/>
      <sheetName val="DEFECTED_NOV1"/>
      <sheetName val="RWP_33"/>
      <sheetName val="Bank_Recon_-_IDR1"/>
      <sheetName val="FOREX_041"/>
      <sheetName val="FOREX_031"/>
      <sheetName val="FOREX_04_audited1"/>
      <sheetName val="Data_Input1"/>
      <sheetName val="INV0299_(2)1"/>
      <sheetName val="HBI_NCD1"/>
      <sheetName val="TRADING_PROFIT"/>
      <sheetName val="EB_PDT"/>
      <sheetName val="Other_Current1"/>
      <sheetName val="Other_YTD1"/>
      <sheetName val="Q120_AP_Aging1"/>
      <sheetName val="InvoEâist"/>
      <sheetName val="ID_MENADO"/>
      <sheetName val="SUMMARY_"/>
      <sheetName val="BS-PL_Komersil_and_Fiskal"/>
      <sheetName val="Exc__Rate"/>
      <sheetName val="TB_IDR_Only"/>
      <sheetName val="Breakdown_LF603_1"/>
      <sheetName val="Sheet_1_(2)"/>
      <sheetName val="COA_BM"/>
      <sheetName val="EYAS_Standar"/>
      <sheetName val="BAL_SHEET(2)"/>
      <sheetName val="Rekap_Penj"/>
      <sheetName val="Sheet1_(19)"/>
      <sheetName val="Check_Sheet"/>
      <sheetName val="PLHO_Report"/>
      <sheetName val="Income_State"/>
      <sheetName val="Product_Requirement"/>
      <sheetName val="Front_Sheet"/>
      <sheetName val="CUSTOMER_LOOKUP"/>
      <sheetName val="229_Accr_Exp"/>
      <sheetName val="Name_Map"/>
      <sheetName val="Table_1"/>
      <sheetName val="FL_&amp;_IC"/>
      <sheetName val="TRAVEL_PLAN"/>
      <sheetName val="Data_Submission"/>
      <sheetName val="Lookup_Tables"/>
      <sheetName val="Content_3"/>
      <sheetName val="hutang_DPLK"/>
      <sheetName val="Access_Radio_NL400"/>
      <sheetName val="Tax_comp"/>
      <sheetName val="TWDV_over_NBV"/>
      <sheetName val="A2_1_CAJE2"/>
      <sheetName val="Investasi_&amp;_depresiasi"/>
      <sheetName val="FE-1770_P16"/>
      <sheetName val="FE-1770_P26"/>
      <sheetName val="FI-177O_P16"/>
      <sheetName val="FI-1770_P26"/>
      <sheetName val="Final_Tax6"/>
      <sheetName val="Irregular_Income6"/>
      <sheetName val="Permanent_info4"/>
      <sheetName val="Rp_Banten4"/>
      <sheetName val="B_14"/>
      <sheetName val="BS_final5"/>
      <sheetName val="RENCANA_KERJA5"/>
      <sheetName val="VAT_out5"/>
      <sheetName val="Mine_Assumptions5"/>
      <sheetName val="Journal_Template5"/>
      <sheetName val="Forecase_20044"/>
      <sheetName val="trf_d-i4"/>
      <sheetName val="A_u_g4"/>
      <sheetName val="3__Neraca_dan_RL5"/>
      <sheetName val="Main_Menu4"/>
      <sheetName val="RMFE_043"/>
      <sheetName val="K_2_13"/>
      <sheetName val="Details_BS_YTD3"/>
      <sheetName val="Detail_pg23"/>
      <sheetName val="Professionals_Standard3"/>
      <sheetName val="ESG_local3"/>
      <sheetName val="M-2_Adjusted4"/>
      <sheetName val="Internal_order3"/>
      <sheetName val="move_(2)3"/>
      <sheetName val="Exch_rate2"/>
      <sheetName val="HBS_Credit_Detail2"/>
      <sheetName val="K_1_1_1_HGU2"/>
      <sheetName val="For_Mgmt_fee3"/>
      <sheetName val="For_GSC_charge3"/>
      <sheetName val="For_Training_Svc_fee3"/>
      <sheetName val="For_Mgmt_fee_(PasteValue)3"/>
      <sheetName val="For_GSC_charge_(PasteValue)3"/>
      <sheetName val="Allocation_Base_(GSIN)3"/>
      <sheetName val="To_DCIN3"/>
      <sheetName val="For_Training_Svc_fee_(PasteVal3"/>
      <sheetName val="Table_Array2"/>
      <sheetName val="BOQ_price3"/>
      <sheetName val="oblig_Trad&amp;AFS2"/>
      <sheetName val="Cost_Input_Sheet2"/>
      <sheetName val="Base_Data1"/>
      <sheetName val="Income_Statement2"/>
      <sheetName val="DEFECTED_NOV2"/>
      <sheetName val="RWP_331"/>
      <sheetName val="Bank_Recon_-_IDR2"/>
      <sheetName val="FOREX_042"/>
      <sheetName val="FOREX_032"/>
      <sheetName val="FOREX_04_audited2"/>
      <sheetName val="Data_Input2"/>
      <sheetName val="INV0299_(2)2"/>
      <sheetName val="HBI_NCD2"/>
      <sheetName val="1"/>
      <sheetName val="TRADING_PROFIT1"/>
      <sheetName val="EB_PDT1"/>
      <sheetName val="Other_Current2"/>
      <sheetName val="Other_YTD2"/>
      <sheetName val="Q120_AP_Aging2"/>
      <sheetName val="ID_MENADO1"/>
      <sheetName val="SUMMARY_1"/>
      <sheetName val="BS-PL_Komersil_and_Fiskal1"/>
      <sheetName val="Exc__Rate1"/>
      <sheetName val="TB_IDR_Only1"/>
      <sheetName val="Breakdown_LF603_11"/>
      <sheetName val="Sheet_1_(2)1"/>
      <sheetName val="COA_BM1"/>
      <sheetName val="EYAS_Standar1"/>
      <sheetName val="BAL_SHEET(2)1"/>
      <sheetName val="Rekap_Penj1"/>
      <sheetName val="Sheet1_(19)1"/>
      <sheetName val="Check_Sheet1"/>
      <sheetName val="PLHO_Report1"/>
      <sheetName val="Income_State1"/>
      <sheetName val="HWL_(2)"/>
      <sheetName val="CUSTOMER_LOOKUP1"/>
      <sheetName val="Content_31"/>
      <sheetName val="hutang_DPLK1"/>
      <sheetName val="Access_Radio_NL4001"/>
      <sheetName val="TRAVEL_PLAN1"/>
      <sheetName val="HWL_(2)1"/>
      <sheetName val="A2_1_CAJE3"/>
      <sheetName val="Front_Sheet1"/>
      <sheetName val="Product_Requirement1"/>
      <sheetName val="229_Accr_Exp1"/>
      <sheetName val="Name_Map1"/>
      <sheetName val="Table_11"/>
      <sheetName val="FL_&amp;_IC1"/>
      <sheetName val="Data_Submission1"/>
      <sheetName val="Lookup_Tables1"/>
      <sheetName val="Tax_comp1"/>
      <sheetName val="TWDV_over_NBV1"/>
      <sheetName val="Investasi_&amp;_depresiasi1"/>
      <sheetName val="FE-1770_P17"/>
      <sheetName val="FE-1770_P27"/>
      <sheetName val="FI-177O_P17"/>
      <sheetName val="FI-1770_P27"/>
      <sheetName val="Final_Tax7"/>
      <sheetName val="Irregular_Income7"/>
      <sheetName val="Permanent_info5"/>
      <sheetName val="Rp_Banten5"/>
      <sheetName val="B_15"/>
      <sheetName val="BS_final6"/>
      <sheetName val="RENCANA_KERJA6"/>
      <sheetName val="VAT_out6"/>
      <sheetName val="Mine_Assumptions6"/>
      <sheetName val="Journal_Template6"/>
      <sheetName val="Forecase_20045"/>
      <sheetName val="trf_d-i5"/>
      <sheetName val="A_u_g5"/>
      <sheetName val="3__Neraca_dan_RL6"/>
      <sheetName val="Main_Menu5"/>
      <sheetName val="RMFE_044"/>
      <sheetName val="K_2_14"/>
      <sheetName val="Details_BS_YTD4"/>
      <sheetName val="Detail_pg24"/>
      <sheetName val="Professionals_Standard4"/>
      <sheetName val="ESG_local4"/>
      <sheetName val="M-2_Adjusted5"/>
      <sheetName val="Internal_order4"/>
      <sheetName val="move_(2)4"/>
      <sheetName val="Exch_rate3"/>
      <sheetName val="HBS_Credit_Detail3"/>
      <sheetName val="K_1_1_1_HGU3"/>
      <sheetName val="For_Mgmt_fee4"/>
      <sheetName val="For_GSC_charge4"/>
      <sheetName val="For_Training_Svc_fee4"/>
      <sheetName val="For_Mgmt_fee_(PasteValue)4"/>
      <sheetName val="For_GSC_charge_(PasteValue)4"/>
      <sheetName val="Allocation_Base_(GSIN)4"/>
      <sheetName val="To_DCIN4"/>
      <sheetName val="For_Training_Svc_fee_(PasteVal4"/>
      <sheetName val="Table_Array3"/>
      <sheetName val="BOQ_price4"/>
      <sheetName val="oblig_Trad&amp;AFS3"/>
      <sheetName val="Cost_Input_Sheet3"/>
      <sheetName val="Base_Data2"/>
      <sheetName val="Income_Statement3"/>
      <sheetName val="DEFECTED_NOV3"/>
      <sheetName val="RWP_332"/>
      <sheetName val="Bank_Recon_-_IDR3"/>
      <sheetName val="FOREX_043"/>
      <sheetName val="FOREX_033"/>
      <sheetName val="FOREX_04_audited3"/>
      <sheetName val="Data_Input3"/>
      <sheetName val="INV0299_(2)3"/>
      <sheetName val="HBI_NCD3"/>
      <sheetName val="TRADING_PROFIT2"/>
      <sheetName val="EB_PDT2"/>
      <sheetName val="Other_Current3"/>
      <sheetName val="Other_YTD3"/>
      <sheetName val="Q120_AP_Aging3"/>
      <sheetName val="ID_MENADO2"/>
      <sheetName val="SUMMARY_2"/>
      <sheetName val="BS-PL_Komersil_and_Fiskal2"/>
      <sheetName val="Exc__Rate2"/>
      <sheetName val="TB_IDR_Only2"/>
      <sheetName val="Breakdown_LF603_12"/>
      <sheetName val="Sheet_1_(2)2"/>
      <sheetName val="COA_BM2"/>
      <sheetName val="EYAS_Standar2"/>
      <sheetName val="BAL_SHEET(2)2"/>
      <sheetName val="Rekap_Penj2"/>
      <sheetName val="Sheet1_(19)2"/>
      <sheetName val="Check_Sheet2"/>
      <sheetName val="PLHO_Report2"/>
      <sheetName val="Income_State2"/>
      <sheetName val="Product_Requirement2"/>
      <sheetName val="Front_Sheet2"/>
      <sheetName val="CUSTOMER_LOOKUP2"/>
      <sheetName val="229_Accr_Exp2"/>
      <sheetName val="Name_Map2"/>
      <sheetName val="Table_12"/>
      <sheetName val="FL_&amp;_IC2"/>
      <sheetName val="TRAVEL_PLAN2"/>
      <sheetName val="Data_Submission2"/>
      <sheetName val="Lookup_Tables2"/>
      <sheetName val="Content_32"/>
      <sheetName val="hutang_DPLK2"/>
      <sheetName val="Access_Radio_NL4002"/>
      <sheetName val="Tax_comp2"/>
      <sheetName val="TWDV_over_NBV2"/>
      <sheetName val="A2_1_CAJE4"/>
      <sheetName val="Investasi_&amp;_depresiasi2"/>
      <sheetName val="hitung"/>
      <sheetName val="A&amp;C"/>
      <sheetName val="dayin"/>
      <sheetName val="Sch "/>
      <sheetName val="Pro-Base"/>
      <sheetName val="Fixset"/>
      <sheetName val="SCORE_RC_Code"/>
      <sheetName val="COA"/>
      <sheetName val="JOURNAL"/>
      <sheetName val="SUPPORT"/>
      <sheetName val="JADI"/>
      <sheetName val="SAD Conclusion"/>
      <sheetName val="SAD Schedule"/>
      <sheetName val="DB"/>
      <sheetName val="TBL"/>
      <sheetName val="WPL"/>
      <sheetName val="LOC Score"/>
      <sheetName val="FKT_PJK"/>
      <sheetName val="PANDUAN"/>
      <sheetName val="GL Items MEI"/>
      <sheetName val="BWD"/>
      <sheetName val="Lookup"/>
      <sheetName val="New List"/>
      <sheetName val="Cons"/>
      <sheetName val="Lamp RPT048"/>
      <sheetName val="Lamp RPT040"/>
      <sheetName val="BB"/>
      <sheetName val="E-9.3(PBC)"/>
      <sheetName val="KU-Ajt'03"/>
      <sheetName val="KB-Ajt'03"/>
      <sheetName val="KS-Ajt'03"/>
      <sheetName val="KT-Ajt'03"/>
      <sheetName val="Mill-Ajt'03"/>
      <sheetName val="Selling_Exp"/>
      <sheetName val="prod"/>
      <sheetName val="hitung ulang JEPANG"/>
      <sheetName val="Financial_Statement"/>
      <sheetName val="Att_1-5_yr01_(Ind)"/>
      <sheetName val="Att_1-5_yr01"/>
      <sheetName val="PPh_22_-_01"/>
      <sheetName val="PPh_22_-_01_(E)"/>
      <sheetName val="Depr_for_add_2001"/>
      <sheetName val="Perhit_disp_01_(E)"/>
      <sheetName val="Perhit_disp_01"/>
      <sheetName val="Depreciation_DBI_01"/>
      <sheetName val="Amortisation_DBI_"/>
      <sheetName val="Sheet1_(3)"/>
      <sheetName val="Sheet1_(2)"/>
      <sheetName val="expat_exp"/>
      <sheetName val="Supplier_Master"/>
      <sheetName val="FE-1771$.P1"/>
      <sheetName val="HO Use"/>
      <sheetName val="FA"/>
      <sheetName val="BGT Cashflow"/>
      <sheetName val="ACT Cashflow"/>
      <sheetName val="BGT Cashflow "/>
      <sheetName val="April"/>
      <sheetName val="Stock_CIW"/>
      <sheetName val="Bgn-Ingg PLANTATION"/>
      <sheetName val="BAHAN"/>
      <sheetName val="L.BA blok"/>
      <sheetName val="00 received in 01"/>
      <sheetName val="Per GL J a n"/>
      <sheetName val="C"/>
      <sheetName val="WWb"/>
      <sheetName val="L I - ATY"/>
      <sheetName val="S e p"/>
      <sheetName val="M a r"/>
      <sheetName val="PEMBELIAN-05"/>
      <sheetName val="PEMBELIAN-11"/>
      <sheetName val="NetPar"/>
      <sheetName val="JSB"/>
      <sheetName val="KODJA"/>
      <sheetName val="nto71"/>
      <sheetName val="Cruser Sp71"/>
      <sheetName val="inventory_stock_movement"/>
      <sheetName val="mst_prod_material"/>
      <sheetName val="J.1 Deffered Landright"/>
      <sheetName val="NERACA-01"/>
      <sheetName val="LABA"/>
      <sheetName val="Kas"/>
      <sheetName val="Laba Rugi"/>
      <sheetName val="Pembelian Aktiva"/>
      <sheetName val="Penjualan&amp;Penagihan"/>
      <sheetName val="Beban Operasi"/>
      <sheetName val="Pembelian&amp;Pembayaran"/>
      <sheetName val="Gaji"/>
      <sheetName val="HPP"/>
      <sheetName val="insentif"/>
      <sheetName val="5"/>
      <sheetName val="5-1"/>
      <sheetName val="7.2"/>
      <sheetName val="ICB"/>
      <sheetName val="Reference2"/>
      <sheetName val="Indirects Actuals"/>
      <sheetName val="gg.1"/>
      <sheetName val="NEGARA"/>
      <sheetName val="COAT&amp;WRAP-QIOT-#3"/>
      <sheetName val="PNT-QUOT-#3"/>
      <sheetName val="FIN_3260_WHTByInv_Rev0310"/>
      <sheetName val="rumus"/>
      <sheetName val="laporan96"/>
      <sheetName val="ahas-ins"/>
      <sheetName val="IPO Proceed"/>
      <sheetName val="CP"/>
      <sheetName val="Cap. Structure"/>
      <sheetName val="SBAT01"/>
      <sheetName val="Tabel"/>
      <sheetName val="Farmer-Pond-Monodon"/>
      <sheetName val="N-AALI"/>
      <sheetName val="N-ASII"/>
      <sheetName val="BBCA"/>
      <sheetName val="N-BBNI"/>
      <sheetName val="N-BNII"/>
      <sheetName val="DSUC"/>
      <sheetName val="N-GGRM"/>
      <sheetName val="N-GJTL"/>
      <sheetName val="N-HMSP"/>
      <sheetName val="IDSR"/>
      <sheetName val="N-INDF"/>
      <sheetName val="N-ISAT"/>
      <sheetName val="N-JIHD"/>
      <sheetName val="KAEF"/>
      <sheetName val="PYFA"/>
      <sheetName val="N-SMGR"/>
      <sheetName val="TLKM-J"/>
      <sheetName val="N-TLKM"/>
      <sheetName val="N-UNTR"/>
      <sheetName val="Overview"/>
      <sheetName val="BS-RTI"/>
      <sheetName val="_INCOME_STATEMENT"/>
      <sheetName val="rincian DO"/>
      <sheetName val="M a y"/>
      <sheetName val="J u l"/>
      <sheetName val="A p r"/>
      <sheetName val="O c t"/>
      <sheetName val="J u n"/>
      <sheetName val="N o v"/>
      <sheetName val="F e b"/>
      <sheetName val="J a n"/>
      <sheetName val="SAA"/>
      <sheetName val="fiscal depr(E)"/>
      <sheetName val="CAPEX"/>
      <sheetName val="Cockpit"/>
      <sheetName val="Cockpit 2"/>
      <sheetName val="Cons I"/>
      <sheetName val="Cons II"/>
      <sheetName val="CONS OPAT"/>
      <sheetName val="Corporate"/>
      <sheetName val="NetIncometree"/>
      <sheetName val="RONOA tree"/>
      <sheetName val="Title"/>
      <sheetName val="Training - Action List"/>
      <sheetName val="InvoEâ_x005f_x005f_x005f_x005f_x005f_x005f_x0004"/>
      <sheetName val="FA-FPI-disposal"/>
      <sheetName val="Listes de Sélection"/>
      <sheetName val="Company Consol.(R)"/>
      <sheetName val="PIUTANG"/>
      <sheetName val="COLLATERAL CONTROL"/>
      <sheetName val="Revenue"/>
      <sheetName val="Parameter"/>
      <sheetName val="GRAND REKAP"/>
      <sheetName val="FE-1770_P18"/>
      <sheetName val="FE-1770_P28"/>
      <sheetName val="FI-177O_P18"/>
      <sheetName val="FI-1770_P28"/>
      <sheetName val="Final_Tax8"/>
      <sheetName val="Irregular_Income8"/>
      <sheetName val="RENCANA_KERJA7"/>
      <sheetName val="VAT_out7"/>
      <sheetName val="B_16"/>
      <sheetName val="Permanent_info6"/>
      <sheetName val="trf_d-i6"/>
      <sheetName val="BS_final7"/>
      <sheetName val="Mine_Assumptions7"/>
      <sheetName val="Journal_Template7"/>
      <sheetName val="Forecase_20046"/>
      <sheetName val="Main_Menu6"/>
      <sheetName val="Rp_Banten6"/>
      <sheetName val="A_u_g6"/>
      <sheetName val="3__Neraca_dan_RL7"/>
      <sheetName val="K_2_15"/>
      <sheetName val="RMFE_045"/>
      <sheetName val="Details_BS_YTD5"/>
      <sheetName val="Detail_pg25"/>
      <sheetName val="M-2_Adjusted6"/>
      <sheetName val="Internal_order5"/>
      <sheetName val="move_(2)5"/>
      <sheetName val="Professionals_Standard5"/>
      <sheetName val="ESG_local5"/>
      <sheetName val="Exch_rate4"/>
      <sheetName val="HBS_Credit_Detail4"/>
      <sheetName val="K_1_1_1_HGU4"/>
      <sheetName val="For_Mgmt_fee5"/>
      <sheetName val="For_GSC_charge5"/>
      <sheetName val="For_Training_Svc_fee5"/>
      <sheetName val="For_Mgmt_fee_(PasteValue)5"/>
      <sheetName val="For_GSC_charge_(PasteValue)5"/>
      <sheetName val="Allocation_Base_(GSIN)5"/>
      <sheetName val="To_DCIN5"/>
      <sheetName val="For_Training_Svc_fee_(PasteVal5"/>
      <sheetName val="Table_Array4"/>
      <sheetName val="Bank_Recon_-_IDR4"/>
      <sheetName val="BOQ_price5"/>
      <sheetName val="FOREX_044"/>
      <sheetName val="FOREX_034"/>
      <sheetName val="FOREX_04_audited4"/>
      <sheetName val="Data_Input4"/>
      <sheetName val="oblig_Trad&amp;AFS4"/>
      <sheetName val="Cost_Input_Sheet4"/>
      <sheetName val="INV0299_(2)4"/>
      <sheetName val="Income_Statement4"/>
      <sheetName val="HBI_NCD4"/>
      <sheetName val="TRADING_PROFIT3"/>
      <sheetName val="EB_PDT3"/>
      <sheetName val="DEFECTED_NOV4"/>
      <sheetName val="Other_Current4"/>
      <sheetName val="Other_YTD4"/>
      <sheetName val="ID_MENADO3"/>
      <sheetName val="Front_Sheet3"/>
      <sheetName val="Q120_AP_Aging4"/>
      <sheetName val="RWP_333"/>
      <sheetName val="Exc__Rate3"/>
      <sheetName val="Name_Map3"/>
      <sheetName val="EYAS_Standar3"/>
      <sheetName val="BAL_SHEET(2)3"/>
      <sheetName val="BS-PL_Komersil_and_Fiskal3"/>
      <sheetName val="SUMMARY_3"/>
      <sheetName val="Sheet1_(19)3"/>
      <sheetName val="Base_Data3"/>
      <sheetName val="TB_IDR_Only3"/>
      <sheetName val="Breakdown_LF603_13"/>
      <sheetName val="Sheet_1_(2)3"/>
      <sheetName val="COA_BM3"/>
      <sheetName val="Rekap_Penj3"/>
      <sheetName val="Table_13"/>
      <sheetName val="Tax_comp3"/>
      <sheetName val="TWDV_over_NBV3"/>
      <sheetName val="229_Accr_Exp3"/>
      <sheetName val="Check_Sheet3"/>
      <sheetName val="PLHO_Report3"/>
      <sheetName val="Content_33"/>
      <sheetName val="Income_State3"/>
      <sheetName val="A2_1_CAJE5"/>
      <sheetName val="CUSTOMER_LOOKUP3"/>
      <sheetName val="FL_&amp;_IC3"/>
      <sheetName val="TRAVEL_PLAN3"/>
      <sheetName val="Investasi_&amp;_depresiasi3"/>
      <sheetName val="hutang_DPLK3"/>
      <sheetName val="Access_Radio_NL4003"/>
      <sheetName val="Product_Requirement3"/>
      <sheetName val="lab_norge"/>
      <sheetName val="HWL_(2)2"/>
      <sheetName val="Data_Submission3"/>
      <sheetName val="Lookup_Tables3"/>
      <sheetName val="Customer_List"/>
      <sheetName val="Other_charges_(income)"/>
      <sheetName val="99_10_12"/>
      <sheetName val="Muebles_y_Enseres"/>
      <sheetName val="New_List"/>
      <sheetName val="K_6DEPOSIT"/>
      <sheetName val="LOC_Score"/>
      <sheetName val="Bgn-Ingg_PLANTATION"/>
      <sheetName val="L_BA_blok"/>
      <sheetName val="GL_Items_MEI"/>
      <sheetName val="Lamp_RPT048"/>
      <sheetName val="Lamp_RPT040"/>
      <sheetName val="Sch_"/>
      <sheetName val="00_received_in_01"/>
      <sheetName val="Per_GL_J_a_n"/>
      <sheetName val="gg_1"/>
      <sheetName val="FE-1771$_P1"/>
      <sheetName val="I-PPh"/>
      <sheetName val="I-PPh Final"/>
      <sheetName val="B7"/>
      <sheetName val="Log"/>
      <sheetName val="U4-Recruitment"/>
      <sheetName val="PIVOTABLE"/>
      <sheetName val="GL ACC"/>
      <sheetName val="NOP-RESULT"/>
      <sheetName val="KPI RDCs"/>
      <sheetName val="1.1"/>
      <sheetName val="FISIK RAB 2000"/>
      <sheetName val="ocean voyage"/>
      <sheetName val="Installment"/>
      <sheetName val="OLIE"/>
      <sheetName val="DAF-1"/>
      <sheetName val="I.7.3 ICAB (in)"/>
      <sheetName val="I.7.1 ICAC (in)"/>
      <sheetName val="I.7.2 ICAS (in)"/>
      <sheetName val="I.7.4 ICAX (in)"/>
      <sheetName val="I.7.5 ICRJ (in)"/>
      <sheetName val="Asumsi-11"/>
      <sheetName val="Input-SAP data FI"/>
      <sheetName val="Mapping SAP-&gt;sprdsht via Oracle"/>
      <sheetName val="E-9_3(PBC)"/>
      <sheetName val="hitung_ulang_JEPANG"/>
      <sheetName val="HO_Use"/>
      <sheetName val="BGT_Cashflow"/>
      <sheetName val="ACT_Cashflow"/>
      <sheetName val="BGT_Cashflow_"/>
      <sheetName val="SAD_Conclusion"/>
      <sheetName val="SAD_Schedule"/>
      <sheetName val="L_I_-_ATY"/>
      <sheetName val="S_e_p"/>
      <sheetName val="M_a_r"/>
      <sheetName val="USD1"/>
      <sheetName val="Fields"/>
      <sheetName val="InvoEâ_x005f_x005f_x0004"/>
      <sheetName val="CSUL"/>
      <sheetName val="Remain"/>
      <sheetName val="CompanyList"/>
      <sheetName val="Foundation"/>
      <sheetName val="Plbyhalf"/>
      <sheetName val="DAT FIS"/>
      <sheetName val="DAT KOM"/>
      <sheetName val="LDG"/>
      <sheetName val="Reference"/>
      <sheetName val="PENY"/>
      <sheetName val="FE-1770_P19"/>
      <sheetName val="FE-1770_P29"/>
      <sheetName val="FI-177O_P19"/>
      <sheetName val="FI-1770_P29"/>
      <sheetName val="Final_Tax9"/>
      <sheetName val="Irregular_Income9"/>
      <sheetName val="trf_d-i7"/>
      <sheetName val="BS_final8"/>
      <sheetName val="Mine_Assumptions8"/>
      <sheetName val="B_17"/>
      <sheetName val="3__Neraca_dan_RL8"/>
      <sheetName val="RENCANA_KERJA8"/>
      <sheetName val="VAT_out8"/>
      <sheetName val="Journal_Template8"/>
      <sheetName val="Permanent_info7"/>
      <sheetName val="Rp_Banten7"/>
      <sheetName val="RMFE_046"/>
      <sheetName val="K_2_16"/>
      <sheetName val="Main_Menu7"/>
      <sheetName val="Forecase_20047"/>
      <sheetName val="A_u_g7"/>
      <sheetName val="Professionals_Standard6"/>
      <sheetName val="ESG_local6"/>
      <sheetName val="Internal_order6"/>
      <sheetName val="Exch_rate5"/>
      <sheetName val="Details_BS_YTD6"/>
      <sheetName val="Detail_pg26"/>
      <sheetName val="M-2_Adjusted7"/>
      <sheetName val="move_(2)6"/>
      <sheetName val="K_1_1_1_HGU5"/>
      <sheetName val="For_Mgmt_fee6"/>
      <sheetName val="For_GSC_charge6"/>
      <sheetName val="For_Training_Svc_fee6"/>
      <sheetName val="For_Mgmt_fee_(PasteValue)6"/>
      <sheetName val="For_GSC_charge_(PasteValue)6"/>
      <sheetName val="Allocation_Base_(GSIN)6"/>
      <sheetName val="To_DCIN6"/>
      <sheetName val="For_Training_Svc_fee_(PasteVal6"/>
      <sheetName val="Table_Array5"/>
      <sheetName val="HBS_Credit_Detail5"/>
      <sheetName val="BOQ_price6"/>
      <sheetName val="DEFECTED_NOV5"/>
      <sheetName val="oblig_Trad&amp;AFS5"/>
      <sheetName val="Income_Statement5"/>
      <sheetName val="INV0299_(2)5"/>
      <sheetName val="HBI_NCD5"/>
      <sheetName val="Cost_Input_Sheet5"/>
      <sheetName val="Bank_Recon_-_IDR5"/>
      <sheetName val="RWP_334"/>
      <sheetName val="FOREX_045"/>
      <sheetName val="FOREX_035"/>
      <sheetName val="FOREX_04_audited5"/>
      <sheetName val="Data_Input5"/>
      <sheetName val="Base_Data4"/>
      <sheetName val="Check_Sheet4"/>
      <sheetName val="PLHO_Report4"/>
      <sheetName val="BS-PL_Komersil_and_Fiskal4"/>
      <sheetName val="Q120_AP_Aging5"/>
      <sheetName val="Other_Current5"/>
      <sheetName val="Other_YTD5"/>
      <sheetName val="SUMMARY_4"/>
      <sheetName val="TRADING_PROFIT4"/>
      <sheetName val="Exc__Rate4"/>
      <sheetName val="TB_IDR_Only4"/>
      <sheetName val="Breakdown_LF603_14"/>
      <sheetName val="Sheet_1_(2)4"/>
      <sheetName val="COA_BM4"/>
      <sheetName val="EB_PDT4"/>
      <sheetName val="EYAS_Standar4"/>
      <sheetName val="BAL_SHEET(2)4"/>
      <sheetName val="Front_Sheet4"/>
      <sheetName val="Rekap_Penj4"/>
      <sheetName val="ID_MENADO4"/>
      <sheetName val="Sheet1_(19)4"/>
      <sheetName val="CUSTOMER_LOOKUP4"/>
      <sheetName val="HWL_(2)3"/>
      <sheetName val="Content_34"/>
      <sheetName val="hutang_DPLK4"/>
      <sheetName val="Access_Radio_NL4004"/>
      <sheetName val="Table_14"/>
      <sheetName val="FL_&amp;_IC4"/>
      <sheetName val="Income_State4"/>
      <sheetName val="229_Accr_Exp4"/>
      <sheetName val="TRAVEL_PLAN4"/>
      <sheetName val="Att_1-5_yr01_(Ind)1"/>
      <sheetName val="Att_1-5_yr011"/>
      <sheetName val="PPh_22_-_011"/>
      <sheetName val="PPh_22_-_01_(E)1"/>
      <sheetName val="Depr_for_add_20011"/>
      <sheetName val="Perhit_disp_01_(E)1"/>
      <sheetName val="Perhit_disp_011"/>
      <sheetName val="Depreciation_DBI_011"/>
      <sheetName val="Amortisation_DBI_1"/>
      <sheetName val="Sheet1_(3)1"/>
      <sheetName val="Sheet1_(2)1"/>
      <sheetName val="expat_exp1"/>
      <sheetName val="Name_Map4"/>
      <sheetName val="A2_1_CAJE6"/>
      <sheetName val="Tax_comp4"/>
      <sheetName val="TWDV_over_NBV4"/>
      <sheetName val="Financial_Statement1"/>
      <sheetName val="Product_Requirement4"/>
      <sheetName val="Stock_CIW1"/>
      <sheetName val="Data_Submission4"/>
      <sheetName val="Lookup_Tables4"/>
      <sheetName val="Investasi_&amp;_depresiasi4"/>
      <sheetName val="Customer_List1"/>
      <sheetName val="99_10_121"/>
      <sheetName val="Muebles_y_Enseres1"/>
      <sheetName val="Other_charges_(income)1"/>
      <sheetName val="lab_norge1"/>
      <sheetName val="New_List1"/>
      <sheetName val="K_6DEPOSIT1"/>
      <sheetName val="_INCOME_STATEMENT1"/>
      <sheetName val="Bgn-Ingg_PLANTATION1"/>
      <sheetName val="L_BA_blok1"/>
      <sheetName val="LOC_Score1"/>
      <sheetName val="GL_Items_MEI1"/>
      <sheetName val="Lamp_RPT0481"/>
      <sheetName val="Lamp_RPT0401"/>
      <sheetName val="Sch_1"/>
      <sheetName val="00_received_in_011"/>
      <sheetName val="Per_GL_J_a_n1"/>
      <sheetName val="J_1_Deffered_Landright"/>
      <sheetName val="Indirects_Actuals"/>
      <sheetName val="Cruser_Sp71"/>
      <sheetName val="FE-1771$_P11"/>
      <sheetName val="7_2"/>
      <sheetName val="gg_11"/>
      <sheetName val="M_a_y"/>
      <sheetName val="J_u_l"/>
      <sheetName val="A_p_r"/>
      <sheetName val="O_c_t"/>
      <sheetName val="J_u_n"/>
      <sheetName val="N_o_v"/>
      <sheetName val="F_e_b"/>
      <sheetName val="J_a_n"/>
      <sheetName val="Laba_Rugi"/>
      <sheetName val="Pembelian_Aktiva"/>
      <sheetName val="Beban_Operasi"/>
      <sheetName val="IPO_Proceed"/>
      <sheetName val="Cap__Structure"/>
      <sheetName val="I-PPh_Final"/>
      <sheetName val="fiscal_depr(E)"/>
      <sheetName val="Cockpit_2"/>
      <sheetName val="Cons_I"/>
      <sheetName val="Cons_II"/>
      <sheetName val="CONS_OPAT"/>
      <sheetName val="RONOA_tree"/>
      <sheetName val="Training_-_Action_List"/>
      <sheetName val="Listes_de_Sélection"/>
      <sheetName val="Company_Consol_(R)"/>
      <sheetName val="COLLATERAL_CONTROL"/>
      <sheetName val="GRAND_REKAP"/>
      <sheetName val="rincian_DO"/>
      <sheetName val="FE-1770_P110"/>
      <sheetName val="FE-1770_P210"/>
      <sheetName val="FI-177O_P110"/>
      <sheetName val="FI-1770_P210"/>
      <sheetName val="Final_Tax10"/>
      <sheetName val="Irregular_Income10"/>
      <sheetName val="trf_d-i8"/>
      <sheetName val="BS_final9"/>
      <sheetName val="Mine_Assumptions9"/>
      <sheetName val="B_18"/>
      <sheetName val="3__Neraca_dan_RL9"/>
      <sheetName val="RENCANA_KERJA9"/>
      <sheetName val="VAT_out9"/>
      <sheetName val="Journal_Template9"/>
      <sheetName val="Permanent_info8"/>
      <sheetName val="Rp_Banten8"/>
      <sheetName val="RMFE_047"/>
      <sheetName val="K_2_17"/>
      <sheetName val="Main_Menu8"/>
      <sheetName val="Forecase_20048"/>
      <sheetName val="A_u_g8"/>
      <sheetName val="Professionals_Standard7"/>
      <sheetName val="ESG_local7"/>
      <sheetName val="Internal_order7"/>
      <sheetName val="Exch_rate6"/>
      <sheetName val="Details_BS_YTD7"/>
      <sheetName val="Detail_pg27"/>
      <sheetName val="M-2_Adjusted8"/>
      <sheetName val="move_(2)7"/>
      <sheetName val="K_1_1_1_HGU6"/>
      <sheetName val="For_Mgmt_fee7"/>
      <sheetName val="For_GSC_charge7"/>
      <sheetName val="For_Training_Svc_fee7"/>
      <sheetName val="For_Mgmt_fee_(PasteValue)7"/>
      <sheetName val="For_GSC_charge_(PasteValue)7"/>
      <sheetName val="Allocation_Base_(GSIN)7"/>
      <sheetName val="To_DCIN7"/>
      <sheetName val="For_Training_Svc_fee_(PasteVal7"/>
      <sheetName val="Table_Array6"/>
      <sheetName val="HBS_Credit_Detail6"/>
      <sheetName val="BOQ_price7"/>
      <sheetName val="DEFECTED_NOV6"/>
      <sheetName val="oblig_Trad&amp;AFS6"/>
      <sheetName val="Income_Statement6"/>
      <sheetName val="INV0299_(2)6"/>
      <sheetName val="HBI_NCD6"/>
      <sheetName val="Cost_Input_Sheet6"/>
      <sheetName val="Bank_Recon_-_IDR6"/>
      <sheetName val="RWP_335"/>
      <sheetName val="FOREX_046"/>
      <sheetName val="FOREX_036"/>
      <sheetName val="FOREX_04_audited6"/>
      <sheetName val="Data_Input6"/>
      <sheetName val="Base_Data5"/>
      <sheetName val="Check_Sheet5"/>
      <sheetName val="PLHO_Report5"/>
      <sheetName val="BS-PL_Komersil_and_Fiskal5"/>
      <sheetName val="Q120_AP_Aging6"/>
      <sheetName val="Other_Current6"/>
      <sheetName val="Other_YTD6"/>
      <sheetName val="SUMMARY_5"/>
      <sheetName val="TRADING_PROFIT5"/>
      <sheetName val="Exc__Rate5"/>
      <sheetName val="TB_IDR_Only5"/>
      <sheetName val="Breakdown_LF603_15"/>
      <sheetName val="Sheet_1_(2)5"/>
      <sheetName val="COA_BM5"/>
      <sheetName val="EB_PDT5"/>
      <sheetName val="EYAS_Standar5"/>
      <sheetName val="BAL_SHEET(2)5"/>
      <sheetName val="Front_Sheet5"/>
      <sheetName val="Rekap_Penj5"/>
      <sheetName val="ID_MENADO5"/>
      <sheetName val="Sheet1_(19)5"/>
      <sheetName val="CUSTOMER_LOOKUP5"/>
      <sheetName val="HWL_(2)4"/>
      <sheetName val="Content_35"/>
      <sheetName val="hutang_DPLK5"/>
      <sheetName val="Access_Radio_NL4005"/>
      <sheetName val="Table_15"/>
      <sheetName val="FL_&amp;_IC5"/>
      <sheetName val="Income_State5"/>
      <sheetName val="229_Accr_Exp5"/>
      <sheetName val="TRAVEL_PLAN5"/>
      <sheetName val="Att_1-5_yr01_(Ind)2"/>
      <sheetName val="Att_1-5_yr012"/>
      <sheetName val="PPh_22_-_012"/>
      <sheetName val="PPh_22_-_01_(E)2"/>
      <sheetName val="Depr_for_add_20012"/>
      <sheetName val="Perhit_disp_01_(E)2"/>
      <sheetName val="Perhit_disp_012"/>
      <sheetName val="Depreciation_DBI_012"/>
      <sheetName val="Amortisation_DBI_2"/>
      <sheetName val="Sheet1_(3)2"/>
      <sheetName val="Sheet1_(2)2"/>
      <sheetName val="expat_exp2"/>
      <sheetName val="Name_Map5"/>
      <sheetName val="A2_1_CAJE7"/>
      <sheetName val="Tax_comp5"/>
      <sheetName val="TWDV_over_NBV5"/>
      <sheetName val="Financial_Statement2"/>
      <sheetName val="Product_Requirement5"/>
      <sheetName val="Stock_CIW2"/>
      <sheetName val="Data_Submission5"/>
      <sheetName val="Lookup_Tables5"/>
      <sheetName val="Investasi_&amp;_depresiasi5"/>
      <sheetName val="Customer_List2"/>
      <sheetName val="99_10_122"/>
      <sheetName val="Muebles_y_Enseres2"/>
      <sheetName val="Other_charges_(income)2"/>
      <sheetName val="lab_norge2"/>
      <sheetName val="New_List2"/>
      <sheetName val="K_6DEPOSIT2"/>
      <sheetName val="_INCOME_STATEMENT2"/>
      <sheetName val="Bgn-Ingg_PLANTATION2"/>
      <sheetName val="L_BA_blok2"/>
      <sheetName val="LOC_Score2"/>
      <sheetName val="GL_Items_MEI2"/>
      <sheetName val="Lamp_RPT0482"/>
      <sheetName val="Lamp_RPT0402"/>
      <sheetName val="Sch_2"/>
      <sheetName val="00_received_in_012"/>
      <sheetName val="Per_GL_J_a_n2"/>
      <sheetName val="E-9_3(PBC)1"/>
      <sheetName val="hitung_ulang_JEPANG1"/>
      <sheetName val="SAD_Conclusion1"/>
      <sheetName val="SAD_Schedule1"/>
      <sheetName val="L_I_-_ATY1"/>
      <sheetName val="S_e_p1"/>
      <sheetName val="M_a_r1"/>
      <sheetName val="HO_Use1"/>
      <sheetName val="BGT_Cashflow1"/>
      <sheetName val="ACT_Cashflow1"/>
      <sheetName val="BGT_Cashflow_1"/>
      <sheetName val="J_1_Deffered_Landright1"/>
      <sheetName val="Indirects_Actuals1"/>
      <sheetName val="Cruser_Sp711"/>
      <sheetName val="FE-1771$_P12"/>
      <sheetName val="7_21"/>
      <sheetName val="gg_12"/>
      <sheetName val="M_a_y1"/>
      <sheetName val="J_u_l1"/>
      <sheetName val="A_p_r1"/>
      <sheetName val="O_c_t1"/>
      <sheetName val="J_u_n1"/>
      <sheetName val="N_o_v1"/>
      <sheetName val="F_e_b1"/>
      <sheetName val="J_a_n1"/>
      <sheetName val="Laba_Rugi1"/>
      <sheetName val="Pembelian_Aktiva1"/>
      <sheetName val="Beban_Operasi1"/>
      <sheetName val="IPO_Proceed1"/>
      <sheetName val="Cap__Structure1"/>
      <sheetName val="I-PPh_Final1"/>
      <sheetName val="fiscal_depr(E)1"/>
      <sheetName val="Cockpit_21"/>
      <sheetName val="Cons_I1"/>
      <sheetName val="Cons_II1"/>
      <sheetName val="CONS_OPAT1"/>
      <sheetName val="RONOA_tree1"/>
      <sheetName val="Training_-_Action_List1"/>
      <sheetName val="Listes_de_Sélection1"/>
      <sheetName val="Company_Consol_(R)1"/>
      <sheetName val="COLLATERAL_CONTROL1"/>
      <sheetName val="GRAND_REKAP1"/>
      <sheetName val="rincian_DO1"/>
      <sheetName val="Inventory_Worksheet_Headers"/>
      <sheetName val="General Info"/>
      <sheetName val="ENT98"/>
      <sheetName val="SumFY99"/>
      <sheetName val="KAS $"/>
      <sheetName val="PORTO"/>
      <sheetName val="HP 18 th"/>
      <sheetName val="NRC_2"/>
      <sheetName val="Spares Data"/>
      <sheetName val="PKP"/>
      <sheetName val="Lister"/>
      <sheetName val="OPNAME SALES"/>
      <sheetName val="CA"/>
      <sheetName val="AUTO"/>
      <sheetName val="BHIT"/>
      <sheetName val="HERO"/>
      <sheetName val="HERO-N"/>
      <sheetName val="cons workpapers"/>
      <sheetName val="INV"/>
      <sheetName val="RESIDU-3"/>
      <sheetName val="September"/>
      <sheetName val="CIP_USD"/>
      <sheetName val="TRBP"/>
      <sheetName val="Tariptunda"/>
      <sheetName val="Sandi laba rugi"/>
      <sheetName val="Rekg.9"/>
      <sheetName val="EK"/>
      <sheetName val="D5-P&amp;L"/>
      <sheetName val="GB1 PPE Lead"/>
      <sheetName val="bal"/>
      <sheetName val="Notes to Accounts"/>
      <sheetName val="FF402-WIP movement"/>
      <sheetName val="FF403-WIP movement"/>
      <sheetName val="Legend"/>
      <sheetName val="SINGPOST"/>
      <sheetName val="RJEs"/>
      <sheetName val="L2"/>
      <sheetName val="TAX COM MAL'SIA"/>
      <sheetName val="addl cost"/>
      <sheetName val="accumdeprn"/>
      <sheetName val="BPR"/>
      <sheetName val="INDEX"/>
      <sheetName val="T-M"/>
      <sheetName val="Bar SUPP"/>
      <sheetName val="Menu"/>
      <sheetName val="Comp equip"/>
      <sheetName val="MV"/>
      <sheetName val="CA Sheet"/>
      <sheetName val="Exp"/>
      <sheetName val="#REF"/>
      <sheetName val="Input Areas"/>
      <sheetName val="UK GAAP Adjustments"/>
      <sheetName val="UK GAAP Purchase Price"/>
      <sheetName val="List Price _Implementation_"/>
      <sheetName val="SPT-1770-BLANK.xls"/>
      <sheetName val="MN1"/>
      <sheetName val="biaya"/>
      <sheetName val="Name List"/>
      <sheetName val="Sumber"/>
      <sheetName val="BPNPG20042005"/>
      <sheetName val="BF0996"/>
      <sheetName val="A-11 Steel Str (2)"/>
      <sheetName val="EmpData"/>
      <sheetName val="14. Risk &amp; Reserve"/>
      <sheetName val="Lists"/>
      <sheetName val="ProductionQty"/>
      <sheetName val="Inflation"/>
      <sheetName val="Properties"/>
      <sheetName val="NETDEBT"/>
      <sheetName val="ROCE95"/>
      <sheetName val="PLBR1295"/>
      <sheetName val="ASSETS"/>
      <sheetName val="TblGorups"/>
      <sheetName val="SAD_Conclusion2"/>
      <sheetName val="SAD_Schedule2"/>
      <sheetName val="_INCOME_STATEMENT3"/>
      <sheetName val="E-9_3(PBC)2"/>
      <sheetName val="hitung_ulang_JEPANG2"/>
      <sheetName val="HO_Use2"/>
      <sheetName val="BGT_Cashflow2"/>
      <sheetName val="ACT_Cashflow2"/>
      <sheetName val="BGT_Cashflow_2"/>
      <sheetName val="Laba_Rugi2"/>
      <sheetName val="Pembelian_Aktiva2"/>
      <sheetName val="Beban_Operasi2"/>
      <sheetName val="Cruser_Sp712"/>
      <sheetName val="Intranet"/>
      <sheetName val="Juli"/>
      <sheetName val="DATA1"/>
      <sheetName val="Sale-Leaseback (2)"/>
      <sheetName val="UnitDP"/>
      <sheetName val="P&amp;L"/>
      <sheetName val="Alamat"/>
      <sheetName val="Trf"/>
      <sheetName val="Salary"/>
      <sheetName val="harga"/>
      <sheetName val="7_22"/>
      <sheetName val="FE-1770_P111"/>
      <sheetName val="FE-1770_P211"/>
      <sheetName val="FI-177O_P111"/>
      <sheetName val="FI-1770_P211"/>
      <sheetName val="Final_Tax11"/>
      <sheetName val="Irregular_Income11"/>
      <sheetName val="Rp_Banten9"/>
      <sheetName val="Permanent_info9"/>
      <sheetName val="RMFE_048"/>
      <sheetName val="BS_final10"/>
      <sheetName val="B_19"/>
      <sheetName val="3__Neraca_dan_RL10"/>
      <sheetName val="Mine_Assumptions10"/>
      <sheetName val="RENCANA_KERJA10"/>
      <sheetName val="VAT_out10"/>
      <sheetName val="Journal_Template10"/>
      <sheetName val="trf_d-i9"/>
      <sheetName val="K_2_18"/>
      <sheetName val="Forecase_20049"/>
      <sheetName val="Main_Menu9"/>
      <sheetName val="A_u_g9"/>
      <sheetName val="M-2_Adjusted9"/>
      <sheetName val="BOQ_price8"/>
      <sheetName val="Professionals_Standard8"/>
      <sheetName val="ESG_local8"/>
      <sheetName val="Details_BS_YTD8"/>
      <sheetName val="K_1_1_1_HGU7"/>
      <sheetName val="DEFECTED_NOV7"/>
      <sheetName val="Exch_rate7"/>
      <sheetName val="Internal_order8"/>
      <sheetName val="Other_Current7"/>
      <sheetName val="Other_YTD7"/>
      <sheetName val="HBI_NCD7"/>
      <sheetName val="Table_Array7"/>
      <sheetName val="HBS_Credit_Detail7"/>
      <sheetName val="ID_MENADO6"/>
      <sheetName val="Bank_Recon_-_IDR7"/>
      <sheetName val="Detail_pg28"/>
      <sheetName val="move_(2)8"/>
      <sheetName val="oblig_Trad&amp;AFS7"/>
      <sheetName val="For_Mgmt_fee8"/>
      <sheetName val="For_GSC_charge8"/>
      <sheetName val="For_Training_Svc_fee8"/>
      <sheetName val="For_Mgmt_fee_(PasteValue)8"/>
      <sheetName val="For_GSC_charge_(PasteValue)8"/>
      <sheetName val="Allocation_Base_(GSIN)8"/>
      <sheetName val="To_DCIN8"/>
      <sheetName val="For_Training_Svc_fee_(PasteVal8"/>
      <sheetName val="Income_Statement7"/>
      <sheetName val="INV0299_(2)7"/>
      <sheetName val="FOREX_047"/>
      <sheetName val="FOREX_037"/>
      <sheetName val="FOREX_04_audited7"/>
      <sheetName val="Data_Input7"/>
      <sheetName val="Cost_Input_Sheet7"/>
      <sheetName val="Q120_AP_Aging7"/>
      <sheetName val="Base_Data6"/>
      <sheetName val="RWP_336"/>
      <sheetName val="TRADING_PROFIT6"/>
      <sheetName val="EB_PDT6"/>
      <sheetName val="Exc__Rate6"/>
      <sheetName val="EYAS_Standar6"/>
      <sheetName val="BAL_SHEET(2)6"/>
      <sheetName val="CUSTOMER_LOOKUP6"/>
      <sheetName val="SUMMARY_6"/>
      <sheetName val="Sheet1_(19)6"/>
      <sheetName val="Rekap_Penj6"/>
      <sheetName val="BS-PL_Komersil_and_Fiskal6"/>
      <sheetName val="Front_Sheet6"/>
      <sheetName val="Name_Map6"/>
      <sheetName val="TB_IDR_Only6"/>
      <sheetName val="Breakdown_LF603_16"/>
      <sheetName val="Sheet_1_(2)6"/>
      <sheetName val="COA_BM6"/>
      <sheetName val="Check_Sheet6"/>
      <sheetName val="PLHO_Report6"/>
      <sheetName val="FL_&amp;_IC6"/>
      <sheetName val="Table_16"/>
      <sheetName val="229_Accr_Exp6"/>
      <sheetName val="Income_State6"/>
      <sheetName val="Content_36"/>
      <sheetName val="hutang_DPLK6"/>
      <sheetName val="Access_Radio_NL4006"/>
      <sheetName val="HWL_(2)5"/>
      <sheetName val="A2_1_CAJE8"/>
      <sheetName val="TRAVEL_PLAN6"/>
      <sheetName val="Financial_Statement3"/>
      <sheetName val="Tax_comp6"/>
      <sheetName val="TWDV_over_NBV6"/>
      <sheetName val="Product_Requirement6"/>
      <sheetName val="Investasi_&amp;_depresiasi6"/>
      <sheetName val="Att_1-5_yr01_(Ind)3"/>
      <sheetName val="Att_1-5_yr013"/>
      <sheetName val="PPh_22_-_013"/>
      <sheetName val="PPh_22_-_01_(E)3"/>
      <sheetName val="Depr_for_add_20013"/>
      <sheetName val="Perhit_disp_01_(E)3"/>
      <sheetName val="Perhit_disp_013"/>
      <sheetName val="Depreciation_DBI_013"/>
      <sheetName val="Amortisation_DBI_3"/>
      <sheetName val="Sheet1_(3)3"/>
      <sheetName val="Sheet1_(2)3"/>
      <sheetName val="expat_exp3"/>
      <sheetName val="Customer_List3"/>
      <sheetName val="Stock_CIW3"/>
      <sheetName val="_INCOME_STATEMENT4"/>
      <sheetName val="Data_Submission6"/>
      <sheetName val="Lookup_Tables6"/>
      <sheetName val="K_6DEPOSIT3"/>
      <sheetName val="99_10_123"/>
      <sheetName val="Other_charges_(income)3"/>
      <sheetName val="lab_norge3"/>
      <sheetName val="SAD_Conclusion3"/>
      <sheetName val="SAD_Schedule3"/>
      <sheetName val="Cruser_Sp713"/>
      <sheetName val="Sch_3"/>
      <sheetName val="E-9_3(PBC)3"/>
      <sheetName val="hitung_ulang_JEPANG3"/>
      <sheetName val="HO_Use3"/>
      <sheetName val="BGT_Cashflow3"/>
      <sheetName val="ACT_Cashflow3"/>
      <sheetName val="BGT_Cashflow_3"/>
      <sheetName val="Muebles_y_Enseres3"/>
      <sheetName val="New_List3"/>
      <sheetName val="LOC_Score3"/>
      <sheetName val="Laba_Rugi3"/>
      <sheetName val="Pembelian_Aktiva3"/>
      <sheetName val="Beban_Operasi3"/>
      <sheetName val="GL_Items_MEI3"/>
      <sheetName val="7_23"/>
      <sheetName val="00_received_in_013"/>
      <sheetName val="Per_GL_J_a_n3"/>
      <sheetName val="FE-1770_P114"/>
      <sheetName val="FE-1770_P214"/>
      <sheetName val="FI-177O_P114"/>
      <sheetName val="FI-1770_P214"/>
      <sheetName val="Final_Tax14"/>
      <sheetName val="Irregular_Income14"/>
      <sheetName val="Rp_Banten12"/>
      <sheetName val="Permanent_info12"/>
      <sheetName val="RMFE_0411"/>
      <sheetName val="BS_final13"/>
      <sheetName val="B_112"/>
      <sheetName val="3__Neraca_dan_RL13"/>
      <sheetName val="Mine_Assumptions13"/>
      <sheetName val="RENCANA_KERJA13"/>
      <sheetName val="VAT_out13"/>
      <sheetName val="Journal_Template13"/>
      <sheetName val="trf_d-i12"/>
      <sheetName val="K_2_111"/>
      <sheetName val="Forecase_200412"/>
      <sheetName val="Main_Menu12"/>
      <sheetName val="A_u_g12"/>
      <sheetName val="M-2_Adjusted12"/>
      <sheetName val="BOQ_price11"/>
      <sheetName val="Professionals_Standard11"/>
      <sheetName val="ESG_local11"/>
      <sheetName val="Details_BS_YTD11"/>
      <sheetName val="K_1_1_1_HGU10"/>
      <sheetName val="DEFECTED_NOV10"/>
      <sheetName val="Exch_rate10"/>
      <sheetName val="Internal_order11"/>
      <sheetName val="Other_Current10"/>
      <sheetName val="Other_YTD10"/>
      <sheetName val="HBI_NCD10"/>
      <sheetName val="Table_Array10"/>
      <sheetName val="HBS_Credit_Detail10"/>
      <sheetName val="ID_MENADO9"/>
      <sheetName val="Bank_Recon_-_IDR10"/>
      <sheetName val="Detail_pg211"/>
      <sheetName val="move_(2)11"/>
      <sheetName val="oblig_Trad&amp;AFS10"/>
      <sheetName val="For_Mgmt_fee11"/>
      <sheetName val="For_GSC_charge11"/>
      <sheetName val="For_Training_Svc_fee11"/>
      <sheetName val="For_Mgmt_fee_(PasteValue)11"/>
      <sheetName val="For_GSC_charge_(PasteValue)11"/>
      <sheetName val="Allocation_Base_(GSIN)11"/>
      <sheetName val="To_DCIN11"/>
      <sheetName val="For_Training_Svc_fee_(PasteVa11"/>
      <sheetName val="Income_Statement10"/>
      <sheetName val="INV0299_(2)10"/>
      <sheetName val="FOREX_0410"/>
      <sheetName val="FOREX_0310"/>
      <sheetName val="FOREX_04_audited10"/>
      <sheetName val="Data_Input10"/>
      <sheetName val="Cost_Input_Sheet10"/>
      <sheetName val="Q120_AP_Aging10"/>
      <sheetName val="Base_Data9"/>
      <sheetName val="RWP_339"/>
      <sheetName val="TRADING_PROFIT9"/>
      <sheetName val="EB_PDT9"/>
      <sheetName val="Exc__Rate9"/>
      <sheetName val="EYAS_Standar9"/>
      <sheetName val="BAL_SHEET(2)9"/>
      <sheetName val="CUSTOMER_LOOKUP9"/>
      <sheetName val="SUMMARY_9"/>
      <sheetName val="Sheet1_(19)9"/>
      <sheetName val="Rekap_Penj9"/>
      <sheetName val="BS-PL_Komersil_and_Fiskal9"/>
      <sheetName val="Front_Sheet9"/>
      <sheetName val="Name_Map9"/>
      <sheetName val="TB_IDR_Only9"/>
      <sheetName val="Breakdown_LF603_19"/>
      <sheetName val="Sheet_1_(2)9"/>
      <sheetName val="COA_BM9"/>
      <sheetName val="Check_Sheet9"/>
      <sheetName val="PLHO_Report9"/>
      <sheetName val="FL_&amp;_IC9"/>
      <sheetName val="Table_19"/>
      <sheetName val="229_Accr_Exp9"/>
      <sheetName val="Income_State9"/>
      <sheetName val="Content_39"/>
      <sheetName val="hutang_DPLK9"/>
      <sheetName val="Access_Radio_NL4009"/>
      <sheetName val="HWL_(2)8"/>
      <sheetName val="A2_1_CAJE11"/>
      <sheetName val="TRAVEL_PLAN9"/>
      <sheetName val="Financial_Statement6"/>
      <sheetName val="Tax_comp9"/>
      <sheetName val="TWDV_over_NBV9"/>
      <sheetName val="Product_Requirement9"/>
      <sheetName val="Investasi_&amp;_depresiasi9"/>
      <sheetName val="Att_1-5_yr01_(Ind)6"/>
      <sheetName val="Att_1-5_yr016"/>
      <sheetName val="PPh_22_-_016"/>
      <sheetName val="PPh_22_-_01_(E)6"/>
      <sheetName val="Depr_for_add_20016"/>
      <sheetName val="Perhit_disp_01_(E)6"/>
      <sheetName val="Perhit_disp_016"/>
      <sheetName val="Depreciation_DBI_016"/>
      <sheetName val="Amortisation_DBI_6"/>
      <sheetName val="Sheet1_(3)6"/>
      <sheetName val="Sheet1_(2)6"/>
      <sheetName val="expat_exp6"/>
      <sheetName val="Customer_List6"/>
      <sheetName val="Stock_CIW6"/>
      <sheetName val="_INCOME_STATEMENT7"/>
      <sheetName val="Data_Submission9"/>
      <sheetName val="Lookup_Tables9"/>
      <sheetName val="K_6DEPOSIT6"/>
      <sheetName val="99_10_126"/>
      <sheetName val="Other_charges_(income)6"/>
      <sheetName val="lab_norge6"/>
      <sheetName val="SAD_Conclusion6"/>
      <sheetName val="SAD_Schedule6"/>
      <sheetName val="Cruser_Sp716"/>
      <sheetName val="Sch_6"/>
      <sheetName val="E-9_3(PBC)6"/>
      <sheetName val="hitung_ulang_JEPANG6"/>
      <sheetName val="HO_Use6"/>
      <sheetName val="BGT_Cashflow6"/>
      <sheetName val="ACT_Cashflow6"/>
      <sheetName val="BGT_Cashflow_6"/>
      <sheetName val="Muebles_y_Enseres6"/>
      <sheetName val="New_List6"/>
      <sheetName val="LOC_Score6"/>
      <sheetName val="Laba_Rugi6"/>
      <sheetName val="Pembelian_Aktiva6"/>
      <sheetName val="Beban_Operasi6"/>
      <sheetName val="GL_Items_MEI6"/>
      <sheetName val="7_26"/>
      <sheetName val="00_received_in_016"/>
      <sheetName val="Per_GL_J_a_n6"/>
      <sheetName val="FE-1770_P112"/>
      <sheetName val="FE-1770_P212"/>
      <sheetName val="FI-177O_P112"/>
      <sheetName val="FI-1770_P212"/>
      <sheetName val="Final_Tax12"/>
      <sheetName val="Irregular_Income12"/>
      <sheetName val="Rp_Banten10"/>
      <sheetName val="Permanent_info10"/>
      <sheetName val="RMFE_049"/>
      <sheetName val="BS_final11"/>
      <sheetName val="B_110"/>
      <sheetName val="3__Neraca_dan_RL11"/>
      <sheetName val="Mine_Assumptions11"/>
      <sheetName val="RENCANA_KERJA11"/>
      <sheetName val="VAT_out11"/>
      <sheetName val="Journal_Template11"/>
      <sheetName val="trf_d-i10"/>
      <sheetName val="K_2_19"/>
      <sheetName val="Forecase_200410"/>
      <sheetName val="Main_Menu10"/>
      <sheetName val="A_u_g10"/>
      <sheetName val="M-2_Adjusted10"/>
      <sheetName val="BOQ_price9"/>
      <sheetName val="Professionals_Standard9"/>
      <sheetName val="ESG_local9"/>
      <sheetName val="Details_BS_YTD9"/>
      <sheetName val="K_1_1_1_HGU8"/>
      <sheetName val="DEFECTED_NOV8"/>
      <sheetName val="Exch_rate8"/>
      <sheetName val="Internal_order9"/>
      <sheetName val="Other_Current8"/>
      <sheetName val="Other_YTD8"/>
      <sheetName val="HBI_NCD8"/>
      <sheetName val="Table_Array8"/>
      <sheetName val="HBS_Credit_Detail8"/>
      <sheetName val="ID_MENADO7"/>
      <sheetName val="Bank_Recon_-_IDR8"/>
      <sheetName val="Detail_pg29"/>
      <sheetName val="move_(2)9"/>
      <sheetName val="oblig_Trad&amp;AFS8"/>
      <sheetName val="For_Mgmt_fee9"/>
      <sheetName val="For_GSC_charge9"/>
      <sheetName val="For_Training_Svc_fee9"/>
      <sheetName val="For_Mgmt_fee_(PasteValue)9"/>
      <sheetName val="For_GSC_charge_(PasteValue)9"/>
      <sheetName val="Allocation_Base_(GSIN)9"/>
      <sheetName val="To_DCIN9"/>
      <sheetName val="For_Training_Svc_fee_(PasteVal9"/>
      <sheetName val="Income_Statement8"/>
      <sheetName val="INV0299_(2)8"/>
      <sheetName val="FOREX_048"/>
      <sheetName val="FOREX_038"/>
      <sheetName val="FOREX_04_audited8"/>
      <sheetName val="Data_Input8"/>
      <sheetName val="Cost_Input_Sheet8"/>
      <sheetName val="Q120_AP_Aging8"/>
      <sheetName val="Base_Data7"/>
      <sheetName val="RWP_337"/>
      <sheetName val="TRADING_PROFIT7"/>
      <sheetName val="EB_PDT7"/>
      <sheetName val="Exc__Rate7"/>
      <sheetName val="EYAS_Standar7"/>
      <sheetName val="BAL_SHEET(2)7"/>
      <sheetName val="CUSTOMER_LOOKUP7"/>
      <sheetName val="SUMMARY_7"/>
      <sheetName val="Sheet1_(19)7"/>
      <sheetName val="Rekap_Penj7"/>
      <sheetName val="BS-PL_Komersil_and_Fiskal7"/>
      <sheetName val="Front_Sheet7"/>
      <sheetName val="Name_Map7"/>
      <sheetName val="TB_IDR_Only7"/>
      <sheetName val="Breakdown_LF603_17"/>
      <sheetName val="Sheet_1_(2)7"/>
      <sheetName val="COA_BM7"/>
      <sheetName val="Check_Sheet7"/>
      <sheetName val="PLHO_Report7"/>
      <sheetName val="FL_&amp;_IC7"/>
      <sheetName val="Table_17"/>
      <sheetName val="229_Accr_Exp7"/>
      <sheetName val="Income_State7"/>
      <sheetName val="Content_37"/>
      <sheetName val="hutang_DPLK7"/>
      <sheetName val="Access_Radio_NL4007"/>
      <sheetName val="HWL_(2)6"/>
      <sheetName val="A2_1_CAJE9"/>
      <sheetName val="TRAVEL_PLAN7"/>
      <sheetName val="Financial_Statement4"/>
      <sheetName val="Tax_comp7"/>
      <sheetName val="TWDV_over_NBV7"/>
      <sheetName val="Product_Requirement7"/>
      <sheetName val="Investasi_&amp;_depresiasi7"/>
      <sheetName val="Att_1-5_yr01_(Ind)4"/>
      <sheetName val="Att_1-5_yr014"/>
      <sheetName val="PPh_22_-_014"/>
      <sheetName val="PPh_22_-_01_(E)4"/>
      <sheetName val="Depr_for_add_20014"/>
      <sheetName val="Perhit_disp_01_(E)4"/>
      <sheetName val="Perhit_disp_014"/>
      <sheetName val="Depreciation_DBI_014"/>
      <sheetName val="Amortisation_DBI_4"/>
      <sheetName val="Sheet1_(3)4"/>
      <sheetName val="Sheet1_(2)4"/>
      <sheetName val="expat_exp4"/>
      <sheetName val="Customer_List4"/>
      <sheetName val="Stock_CIW4"/>
      <sheetName val="_INCOME_STATEMENT5"/>
      <sheetName val="Data_Submission7"/>
      <sheetName val="Lookup_Tables7"/>
      <sheetName val="K_6DEPOSIT4"/>
      <sheetName val="99_10_124"/>
      <sheetName val="Other_charges_(income)4"/>
      <sheetName val="lab_norge4"/>
      <sheetName val="SAD_Conclusion4"/>
      <sheetName val="SAD_Schedule4"/>
      <sheetName val="Cruser_Sp714"/>
      <sheetName val="Sch_4"/>
      <sheetName val="E-9_3(PBC)4"/>
      <sheetName val="hitung_ulang_JEPANG4"/>
      <sheetName val="HO_Use4"/>
      <sheetName val="BGT_Cashflow4"/>
      <sheetName val="ACT_Cashflow4"/>
      <sheetName val="BGT_Cashflow_4"/>
      <sheetName val="Muebles_y_Enseres4"/>
      <sheetName val="New_List4"/>
      <sheetName val="LOC_Score4"/>
      <sheetName val="Laba_Rugi4"/>
      <sheetName val="Pembelian_Aktiva4"/>
      <sheetName val="Beban_Operasi4"/>
      <sheetName val="GL_Items_MEI4"/>
      <sheetName val="7_24"/>
      <sheetName val="00_received_in_014"/>
      <sheetName val="Per_GL_J_a_n4"/>
      <sheetName val="FE-1770_P113"/>
      <sheetName val="FE-1770_P213"/>
      <sheetName val="FI-177O_P113"/>
      <sheetName val="FI-1770_P213"/>
      <sheetName val="Final_Tax13"/>
      <sheetName val="Irregular_Income13"/>
      <sheetName val="Rp_Banten11"/>
      <sheetName val="Permanent_info11"/>
      <sheetName val="RMFE_0410"/>
      <sheetName val="BS_final12"/>
      <sheetName val="B_111"/>
      <sheetName val="3__Neraca_dan_RL12"/>
      <sheetName val="Mine_Assumptions12"/>
      <sheetName val="RENCANA_KERJA12"/>
      <sheetName val="VAT_out12"/>
      <sheetName val="Journal_Template12"/>
      <sheetName val="trf_d-i11"/>
      <sheetName val="K_2_110"/>
      <sheetName val="Forecase_200411"/>
      <sheetName val="Main_Menu11"/>
      <sheetName val="A_u_g11"/>
      <sheetName val="M-2_Adjusted11"/>
      <sheetName val="BOQ_price10"/>
      <sheetName val="Professionals_Standard10"/>
      <sheetName val="ESG_local10"/>
      <sheetName val="Details_BS_YTD10"/>
      <sheetName val="K_1_1_1_HGU9"/>
      <sheetName val="DEFECTED_NOV9"/>
      <sheetName val="Exch_rate9"/>
      <sheetName val="Internal_order10"/>
      <sheetName val="Other_Current9"/>
      <sheetName val="Other_YTD9"/>
      <sheetName val="HBI_NCD9"/>
      <sheetName val="Table_Array9"/>
      <sheetName val="HBS_Credit_Detail9"/>
      <sheetName val="ID_MENADO8"/>
      <sheetName val="Bank_Recon_-_IDR9"/>
      <sheetName val="Detail_pg210"/>
      <sheetName val="move_(2)10"/>
      <sheetName val="oblig_Trad&amp;AFS9"/>
      <sheetName val="For_Mgmt_fee10"/>
      <sheetName val="For_GSC_charge10"/>
      <sheetName val="For_Training_Svc_fee10"/>
      <sheetName val="For_Mgmt_fee_(PasteValue)10"/>
      <sheetName val="For_GSC_charge_(PasteValue)10"/>
      <sheetName val="Allocation_Base_(GSIN)10"/>
      <sheetName val="To_DCIN10"/>
      <sheetName val="For_Training_Svc_fee_(PasteVa10"/>
      <sheetName val="Income_Statement9"/>
      <sheetName val="INV0299_(2)9"/>
      <sheetName val="FOREX_049"/>
      <sheetName val="FOREX_039"/>
      <sheetName val="FOREX_04_audited9"/>
      <sheetName val="Data_Input9"/>
      <sheetName val="Cost_Input_Sheet9"/>
      <sheetName val="Q120_AP_Aging9"/>
      <sheetName val="Base_Data8"/>
      <sheetName val="RWP_338"/>
      <sheetName val="TRADING_PROFIT8"/>
      <sheetName val="EB_PDT8"/>
      <sheetName val="Exc__Rate8"/>
      <sheetName val="EYAS_Standar8"/>
      <sheetName val="BAL_SHEET(2)8"/>
      <sheetName val="CUSTOMER_LOOKUP8"/>
      <sheetName val="SUMMARY_8"/>
      <sheetName val="Sheet1_(19)8"/>
      <sheetName val="Rekap_Penj8"/>
      <sheetName val="BS-PL_Komersil_and_Fiskal8"/>
      <sheetName val="Front_Sheet8"/>
      <sheetName val="Name_Map8"/>
      <sheetName val="TB_IDR_Only8"/>
      <sheetName val="Breakdown_LF603_18"/>
      <sheetName val="Sheet_1_(2)8"/>
      <sheetName val="COA_BM8"/>
      <sheetName val="Check_Sheet8"/>
      <sheetName val="PLHO_Report8"/>
      <sheetName val="FL_&amp;_IC8"/>
      <sheetName val="Table_18"/>
      <sheetName val="229_Accr_Exp8"/>
      <sheetName val="Income_State8"/>
      <sheetName val="Content_38"/>
      <sheetName val="hutang_DPLK8"/>
      <sheetName val="Access_Radio_NL4008"/>
      <sheetName val="HWL_(2)7"/>
      <sheetName val="A2_1_CAJE10"/>
      <sheetName val="TRAVEL_PLAN8"/>
      <sheetName val="Financial_Statement5"/>
      <sheetName val="Tax_comp8"/>
      <sheetName val="TWDV_over_NBV8"/>
      <sheetName val="Product_Requirement8"/>
      <sheetName val="Investasi_&amp;_depresiasi8"/>
      <sheetName val="Att_1-5_yr01_(Ind)5"/>
      <sheetName val="Att_1-5_yr015"/>
      <sheetName val="PPh_22_-_015"/>
      <sheetName val="PPh_22_-_01_(E)5"/>
      <sheetName val="Depr_for_add_20015"/>
      <sheetName val="Perhit_disp_01_(E)5"/>
      <sheetName val="Perhit_disp_015"/>
      <sheetName val="Depreciation_DBI_015"/>
      <sheetName val="Amortisation_DBI_5"/>
      <sheetName val="Sheet1_(3)5"/>
      <sheetName val="Sheet1_(2)5"/>
      <sheetName val="expat_exp5"/>
      <sheetName val="Customer_List5"/>
      <sheetName val="Stock_CIW5"/>
      <sheetName val="_INCOME_STATEMENT6"/>
      <sheetName val="Data_Submission8"/>
      <sheetName val="Lookup_Tables8"/>
      <sheetName val="K_6DEPOSIT5"/>
      <sheetName val="99_10_125"/>
      <sheetName val="Other_charges_(income)5"/>
      <sheetName val="lab_norge5"/>
      <sheetName val="SAD_Conclusion5"/>
      <sheetName val="SAD_Schedule5"/>
      <sheetName val="Cruser_Sp715"/>
      <sheetName val="Sch_5"/>
      <sheetName val="E-9_3(PBC)5"/>
      <sheetName val="hitung_ulang_JEPANG5"/>
      <sheetName val="HO_Use5"/>
      <sheetName val="BGT_Cashflow5"/>
      <sheetName val="ACT_Cashflow5"/>
      <sheetName val="BGT_Cashflow_5"/>
      <sheetName val="Muebles_y_Enseres5"/>
      <sheetName val="New_List5"/>
      <sheetName val="LOC_Score5"/>
      <sheetName val="Laba_Rugi5"/>
      <sheetName val="Pembelian_Aktiva5"/>
      <sheetName val="Beban_Operasi5"/>
      <sheetName val="GL_Items_MEI5"/>
      <sheetName val="7_25"/>
      <sheetName val="00_received_in_015"/>
      <sheetName val="Per_GL_J_a_n5"/>
      <sheetName val="FE-1770_P115"/>
      <sheetName val="FE-1770_P215"/>
      <sheetName val="FI-177O_P115"/>
      <sheetName val="FI-1770_P215"/>
      <sheetName val="Final_Tax15"/>
      <sheetName val="Irregular_Income15"/>
      <sheetName val="Rp_Banten13"/>
      <sheetName val="Permanent_info13"/>
      <sheetName val="RMFE_0412"/>
      <sheetName val="BS_final14"/>
      <sheetName val="B_113"/>
      <sheetName val="3__Neraca_dan_RL14"/>
      <sheetName val="Mine_Assumptions14"/>
      <sheetName val="RENCANA_KERJA14"/>
      <sheetName val="VAT_out14"/>
      <sheetName val="Journal_Template14"/>
      <sheetName val="trf_d-i13"/>
      <sheetName val="K_2_112"/>
      <sheetName val="Forecase_200413"/>
      <sheetName val="Main_Menu13"/>
      <sheetName val="A_u_g13"/>
      <sheetName val="M-2_Adjusted13"/>
      <sheetName val="BOQ_price12"/>
      <sheetName val="Professionals_Standard12"/>
      <sheetName val="ESG_local12"/>
      <sheetName val="Details_BS_YTD12"/>
      <sheetName val="K_1_1_1_HGU11"/>
      <sheetName val="DEFECTED_NOV11"/>
      <sheetName val="Exch_rate11"/>
      <sheetName val="Internal_order12"/>
      <sheetName val="Other_Current11"/>
      <sheetName val="Other_YTD11"/>
      <sheetName val="HBI_NCD11"/>
      <sheetName val="Table_Array11"/>
      <sheetName val="HBS_Credit_Detail11"/>
      <sheetName val="ID_MENADO10"/>
      <sheetName val="Bank_Recon_-_IDR11"/>
      <sheetName val="Detail_pg212"/>
      <sheetName val="move_(2)12"/>
      <sheetName val="oblig_Trad&amp;AFS11"/>
      <sheetName val="For_Mgmt_fee12"/>
      <sheetName val="For_GSC_charge12"/>
      <sheetName val="For_Training_Svc_fee12"/>
      <sheetName val="For_Mgmt_fee_(PasteValue)12"/>
      <sheetName val="For_GSC_charge_(PasteValue)12"/>
      <sheetName val="Allocation_Base_(GSIN)12"/>
      <sheetName val="To_DCIN12"/>
      <sheetName val="For_Training_Svc_fee_(PasteVa12"/>
      <sheetName val="Income_Statement11"/>
      <sheetName val="INV0299_(2)11"/>
      <sheetName val="FOREX_0411"/>
      <sheetName val="FOREX_0311"/>
      <sheetName val="FOREX_04_audited11"/>
      <sheetName val="Data_Input11"/>
      <sheetName val="Cost_Input_Sheet11"/>
      <sheetName val="Q120_AP_Aging11"/>
      <sheetName val="Base_Data10"/>
      <sheetName val="RWP_3310"/>
      <sheetName val="TRADING_PROFIT10"/>
      <sheetName val="EB_PDT10"/>
      <sheetName val="Exc__Rate10"/>
      <sheetName val="EYAS_Standar10"/>
      <sheetName val="BAL_SHEET(2)10"/>
      <sheetName val="CUSTOMER_LOOKUP10"/>
      <sheetName val="SUMMARY_10"/>
      <sheetName val="Sheet1_(19)10"/>
      <sheetName val="Rekap_Penj10"/>
      <sheetName val="BS-PL_Komersil_and_Fiskal10"/>
      <sheetName val="Front_Sheet10"/>
      <sheetName val="Name_Map10"/>
      <sheetName val="TB_IDR_Only10"/>
      <sheetName val="Breakdown_LF603_110"/>
      <sheetName val="Sheet_1_(2)10"/>
      <sheetName val="COA_BM10"/>
      <sheetName val="Check_Sheet10"/>
      <sheetName val="PLHO_Report10"/>
      <sheetName val="FL_&amp;_IC10"/>
      <sheetName val="Table_110"/>
      <sheetName val="229_Accr_Exp10"/>
      <sheetName val="Income_State10"/>
      <sheetName val="Content_310"/>
      <sheetName val="hutang_DPLK10"/>
      <sheetName val="Access_Radio_NL40010"/>
      <sheetName val="HWL_(2)9"/>
      <sheetName val="A2_1_CAJE12"/>
      <sheetName val="TRAVEL_PLAN10"/>
      <sheetName val="Financial_Statement7"/>
      <sheetName val="Tax_comp10"/>
      <sheetName val="TWDV_over_NBV10"/>
      <sheetName val="Product_Requirement10"/>
      <sheetName val="Investasi_&amp;_depresiasi10"/>
      <sheetName val="Att_1-5_yr01_(Ind)7"/>
      <sheetName val="Att_1-5_yr017"/>
      <sheetName val="PPh_22_-_017"/>
      <sheetName val="PPh_22_-_01_(E)7"/>
      <sheetName val="Depr_for_add_20017"/>
      <sheetName val="Perhit_disp_01_(E)7"/>
      <sheetName val="Perhit_disp_017"/>
      <sheetName val="Depreciation_DBI_017"/>
      <sheetName val="Amortisation_DBI_7"/>
      <sheetName val="Sheet1_(3)7"/>
      <sheetName val="Sheet1_(2)7"/>
      <sheetName val="expat_exp7"/>
      <sheetName val="Customer_List7"/>
      <sheetName val="Stock_CIW7"/>
      <sheetName val="_INCOME_STATEMENT8"/>
      <sheetName val="Data_Submission10"/>
      <sheetName val="Lookup_Tables10"/>
      <sheetName val="K_6DEPOSIT7"/>
      <sheetName val="99_10_127"/>
      <sheetName val="Other_charges_(income)7"/>
      <sheetName val="lab_norge7"/>
      <sheetName val="SAD_Conclusion7"/>
      <sheetName val="SAD_Schedule7"/>
      <sheetName val="Cruser_Sp717"/>
      <sheetName val="Sch_7"/>
      <sheetName val="E-9_3(PBC)7"/>
      <sheetName val="hitung_ulang_JEPANG7"/>
      <sheetName val="HO_Use7"/>
      <sheetName val="BGT_Cashflow7"/>
      <sheetName val="ACT_Cashflow7"/>
      <sheetName val="BGT_Cashflow_7"/>
      <sheetName val="Muebles_y_Enseres7"/>
      <sheetName val="New_List7"/>
      <sheetName val="LOC_Score7"/>
      <sheetName val="Laba_Rugi7"/>
      <sheetName val="Pembelian_Aktiva7"/>
      <sheetName val="Beban_Operasi7"/>
      <sheetName val="GL_Items_MEI7"/>
      <sheetName val="7_27"/>
      <sheetName val="00_received_in_017"/>
      <sheetName val="Per_GL_J_a_n7"/>
      <sheetName val="FE-1770_P116"/>
      <sheetName val="FE-1770_P216"/>
      <sheetName val="FI-177O_P116"/>
      <sheetName val="FI-1770_P216"/>
      <sheetName val="Final_Tax16"/>
      <sheetName val="Irregular_Income16"/>
      <sheetName val="Rp_Banten14"/>
      <sheetName val="Permanent_info14"/>
      <sheetName val="RMFE_0413"/>
      <sheetName val="BS_final15"/>
      <sheetName val="B_114"/>
      <sheetName val="3__Neraca_dan_RL15"/>
      <sheetName val="Mine_Assumptions15"/>
      <sheetName val="RENCANA_KERJA15"/>
      <sheetName val="VAT_out15"/>
      <sheetName val="Journal_Template15"/>
      <sheetName val="trf_d-i14"/>
      <sheetName val="K_2_113"/>
      <sheetName val="Forecase_200414"/>
      <sheetName val="Main_Menu14"/>
      <sheetName val="A_u_g14"/>
      <sheetName val="M-2_Adjusted14"/>
      <sheetName val="BOQ_price13"/>
      <sheetName val="Professionals_Standard13"/>
      <sheetName val="ESG_local13"/>
      <sheetName val="Details_BS_YTD13"/>
      <sheetName val="K_1_1_1_HGU12"/>
      <sheetName val="DEFECTED_NOV12"/>
      <sheetName val="Exch_rate12"/>
      <sheetName val="Internal_order13"/>
      <sheetName val="Other_Current12"/>
      <sheetName val="Other_YTD12"/>
      <sheetName val="HBI_NCD12"/>
      <sheetName val="Table_Array12"/>
      <sheetName val="HBS_Credit_Detail12"/>
      <sheetName val="ID_MENADO11"/>
      <sheetName val="Bank_Recon_-_IDR12"/>
      <sheetName val="Detail_pg213"/>
      <sheetName val="move_(2)13"/>
      <sheetName val="oblig_Trad&amp;AFS12"/>
      <sheetName val="For_Mgmt_fee13"/>
      <sheetName val="For_GSC_charge13"/>
      <sheetName val="For_Training_Svc_fee13"/>
      <sheetName val="For_Mgmt_fee_(PasteValue)13"/>
      <sheetName val="For_GSC_charge_(PasteValue)13"/>
      <sheetName val="Allocation_Base_(GSIN)13"/>
      <sheetName val="To_DCIN13"/>
      <sheetName val="For_Training_Svc_fee_(PasteVa13"/>
      <sheetName val="Income_Statement12"/>
      <sheetName val="INV0299_(2)12"/>
      <sheetName val="FOREX_0412"/>
      <sheetName val="FOREX_0312"/>
      <sheetName val="FOREX_04_audited12"/>
      <sheetName val="Data_Input12"/>
      <sheetName val="Cost_Input_Sheet12"/>
      <sheetName val="Q120_AP_Aging12"/>
      <sheetName val="Base_Data11"/>
      <sheetName val="RWP_3311"/>
      <sheetName val="TRADING_PROFIT11"/>
      <sheetName val="EB_PDT11"/>
      <sheetName val="Exc__Rate11"/>
      <sheetName val="EYAS_Standar11"/>
      <sheetName val="BAL_SHEET(2)11"/>
      <sheetName val="CUSTOMER_LOOKUP11"/>
      <sheetName val="SUMMARY_11"/>
      <sheetName val="Sheet1_(19)11"/>
      <sheetName val="Rekap_Penj11"/>
      <sheetName val="BS-PL_Komersil_and_Fiskal11"/>
      <sheetName val="Front_Sheet11"/>
      <sheetName val="Name_Map11"/>
      <sheetName val="TB_IDR_Only11"/>
      <sheetName val="Breakdown_LF603_111"/>
      <sheetName val="Sheet_1_(2)11"/>
      <sheetName val="COA_BM11"/>
      <sheetName val="Check_Sheet11"/>
      <sheetName val="PLHO_Report11"/>
      <sheetName val="FL_&amp;_IC11"/>
      <sheetName val="Table_111"/>
      <sheetName val="229_Accr_Exp11"/>
      <sheetName val="Income_State11"/>
      <sheetName val="Content_311"/>
      <sheetName val="hutang_DPLK11"/>
      <sheetName val="Access_Radio_NL40011"/>
      <sheetName val="HWL_(2)10"/>
      <sheetName val="A2_1_CAJE13"/>
      <sheetName val="TRAVEL_PLAN11"/>
      <sheetName val="Financial_Statement8"/>
      <sheetName val="Tax_comp11"/>
      <sheetName val="TWDV_over_NBV11"/>
      <sheetName val="Product_Requirement11"/>
      <sheetName val="Investasi_&amp;_depresiasi11"/>
      <sheetName val="Att_1-5_yr01_(Ind)8"/>
      <sheetName val="Att_1-5_yr018"/>
      <sheetName val="PPh_22_-_018"/>
      <sheetName val="PPh_22_-_01_(E)8"/>
      <sheetName val="Depr_for_add_20018"/>
      <sheetName val="Perhit_disp_01_(E)8"/>
      <sheetName val="Perhit_disp_018"/>
      <sheetName val="Depreciation_DBI_018"/>
      <sheetName val="Amortisation_DBI_8"/>
      <sheetName val="Sheet1_(3)8"/>
      <sheetName val="Sheet1_(2)8"/>
      <sheetName val="expat_exp8"/>
      <sheetName val="Customer_List8"/>
      <sheetName val="Stock_CIW8"/>
      <sheetName val="_INCOME_STATEMENT9"/>
      <sheetName val="Data_Submission11"/>
      <sheetName val="Lookup_Tables11"/>
      <sheetName val="K_6DEPOSIT8"/>
      <sheetName val="99_10_128"/>
      <sheetName val="Other_charges_(income)8"/>
      <sheetName val="lab_norge8"/>
      <sheetName val="SAD_Conclusion8"/>
      <sheetName val="SAD_Schedule8"/>
      <sheetName val="Cruser_Sp718"/>
      <sheetName val="Sch_8"/>
      <sheetName val="E-9_3(PBC)8"/>
      <sheetName val="hitung_ulang_JEPANG8"/>
      <sheetName val="HO_Use8"/>
      <sheetName val="BGT_Cashflow8"/>
      <sheetName val="ACT_Cashflow8"/>
      <sheetName val="BGT_Cashflow_8"/>
      <sheetName val="Muebles_y_Enseres8"/>
      <sheetName val="New_List8"/>
      <sheetName val="LOC_Score8"/>
      <sheetName val="Laba_Rugi8"/>
      <sheetName val="Pembelian_Aktiva8"/>
      <sheetName val="Beban_Operasi8"/>
      <sheetName val="GL_Items_MEI8"/>
      <sheetName val="7_28"/>
      <sheetName val="00_received_in_018"/>
      <sheetName val="Per_GL_J_a_n8"/>
      <sheetName val="(Global Parameters)"/>
      <sheetName val="TAX LIST"/>
      <sheetName val="tax supp doc"/>
      <sheetName val="TP-MARKET"/>
      <sheetName val="FORMAT"/>
      <sheetName val="Jan-des"/>
      <sheetName val="DATA21"/>
      <sheetName val="Scenarios&amp;Sensitivities"/>
      <sheetName val="Scenarios_Sensitivities"/>
      <sheetName val="SAD"/>
      <sheetName val="FLOW"/>
      <sheetName val="IAD "/>
      <sheetName val="L_I_-_ATY2"/>
      <sheetName val="S_e_p2"/>
      <sheetName val="M_a_r2"/>
      <sheetName val="POKOK_DIR"/>
      <sheetName val="LP-PENJ-EKSKUTIF-LP-2"/>
      <sheetName val="Inputing data"/>
      <sheetName val="Anls"/>
      <sheetName val="Data WP"/>
      <sheetName val="DEPK2003"/>
      <sheetName val="Consol"/>
      <sheetName val="Email Instructions"/>
      <sheetName val="WP-PBM-04"/>
      <sheetName val="FE-1770_P119"/>
      <sheetName val="FE-1770_P219"/>
      <sheetName val="FI-177O_P119"/>
      <sheetName val="FI-1770_P219"/>
      <sheetName val="Final_Tax19"/>
      <sheetName val="Irregular_Income19"/>
      <sheetName val="Rp_Banten17"/>
      <sheetName val="Permanent_info17"/>
      <sheetName val="RMFE_0416"/>
      <sheetName val="BS_final18"/>
      <sheetName val="B_117"/>
      <sheetName val="3__Neraca_dan_RL18"/>
      <sheetName val="Mine_Assumptions18"/>
      <sheetName val="RENCANA_KERJA18"/>
      <sheetName val="VAT_out18"/>
      <sheetName val="Journal_Template18"/>
      <sheetName val="trf_d-i17"/>
      <sheetName val="K_2_116"/>
      <sheetName val="Forecase_200417"/>
      <sheetName val="Main_Menu17"/>
      <sheetName val="A_u_g17"/>
      <sheetName val="M-2_Adjusted17"/>
      <sheetName val="BOQ_price16"/>
      <sheetName val="Professionals_Standard16"/>
      <sheetName val="ESG_local16"/>
      <sheetName val="Details_BS_YTD16"/>
      <sheetName val="K_1_1_1_HGU15"/>
      <sheetName val="DEFECTED_NOV15"/>
      <sheetName val="Exch_rate15"/>
      <sheetName val="Internal_order16"/>
      <sheetName val="Other_Current15"/>
      <sheetName val="Other_YTD15"/>
      <sheetName val="HBI_NCD15"/>
      <sheetName val="Table_Array15"/>
      <sheetName val="HBS_Credit_Detail15"/>
      <sheetName val="ID_MENADO14"/>
      <sheetName val="Bank_Recon_-_IDR15"/>
      <sheetName val="Detail_pg216"/>
      <sheetName val="move_(2)16"/>
      <sheetName val="oblig_Trad&amp;AFS15"/>
      <sheetName val="For_Mgmt_fee16"/>
      <sheetName val="For_GSC_charge16"/>
      <sheetName val="For_Training_Svc_fee16"/>
      <sheetName val="For_Mgmt_fee_(PasteValue)16"/>
      <sheetName val="For_GSC_charge_(PasteValue)16"/>
      <sheetName val="Allocation_Base_(GSIN)16"/>
      <sheetName val="To_DCIN16"/>
      <sheetName val="For_Training_Svc_fee_(PasteVa16"/>
      <sheetName val="Income_Statement15"/>
      <sheetName val="INV0299_(2)15"/>
      <sheetName val="FOREX_0415"/>
      <sheetName val="FOREX_0315"/>
      <sheetName val="FOREX_04_audited15"/>
      <sheetName val="Data_Input15"/>
      <sheetName val="Cost_Input_Sheet15"/>
      <sheetName val="Q120_AP_Aging15"/>
      <sheetName val="Base_Data14"/>
      <sheetName val="RWP_3314"/>
      <sheetName val="TRADING_PROFIT14"/>
      <sheetName val="EB_PDT14"/>
      <sheetName val="Exc__Rate14"/>
      <sheetName val="EYAS_Standar14"/>
      <sheetName val="BAL_SHEET(2)14"/>
      <sheetName val="CUSTOMER_LOOKUP14"/>
      <sheetName val="SUMMARY_14"/>
      <sheetName val="Sheet1_(19)14"/>
      <sheetName val="Rekap_Penj14"/>
      <sheetName val="BS-PL_Komersil_and_Fiskal14"/>
      <sheetName val="Front_Sheet14"/>
      <sheetName val="Name_Map14"/>
      <sheetName val="TB_IDR_Only14"/>
      <sheetName val="Breakdown_LF603_114"/>
      <sheetName val="Sheet_1_(2)14"/>
      <sheetName val="COA_BM14"/>
      <sheetName val="Check_Sheet14"/>
      <sheetName val="PLHO_Report14"/>
      <sheetName val="FL_&amp;_IC14"/>
      <sheetName val="Table_114"/>
      <sheetName val="229_Accr_Exp14"/>
      <sheetName val="Income_State14"/>
      <sheetName val="Content_314"/>
      <sheetName val="hutang_DPLK14"/>
      <sheetName val="Access_Radio_NL40014"/>
      <sheetName val="HWL_(2)13"/>
      <sheetName val="A2_1_CAJE16"/>
      <sheetName val="TRAVEL_PLAN14"/>
      <sheetName val="Financial_Statement11"/>
      <sheetName val="Tax_comp14"/>
      <sheetName val="TWDV_over_NBV14"/>
      <sheetName val="Product_Requirement14"/>
      <sheetName val="Investasi_&amp;_depresiasi14"/>
      <sheetName val="Att_1-5_yr01_(Ind)11"/>
      <sheetName val="Att_1-5_yr0111"/>
      <sheetName val="PPh_22_-_0111"/>
      <sheetName val="PPh_22_-_01_(E)11"/>
      <sheetName val="Depr_for_add_200111"/>
      <sheetName val="Perhit_disp_01_(E)11"/>
      <sheetName val="Perhit_disp_0111"/>
      <sheetName val="Depreciation_DBI_0111"/>
      <sheetName val="Amortisation_DBI_11"/>
      <sheetName val="Sheet1_(3)11"/>
      <sheetName val="Sheet1_(2)11"/>
      <sheetName val="expat_exp11"/>
      <sheetName val="Customer_List11"/>
      <sheetName val="Stock_CIW11"/>
      <sheetName val="_INCOME_STATEMENT12"/>
      <sheetName val="Data_Submission14"/>
      <sheetName val="Lookup_Tables14"/>
      <sheetName val="K_6DEPOSIT11"/>
      <sheetName val="99_10_1211"/>
      <sheetName val="Other_charges_(income)11"/>
      <sheetName val="lab_norge11"/>
      <sheetName val="SAD_Conclusion11"/>
      <sheetName val="SAD_Schedule11"/>
      <sheetName val="Cruser_Sp7111"/>
      <sheetName val="Sch_11"/>
      <sheetName val="E-9_3(PBC)11"/>
      <sheetName val="hitung_ulang_JEPANG11"/>
      <sheetName val="HO_Use11"/>
      <sheetName val="BGT_Cashflow11"/>
      <sheetName val="ACT_Cashflow11"/>
      <sheetName val="BGT_Cashflow_11"/>
      <sheetName val="Muebles_y_Enseres11"/>
      <sheetName val="New_List11"/>
      <sheetName val="LOC_Score11"/>
      <sheetName val="Laba_Rugi11"/>
      <sheetName val="Pembelian_Aktiva11"/>
      <sheetName val="Beban_Operasi11"/>
      <sheetName val="GL_Items_MEI11"/>
      <sheetName val="7_211"/>
      <sheetName val="00_received_in_0111"/>
      <sheetName val="Per_GL_J_a_n11"/>
      <sheetName val="FE-1770_P118"/>
      <sheetName val="FE-1770_P218"/>
      <sheetName val="FI-177O_P118"/>
      <sheetName val="FI-1770_P218"/>
      <sheetName val="Final_Tax18"/>
      <sheetName val="Irregular_Income18"/>
      <sheetName val="Rp_Banten16"/>
      <sheetName val="Permanent_info16"/>
      <sheetName val="RMFE_0415"/>
      <sheetName val="BS_final17"/>
      <sheetName val="B_116"/>
      <sheetName val="3__Neraca_dan_RL17"/>
      <sheetName val="Mine_Assumptions17"/>
      <sheetName val="RENCANA_KERJA17"/>
      <sheetName val="VAT_out17"/>
      <sheetName val="Journal_Template17"/>
      <sheetName val="trf_d-i16"/>
      <sheetName val="K_2_115"/>
      <sheetName val="Forecase_200416"/>
      <sheetName val="Main_Menu16"/>
      <sheetName val="A_u_g16"/>
      <sheetName val="M-2_Adjusted16"/>
      <sheetName val="BOQ_price15"/>
      <sheetName val="Professionals_Standard15"/>
      <sheetName val="ESG_local15"/>
      <sheetName val="Details_BS_YTD15"/>
      <sheetName val="K_1_1_1_HGU14"/>
      <sheetName val="DEFECTED_NOV14"/>
      <sheetName val="Exch_rate14"/>
      <sheetName val="Internal_order15"/>
      <sheetName val="Other_Current14"/>
      <sheetName val="Other_YTD14"/>
      <sheetName val="HBI_NCD14"/>
      <sheetName val="Table_Array14"/>
      <sheetName val="HBS_Credit_Detail14"/>
      <sheetName val="ID_MENADO13"/>
      <sheetName val="Bank_Recon_-_IDR14"/>
      <sheetName val="Detail_pg215"/>
      <sheetName val="move_(2)15"/>
      <sheetName val="oblig_Trad&amp;AFS14"/>
      <sheetName val="For_Mgmt_fee15"/>
      <sheetName val="For_GSC_charge15"/>
      <sheetName val="For_Training_Svc_fee15"/>
      <sheetName val="For_Mgmt_fee_(PasteValue)15"/>
      <sheetName val="For_GSC_charge_(PasteValue)15"/>
      <sheetName val="Allocation_Base_(GSIN)15"/>
      <sheetName val="To_DCIN15"/>
      <sheetName val="For_Training_Svc_fee_(PasteVa15"/>
      <sheetName val="Income_Statement14"/>
      <sheetName val="INV0299_(2)14"/>
      <sheetName val="FOREX_0414"/>
      <sheetName val="FOREX_0314"/>
      <sheetName val="FOREX_04_audited14"/>
      <sheetName val="Data_Input14"/>
      <sheetName val="Cost_Input_Sheet14"/>
      <sheetName val="Q120_AP_Aging14"/>
      <sheetName val="Base_Data13"/>
      <sheetName val="RWP_3313"/>
      <sheetName val="TRADING_PROFIT13"/>
      <sheetName val="EB_PDT13"/>
      <sheetName val="Exc__Rate13"/>
      <sheetName val="EYAS_Standar13"/>
      <sheetName val="BAL_SHEET(2)13"/>
      <sheetName val="CUSTOMER_LOOKUP13"/>
      <sheetName val="SUMMARY_13"/>
      <sheetName val="Sheet1_(19)13"/>
      <sheetName val="Rekap_Penj13"/>
      <sheetName val="BS-PL_Komersil_and_Fiskal13"/>
      <sheetName val="Front_Sheet13"/>
      <sheetName val="Name_Map13"/>
      <sheetName val="TB_IDR_Only13"/>
      <sheetName val="Breakdown_LF603_113"/>
      <sheetName val="Sheet_1_(2)13"/>
      <sheetName val="COA_BM13"/>
      <sheetName val="Check_Sheet13"/>
      <sheetName val="PLHO_Report13"/>
      <sheetName val="FL_&amp;_IC13"/>
      <sheetName val="Table_113"/>
      <sheetName val="229_Accr_Exp13"/>
      <sheetName val="Income_State13"/>
      <sheetName val="Content_313"/>
      <sheetName val="hutang_DPLK13"/>
      <sheetName val="Access_Radio_NL40013"/>
      <sheetName val="HWL_(2)12"/>
      <sheetName val="A2_1_CAJE15"/>
      <sheetName val="TRAVEL_PLAN13"/>
      <sheetName val="Financial_Statement10"/>
      <sheetName val="Tax_comp13"/>
      <sheetName val="TWDV_over_NBV13"/>
      <sheetName val="Product_Requirement13"/>
      <sheetName val="Investasi_&amp;_depresiasi13"/>
      <sheetName val="Att_1-5_yr01_(Ind)10"/>
      <sheetName val="Att_1-5_yr0110"/>
      <sheetName val="PPh_22_-_0110"/>
      <sheetName val="PPh_22_-_01_(E)10"/>
      <sheetName val="Depr_for_add_200110"/>
      <sheetName val="Perhit_disp_01_(E)10"/>
      <sheetName val="Perhit_disp_0110"/>
      <sheetName val="Depreciation_DBI_0110"/>
      <sheetName val="Amortisation_DBI_10"/>
      <sheetName val="Sheet1_(3)10"/>
      <sheetName val="Sheet1_(2)10"/>
      <sheetName val="expat_exp10"/>
      <sheetName val="Customer_List10"/>
      <sheetName val="Stock_CIW10"/>
      <sheetName val="_INCOME_STATEMENT11"/>
      <sheetName val="Data_Submission13"/>
      <sheetName val="Lookup_Tables13"/>
      <sheetName val="K_6DEPOSIT10"/>
      <sheetName val="99_10_1210"/>
      <sheetName val="Other_charges_(income)10"/>
      <sheetName val="lab_norge10"/>
      <sheetName val="SAD_Conclusion10"/>
      <sheetName val="SAD_Schedule10"/>
      <sheetName val="Cruser_Sp7110"/>
      <sheetName val="Sch_10"/>
      <sheetName val="E-9_3(PBC)10"/>
      <sheetName val="hitung_ulang_JEPANG10"/>
      <sheetName val="HO_Use10"/>
      <sheetName val="BGT_Cashflow10"/>
      <sheetName val="ACT_Cashflow10"/>
      <sheetName val="BGT_Cashflow_10"/>
      <sheetName val="Muebles_y_Enseres10"/>
      <sheetName val="New_List10"/>
      <sheetName val="LOC_Score10"/>
      <sheetName val="Laba_Rugi10"/>
      <sheetName val="Pembelian_Aktiva10"/>
      <sheetName val="Beban_Operasi10"/>
      <sheetName val="GL_Items_MEI10"/>
      <sheetName val="7_210"/>
      <sheetName val="00_received_in_0110"/>
      <sheetName val="Per_GL_J_a_n10"/>
      <sheetName val="FE-1770_P117"/>
      <sheetName val="FE-1770_P217"/>
      <sheetName val="FI-177O_P117"/>
      <sheetName val="FI-1770_P217"/>
      <sheetName val="Final_Tax17"/>
      <sheetName val="Irregular_Income17"/>
      <sheetName val="Rp_Banten15"/>
      <sheetName val="Permanent_info15"/>
      <sheetName val="RMFE_0414"/>
      <sheetName val="BS_final16"/>
      <sheetName val="B_115"/>
      <sheetName val="3__Neraca_dan_RL16"/>
      <sheetName val="Mine_Assumptions16"/>
      <sheetName val="RENCANA_KERJA16"/>
      <sheetName val="VAT_out16"/>
      <sheetName val="Journal_Template16"/>
      <sheetName val="trf_d-i15"/>
      <sheetName val="K_2_114"/>
      <sheetName val="Forecase_200415"/>
      <sheetName val="Main_Menu15"/>
      <sheetName val="A_u_g15"/>
      <sheetName val="M-2_Adjusted15"/>
      <sheetName val="BOQ_price14"/>
      <sheetName val="Professionals_Standard14"/>
      <sheetName val="ESG_local14"/>
      <sheetName val="Details_BS_YTD14"/>
      <sheetName val="K_1_1_1_HGU13"/>
      <sheetName val="DEFECTED_NOV13"/>
      <sheetName val="Exch_rate13"/>
      <sheetName val="Internal_order14"/>
      <sheetName val="Other_Current13"/>
      <sheetName val="Other_YTD13"/>
      <sheetName val="HBI_NCD13"/>
      <sheetName val="Table_Array13"/>
      <sheetName val="HBS_Credit_Detail13"/>
      <sheetName val="ID_MENADO12"/>
      <sheetName val="Bank_Recon_-_IDR13"/>
      <sheetName val="Detail_pg214"/>
      <sheetName val="move_(2)14"/>
      <sheetName val="oblig_Trad&amp;AFS13"/>
      <sheetName val="For_Mgmt_fee14"/>
      <sheetName val="For_GSC_charge14"/>
      <sheetName val="For_Training_Svc_fee14"/>
      <sheetName val="For_Mgmt_fee_(PasteValue)14"/>
      <sheetName val="For_GSC_charge_(PasteValue)14"/>
      <sheetName val="Allocation_Base_(GSIN)14"/>
      <sheetName val="To_DCIN14"/>
      <sheetName val="For_Training_Svc_fee_(PasteVa14"/>
      <sheetName val="Income_Statement13"/>
      <sheetName val="INV0299_(2)13"/>
      <sheetName val="FOREX_0413"/>
      <sheetName val="FOREX_0313"/>
      <sheetName val="FOREX_04_audited13"/>
      <sheetName val="Data_Input13"/>
      <sheetName val="Cost_Input_Sheet13"/>
      <sheetName val="Q120_AP_Aging13"/>
      <sheetName val="Base_Data12"/>
      <sheetName val="RWP_3312"/>
      <sheetName val="TRADING_PROFIT12"/>
      <sheetName val="EB_PDT12"/>
      <sheetName val="Exc__Rate12"/>
      <sheetName val="EYAS_Standar12"/>
      <sheetName val="BAL_SHEET(2)12"/>
      <sheetName val="CUSTOMER_LOOKUP12"/>
      <sheetName val="SUMMARY_12"/>
      <sheetName val="Sheet1_(19)12"/>
      <sheetName val="Rekap_Penj12"/>
      <sheetName val="BS-PL_Komersil_and_Fiskal12"/>
      <sheetName val="Front_Sheet12"/>
      <sheetName val="Name_Map12"/>
      <sheetName val="TB_IDR_Only12"/>
      <sheetName val="Breakdown_LF603_112"/>
      <sheetName val="Sheet_1_(2)12"/>
      <sheetName val="COA_BM12"/>
      <sheetName val="Check_Sheet12"/>
      <sheetName val="PLHO_Report12"/>
      <sheetName val="FL_&amp;_IC12"/>
      <sheetName val="Table_112"/>
      <sheetName val="229_Accr_Exp12"/>
      <sheetName val="Income_State12"/>
      <sheetName val="Content_312"/>
      <sheetName val="hutang_DPLK12"/>
      <sheetName val="Access_Radio_NL40012"/>
      <sheetName val="HWL_(2)11"/>
      <sheetName val="A2_1_CAJE14"/>
      <sheetName val="TRAVEL_PLAN12"/>
      <sheetName val="Financial_Statement9"/>
      <sheetName val="Tax_comp12"/>
      <sheetName val="TWDV_over_NBV12"/>
      <sheetName val="Product_Requirement12"/>
      <sheetName val="Investasi_&amp;_depresiasi12"/>
      <sheetName val="Att_1-5_yr01_(Ind)9"/>
      <sheetName val="Att_1-5_yr019"/>
      <sheetName val="PPh_22_-_019"/>
      <sheetName val="PPh_22_-_01_(E)9"/>
      <sheetName val="Depr_for_add_20019"/>
      <sheetName val="Perhit_disp_01_(E)9"/>
      <sheetName val="Perhit_disp_019"/>
      <sheetName val="Depreciation_DBI_019"/>
      <sheetName val="Amortisation_DBI_9"/>
      <sheetName val="Sheet1_(3)9"/>
      <sheetName val="Sheet1_(2)9"/>
      <sheetName val="expat_exp9"/>
      <sheetName val="Customer_List9"/>
      <sheetName val="Stock_CIW9"/>
      <sheetName val="_INCOME_STATEMENT10"/>
      <sheetName val="Data_Submission12"/>
      <sheetName val="Lookup_Tables12"/>
      <sheetName val="K_6DEPOSIT9"/>
      <sheetName val="99_10_129"/>
      <sheetName val="Other_charges_(income)9"/>
      <sheetName val="lab_norge9"/>
      <sheetName val="SAD_Conclusion9"/>
      <sheetName val="SAD_Schedule9"/>
      <sheetName val="Cruser_Sp719"/>
      <sheetName val="Sch_9"/>
      <sheetName val="E-9_3(PBC)9"/>
      <sheetName val="hitung_ulang_JEPANG9"/>
      <sheetName val="HO_Use9"/>
      <sheetName val="BGT_Cashflow9"/>
      <sheetName val="ACT_Cashflow9"/>
      <sheetName val="BGT_Cashflow_9"/>
      <sheetName val="Muebles_y_Enseres9"/>
      <sheetName val="New_List9"/>
      <sheetName val="LOC_Score9"/>
      <sheetName val="Laba_Rugi9"/>
      <sheetName val="Pembelian_Aktiva9"/>
      <sheetName val="Beban_Operasi9"/>
      <sheetName val="GL_Items_MEI9"/>
      <sheetName val="7_29"/>
      <sheetName val="00_received_in_019"/>
      <sheetName val="Per_GL_J_a_n9"/>
      <sheetName val="FE-1770_P121"/>
      <sheetName val="FE-1770_P221"/>
      <sheetName val="FI-177O_P121"/>
      <sheetName val="FI-1770_P221"/>
      <sheetName val="Final_Tax21"/>
      <sheetName val="Irregular_Income21"/>
      <sheetName val="Rp_Banten19"/>
      <sheetName val="Permanent_info19"/>
      <sheetName val="RMFE_0418"/>
      <sheetName val="BS_final20"/>
      <sheetName val="B_119"/>
      <sheetName val="3__Neraca_dan_RL20"/>
      <sheetName val="Mine_Assumptions20"/>
      <sheetName val="RENCANA_KERJA20"/>
      <sheetName val="VAT_out20"/>
      <sheetName val="Journal_Template20"/>
      <sheetName val="trf_d-i19"/>
      <sheetName val="K_2_118"/>
      <sheetName val="Forecase_200419"/>
      <sheetName val="Main_Menu19"/>
      <sheetName val="A_u_g19"/>
      <sheetName val="M-2_Adjusted19"/>
      <sheetName val="BOQ_price18"/>
      <sheetName val="Professionals_Standard18"/>
      <sheetName val="ESG_local18"/>
      <sheetName val="Details_BS_YTD18"/>
      <sheetName val="K_1_1_1_HGU17"/>
      <sheetName val="DEFECTED_NOV17"/>
      <sheetName val="Exch_rate17"/>
      <sheetName val="Internal_order18"/>
      <sheetName val="Other_Current17"/>
      <sheetName val="Other_YTD17"/>
      <sheetName val="HBI_NCD17"/>
      <sheetName val="Table_Array17"/>
      <sheetName val="HBS_Credit_Detail17"/>
      <sheetName val="ID_MENADO16"/>
      <sheetName val="Bank_Recon_-_IDR17"/>
      <sheetName val="Detail_pg218"/>
      <sheetName val="move_(2)18"/>
      <sheetName val="oblig_Trad&amp;AFS17"/>
      <sheetName val="For_Mgmt_fee18"/>
      <sheetName val="For_GSC_charge18"/>
      <sheetName val="For_Training_Svc_fee18"/>
      <sheetName val="For_Mgmt_fee_(PasteValue)18"/>
      <sheetName val="For_GSC_charge_(PasteValue)18"/>
      <sheetName val="Allocation_Base_(GSIN)18"/>
      <sheetName val="To_DCIN18"/>
      <sheetName val="For_Training_Svc_fee_(PasteVa18"/>
      <sheetName val="Income_Statement17"/>
      <sheetName val="INV0299_(2)17"/>
      <sheetName val="FOREX_0417"/>
      <sheetName val="FOREX_0317"/>
      <sheetName val="FOREX_04_audited17"/>
      <sheetName val="Data_Input17"/>
      <sheetName val="Cost_Input_Sheet17"/>
      <sheetName val="Q120_AP_Aging17"/>
      <sheetName val="Base_Data16"/>
      <sheetName val="RWP_3316"/>
      <sheetName val="TRADING_PROFIT16"/>
      <sheetName val="EB_PDT16"/>
      <sheetName val="Exc__Rate16"/>
      <sheetName val="EYAS_Standar16"/>
      <sheetName val="BAL_SHEET(2)16"/>
      <sheetName val="CUSTOMER_LOOKUP16"/>
      <sheetName val="SUMMARY_16"/>
      <sheetName val="Sheet1_(19)16"/>
      <sheetName val="Rekap_Penj16"/>
      <sheetName val="BS-PL_Komersil_and_Fiskal16"/>
      <sheetName val="Front_Sheet16"/>
      <sheetName val="Name_Map16"/>
      <sheetName val="TB_IDR_Only16"/>
      <sheetName val="Breakdown_LF603_116"/>
      <sheetName val="Sheet_1_(2)16"/>
      <sheetName val="COA_BM16"/>
      <sheetName val="Check_Sheet16"/>
      <sheetName val="PLHO_Report16"/>
      <sheetName val="FL_&amp;_IC16"/>
      <sheetName val="Table_116"/>
      <sheetName val="229_Accr_Exp16"/>
      <sheetName val="Income_State16"/>
      <sheetName val="Content_316"/>
      <sheetName val="hutang_DPLK16"/>
      <sheetName val="Access_Radio_NL40016"/>
      <sheetName val="HWL_(2)15"/>
      <sheetName val="A2_1_CAJE18"/>
      <sheetName val="TRAVEL_PLAN16"/>
      <sheetName val="Financial_Statement13"/>
      <sheetName val="Tax_comp16"/>
      <sheetName val="TWDV_over_NBV16"/>
      <sheetName val="Product_Requirement16"/>
      <sheetName val="Investasi_&amp;_depresiasi16"/>
      <sheetName val="Att_1-5_yr01_(Ind)13"/>
      <sheetName val="Att_1-5_yr0113"/>
      <sheetName val="PPh_22_-_0113"/>
      <sheetName val="PPh_22_-_01_(E)13"/>
      <sheetName val="Depr_for_add_200113"/>
      <sheetName val="Perhit_disp_01_(E)13"/>
      <sheetName val="Perhit_disp_0113"/>
      <sheetName val="Depreciation_DBI_0113"/>
      <sheetName val="Amortisation_DBI_13"/>
      <sheetName val="Sheet1_(3)13"/>
      <sheetName val="Sheet1_(2)13"/>
      <sheetName val="expat_exp13"/>
      <sheetName val="Customer_List13"/>
      <sheetName val="Stock_CIW13"/>
      <sheetName val="_INCOME_STATEMENT14"/>
      <sheetName val="Data_Submission16"/>
      <sheetName val="Lookup_Tables16"/>
      <sheetName val="K_6DEPOSIT13"/>
      <sheetName val="99_10_1213"/>
      <sheetName val="Other_charges_(income)13"/>
      <sheetName val="lab_norge13"/>
      <sheetName val="SAD_Conclusion13"/>
      <sheetName val="SAD_Schedule13"/>
      <sheetName val="FE-1770_P120"/>
      <sheetName val="FE-1770_P220"/>
      <sheetName val="FI-177O_P120"/>
      <sheetName val="FI-1770_P220"/>
      <sheetName val="Final_Tax20"/>
      <sheetName val="Irregular_Income20"/>
      <sheetName val="Rp_Banten18"/>
      <sheetName val="Permanent_info18"/>
      <sheetName val="RMFE_0417"/>
      <sheetName val="BS_final19"/>
      <sheetName val="B_118"/>
      <sheetName val="3__Neraca_dan_RL19"/>
      <sheetName val="Mine_Assumptions19"/>
      <sheetName val="RENCANA_KERJA19"/>
      <sheetName val="VAT_out19"/>
      <sheetName val="Journal_Template19"/>
      <sheetName val="trf_d-i18"/>
      <sheetName val="K_2_117"/>
      <sheetName val="Forecase_200418"/>
      <sheetName val="Main_Menu18"/>
      <sheetName val="A_u_g18"/>
      <sheetName val="M-2_Adjusted18"/>
      <sheetName val="BOQ_price17"/>
      <sheetName val="Professionals_Standard17"/>
      <sheetName val="ESG_local17"/>
      <sheetName val="Details_BS_YTD17"/>
      <sheetName val="K_1_1_1_HGU16"/>
      <sheetName val="DEFECTED_NOV16"/>
      <sheetName val="Exch_rate16"/>
      <sheetName val="Internal_order17"/>
      <sheetName val="Other_Current16"/>
      <sheetName val="Other_YTD16"/>
      <sheetName val="HBI_NCD16"/>
      <sheetName val="Table_Array16"/>
      <sheetName val="HBS_Credit_Detail16"/>
      <sheetName val="ID_MENADO15"/>
      <sheetName val="Bank_Recon_-_IDR16"/>
      <sheetName val="Detail_pg217"/>
      <sheetName val="move_(2)17"/>
      <sheetName val="oblig_Trad&amp;AFS16"/>
      <sheetName val="For_Mgmt_fee17"/>
      <sheetName val="For_GSC_charge17"/>
      <sheetName val="For_Training_Svc_fee17"/>
      <sheetName val="For_Mgmt_fee_(PasteValue)17"/>
      <sheetName val="For_GSC_charge_(PasteValue)17"/>
      <sheetName val="Allocation_Base_(GSIN)17"/>
      <sheetName val="To_DCIN17"/>
      <sheetName val="For_Training_Svc_fee_(PasteVa17"/>
      <sheetName val="Income_Statement16"/>
      <sheetName val="INV0299_(2)16"/>
      <sheetName val="FOREX_0416"/>
      <sheetName val="FOREX_0316"/>
      <sheetName val="FOREX_04_audited16"/>
      <sheetName val="Data_Input16"/>
      <sheetName val="Cost_Input_Sheet16"/>
      <sheetName val="Q120_AP_Aging16"/>
      <sheetName val="Base_Data15"/>
      <sheetName val="RWP_3315"/>
      <sheetName val="TRADING_PROFIT15"/>
      <sheetName val="EB_PDT15"/>
      <sheetName val="Exc__Rate15"/>
      <sheetName val="EYAS_Standar15"/>
      <sheetName val="BAL_SHEET(2)15"/>
      <sheetName val="CUSTOMER_LOOKUP15"/>
      <sheetName val="SUMMARY_15"/>
      <sheetName val="Sheet1_(19)15"/>
      <sheetName val="Rekap_Penj15"/>
      <sheetName val="BS-PL_Komersil_and_Fiskal15"/>
      <sheetName val="Front_Sheet15"/>
      <sheetName val="Name_Map15"/>
      <sheetName val="TB_IDR_Only15"/>
      <sheetName val="Breakdown_LF603_115"/>
      <sheetName val="Sheet_1_(2)15"/>
      <sheetName val="COA_BM15"/>
      <sheetName val="Check_Sheet15"/>
      <sheetName val="PLHO_Report15"/>
      <sheetName val="FL_&amp;_IC15"/>
      <sheetName val="Table_115"/>
      <sheetName val="229_Accr_Exp15"/>
      <sheetName val="Income_State15"/>
      <sheetName val="Content_315"/>
      <sheetName val="hutang_DPLK15"/>
      <sheetName val="Access_Radio_NL40015"/>
      <sheetName val="HWL_(2)14"/>
      <sheetName val="A2_1_CAJE17"/>
      <sheetName val="TRAVEL_PLAN15"/>
      <sheetName val="Financial_Statement12"/>
      <sheetName val="Tax_comp15"/>
      <sheetName val="TWDV_over_NBV15"/>
      <sheetName val="Product_Requirement15"/>
      <sheetName val="Investasi_&amp;_depresiasi15"/>
      <sheetName val="Att_1-5_yr01_(Ind)12"/>
      <sheetName val="Att_1-5_yr0112"/>
      <sheetName val="PPh_22_-_0112"/>
      <sheetName val="PPh_22_-_01_(E)12"/>
      <sheetName val="Depr_for_add_200112"/>
      <sheetName val="Perhit_disp_01_(E)12"/>
      <sheetName val="Perhit_disp_0112"/>
      <sheetName val="Depreciation_DBI_0112"/>
      <sheetName val="Amortisation_DBI_12"/>
      <sheetName val="Sheet1_(3)12"/>
      <sheetName val="Sheet1_(2)12"/>
      <sheetName val="expat_exp12"/>
      <sheetName val="Customer_List12"/>
      <sheetName val="Stock_CIW12"/>
      <sheetName val="_INCOME_STATEMENT13"/>
      <sheetName val="Data_Submission15"/>
      <sheetName val="Lookup_Tables15"/>
      <sheetName val="K_6DEPOSIT12"/>
      <sheetName val="99_10_1212"/>
      <sheetName val="Other_charges_(income)12"/>
      <sheetName val="lab_norge12"/>
      <sheetName val="SAD_Conclusion12"/>
      <sheetName val="SAD_Schedule12"/>
      <sheetName val="Cruser_Sp7112"/>
      <sheetName val="Sch_12"/>
      <sheetName val="E-9_3(PBC)12"/>
      <sheetName val="hitung_ulang_JEPANG12"/>
      <sheetName val="HO_Use12"/>
      <sheetName val="BGT_Cashflow12"/>
      <sheetName val="ACT_Cashflow12"/>
      <sheetName val="BGT_Cashflow_12"/>
      <sheetName val="Muebles_y_Enseres12"/>
      <sheetName val="New_List12"/>
      <sheetName val="LOC_Score12"/>
      <sheetName val="Laba_Rugi12"/>
      <sheetName val="Pembelian_Aktiva12"/>
      <sheetName val="Beban_Operasi12"/>
      <sheetName val="GL_Items_MEI12"/>
      <sheetName val="7_212"/>
      <sheetName val="00_received_in_0112"/>
      <sheetName val="Per_GL_J_a_n12"/>
      <sheetName val="FE-1770_P128"/>
      <sheetName val="FE-1770_P228"/>
      <sheetName val="FI-177O_P128"/>
      <sheetName val="FI-1770_P228"/>
      <sheetName val="Final_Tax28"/>
      <sheetName val="Irregular_Income28"/>
      <sheetName val="Rp_Banten26"/>
      <sheetName val="Permanent_info26"/>
      <sheetName val="RMFE_0425"/>
      <sheetName val="BS_final27"/>
      <sheetName val="B_126"/>
      <sheetName val="3__Neraca_dan_RL27"/>
      <sheetName val="Mine_Assumptions27"/>
      <sheetName val="RENCANA_KERJA27"/>
      <sheetName val="VAT_out27"/>
      <sheetName val="Journal_Template27"/>
      <sheetName val="trf_d-i26"/>
      <sheetName val="K_2_125"/>
      <sheetName val="Forecase_200426"/>
      <sheetName val="Main_Menu26"/>
      <sheetName val="A_u_g26"/>
      <sheetName val="M-2_Adjusted26"/>
      <sheetName val="BOQ_price25"/>
      <sheetName val="Professionals_Standard25"/>
      <sheetName val="ESG_local25"/>
      <sheetName val="Details_BS_YTD25"/>
      <sheetName val="K_1_1_1_HGU24"/>
      <sheetName val="DEFECTED_NOV24"/>
      <sheetName val="Exch_rate24"/>
      <sheetName val="Internal_order25"/>
      <sheetName val="Other_Current24"/>
      <sheetName val="Other_YTD24"/>
      <sheetName val="HBI_NCD24"/>
      <sheetName val="Table_Array24"/>
      <sheetName val="HBS_Credit_Detail24"/>
      <sheetName val="ID_MENADO23"/>
      <sheetName val="Bank_Recon_-_IDR24"/>
      <sheetName val="Detail_pg225"/>
      <sheetName val="move_(2)25"/>
      <sheetName val="oblig_Trad&amp;AFS24"/>
      <sheetName val="For_Mgmt_fee25"/>
      <sheetName val="For_GSC_charge25"/>
      <sheetName val="For_Training_Svc_fee25"/>
      <sheetName val="For_Mgmt_fee_(PasteValue)25"/>
      <sheetName val="For_GSC_charge_(PasteValue)25"/>
      <sheetName val="Allocation_Base_(GSIN)25"/>
      <sheetName val="To_DCIN25"/>
      <sheetName val="For_Training_Svc_fee_(PasteVa25"/>
      <sheetName val="Income_Statement24"/>
      <sheetName val="INV0299_(2)24"/>
      <sheetName val="FOREX_0424"/>
      <sheetName val="FOREX_0324"/>
      <sheetName val="FOREX_04_audited24"/>
      <sheetName val="Data_Input24"/>
      <sheetName val="Cost_Input_Sheet24"/>
      <sheetName val="Q120_AP_Aging24"/>
      <sheetName val="Base_Data23"/>
      <sheetName val="RWP_3323"/>
      <sheetName val="TRADING_PROFIT23"/>
      <sheetName val="EB_PDT23"/>
      <sheetName val="Exc__Rate23"/>
      <sheetName val="EYAS_Standar23"/>
      <sheetName val="BAL_SHEET(2)23"/>
      <sheetName val="CUSTOMER_LOOKUP23"/>
      <sheetName val="SUMMARY_23"/>
      <sheetName val="Sheet1_(19)23"/>
      <sheetName val="Rekap_Penj23"/>
      <sheetName val="BS-PL_Komersil_and_Fiskal23"/>
      <sheetName val="Front_Sheet23"/>
      <sheetName val="Name_Map23"/>
      <sheetName val="TB_IDR_Only23"/>
      <sheetName val="Breakdown_LF603_123"/>
      <sheetName val="Sheet_1_(2)23"/>
      <sheetName val="COA_BM23"/>
      <sheetName val="Check_Sheet23"/>
      <sheetName val="PLHO_Report23"/>
      <sheetName val="FL_&amp;_IC23"/>
      <sheetName val="Table_123"/>
      <sheetName val="229_Accr_Exp23"/>
      <sheetName val="Income_State23"/>
      <sheetName val="Content_323"/>
      <sheetName val="hutang_DPLK23"/>
      <sheetName val="Access_Radio_NL40023"/>
      <sheetName val="HWL_(2)22"/>
      <sheetName val="A2_1_CAJE25"/>
      <sheetName val="TRAVEL_PLAN23"/>
      <sheetName val="Financial_Statement20"/>
      <sheetName val="Tax_comp23"/>
      <sheetName val="TWDV_over_NBV23"/>
      <sheetName val="Product_Requirement23"/>
      <sheetName val="Investasi_&amp;_depresiasi23"/>
      <sheetName val="Att_1-5_yr01_(Ind)20"/>
      <sheetName val="Att_1-5_yr0120"/>
      <sheetName val="PPh_22_-_0120"/>
      <sheetName val="PPh_22_-_01_(E)20"/>
      <sheetName val="Depr_for_add_200120"/>
      <sheetName val="Perhit_disp_01_(E)20"/>
      <sheetName val="Perhit_disp_0120"/>
      <sheetName val="Depreciation_DBI_0120"/>
      <sheetName val="Amortisation_DBI_20"/>
      <sheetName val="Sheet1_(3)20"/>
      <sheetName val="Sheet1_(2)20"/>
      <sheetName val="expat_exp20"/>
      <sheetName val="Customer_List20"/>
      <sheetName val="Stock_CIW20"/>
      <sheetName val="_INCOME_STATEMENT21"/>
      <sheetName val="Data_Submission23"/>
      <sheetName val="Lookup_Tables23"/>
      <sheetName val="K_6DEPOSIT20"/>
      <sheetName val="99_10_1220"/>
      <sheetName val="Other_charges_(income)20"/>
      <sheetName val="lab_norge20"/>
      <sheetName val="SAD_Conclusion20"/>
      <sheetName val="SAD_Schedule20"/>
      <sheetName val="Cruser_Sp7118"/>
      <sheetName val="Sch_18"/>
      <sheetName val="E-9_3(PBC)18"/>
      <sheetName val="hitung_ulang_JEPANG18"/>
      <sheetName val="HO_Use18"/>
      <sheetName val="BGT_Cashflow18"/>
      <sheetName val="ACT_Cashflow18"/>
      <sheetName val="BGT_Cashflow_18"/>
      <sheetName val="Muebles_y_Enseres18"/>
      <sheetName val="New_List18"/>
      <sheetName val="LOC_Score18"/>
      <sheetName val="Laba_Rugi18"/>
      <sheetName val="Pembelian_Aktiva18"/>
      <sheetName val="Beban_Operasi18"/>
      <sheetName val="GL_Items_MEI18"/>
      <sheetName val="7_218"/>
      <sheetName val="00_received_in_0118"/>
      <sheetName val="Per_GL_J_a_n18"/>
      <sheetName val="FE-1770_P125"/>
      <sheetName val="FE-1770_P225"/>
      <sheetName val="FI-177O_P125"/>
      <sheetName val="FI-1770_P225"/>
      <sheetName val="Final_Tax25"/>
      <sheetName val="Irregular_Income25"/>
      <sheetName val="Rp_Banten23"/>
      <sheetName val="Permanent_info23"/>
      <sheetName val="RMFE_0422"/>
      <sheetName val="BS_final24"/>
      <sheetName val="B_123"/>
      <sheetName val="3__Neraca_dan_RL24"/>
      <sheetName val="Mine_Assumptions24"/>
      <sheetName val="RENCANA_KERJA24"/>
      <sheetName val="VAT_out24"/>
      <sheetName val="Journal_Template24"/>
      <sheetName val="trf_d-i23"/>
      <sheetName val="K_2_122"/>
      <sheetName val="Forecase_200423"/>
      <sheetName val="Main_Menu23"/>
      <sheetName val="A_u_g23"/>
      <sheetName val="M-2_Adjusted23"/>
      <sheetName val="BOQ_price22"/>
      <sheetName val="Professionals_Standard22"/>
      <sheetName val="ESG_local22"/>
      <sheetName val="Details_BS_YTD22"/>
      <sheetName val="K_1_1_1_HGU21"/>
      <sheetName val="DEFECTED_NOV21"/>
      <sheetName val="Exch_rate21"/>
      <sheetName val="Internal_order22"/>
      <sheetName val="Other_Current21"/>
      <sheetName val="Other_YTD21"/>
      <sheetName val="HBI_NCD21"/>
      <sheetName val="Table_Array21"/>
      <sheetName val="HBS_Credit_Detail21"/>
      <sheetName val="ID_MENADO20"/>
      <sheetName val="Bank_Recon_-_IDR21"/>
      <sheetName val="Detail_pg222"/>
      <sheetName val="move_(2)22"/>
      <sheetName val="oblig_Trad&amp;AFS21"/>
      <sheetName val="For_Mgmt_fee22"/>
      <sheetName val="For_GSC_charge22"/>
      <sheetName val="For_Training_Svc_fee22"/>
      <sheetName val="For_Mgmt_fee_(PasteValue)22"/>
      <sheetName val="For_GSC_charge_(PasteValue)22"/>
      <sheetName val="Allocation_Base_(GSIN)22"/>
      <sheetName val="To_DCIN22"/>
      <sheetName val="For_Training_Svc_fee_(PasteVa22"/>
      <sheetName val="Income_Statement21"/>
      <sheetName val="INV0299_(2)21"/>
      <sheetName val="FOREX_0421"/>
      <sheetName val="FOREX_0321"/>
      <sheetName val="FOREX_04_audited21"/>
      <sheetName val="Data_Input21"/>
      <sheetName val="Cost_Input_Sheet21"/>
      <sheetName val="Q120_AP_Aging21"/>
      <sheetName val="Base_Data20"/>
      <sheetName val="RWP_3320"/>
      <sheetName val="TRADING_PROFIT20"/>
      <sheetName val="EB_PDT20"/>
      <sheetName val="Exc__Rate20"/>
      <sheetName val="EYAS_Standar20"/>
      <sheetName val="BAL_SHEET(2)20"/>
      <sheetName val="CUSTOMER_LOOKUP20"/>
      <sheetName val="SUMMARY_20"/>
      <sheetName val="Sheet1_(19)20"/>
      <sheetName val="Rekap_Penj20"/>
      <sheetName val="BS-PL_Komersil_and_Fiskal20"/>
      <sheetName val="Front_Sheet20"/>
      <sheetName val="Name_Map20"/>
      <sheetName val="TB_IDR_Only20"/>
      <sheetName val="Breakdown_LF603_120"/>
      <sheetName val="Sheet_1_(2)20"/>
      <sheetName val="COA_BM20"/>
      <sheetName val="Check_Sheet20"/>
      <sheetName val="PLHO_Report20"/>
      <sheetName val="FL_&amp;_IC20"/>
      <sheetName val="Table_120"/>
      <sheetName val="229_Accr_Exp20"/>
      <sheetName val="Income_State20"/>
      <sheetName val="Content_320"/>
      <sheetName val="hutang_DPLK20"/>
      <sheetName val="Access_Radio_NL40020"/>
      <sheetName val="HWL_(2)19"/>
      <sheetName val="A2_1_CAJE22"/>
      <sheetName val="TRAVEL_PLAN20"/>
      <sheetName val="Financial_Statement17"/>
      <sheetName val="Tax_comp20"/>
      <sheetName val="TWDV_over_NBV20"/>
      <sheetName val="Product_Requirement20"/>
      <sheetName val="Investasi_&amp;_depresiasi20"/>
      <sheetName val="Att_1-5_yr01_(Ind)17"/>
      <sheetName val="Att_1-5_yr0117"/>
      <sheetName val="PPh_22_-_0117"/>
      <sheetName val="PPh_22_-_01_(E)17"/>
      <sheetName val="Depr_for_add_200117"/>
      <sheetName val="Perhit_disp_01_(E)17"/>
      <sheetName val="Perhit_disp_0117"/>
      <sheetName val="Depreciation_DBI_0117"/>
      <sheetName val="Amortisation_DBI_17"/>
      <sheetName val="Sheet1_(3)17"/>
      <sheetName val="Sheet1_(2)17"/>
      <sheetName val="expat_exp17"/>
      <sheetName val="Customer_List17"/>
      <sheetName val="Stock_CIW17"/>
      <sheetName val="_INCOME_STATEMENT18"/>
      <sheetName val="Data_Submission20"/>
      <sheetName val="Lookup_Tables20"/>
      <sheetName val="K_6DEPOSIT17"/>
      <sheetName val="99_10_1217"/>
      <sheetName val="Other_charges_(income)17"/>
      <sheetName val="lab_norge17"/>
      <sheetName val="SAD_Conclusion17"/>
      <sheetName val="SAD_Schedule17"/>
      <sheetName val="Cruser_Sp7115"/>
      <sheetName val="Sch_15"/>
      <sheetName val="E-9_3(PBC)15"/>
      <sheetName val="hitung_ulang_JEPANG15"/>
      <sheetName val="HO_Use15"/>
      <sheetName val="BGT_Cashflow15"/>
      <sheetName val="ACT_Cashflow15"/>
      <sheetName val="BGT_Cashflow_15"/>
      <sheetName val="Muebles_y_Enseres15"/>
      <sheetName val="New_List15"/>
      <sheetName val="LOC_Score15"/>
      <sheetName val="Laba_Rugi15"/>
      <sheetName val="Pembelian_Aktiva15"/>
      <sheetName val="Beban_Operasi15"/>
      <sheetName val="GL_Items_MEI15"/>
      <sheetName val="7_215"/>
      <sheetName val="00_received_in_0115"/>
      <sheetName val="Per_GL_J_a_n15"/>
      <sheetName val="FE-1770_P123"/>
      <sheetName val="FE-1770_P223"/>
      <sheetName val="FI-177O_P123"/>
      <sheetName val="FI-1770_P223"/>
      <sheetName val="Final_Tax23"/>
      <sheetName val="Irregular_Income23"/>
      <sheetName val="Rp_Banten21"/>
      <sheetName val="Permanent_info21"/>
      <sheetName val="RMFE_0420"/>
      <sheetName val="BS_final22"/>
      <sheetName val="B_121"/>
      <sheetName val="3__Neraca_dan_RL22"/>
      <sheetName val="Mine_Assumptions22"/>
      <sheetName val="RENCANA_KERJA22"/>
      <sheetName val="VAT_out22"/>
      <sheetName val="Journal_Template22"/>
      <sheetName val="trf_d-i21"/>
      <sheetName val="K_2_120"/>
      <sheetName val="Forecase_200421"/>
      <sheetName val="Main_Menu21"/>
      <sheetName val="A_u_g21"/>
      <sheetName val="M-2_Adjusted21"/>
      <sheetName val="BOQ_price20"/>
      <sheetName val="Professionals_Standard20"/>
      <sheetName val="ESG_local20"/>
      <sheetName val="Details_BS_YTD20"/>
      <sheetName val="K_1_1_1_HGU19"/>
      <sheetName val="DEFECTED_NOV19"/>
      <sheetName val="Exch_rate19"/>
      <sheetName val="Internal_order20"/>
      <sheetName val="Other_Current19"/>
      <sheetName val="Other_YTD19"/>
      <sheetName val="HBI_NCD19"/>
      <sheetName val="Table_Array19"/>
      <sheetName val="HBS_Credit_Detail19"/>
      <sheetName val="ID_MENADO18"/>
      <sheetName val="Bank_Recon_-_IDR19"/>
      <sheetName val="Detail_pg220"/>
      <sheetName val="move_(2)20"/>
      <sheetName val="oblig_Trad&amp;AFS19"/>
      <sheetName val="For_Mgmt_fee20"/>
      <sheetName val="For_GSC_charge20"/>
      <sheetName val="For_Training_Svc_fee20"/>
      <sheetName val="For_Mgmt_fee_(PasteValue)20"/>
      <sheetName val="For_GSC_charge_(PasteValue)20"/>
      <sheetName val="Allocation_Base_(GSIN)20"/>
      <sheetName val="To_DCIN20"/>
      <sheetName val="For_Training_Svc_fee_(PasteVa20"/>
      <sheetName val="Income_Statement19"/>
      <sheetName val="INV0299_(2)19"/>
      <sheetName val="FOREX_0419"/>
      <sheetName val="FOREX_0319"/>
      <sheetName val="FOREX_04_audited19"/>
      <sheetName val="Data_Input19"/>
      <sheetName val="Cost_Input_Sheet19"/>
      <sheetName val="Q120_AP_Aging19"/>
      <sheetName val="Base_Data18"/>
      <sheetName val="RWP_3318"/>
      <sheetName val="TRADING_PROFIT18"/>
      <sheetName val="EB_PDT18"/>
      <sheetName val="Exc__Rate18"/>
      <sheetName val="EYAS_Standar18"/>
      <sheetName val="BAL_SHEET(2)18"/>
      <sheetName val="CUSTOMER_LOOKUP18"/>
      <sheetName val="SUMMARY_18"/>
      <sheetName val="Sheet1_(19)18"/>
      <sheetName val="Rekap_Penj18"/>
      <sheetName val="BS-PL_Komersil_and_Fiskal18"/>
      <sheetName val="Front_Sheet18"/>
      <sheetName val="Name_Map18"/>
      <sheetName val="TB_IDR_Only18"/>
      <sheetName val="Breakdown_LF603_118"/>
      <sheetName val="Sheet_1_(2)18"/>
      <sheetName val="COA_BM18"/>
      <sheetName val="Check_Sheet18"/>
      <sheetName val="PLHO_Report18"/>
      <sheetName val="FL_&amp;_IC18"/>
      <sheetName val="Table_118"/>
      <sheetName val="229_Accr_Exp18"/>
      <sheetName val="Income_State18"/>
      <sheetName val="Content_318"/>
      <sheetName val="hutang_DPLK18"/>
      <sheetName val="Access_Radio_NL40018"/>
      <sheetName val="HWL_(2)17"/>
      <sheetName val="A2_1_CAJE20"/>
      <sheetName val="TRAVEL_PLAN18"/>
      <sheetName val="Financial_Statement15"/>
      <sheetName val="Tax_comp18"/>
      <sheetName val="TWDV_over_NBV18"/>
      <sheetName val="Product_Requirement18"/>
      <sheetName val="Investasi_&amp;_depresiasi18"/>
      <sheetName val="Att_1-5_yr01_(Ind)15"/>
      <sheetName val="Att_1-5_yr0115"/>
      <sheetName val="PPh_22_-_0115"/>
      <sheetName val="PPh_22_-_01_(E)15"/>
      <sheetName val="Depr_for_add_200115"/>
      <sheetName val="Perhit_disp_01_(E)15"/>
      <sheetName val="Perhit_disp_0115"/>
      <sheetName val="Depreciation_DBI_0115"/>
      <sheetName val="Amortisation_DBI_15"/>
      <sheetName val="Sheet1_(3)15"/>
      <sheetName val="Sheet1_(2)15"/>
      <sheetName val="expat_exp15"/>
      <sheetName val="Customer_List15"/>
      <sheetName val="Stock_CIW15"/>
      <sheetName val="_INCOME_STATEMENT16"/>
      <sheetName val="Data_Submission18"/>
      <sheetName val="Lookup_Tables18"/>
      <sheetName val="K_6DEPOSIT15"/>
      <sheetName val="99_10_1215"/>
      <sheetName val="Other_charges_(income)15"/>
      <sheetName val="lab_norge15"/>
      <sheetName val="SAD_Conclusion15"/>
      <sheetName val="SAD_Schedule15"/>
      <sheetName val="Cruser_Sp7114"/>
      <sheetName val="Sch_14"/>
      <sheetName val="E-9_3(PBC)14"/>
      <sheetName val="hitung_ulang_JEPANG14"/>
      <sheetName val="HO_Use14"/>
      <sheetName val="BGT_Cashflow14"/>
      <sheetName val="ACT_Cashflow14"/>
      <sheetName val="BGT_Cashflow_14"/>
      <sheetName val="Muebles_y_Enseres14"/>
      <sheetName val="New_List14"/>
      <sheetName val="LOC_Score14"/>
      <sheetName val="Laba_Rugi14"/>
      <sheetName val="Pembelian_Aktiva14"/>
      <sheetName val="Beban_Operasi14"/>
      <sheetName val="GL_Items_MEI14"/>
      <sheetName val="7_214"/>
      <sheetName val="00_received_in_0114"/>
      <sheetName val="Per_GL_J_a_n14"/>
      <sheetName val="FE-1770_P122"/>
      <sheetName val="FE-1770_P222"/>
      <sheetName val="FI-177O_P122"/>
      <sheetName val="FI-1770_P222"/>
      <sheetName val="Final_Tax22"/>
      <sheetName val="Irregular_Income22"/>
      <sheetName val="Rp_Banten20"/>
      <sheetName val="Permanent_info20"/>
      <sheetName val="RMFE_0419"/>
      <sheetName val="BS_final21"/>
      <sheetName val="B_120"/>
      <sheetName val="3__Neraca_dan_RL21"/>
      <sheetName val="Mine_Assumptions21"/>
      <sheetName val="RENCANA_KERJA21"/>
      <sheetName val="VAT_out21"/>
      <sheetName val="Journal_Template21"/>
      <sheetName val="trf_d-i20"/>
      <sheetName val="K_2_119"/>
      <sheetName val="Forecase_200420"/>
      <sheetName val="Main_Menu20"/>
      <sheetName val="A_u_g20"/>
      <sheetName val="M-2_Adjusted20"/>
      <sheetName val="BOQ_price19"/>
      <sheetName val="Professionals_Standard19"/>
      <sheetName val="ESG_local19"/>
      <sheetName val="Details_BS_YTD19"/>
      <sheetName val="K_1_1_1_HGU18"/>
      <sheetName val="DEFECTED_NOV18"/>
      <sheetName val="Exch_rate18"/>
      <sheetName val="Internal_order19"/>
      <sheetName val="Other_Current18"/>
      <sheetName val="Other_YTD18"/>
      <sheetName val="HBI_NCD18"/>
      <sheetName val="Table_Array18"/>
      <sheetName val="HBS_Credit_Detail18"/>
      <sheetName val="ID_MENADO17"/>
      <sheetName val="Bank_Recon_-_IDR18"/>
      <sheetName val="Detail_pg219"/>
      <sheetName val="move_(2)19"/>
      <sheetName val="oblig_Trad&amp;AFS18"/>
      <sheetName val="For_Mgmt_fee19"/>
      <sheetName val="For_GSC_charge19"/>
      <sheetName val="For_Training_Svc_fee19"/>
      <sheetName val="For_Mgmt_fee_(PasteValue)19"/>
      <sheetName val="For_GSC_charge_(PasteValue)19"/>
      <sheetName val="Allocation_Base_(GSIN)19"/>
      <sheetName val="To_DCIN19"/>
      <sheetName val="For_Training_Svc_fee_(PasteVa19"/>
      <sheetName val="Income_Statement18"/>
      <sheetName val="INV0299_(2)18"/>
      <sheetName val="FOREX_0418"/>
      <sheetName val="FOREX_0318"/>
      <sheetName val="FOREX_04_audited18"/>
      <sheetName val="Data_Input18"/>
      <sheetName val="Cost_Input_Sheet18"/>
      <sheetName val="Q120_AP_Aging18"/>
      <sheetName val="Base_Data17"/>
      <sheetName val="RWP_3317"/>
      <sheetName val="TRADING_PROFIT17"/>
      <sheetName val="EB_PDT17"/>
      <sheetName val="Exc__Rate17"/>
      <sheetName val="EYAS_Standar17"/>
      <sheetName val="BAL_SHEET(2)17"/>
      <sheetName val="CUSTOMER_LOOKUP17"/>
      <sheetName val="SUMMARY_17"/>
      <sheetName val="Sheet1_(19)17"/>
      <sheetName val="Rekap_Penj17"/>
      <sheetName val="BS-PL_Komersil_and_Fiskal17"/>
      <sheetName val="Front_Sheet17"/>
      <sheetName val="Name_Map17"/>
      <sheetName val="TB_IDR_Only17"/>
      <sheetName val="Breakdown_LF603_117"/>
      <sheetName val="Sheet_1_(2)17"/>
      <sheetName val="COA_BM17"/>
      <sheetName val="Check_Sheet17"/>
      <sheetName val="PLHO_Report17"/>
      <sheetName val="FL_&amp;_IC17"/>
      <sheetName val="Table_117"/>
      <sheetName val="229_Accr_Exp17"/>
      <sheetName val="Income_State17"/>
      <sheetName val="Content_317"/>
      <sheetName val="hutang_DPLK17"/>
      <sheetName val="Access_Radio_NL40017"/>
      <sheetName val="HWL_(2)16"/>
      <sheetName val="A2_1_CAJE19"/>
      <sheetName val="TRAVEL_PLAN17"/>
      <sheetName val="Financial_Statement14"/>
      <sheetName val="Tax_comp17"/>
      <sheetName val="TWDV_over_NBV17"/>
      <sheetName val="Product_Requirement17"/>
      <sheetName val="Investasi_&amp;_depresiasi17"/>
      <sheetName val="Att_1-5_yr01_(Ind)14"/>
      <sheetName val="Att_1-5_yr0114"/>
      <sheetName val="PPh_22_-_0114"/>
      <sheetName val="PPh_22_-_01_(E)14"/>
      <sheetName val="Depr_for_add_200114"/>
      <sheetName val="Perhit_disp_01_(E)14"/>
      <sheetName val="Perhit_disp_0114"/>
      <sheetName val="Depreciation_DBI_0114"/>
      <sheetName val="Amortisation_DBI_14"/>
      <sheetName val="Sheet1_(3)14"/>
      <sheetName val="Sheet1_(2)14"/>
      <sheetName val="expat_exp14"/>
      <sheetName val="Customer_List14"/>
      <sheetName val="Stock_CIW14"/>
      <sheetName val="_INCOME_STATEMENT15"/>
      <sheetName val="Data_Submission17"/>
      <sheetName val="Lookup_Tables17"/>
      <sheetName val="K_6DEPOSIT14"/>
      <sheetName val="99_10_1214"/>
      <sheetName val="Other_charges_(income)14"/>
      <sheetName val="lab_norge14"/>
      <sheetName val="SAD_Conclusion14"/>
      <sheetName val="SAD_Schedule14"/>
      <sheetName val="Cruser_Sp7113"/>
      <sheetName val="Sch_13"/>
      <sheetName val="E-9_3(PBC)13"/>
      <sheetName val="hitung_ulang_JEPANG13"/>
      <sheetName val="HO_Use13"/>
      <sheetName val="BGT_Cashflow13"/>
      <sheetName val="ACT_Cashflow13"/>
      <sheetName val="BGT_Cashflow_13"/>
      <sheetName val="Muebles_y_Enseres13"/>
      <sheetName val="New_List13"/>
      <sheetName val="LOC_Score13"/>
      <sheetName val="Laba_Rugi13"/>
      <sheetName val="Pembelian_Aktiva13"/>
      <sheetName val="Beban_Operasi13"/>
      <sheetName val="GL_Items_MEI13"/>
      <sheetName val="7_213"/>
      <sheetName val="00_received_in_0113"/>
      <sheetName val="Per_GL_J_a_n13"/>
      <sheetName val="FE-1770_P124"/>
      <sheetName val="FE-1770_P224"/>
      <sheetName val="FI-177O_P124"/>
      <sheetName val="FI-1770_P224"/>
      <sheetName val="Final_Tax24"/>
      <sheetName val="Irregular_Income24"/>
      <sheetName val="Rp_Banten22"/>
      <sheetName val="Permanent_info22"/>
      <sheetName val="RMFE_0421"/>
      <sheetName val="BS_final23"/>
      <sheetName val="B_122"/>
      <sheetName val="3__Neraca_dan_RL23"/>
      <sheetName val="Mine_Assumptions23"/>
      <sheetName val="RENCANA_KERJA23"/>
      <sheetName val="VAT_out23"/>
      <sheetName val="Journal_Template23"/>
      <sheetName val="trf_d-i22"/>
      <sheetName val="K_2_121"/>
      <sheetName val="Forecase_200422"/>
      <sheetName val="Main_Menu22"/>
      <sheetName val="A_u_g22"/>
      <sheetName val="M-2_Adjusted22"/>
      <sheetName val="BOQ_price21"/>
      <sheetName val="Professionals_Standard21"/>
      <sheetName val="ESG_local21"/>
      <sheetName val="Details_BS_YTD21"/>
      <sheetName val="K_1_1_1_HGU20"/>
      <sheetName val="DEFECTED_NOV20"/>
      <sheetName val="Exch_rate20"/>
      <sheetName val="Internal_order21"/>
      <sheetName val="Other_Current20"/>
      <sheetName val="Other_YTD20"/>
      <sheetName val="HBI_NCD20"/>
      <sheetName val="Table_Array20"/>
      <sheetName val="HBS_Credit_Detail20"/>
      <sheetName val="ID_MENADO19"/>
      <sheetName val="Bank_Recon_-_IDR20"/>
      <sheetName val="Detail_pg221"/>
      <sheetName val="move_(2)21"/>
      <sheetName val="oblig_Trad&amp;AFS20"/>
      <sheetName val="For_Mgmt_fee21"/>
      <sheetName val="For_GSC_charge21"/>
      <sheetName val="For_Training_Svc_fee21"/>
      <sheetName val="For_Mgmt_fee_(PasteValue)21"/>
      <sheetName val="For_GSC_charge_(PasteValue)21"/>
      <sheetName val="Allocation_Base_(GSIN)21"/>
      <sheetName val="To_DCIN21"/>
      <sheetName val="For_Training_Svc_fee_(PasteVa21"/>
      <sheetName val="Income_Statement20"/>
      <sheetName val="INV0299_(2)20"/>
      <sheetName val="FOREX_0420"/>
      <sheetName val="FOREX_0320"/>
      <sheetName val="FOREX_04_audited20"/>
      <sheetName val="Data_Input20"/>
      <sheetName val="Cost_Input_Sheet20"/>
      <sheetName val="Q120_AP_Aging20"/>
      <sheetName val="Base_Data19"/>
      <sheetName val="RWP_3319"/>
      <sheetName val="TRADING_PROFIT19"/>
      <sheetName val="EB_PDT19"/>
      <sheetName val="Exc__Rate19"/>
      <sheetName val="EYAS_Standar19"/>
      <sheetName val="BAL_SHEET(2)19"/>
      <sheetName val="CUSTOMER_LOOKUP19"/>
      <sheetName val="SUMMARY_19"/>
      <sheetName val="Sheet1_(19)19"/>
      <sheetName val="Rekap_Penj19"/>
      <sheetName val="BS-PL_Komersil_and_Fiskal19"/>
      <sheetName val="Front_Sheet19"/>
      <sheetName val="Name_Map19"/>
      <sheetName val="TB_IDR_Only19"/>
      <sheetName val="Breakdown_LF603_119"/>
      <sheetName val="Sheet_1_(2)19"/>
      <sheetName val="COA_BM19"/>
      <sheetName val="Check_Sheet19"/>
      <sheetName val="PLHO_Report19"/>
      <sheetName val="FL_&amp;_IC19"/>
      <sheetName val="Table_119"/>
      <sheetName val="229_Accr_Exp19"/>
      <sheetName val="Income_State19"/>
      <sheetName val="Content_319"/>
      <sheetName val="hutang_DPLK19"/>
      <sheetName val="Access_Radio_NL40019"/>
      <sheetName val="HWL_(2)18"/>
      <sheetName val="A2_1_CAJE21"/>
      <sheetName val="TRAVEL_PLAN19"/>
      <sheetName val="Financial_Statement16"/>
      <sheetName val="Tax_comp19"/>
      <sheetName val="TWDV_over_NBV19"/>
      <sheetName val="Product_Requirement19"/>
      <sheetName val="Investasi_&amp;_depresiasi19"/>
      <sheetName val="Att_1-5_yr01_(Ind)16"/>
      <sheetName val="Att_1-5_yr0116"/>
      <sheetName val="PPh_22_-_0116"/>
      <sheetName val="PPh_22_-_01_(E)16"/>
      <sheetName val="Depr_for_add_200116"/>
      <sheetName val="Perhit_disp_01_(E)16"/>
      <sheetName val="Perhit_disp_0116"/>
      <sheetName val="Depreciation_DBI_0116"/>
      <sheetName val="Amortisation_DBI_16"/>
      <sheetName val="Sheet1_(3)16"/>
      <sheetName val="Sheet1_(2)16"/>
      <sheetName val="expat_exp16"/>
      <sheetName val="Customer_List16"/>
      <sheetName val="Stock_CIW16"/>
      <sheetName val="_INCOME_STATEMENT17"/>
      <sheetName val="Data_Submission19"/>
      <sheetName val="Lookup_Tables19"/>
      <sheetName val="K_6DEPOSIT16"/>
      <sheetName val="99_10_1216"/>
      <sheetName val="Other_charges_(income)16"/>
      <sheetName val="lab_norge16"/>
      <sheetName val="SAD_Conclusion16"/>
      <sheetName val="SAD_Schedule16"/>
      <sheetName val="FE-1770_P126"/>
      <sheetName val="FE-1770_P226"/>
      <sheetName val="FI-177O_P126"/>
      <sheetName val="FI-1770_P226"/>
      <sheetName val="Final_Tax26"/>
      <sheetName val="Irregular_Income26"/>
      <sheetName val="Rp_Banten24"/>
      <sheetName val="Permanent_info24"/>
      <sheetName val="RMFE_0423"/>
      <sheetName val="BS_final25"/>
      <sheetName val="B_124"/>
      <sheetName val="3__Neraca_dan_RL25"/>
      <sheetName val="Mine_Assumptions25"/>
      <sheetName val="RENCANA_KERJA25"/>
      <sheetName val="VAT_out25"/>
      <sheetName val="Journal_Template25"/>
      <sheetName val="trf_d-i24"/>
      <sheetName val="K_2_123"/>
      <sheetName val="Forecase_200424"/>
      <sheetName val="Main_Menu24"/>
      <sheetName val="A_u_g24"/>
      <sheetName val="M-2_Adjusted24"/>
      <sheetName val="BOQ_price23"/>
      <sheetName val="Professionals_Standard23"/>
      <sheetName val="ESG_local23"/>
      <sheetName val="Details_BS_YTD23"/>
      <sheetName val="K_1_1_1_HGU22"/>
      <sheetName val="DEFECTED_NOV22"/>
      <sheetName val="Exch_rate22"/>
      <sheetName val="Internal_order23"/>
      <sheetName val="Other_Current22"/>
      <sheetName val="Other_YTD22"/>
      <sheetName val="HBI_NCD22"/>
      <sheetName val="Table_Array22"/>
      <sheetName val="HBS_Credit_Detail22"/>
      <sheetName val="ID_MENADO21"/>
      <sheetName val="Bank_Recon_-_IDR22"/>
      <sheetName val="Detail_pg223"/>
      <sheetName val="move_(2)23"/>
      <sheetName val="oblig_Trad&amp;AFS22"/>
      <sheetName val="For_Mgmt_fee23"/>
      <sheetName val="For_GSC_charge23"/>
      <sheetName val="For_Training_Svc_fee23"/>
      <sheetName val="For_Mgmt_fee_(PasteValue)23"/>
      <sheetName val="For_GSC_charge_(PasteValue)23"/>
      <sheetName val="Allocation_Base_(GSIN)23"/>
      <sheetName val="To_DCIN23"/>
      <sheetName val="For_Training_Svc_fee_(PasteVa23"/>
      <sheetName val="Income_Statement22"/>
      <sheetName val="INV0299_(2)22"/>
      <sheetName val="FOREX_0422"/>
      <sheetName val="FOREX_0322"/>
      <sheetName val="FOREX_04_audited22"/>
      <sheetName val="Data_Input22"/>
      <sheetName val="Cost_Input_Sheet22"/>
      <sheetName val="Q120_AP_Aging22"/>
      <sheetName val="Base_Data21"/>
      <sheetName val="RWP_3321"/>
      <sheetName val="TRADING_PROFIT21"/>
      <sheetName val="EB_PDT21"/>
      <sheetName val="Exc__Rate21"/>
      <sheetName val="EYAS_Standar21"/>
      <sheetName val="BAL_SHEET(2)21"/>
      <sheetName val="CUSTOMER_LOOKUP21"/>
      <sheetName val="SUMMARY_21"/>
      <sheetName val="Sheet1_(19)21"/>
      <sheetName val="Rekap_Penj21"/>
      <sheetName val="BS-PL_Komersil_and_Fiskal21"/>
      <sheetName val="Front_Sheet21"/>
      <sheetName val="Name_Map21"/>
      <sheetName val="TB_IDR_Only21"/>
      <sheetName val="Breakdown_LF603_121"/>
      <sheetName val="Sheet_1_(2)21"/>
      <sheetName val="COA_BM21"/>
      <sheetName val="Check_Sheet21"/>
      <sheetName val="PLHO_Report21"/>
      <sheetName val="FL_&amp;_IC21"/>
      <sheetName val="Table_121"/>
      <sheetName val="229_Accr_Exp21"/>
      <sheetName val="Income_State21"/>
      <sheetName val="Content_321"/>
      <sheetName val="hutang_DPLK21"/>
      <sheetName val="Access_Radio_NL40021"/>
      <sheetName val="HWL_(2)20"/>
      <sheetName val="A2_1_CAJE23"/>
      <sheetName val="TRAVEL_PLAN21"/>
      <sheetName val="Financial_Statement18"/>
      <sheetName val="Tax_comp21"/>
      <sheetName val="TWDV_over_NBV21"/>
      <sheetName val="Product_Requirement21"/>
      <sheetName val="Investasi_&amp;_depresiasi21"/>
      <sheetName val="Att_1-5_yr01_(Ind)18"/>
      <sheetName val="Att_1-5_yr0118"/>
      <sheetName val="PPh_22_-_0118"/>
      <sheetName val="PPh_22_-_01_(E)18"/>
      <sheetName val="Depr_for_add_200118"/>
      <sheetName val="Perhit_disp_01_(E)18"/>
      <sheetName val="Perhit_disp_0118"/>
      <sheetName val="Depreciation_DBI_0118"/>
      <sheetName val="Amortisation_DBI_18"/>
      <sheetName val="Sheet1_(3)18"/>
      <sheetName val="Sheet1_(2)18"/>
      <sheetName val="expat_exp18"/>
      <sheetName val="Customer_List18"/>
      <sheetName val="Stock_CIW18"/>
      <sheetName val="_INCOME_STATEMENT19"/>
      <sheetName val="Data_Submission21"/>
      <sheetName val="Lookup_Tables21"/>
      <sheetName val="K_6DEPOSIT18"/>
      <sheetName val="99_10_1218"/>
      <sheetName val="Other_charges_(income)18"/>
      <sheetName val="lab_norge18"/>
      <sheetName val="SAD_Conclusion18"/>
      <sheetName val="SAD_Schedule18"/>
      <sheetName val="Cruser_Sp7116"/>
      <sheetName val="Sch_16"/>
      <sheetName val="E-9_3(PBC)16"/>
      <sheetName val="hitung_ulang_JEPANG16"/>
      <sheetName val="HO_Use16"/>
      <sheetName val="BGT_Cashflow16"/>
      <sheetName val="ACT_Cashflow16"/>
      <sheetName val="BGT_Cashflow_16"/>
      <sheetName val="Muebles_y_Enseres16"/>
      <sheetName val="New_List16"/>
      <sheetName val="LOC_Score16"/>
      <sheetName val="Laba_Rugi16"/>
      <sheetName val="Pembelian_Aktiva16"/>
      <sheetName val="Beban_Operasi16"/>
      <sheetName val="GL_Items_MEI16"/>
      <sheetName val="7_216"/>
      <sheetName val="00_received_in_0116"/>
      <sheetName val="Per_GL_J_a_n16"/>
      <sheetName val="FE-1770_P127"/>
      <sheetName val="FE-1770_P227"/>
      <sheetName val="FI-177O_P127"/>
      <sheetName val="FI-1770_P227"/>
      <sheetName val="Final_Tax27"/>
      <sheetName val="Irregular_Income27"/>
      <sheetName val="Rp_Banten25"/>
      <sheetName val="Permanent_info25"/>
      <sheetName val="RMFE_0424"/>
      <sheetName val="BS_final26"/>
      <sheetName val="B_125"/>
      <sheetName val="3__Neraca_dan_RL26"/>
      <sheetName val="Mine_Assumptions26"/>
      <sheetName val="RENCANA_KERJA26"/>
      <sheetName val="VAT_out26"/>
      <sheetName val="Journal_Template26"/>
      <sheetName val="trf_d-i25"/>
      <sheetName val="K_2_124"/>
      <sheetName val="Forecase_200425"/>
      <sheetName val="Main_Menu25"/>
      <sheetName val="A_u_g25"/>
      <sheetName val="M-2_Adjusted25"/>
      <sheetName val="BOQ_price24"/>
      <sheetName val="Professionals_Standard24"/>
      <sheetName val="ESG_local24"/>
      <sheetName val="Details_BS_YTD24"/>
      <sheetName val="K_1_1_1_HGU23"/>
      <sheetName val="DEFECTED_NOV23"/>
      <sheetName val="Exch_rate23"/>
      <sheetName val="Internal_order24"/>
      <sheetName val="Other_Current23"/>
      <sheetName val="Other_YTD23"/>
      <sheetName val="HBI_NCD23"/>
      <sheetName val="Table_Array23"/>
      <sheetName val="HBS_Credit_Detail23"/>
      <sheetName val="ID_MENADO22"/>
      <sheetName val="Bank_Recon_-_IDR23"/>
      <sheetName val="Detail_pg224"/>
      <sheetName val="move_(2)24"/>
      <sheetName val="oblig_Trad&amp;AFS23"/>
      <sheetName val="For_Mgmt_fee24"/>
      <sheetName val="For_GSC_charge24"/>
      <sheetName val="For_Training_Svc_fee24"/>
      <sheetName val="For_Mgmt_fee_(PasteValue)24"/>
      <sheetName val="For_GSC_charge_(PasteValue)24"/>
      <sheetName val="Allocation_Base_(GSIN)24"/>
      <sheetName val="To_DCIN24"/>
      <sheetName val="For_Training_Svc_fee_(PasteVa24"/>
      <sheetName val="Income_Statement23"/>
      <sheetName val="INV0299_(2)23"/>
      <sheetName val="FOREX_0423"/>
      <sheetName val="FOREX_0323"/>
      <sheetName val="FOREX_04_audited23"/>
      <sheetName val="Data_Input23"/>
      <sheetName val="Cost_Input_Sheet23"/>
      <sheetName val="Q120_AP_Aging23"/>
      <sheetName val="Base_Data22"/>
      <sheetName val="RWP_3322"/>
      <sheetName val="TRADING_PROFIT22"/>
      <sheetName val="EB_PDT22"/>
      <sheetName val="Exc__Rate22"/>
      <sheetName val="EYAS_Standar22"/>
      <sheetName val="BAL_SHEET(2)22"/>
      <sheetName val="CUSTOMER_LOOKUP22"/>
      <sheetName val="SUMMARY_22"/>
      <sheetName val="Sheet1_(19)22"/>
      <sheetName val="Rekap_Penj22"/>
      <sheetName val="BS-PL_Komersil_and_Fiskal22"/>
      <sheetName val="Front_Sheet22"/>
      <sheetName val="Name_Map22"/>
      <sheetName val="TB_IDR_Only22"/>
      <sheetName val="Breakdown_LF603_122"/>
      <sheetName val="Sheet_1_(2)22"/>
      <sheetName val="COA_BM22"/>
      <sheetName val="Check_Sheet22"/>
      <sheetName val="PLHO_Report22"/>
      <sheetName val="FL_&amp;_IC22"/>
      <sheetName val="Table_122"/>
      <sheetName val="229_Accr_Exp22"/>
      <sheetName val="Income_State22"/>
      <sheetName val="Content_322"/>
      <sheetName val="hutang_DPLK22"/>
      <sheetName val="Access_Radio_NL40022"/>
      <sheetName val="HWL_(2)21"/>
      <sheetName val="A2_1_CAJE24"/>
      <sheetName val="TRAVEL_PLAN22"/>
      <sheetName val="Financial_Statement19"/>
      <sheetName val="Tax_comp22"/>
      <sheetName val="TWDV_over_NBV22"/>
      <sheetName val="Product_Requirement22"/>
      <sheetName val="Investasi_&amp;_depresiasi22"/>
      <sheetName val="Att_1-5_yr01_(Ind)19"/>
      <sheetName val="Att_1-5_yr0119"/>
      <sheetName val="PPh_22_-_0119"/>
      <sheetName val="PPh_22_-_01_(E)19"/>
      <sheetName val="Depr_for_add_200119"/>
      <sheetName val="Perhit_disp_01_(E)19"/>
      <sheetName val="Perhit_disp_0119"/>
      <sheetName val="Depreciation_DBI_0119"/>
      <sheetName val="Amortisation_DBI_19"/>
      <sheetName val="Sheet1_(3)19"/>
      <sheetName val="Sheet1_(2)19"/>
      <sheetName val="expat_exp19"/>
      <sheetName val="Customer_List19"/>
      <sheetName val="Stock_CIW19"/>
      <sheetName val="_INCOME_STATEMENT20"/>
      <sheetName val="Data_Submission22"/>
      <sheetName val="Lookup_Tables22"/>
      <sheetName val="K_6DEPOSIT19"/>
      <sheetName val="99_10_1219"/>
      <sheetName val="Other_charges_(income)19"/>
      <sheetName val="lab_norge19"/>
      <sheetName val="SAD_Conclusion19"/>
      <sheetName val="SAD_Schedule19"/>
      <sheetName val="Cruser_Sp7117"/>
      <sheetName val="Sch_17"/>
      <sheetName val="E-9_3(PBC)17"/>
      <sheetName val="hitung_ulang_JEPANG17"/>
      <sheetName val="HO_Use17"/>
      <sheetName val="BGT_Cashflow17"/>
      <sheetName val="ACT_Cashflow17"/>
      <sheetName val="BGT_Cashflow_17"/>
      <sheetName val="Muebles_y_Enseres17"/>
      <sheetName val="New_List17"/>
      <sheetName val="LOC_Score17"/>
      <sheetName val="Laba_Rugi17"/>
      <sheetName val="Pembelian_Aktiva17"/>
      <sheetName val="Beban_Operasi17"/>
      <sheetName val="GL_Items_MEI17"/>
      <sheetName val="7_217"/>
      <sheetName val="00_received_in_0117"/>
      <sheetName val="Per_GL_J_a_n17"/>
      <sheetName val="FE-1770_P129"/>
      <sheetName val="FE-1770_P229"/>
      <sheetName val="FI-177O_P129"/>
      <sheetName val="FI-1770_P229"/>
      <sheetName val="Final_Tax29"/>
      <sheetName val="Irregular_Income29"/>
      <sheetName val="Rp_Banten27"/>
      <sheetName val="Permanent_info27"/>
      <sheetName val="RMFE_0426"/>
      <sheetName val="BS_final28"/>
      <sheetName val="B_127"/>
      <sheetName val="3__Neraca_dan_RL28"/>
      <sheetName val="Mine_Assumptions28"/>
      <sheetName val="RENCANA_KERJA28"/>
      <sheetName val="VAT_out28"/>
      <sheetName val="Journal_Template28"/>
      <sheetName val="trf_d-i27"/>
      <sheetName val="K_2_126"/>
      <sheetName val="Forecase_200427"/>
      <sheetName val="Main_Menu27"/>
      <sheetName val="A_u_g27"/>
      <sheetName val="M-2_Adjusted27"/>
      <sheetName val="BOQ_price26"/>
      <sheetName val="Professionals_Standard26"/>
      <sheetName val="ESG_local26"/>
      <sheetName val="Details_BS_YTD26"/>
      <sheetName val="K_1_1_1_HGU25"/>
      <sheetName val="DEFECTED_NOV25"/>
      <sheetName val="Exch_rate25"/>
      <sheetName val="Internal_order26"/>
      <sheetName val="Other_Current25"/>
      <sheetName val="Other_YTD25"/>
      <sheetName val="HBI_NCD25"/>
      <sheetName val="Table_Array25"/>
      <sheetName val="HBS_Credit_Detail25"/>
      <sheetName val="ID_MENADO24"/>
      <sheetName val="Bank_Recon_-_IDR25"/>
      <sheetName val="Detail_pg226"/>
      <sheetName val="move_(2)26"/>
      <sheetName val="oblig_Trad&amp;AFS25"/>
      <sheetName val="For_Mgmt_fee26"/>
      <sheetName val="For_GSC_charge26"/>
      <sheetName val="For_Training_Svc_fee26"/>
      <sheetName val="For_Mgmt_fee_(PasteValue)26"/>
      <sheetName val="For_GSC_charge_(PasteValue)26"/>
      <sheetName val="Allocation_Base_(GSIN)26"/>
      <sheetName val="To_DCIN26"/>
      <sheetName val="For_Training_Svc_fee_(PasteVa26"/>
      <sheetName val="Income_Statement25"/>
      <sheetName val="INV0299_(2)25"/>
      <sheetName val="FOREX_0425"/>
      <sheetName val="FOREX_0325"/>
      <sheetName val="FOREX_04_audited25"/>
      <sheetName val="Data_Input25"/>
      <sheetName val="Cost_Input_Sheet25"/>
      <sheetName val="Q120_AP_Aging25"/>
      <sheetName val="Base_Data24"/>
      <sheetName val="RWP_3324"/>
      <sheetName val="TRADING_PROFIT24"/>
      <sheetName val="EB_PDT24"/>
      <sheetName val="Exc__Rate24"/>
      <sheetName val="EYAS_Standar24"/>
      <sheetName val="BAL_SHEET(2)24"/>
      <sheetName val="CUSTOMER_LOOKUP24"/>
      <sheetName val="SUMMARY_24"/>
      <sheetName val="Sheet1_(19)24"/>
      <sheetName val="Rekap_Penj24"/>
      <sheetName val="BS-PL_Komersil_and_Fiskal24"/>
      <sheetName val="Front_Sheet24"/>
      <sheetName val="Name_Map24"/>
      <sheetName val="TB_IDR_Only24"/>
      <sheetName val="Breakdown_LF603_124"/>
      <sheetName val="Sheet_1_(2)24"/>
      <sheetName val="COA_BM24"/>
      <sheetName val="Check_Sheet24"/>
      <sheetName val="PLHO_Report24"/>
      <sheetName val="FL_&amp;_IC24"/>
      <sheetName val="Table_124"/>
      <sheetName val="229_Accr_Exp24"/>
      <sheetName val="Income_State24"/>
      <sheetName val="Content_324"/>
      <sheetName val="hutang_DPLK24"/>
      <sheetName val="Access_Radio_NL40024"/>
      <sheetName val="HWL_(2)23"/>
      <sheetName val="A2_1_CAJE26"/>
      <sheetName val="TRAVEL_PLAN24"/>
      <sheetName val="Financial_Statement21"/>
      <sheetName val="Tax_comp24"/>
      <sheetName val="TWDV_over_NBV24"/>
      <sheetName val="Product_Requirement24"/>
      <sheetName val="Investasi_&amp;_depresiasi24"/>
      <sheetName val="Att_1-5_yr01_(Ind)21"/>
      <sheetName val="Att_1-5_yr0121"/>
      <sheetName val="PPh_22_-_0121"/>
      <sheetName val="PPh_22_-_01_(E)21"/>
      <sheetName val="Depr_for_add_200121"/>
      <sheetName val="Perhit_disp_01_(E)21"/>
      <sheetName val="Perhit_disp_0121"/>
      <sheetName val="Depreciation_DBI_0121"/>
      <sheetName val="Amortisation_DBI_21"/>
      <sheetName val="Sheet1_(3)21"/>
      <sheetName val="Sheet1_(2)21"/>
      <sheetName val="expat_exp21"/>
      <sheetName val="Customer_List21"/>
      <sheetName val="Stock_CIW21"/>
      <sheetName val="_INCOME_STATEMENT22"/>
      <sheetName val="Data_Submission24"/>
      <sheetName val="Lookup_Tables24"/>
      <sheetName val="K_6DEPOSIT21"/>
      <sheetName val="99_10_1221"/>
      <sheetName val="Other_charges_(income)21"/>
      <sheetName val="lab_norge21"/>
      <sheetName val="SAD_Conclusion21"/>
      <sheetName val="SAD_Schedule21"/>
      <sheetName val="Cruser_Sp7119"/>
      <sheetName val="Sch_19"/>
      <sheetName val="E-9_3(PBC)19"/>
      <sheetName val="hitung_ulang_JEPANG19"/>
      <sheetName val="HO_Use19"/>
      <sheetName val="BGT_Cashflow19"/>
      <sheetName val="ACT_Cashflow19"/>
      <sheetName val="BGT_Cashflow_19"/>
      <sheetName val="Muebles_y_Enseres19"/>
      <sheetName val="New_List19"/>
      <sheetName val="LOC_Score19"/>
      <sheetName val="Laba_Rugi19"/>
      <sheetName val="Pembelian_Aktiva19"/>
      <sheetName val="Beban_Operasi19"/>
      <sheetName val="GL_Items_MEI19"/>
      <sheetName val="7_219"/>
      <sheetName val="00_received_in_0119"/>
      <sheetName val="Per_GL_J_a_n19"/>
      <sheetName val="FE-1770_P130"/>
      <sheetName val="FE-1770_P230"/>
      <sheetName val="FI-177O_P130"/>
      <sheetName val="FI-1770_P230"/>
      <sheetName val="Final_Tax30"/>
      <sheetName val="Irregular_Income30"/>
      <sheetName val="Rp_Banten28"/>
      <sheetName val="Permanent_info28"/>
      <sheetName val="RMFE_0427"/>
      <sheetName val="BS_final29"/>
      <sheetName val="B_128"/>
      <sheetName val="3__Neraca_dan_RL29"/>
      <sheetName val="Mine_Assumptions29"/>
      <sheetName val="RENCANA_KERJA29"/>
      <sheetName val="VAT_out29"/>
      <sheetName val="Journal_Template29"/>
      <sheetName val="trf_d-i28"/>
      <sheetName val="K_2_127"/>
      <sheetName val="Forecase_200428"/>
      <sheetName val="Main_Menu28"/>
      <sheetName val="A_u_g28"/>
      <sheetName val="M-2_Adjusted28"/>
      <sheetName val="BOQ_price27"/>
      <sheetName val="Professionals_Standard27"/>
      <sheetName val="ESG_local27"/>
      <sheetName val="Details_BS_YTD27"/>
      <sheetName val="K_1_1_1_HGU26"/>
      <sheetName val="DEFECTED_NOV26"/>
      <sheetName val="Exch_rate26"/>
      <sheetName val="Internal_order27"/>
      <sheetName val="Other_Current26"/>
      <sheetName val="Other_YTD26"/>
      <sheetName val="HBI_NCD26"/>
      <sheetName val="Table_Array26"/>
      <sheetName val="HBS_Credit_Detail26"/>
      <sheetName val="ID_MENADO25"/>
      <sheetName val="Bank_Recon_-_IDR26"/>
      <sheetName val="Detail_pg227"/>
      <sheetName val="move_(2)27"/>
      <sheetName val="oblig_Trad&amp;AFS26"/>
      <sheetName val="For_Mgmt_fee27"/>
      <sheetName val="For_GSC_charge27"/>
      <sheetName val="For_Training_Svc_fee27"/>
      <sheetName val="For_Mgmt_fee_(PasteValue)27"/>
      <sheetName val="For_GSC_charge_(PasteValue)27"/>
      <sheetName val="Allocation_Base_(GSIN)27"/>
      <sheetName val="To_DCIN27"/>
      <sheetName val="For_Training_Svc_fee_(PasteVa27"/>
      <sheetName val="Income_Statement26"/>
      <sheetName val="INV0299_(2)26"/>
      <sheetName val="FOREX_0426"/>
      <sheetName val="FOREX_0326"/>
      <sheetName val="FOREX_04_audited26"/>
      <sheetName val="Data_Input26"/>
      <sheetName val="Cost_Input_Sheet26"/>
      <sheetName val="Q120_AP_Aging26"/>
      <sheetName val="Base_Data25"/>
      <sheetName val="RWP_3325"/>
      <sheetName val="TRADING_PROFIT25"/>
      <sheetName val="EB_PDT25"/>
      <sheetName val="Exc__Rate25"/>
      <sheetName val="EYAS_Standar25"/>
      <sheetName val="BAL_SHEET(2)25"/>
      <sheetName val="CUSTOMER_LOOKUP25"/>
      <sheetName val="SUMMARY_25"/>
      <sheetName val="Sheet1_(19)25"/>
      <sheetName val="Rekap_Penj25"/>
      <sheetName val="BS-PL_Komersil_and_Fiskal25"/>
      <sheetName val="Front_Sheet25"/>
      <sheetName val="Name_Map25"/>
      <sheetName val="TB_IDR_Only25"/>
      <sheetName val="Breakdown_LF603_125"/>
      <sheetName val="Sheet_1_(2)25"/>
      <sheetName val="COA_BM25"/>
      <sheetName val="Check_Sheet25"/>
      <sheetName val="PLHO_Report25"/>
      <sheetName val="FL_&amp;_IC25"/>
      <sheetName val="Table_125"/>
      <sheetName val="229_Accr_Exp25"/>
      <sheetName val="Income_State25"/>
      <sheetName val="Content_325"/>
      <sheetName val="hutang_DPLK25"/>
      <sheetName val="Access_Radio_NL40025"/>
      <sheetName val="HWL_(2)24"/>
      <sheetName val="A2_1_CAJE27"/>
      <sheetName val="TRAVEL_PLAN25"/>
      <sheetName val="Financial_Statement22"/>
      <sheetName val="Tax_comp25"/>
      <sheetName val="TWDV_over_NBV25"/>
      <sheetName val="Product_Requirement25"/>
      <sheetName val="Investasi_&amp;_depresiasi25"/>
      <sheetName val="Att_1-5_yr01_(Ind)22"/>
      <sheetName val="Att_1-5_yr0122"/>
      <sheetName val="PPh_22_-_0122"/>
      <sheetName val="PPh_22_-_01_(E)22"/>
      <sheetName val="Depr_for_add_200122"/>
      <sheetName val="Perhit_disp_01_(E)22"/>
      <sheetName val="Perhit_disp_0122"/>
      <sheetName val="Depreciation_DBI_0122"/>
      <sheetName val="Amortisation_DBI_22"/>
      <sheetName val="Sheet1_(3)22"/>
      <sheetName val="Sheet1_(2)22"/>
      <sheetName val="expat_exp22"/>
      <sheetName val="Customer_List22"/>
      <sheetName val="Stock_CIW22"/>
      <sheetName val="_INCOME_STATEMENT23"/>
      <sheetName val="Data_Submission25"/>
      <sheetName val="Lookup_Tables25"/>
      <sheetName val="K_6DEPOSIT22"/>
      <sheetName val="99_10_1222"/>
      <sheetName val="Other_charges_(income)22"/>
      <sheetName val="lab_norge22"/>
      <sheetName val="SAD_Conclusion22"/>
      <sheetName val="SAD_Schedule22"/>
      <sheetName val="Cruser_Sp7120"/>
      <sheetName val="Sch_20"/>
      <sheetName val="E-9_3(PBC)20"/>
      <sheetName val="hitung_ulang_JEPANG20"/>
      <sheetName val="HO_Use20"/>
      <sheetName val="BGT_Cashflow20"/>
      <sheetName val="ACT_Cashflow20"/>
      <sheetName val="BGT_Cashflow_20"/>
      <sheetName val="Muebles_y_Enseres20"/>
      <sheetName val="New_List20"/>
      <sheetName val="LOC_Score20"/>
      <sheetName val="Laba_Rugi20"/>
      <sheetName val="Pembelian_Aktiva20"/>
      <sheetName val="Beban_Operasi20"/>
      <sheetName val="GL_Items_MEI20"/>
      <sheetName val="7_220"/>
      <sheetName val="00_received_in_0120"/>
      <sheetName val="Per_GL_J_a_n20"/>
      <sheetName val="BIAYA DIVISI"/>
      <sheetName val="budget idr"/>
      <sheetName val="UM Beli-New"/>
      <sheetName val="InvoEâ_x005f_x005f_x005f"/>
      <sheetName val="NRC-2009.08"/>
      <sheetName val="NOTES"/>
      <sheetName val="SALESJAN'03"/>
      <sheetName val="SALESMRT'03"/>
      <sheetName val="PnL"/>
      <sheetName val="Asumsi2"/>
      <sheetName val="List Price (Implementation)"/>
      <sheetName val="X rate"/>
      <sheetName val="InvoEâ_x0004"/>
      <sheetName val="Penyusutan Kendaraan"/>
      <sheetName val="Track"/>
      <sheetName val="(ABS) JUN-JUL'07"/>
      <sheetName val="Marks-up"/>
      <sheetName val="Statutory Query"/>
      <sheetName val="CashFlow Standard Combined"/>
      <sheetName val="6B BLS Trends"/>
      <sheetName val="HM"/>
      <sheetName val="ASSET REGISTER"/>
      <sheetName val="FE-1771$_P13"/>
      <sheetName val="InvoEâ ist"/>
      <sheetName val="Trial"/>
      <sheetName val="PET"/>
      <sheetName val="Depreciation  schedule"/>
      <sheetName val="Penyusutan"/>
      <sheetName val="Lampiran"/>
      <sheetName val="daftar"/>
      <sheetName val="gol1"/>
      <sheetName val="gol2"/>
      <sheetName val="building"/>
      <sheetName val="A.4.3"/>
      <sheetName val="IR_Weights"/>
      <sheetName val="1997"/>
      <sheetName val="Local"/>
      <sheetName val="AP0106"/>
      <sheetName val="StockPrice"/>
      <sheetName val="附件21-1"/>
      <sheetName val="附件11"/>
      <sheetName val="income"/>
      <sheetName val="PGE"/>
      <sheetName val="Ex rate"/>
      <sheetName val="STRUCT"/>
      <sheetName val="ReffTable"/>
      <sheetName val="detail"/>
      <sheetName val="KACBSA"/>
      <sheetName val="OUTPUT"/>
      <sheetName val="COST OF VESSEL"/>
      <sheetName val="Library Procedures "/>
      <sheetName val="Results Template"/>
      <sheetName val="BSPL"/>
      <sheetName val="WS Aug 18"/>
      <sheetName val="s5"/>
      <sheetName val="ALOKASI"/>
      <sheetName val="PF-OFFICE"/>
      <sheetName val="Kend"/>
      <sheetName val="Alber"/>
      <sheetName val="Trail"/>
      <sheetName val="INCOME TAX 02"/>
      <sheetName val="Input-Expected Case"/>
      <sheetName val="Input-Worst Case"/>
      <sheetName val="Other Cargill BU Synergies"/>
      <sheetName val="Revenue Detail"/>
      <sheetName val="OtherTaxAdjustments"/>
      <sheetName val="Aktiva"/>
      <sheetName val="ANTM-N"/>
      <sheetName val="CTRS"/>
      <sheetName val="DVLAN"/>
      <sheetName val="N-EPMT"/>
      <sheetName val="ETWA"/>
      <sheetName val="J-HMSP"/>
      <sheetName val="INAF-N"/>
      <sheetName val="N-LPPS"/>
      <sheetName val="N-MLIA"/>
      <sheetName val="MPPAN"/>
      <sheetName val="SONA"/>
      <sheetName val="SULI"/>
      <sheetName val="N-TINS"/>
      <sheetName val="N-TMPI"/>
      <sheetName val="TRIM"/>
      <sheetName val="N-TSPC"/>
      <sheetName val="N-UNVR"/>
      <sheetName val="RMS - STR"/>
      <sheetName val="INMAS"/>
      <sheetName val="pengeluaran"/>
      <sheetName val="R1.COVER"/>
      <sheetName val="DH_RI_SI Exceptions"/>
      <sheetName val="Liabilities"/>
      <sheetName val="WBS1"/>
      <sheetName val="LabaRugi"/>
      <sheetName val="Option1"/>
      <sheetName val="Sheet8"/>
      <sheetName val="Worksheet"/>
      <sheetName val="DCF Inputs"/>
      <sheetName val="Highlight"/>
      <sheetName val="Scenarios and Sensitivities"/>
      <sheetName val="Global Assumptions"/>
      <sheetName val="Excess"/>
      <sheetName val="AI"/>
      <sheetName val="TRANS"/>
      <sheetName val="LAP JUAL"/>
      <sheetName val="Treshing"/>
      <sheetName val="Clarifikasi "/>
      <sheetName val="Holiday"/>
      <sheetName val="InvoEâ_x005f_x005f_x005f_x005f_x005f_x005f_x005f"/>
      <sheetName val="R-16.1"/>
      <sheetName val="R-16.2"/>
      <sheetName val="Setup Data"/>
      <sheetName val="Data Inv"/>
      <sheetName val="Data Pinj"/>
      <sheetName val="Contoh lap keu"/>
      <sheetName val="OR-InterIntra"/>
      <sheetName val="CF-Oth. Receipt"/>
      <sheetName val="Prod- TBS"/>
      <sheetName val="excess calc"/>
      <sheetName val="JUAL_STD"/>
      <sheetName val="BasicAssumption"/>
      <sheetName val="Baku"/>
      <sheetName val="ut"/>
      <sheetName val="Valuation"/>
      <sheetName val="EB NetIncomeMthlyTrendAnalysis"/>
      <sheetName val="PPh21 pegttp"/>
      <sheetName val="Hujan"/>
      <sheetName val="Restan"/>
      <sheetName val="JSiar"/>
      <sheetName val="FE-1770_P139"/>
      <sheetName val="FE-1770_P239"/>
      <sheetName val="FI-177O_P139"/>
      <sheetName val="FI-1770_P239"/>
      <sheetName val="Final_Tax39"/>
      <sheetName val="Irregular_Income39"/>
      <sheetName val="Rp_Banten37"/>
      <sheetName val="Permanent_info37"/>
      <sheetName val="RMFE_0436"/>
      <sheetName val="BS_final38"/>
      <sheetName val="B_137"/>
      <sheetName val="3__Neraca_dan_RL38"/>
      <sheetName val="Mine_Assumptions38"/>
      <sheetName val="RENCANA_KERJA38"/>
      <sheetName val="VAT_out38"/>
      <sheetName val="Journal_Template38"/>
      <sheetName val="trf_d-i37"/>
      <sheetName val="K_2_136"/>
      <sheetName val="Forecase_200437"/>
      <sheetName val="Main_Menu37"/>
      <sheetName val="A_u_g37"/>
      <sheetName val="M-2_Adjusted37"/>
      <sheetName val="BOQ_price36"/>
      <sheetName val="Professionals_Standard36"/>
      <sheetName val="ESG_local36"/>
      <sheetName val="Details_BS_YTD36"/>
      <sheetName val="K_1_1_1_HGU35"/>
      <sheetName val="DEFECTED_NOV35"/>
      <sheetName val="Exch_rate35"/>
      <sheetName val="Internal_order36"/>
      <sheetName val="Other_Current35"/>
      <sheetName val="Other_YTD35"/>
      <sheetName val="HBI_NCD35"/>
      <sheetName val="Table_Array35"/>
      <sheetName val="HBS_Credit_Detail35"/>
      <sheetName val="ID_MENADO34"/>
      <sheetName val="Bank_Recon_-_IDR35"/>
      <sheetName val="Detail_pg236"/>
      <sheetName val="move_(2)36"/>
      <sheetName val="oblig_Trad&amp;AFS35"/>
      <sheetName val="For_Mgmt_fee36"/>
      <sheetName val="For_GSC_charge36"/>
      <sheetName val="For_Training_Svc_fee36"/>
      <sheetName val="For_Mgmt_fee_(PasteValue)36"/>
      <sheetName val="For_GSC_charge_(PasteValue)36"/>
      <sheetName val="Allocation_Base_(GSIN)36"/>
      <sheetName val="To_DCIN36"/>
      <sheetName val="For_Training_Svc_fee_(PasteVa36"/>
      <sheetName val="Income_Statement35"/>
      <sheetName val="INV0299_(2)35"/>
      <sheetName val="FOREX_0435"/>
      <sheetName val="FOREX_0335"/>
      <sheetName val="FOREX_04_audited35"/>
      <sheetName val="Data_Input35"/>
      <sheetName val="Cost_Input_Sheet35"/>
      <sheetName val="Q120_AP_Aging35"/>
      <sheetName val="Base_Data34"/>
      <sheetName val="RWP_3334"/>
      <sheetName val="TRADING_PROFIT34"/>
      <sheetName val="EB_PDT34"/>
      <sheetName val="Exc__Rate34"/>
      <sheetName val="EYAS_Standar34"/>
      <sheetName val="BAL_SHEET(2)34"/>
      <sheetName val="CUSTOMER_LOOKUP34"/>
      <sheetName val="SUMMARY_34"/>
      <sheetName val="Sheet1_(19)34"/>
      <sheetName val="Rekap_Penj34"/>
      <sheetName val="BS-PL_Komersil_and_Fiskal34"/>
      <sheetName val="Front_Sheet34"/>
      <sheetName val="Name_Map34"/>
      <sheetName val="TB_IDR_Only34"/>
      <sheetName val="Breakdown_LF603_134"/>
      <sheetName val="Sheet_1_(2)34"/>
      <sheetName val="COA_BM34"/>
      <sheetName val="Check_Sheet34"/>
      <sheetName val="PLHO_Report34"/>
      <sheetName val="FL_&amp;_IC34"/>
      <sheetName val="Table_134"/>
      <sheetName val="229_Accr_Exp34"/>
      <sheetName val="Income_State34"/>
      <sheetName val="Content_334"/>
      <sheetName val="hutang_DPLK34"/>
      <sheetName val="Access_Radio_NL40034"/>
      <sheetName val="HWL_(2)33"/>
      <sheetName val="A2_1_CAJE36"/>
      <sheetName val="TRAVEL_PLAN34"/>
      <sheetName val="Financial_Statement31"/>
      <sheetName val="Tax_comp34"/>
      <sheetName val="TWDV_over_NBV34"/>
      <sheetName val="Product_Requirement34"/>
      <sheetName val="Investasi_&amp;_depresiasi34"/>
      <sheetName val="Att_1-5_yr01_(Ind)31"/>
      <sheetName val="Att_1-5_yr0131"/>
      <sheetName val="PPh_22_-_0131"/>
      <sheetName val="PPh_22_-_01_(E)31"/>
      <sheetName val="Depr_for_add_200131"/>
      <sheetName val="Perhit_disp_01_(E)31"/>
      <sheetName val="Perhit_disp_0131"/>
      <sheetName val="Depreciation_DBI_0131"/>
      <sheetName val="Amortisation_DBI_31"/>
      <sheetName val="Sheet1_(3)31"/>
      <sheetName val="Sheet1_(2)31"/>
      <sheetName val="expat_exp31"/>
      <sheetName val="Customer_List31"/>
      <sheetName val="Stock_CIW31"/>
      <sheetName val="_INCOME_STATEMENT32"/>
      <sheetName val="Data_Submission34"/>
      <sheetName val="Lookup_Tables34"/>
      <sheetName val="K_6DEPOSIT31"/>
      <sheetName val="99_10_1231"/>
      <sheetName val="Other_charges_(income)31"/>
      <sheetName val="lab_norge31"/>
      <sheetName val="SAD_Conclusion31"/>
      <sheetName val="SAD_Schedule31"/>
      <sheetName val="Cruser_Sp7129"/>
      <sheetName val="Sch_29"/>
      <sheetName val="E-9_3(PBC)29"/>
      <sheetName val="hitung_ulang_JEPANG29"/>
      <sheetName val="HO_Use29"/>
      <sheetName val="BGT_Cashflow29"/>
      <sheetName val="ACT_Cashflow29"/>
      <sheetName val="BGT_Cashflow_29"/>
      <sheetName val="Muebles_y_Enseres29"/>
      <sheetName val="New_List29"/>
      <sheetName val="LOC_Score29"/>
      <sheetName val="Laba_Rugi29"/>
      <sheetName val="Pembelian_Aktiva29"/>
      <sheetName val="Beban_Operasi29"/>
      <sheetName val="GL_Items_MEI29"/>
      <sheetName val="7_229"/>
      <sheetName val="00_received_in_0129"/>
      <sheetName val="Per_GL_J_a_n29"/>
      <sheetName val="FE-1771$_P18"/>
      <sheetName val="Lamp_RPT0488"/>
      <sheetName val="Lamp_RPT0408"/>
      <sheetName val="Bgn-Ingg_PLANTATION8"/>
      <sheetName val="L_BA_blok8"/>
      <sheetName val="L_I_-_ATY8"/>
      <sheetName val="S_e_p8"/>
      <sheetName val="M_a_r8"/>
      <sheetName val="J_1_Deffered_Landright8"/>
      <sheetName val="rincian_DO8"/>
      <sheetName val="OPNAME_SALES8"/>
      <sheetName val="FE-1770_P131"/>
      <sheetName val="FE-1770_P231"/>
      <sheetName val="FI-177O_P131"/>
      <sheetName val="FI-1770_P231"/>
      <sheetName val="Final_Tax31"/>
      <sheetName val="Irregular_Income31"/>
      <sheetName val="Rp_Banten29"/>
      <sheetName val="Permanent_info29"/>
      <sheetName val="RMFE_0428"/>
      <sheetName val="BS_final30"/>
      <sheetName val="B_129"/>
      <sheetName val="3__Neraca_dan_RL30"/>
      <sheetName val="Mine_Assumptions30"/>
      <sheetName val="RENCANA_KERJA30"/>
      <sheetName val="VAT_out30"/>
      <sheetName val="Journal_Template30"/>
      <sheetName val="trf_d-i29"/>
      <sheetName val="K_2_128"/>
      <sheetName val="Forecase_200429"/>
      <sheetName val="Main_Menu29"/>
      <sheetName val="A_u_g29"/>
      <sheetName val="M-2_Adjusted29"/>
      <sheetName val="BOQ_price28"/>
      <sheetName val="Professionals_Standard28"/>
      <sheetName val="ESG_local28"/>
      <sheetName val="Details_BS_YTD28"/>
      <sheetName val="K_1_1_1_HGU27"/>
      <sheetName val="DEFECTED_NOV27"/>
      <sheetName val="Exch_rate27"/>
      <sheetName val="Internal_order28"/>
      <sheetName val="Other_Current27"/>
      <sheetName val="Other_YTD27"/>
      <sheetName val="HBI_NCD27"/>
      <sheetName val="Table_Array27"/>
      <sheetName val="HBS_Credit_Detail27"/>
      <sheetName val="ID_MENADO26"/>
      <sheetName val="Bank_Recon_-_IDR27"/>
      <sheetName val="Detail_pg228"/>
      <sheetName val="move_(2)28"/>
      <sheetName val="oblig_Trad&amp;AFS27"/>
      <sheetName val="For_Mgmt_fee28"/>
      <sheetName val="For_GSC_charge28"/>
      <sheetName val="For_Training_Svc_fee28"/>
      <sheetName val="For_Mgmt_fee_(PasteValue)28"/>
      <sheetName val="For_GSC_charge_(PasteValue)28"/>
      <sheetName val="Allocation_Base_(GSIN)28"/>
      <sheetName val="To_DCIN28"/>
      <sheetName val="For_Training_Svc_fee_(PasteVa28"/>
      <sheetName val="Income_Statement27"/>
      <sheetName val="INV0299_(2)27"/>
      <sheetName val="FOREX_0427"/>
      <sheetName val="FOREX_0327"/>
      <sheetName val="FOREX_04_audited27"/>
      <sheetName val="Data_Input27"/>
      <sheetName val="Cost_Input_Sheet27"/>
      <sheetName val="Q120_AP_Aging27"/>
      <sheetName val="Base_Data26"/>
      <sheetName val="RWP_3326"/>
      <sheetName val="TRADING_PROFIT26"/>
      <sheetName val="EB_PDT26"/>
      <sheetName val="Exc__Rate26"/>
      <sheetName val="EYAS_Standar26"/>
      <sheetName val="BAL_SHEET(2)26"/>
      <sheetName val="CUSTOMER_LOOKUP26"/>
      <sheetName val="SUMMARY_26"/>
      <sheetName val="Sheet1_(19)26"/>
      <sheetName val="Rekap_Penj26"/>
      <sheetName val="BS-PL_Komersil_and_Fiskal26"/>
      <sheetName val="Front_Sheet26"/>
      <sheetName val="Name_Map26"/>
      <sheetName val="TB_IDR_Only26"/>
      <sheetName val="Breakdown_LF603_126"/>
      <sheetName val="Sheet_1_(2)26"/>
      <sheetName val="COA_BM26"/>
      <sheetName val="Check_Sheet26"/>
      <sheetName val="PLHO_Report26"/>
      <sheetName val="FL_&amp;_IC26"/>
      <sheetName val="Table_126"/>
      <sheetName val="229_Accr_Exp26"/>
      <sheetName val="Income_State26"/>
      <sheetName val="Content_326"/>
      <sheetName val="hutang_DPLK26"/>
      <sheetName val="Access_Radio_NL40026"/>
      <sheetName val="HWL_(2)25"/>
      <sheetName val="A2_1_CAJE28"/>
      <sheetName val="TRAVEL_PLAN26"/>
      <sheetName val="Financial_Statement23"/>
      <sheetName val="Tax_comp26"/>
      <sheetName val="TWDV_over_NBV26"/>
      <sheetName val="Product_Requirement26"/>
      <sheetName val="Investasi_&amp;_depresiasi26"/>
      <sheetName val="Att_1-5_yr01_(Ind)23"/>
      <sheetName val="Att_1-5_yr0123"/>
      <sheetName val="PPh_22_-_0123"/>
      <sheetName val="PPh_22_-_01_(E)23"/>
      <sheetName val="Depr_for_add_200123"/>
      <sheetName val="Perhit_disp_01_(E)23"/>
      <sheetName val="Perhit_disp_0123"/>
      <sheetName val="Depreciation_DBI_0123"/>
      <sheetName val="Amortisation_DBI_23"/>
      <sheetName val="Sheet1_(3)23"/>
      <sheetName val="Sheet1_(2)23"/>
      <sheetName val="expat_exp23"/>
      <sheetName val="Customer_List23"/>
      <sheetName val="Stock_CIW23"/>
      <sheetName val="_INCOME_STATEMENT24"/>
      <sheetName val="Data_Submission26"/>
      <sheetName val="Lookup_Tables26"/>
      <sheetName val="K_6DEPOSIT23"/>
      <sheetName val="99_10_1223"/>
      <sheetName val="Other_charges_(income)23"/>
      <sheetName val="lab_norge23"/>
      <sheetName val="SAD_Conclusion23"/>
      <sheetName val="SAD_Schedule23"/>
      <sheetName val="Cruser_Sp7121"/>
      <sheetName val="Sch_21"/>
      <sheetName val="E-9_3(PBC)21"/>
      <sheetName val="hitung_ulang_JEPANG21"/>
      <sheetName val="HO_Use21"/>
      <sheetName val="BGT_Cashflow21"/>
      <sheetName val="ACT_Cashflow21"/>
      <sheetName val="BGT_Cashflow_21"/>
      <sheetName val="Muebles_y_Enseres21"/>
      <sheetName val="New_List21"/>
      <sheetName val="LOC_Score21"/>
      <sheetName val="Laba_Rugi21"/>
      <sheetName val="Pembelian_Aktiva21"/>
      <sheetName val="Beban_Operasi21"/>
      <sheetName val="GL_Items_MEI21"/>
      <sheetName val="7_221"/>
      <sheetName val="00_received_in_0121"/>
      <sheetName val="Per_GL_J_a_n21"/>
      <sheetName val="OPNAME_SALES"/>
      <sheetName val="FE-1770_P132"/>
      <sheetName val="FE-1770_P232"/>
      <sheetName val="FI-177O_P132"/>
      <sheetName val="FI-1770_P232"/>
      <sheetName val="Final_Tax32"/>
      <sheetName val="Irregular_Income32"/>
      <sheetName val="Rp_Banten30"/>
      <sheetName val="Permanent_info30"/>
      <sheetName val="RMFE_0429"/>
      <sheetName val="BS_final31"/>
      <sheetName val="B_130"/>
      <sheetName val="3__Neraca_dan_RL31"/>
      <sheetName val="Mine_Assumptions31"/>
      <sheetName val="RENCANA_KERJA31"/>
      <sheetName val="VAT_out31"/>
      <sheetName val="Journal_Template31"/>
      <sheetName val="trf_d-i30"/>
      <sheetName val="K_2_129"/>
      <sheetName val="Forecase_200430"/>
      <sheetName val="Main_Menu30"/>
      <sheetName val="A_u_g30"/>
      <sheetName val="M-2_Adjusted30"/>
      <sheetName val="BOQ_price29"/>
      <sheetName val="Professionals_Standard29"/>
      <sheetName val="ESG_local29"/>
      <sheetName val="Details_BS_YTD29"/>
      <sheetName val="K_1_1_1_HGU28"/>
      <sheetName val="DEFECTED_NOV28"/>
      <sheetName val="Exch_rate28"/>
      <sheetName val="Internal_order29"/>
      <sheetName val="Other_Current28"/>
      <sheetName val="Other_YTD28"/>
      <sheetName val="HBI_NCD28"/>
      <sheetName val="Table_Array28"/>
      <sheetName val="HBS_Credit_Detail28"/>
      <sheetName val="ID_MENADO27"/>
      <sheetName val="Bank_Recon_-_IDR28"/>
      <sheetName val="Detail_pg229"/>
      <sheetName val="move_(2)29"/>
      <sheetName val="oblig_Trad&amp;AFS28"/>
      <sheetName val="For_Mgmt_fee29"/>
      <sheetName val="For_GSC_charge29"/>
      <sheetName val="For_Training_Svc_fee29"/>
      <sheetName val="For_Mgmt_fee_(PasteValue)29"/>
      <sheetName val="For_GSC_charge_(PasteValue)29"/>
      <sheetName val="Allocation_Base_(GSIN)29"/>
      <sheetName val="To_DCIN29"/>
      <sheetName val="For_Training_Svc_fee_(PasteVa29"/>
      <sheetName val="Income_Statement28"/>
      <sheetName val="INV0299_(2)28"/>
      <sheetName val="FOREX_0428"/>
      <sheetName val="FOREX_0328"/>
      <sheetName val="FOREX_04_audited28"/>
      <sheetName val="Data_Input28"/>
      <sheetName val="Cost_Input_Sheet28"/>
      <sheetName val="Q120_AP_Aging28"/>
      <sheetName val="Base_Data27"/>
      <sheetName val="RWP_3327"/>
      <sheetName val="TRADING_PROFIT27"/>
      <sheetName val="EB_PDT27"/>
      <sheetName val="Exc__Rate27"/>
      <sheetName val="EYAS_Standar27"/>
      <sheetName val="BAL_SHEET(2)27"/>
      <sheetName val="CUSTOMER_LOOKUP27"/>
      <sheetName val="SUMMARY_27"/>
      <sheetName val="Sheet1_(19)27"/>
      <sheetName val="Rekap_Penj27"/>
      <sheetName val="BS-PL_Komersil_and_Fiskal27"/>
      <sheetName val="Front_Sheet27"/>
      <sheetName val="Name_Map27"/>
      <sheetName val="TB_IDR_Only27"/>
      <sheetName val="Breakdown_LF603_127"/>
      <sheetName val="Sheet_1_(2)27"/>
      <sheetName val="COA_BM27"/>
      <sheetName val="Check_Sheet27"/>
      <sheetName val="PLHO_Report27"/>
      <sheetName val="FL_&amp;_IC27"/>
      <sheetName val="Table_127"/>
      <sheetName val="229_Accr_Exp27"/>
      <sheetName val="Income_State27"/>
      <sheetName val="Content_327"/>
      <sheetName val="hutang_DPLK27"/>
      <sheetName val="Access_Radio_NL40027"/>
      <sheetName val="HWL_(2)26"/>
      <sheetName val="A2_1_CAJE29"/>
      <sheetName val="TRAVEL_PLAN27"/>
      <sheetName val="Financial_Statement24"/>
      <sheetName val="Tax_comp27"/>
      <sheetName val="TWDV_over_NBV27"/>
      <sheetName val="Product_Requirement27"/>
      <sheetName val="Investasi_&amp;_depresiasi27"/>
      <sheetName val="Att_1-5_yr01_(Ind)24"/>
      <sheetName val="Att_1-5_yr0124"/>
      <sheetName val="PPh_22_-_0124"/>
      <sheetName val="PPh_22_-_01_(E)24"/>
      <sheetName val="Depr_for_add_200124"/>
      <sheetName val="Perhit_disp_01_(E)24"/>
      <sheetName val="Perhit_disp_0124"/>
      <sheetName val="Depreciation_DBI_0124"/>
      <sheetName val="Amortisation_DBI_24"/>
      <sheetName val="Sheet1_(3)24"/>
      <sheetName val="Sheet1_(2)24"/>
      <sheetName val="expat_exp24"/>
      <sheetName val="Customer_List24"/>
      <sheetName val="Stock_CIW24"/>
      <sheetName val="_INCOME_STATEMENT25"/>
      <sheetName val="Data_Submission27"/>
      <sheetName val="Lookup_Tables27"/>
      <sheetName val="K_6DEPOSIT24"/>
      <sheetName val="99_10_1224"/>
      <sheetName val="Other_charges_(income)24"/>
      <sheetName val="lab_norge24"/>
      <sheetName val="SAD_Conclusion24"/>
      <sheetName val="SAD_Schedule24"/>
      <sheetName val="Cruser_Sp7122"/>
      <sheetName val="Sch_22"/>
      <sheetName val="E-9_3(PBC)22"/>
      <sheetName val="hitung_ulang_JEPANG22"/>
      <sheetName val="HO_Use22"/>
      <sheetName val="BGT_Cashflow22"/>
      <sheetName val="ACT_Cashflow22"/>
      <sheetName val="BGT_Cashflow_22"/>
      <sheetName val="Muebles_y_Enseres22"/>
      <sheetName val="New_List22"/>
      <sheetName val="LOC_Score22"/>
      <sheetName val="Laba_Rugi22"/>
      <sheetName val="Pembelian_Aktiva22"/>
      <sheetName val="Beban_Operasi22"/>
      <sheetName val="GL_Items_MEI22"/>
      <sheetName val="7_222"/>
      <sheetName val="00_received_in_0122"/>
      <sheetName val="Per_GL_J_a_n22"/>
      <sheetName val="OPNAME_SALES1"/>
      <sheetName val="FE-1770_P134"/>
      <sheetName val="FE-1770_P234"/>
      <sheetName val="FI-177O_P134"/>
      <sheetName val="FI-1770_P234"/>
      <sheetName val="Final_Tax34"/>
      <sheetName val="Irregular_Income34"/>
      <sheetName val="Rp_Banten32"/>
      <sheetName val="Permanent_info32"/>
      <sheetName val="RMFE_0431"/>
      <sheetName val="BS_final33"/>
      <sheetName val="B_132"/>
      <sheetName val="3__Neraca_dan_RL33"/>
      <sheetName val="Mine_Assumptions33"/>
      <sheetName val="RENCANA_KERJA33"/>
      <sheetName val="VAT_out33"/>
      <sheetName val="Journal_Template33"/>
      <sheetName val="trf_d-i32"/>
      <sheetName val="K_2_131"/>
      <sheetName val="Forecase_200432"/>
      <sheetName val="Main_Menu32"/>
      <sheetName val="A_u_g32"/>
      <sheetName val="M-2_Adjusted32"/>
      <sheetName val="BOQ_price31"/>
      <sheetName val="Professionals_Standard31"/>
      <sheetName val="ESG_local31"/>
      <sheetName val="Details_BS_YTD31"/>
      <sheetName val="K_1_1_1_HGU30"/>
      <sheetName val="DEFECTED_NOV30"/>
      <sheetName val="Exch_rate30"/>
      <sheetName val="Internal_order31"/>
      <sheetName val="Other_Current30"/>
      <sheetName val="Other_YTD30"/>
      <sheetName val="HBI_NCD30"/>
      <sheetName val="Table_Array30"/>
      <sheetName val="HBS_Credit_Detail30"/>
      <sheetName val="ID_MENADO29"/>
      <sheetName val="Bank_Recon_-_IDR30"/>
      <sheetName val="Detail_pg231"/>
      <sheetName val="move_(2)31"/>
      <sheetName val="oblig_Trad&amp;AFS30"/>
      <sheetName val="For_Mgmt_fee31"/>
      <sheetName val="For_GSC_charge31"/>
      <sheetName val="For_Training_Svc_fee31"/>
      <sheetName val="For_Mgmt_fee_(PasteValue)31"/>
      <sheetName val="For_GSC_charge_(PasteValue)31"/>
      <sheetName val="Allocation_Base_(GSIN)31"/>
      <sheetName val="To_DCIN31"/>
      <sheetName val="For_Training_Svc_fee_(PasteVa31"/>
      <sheetName val="Income_Statement30"/>
      <sheetName val="INV0299_(2)30"/>
      <sheetName val="FOREX_0430"/>
      <sheetName val="FOREX_0330"/>
      <sheetName val="FOREX_04_audited30"/>
      <sheetName val="Data_Input30"/>
      <sheetName val="Cost_Input_Sheet30"/>
      <sheetName val="Q120_AP_Aging30"/>
      <sheetName val="Base_Data29"/>
      <sheetName val="RWP_3329"/>
      <sheetName val="TRADING_PROFIT29"/>
      <sheetName val="EB_PDT29"/>
      <sheetName val="Exc__Rate29"/>
      <sheetName val="EYAS_Standar29"/>
      <sheetName val="BAL_SHEET(2)29"/>
      <sheetName val="CUSTOMER_LOOKUP29"/>
      <sheetName val="SUMMARY_29"/>
      <sheetName val="Sheet1_(19)29"/>
      <sheetName val="Rekap_Penj29"/>
      <sheetName val="BS-PL_Komersil_and_Fiskal29"/>
      <sheetName val="Front_Sheet29"/>
      <sheetName val="Name_Map29"/>
      <sheetName val="TB_IDR_Only29"/>
      <sheetName val="Breakdown_LF603_129"/>
      <sheetName val="Sheet_1_(2)29"/>
      <sheetName val="COA_BM29"/>
      <sheetName val="Check_Sheet29"/>
      <sheetName val="PLHO_Report29"/>
      <sheetName val="FL_&amp;_IC29"/>
      <sheetName val="Table_129"/>
      <sheetName val="229_Accr_Exp29"/>
      <sheetName val="Income_State29"/>
      <sheetName val="Content_329"/>
      <sheetName val="hutang_DPLK29"/>
      <sheetName val="Access_Radio_NL40029"/>
      <sheetName val="HWL_(2)28"/>
      <sheetName val="A2_1_CAJE31"/>
      <sheetName val="TRAVEL_PLAN29"/>
      <sheetName val="Financial_Statement26"/>
      <sheetName val="Tax_comp29"/>
      <sheetName val="TWDV_over_NBV29"/>
      <sheetName val="Product_Requirement29"/>
      <sheetName val="Investasi_&amp;_depresiasi29"/>
      <sheetName val="Att_1-5_yr01_(Ind)26"/>
      <sheetName val="Att_1-5_yr0126"/>
      <sheetName val="PPh_22_-_0126"/>
      <sheetName val="PPh_22_-_01_(E)26"/>
      <sheetName val="Depr_for_add_200126"/>
      <sheetName val="Perhit_disp_01_(E)26"/>
      <sheetName val="Perhit_disp_0126"/>
      <sheetName val="Depreciation_DBI_0126"/>
      <sheetName val="Amortisation_DBI_26"/>
      <sheetName val="Sheet1_(3)26"/>
      <sheetName val="Sheet1_(2)26"/>
      <sheetName val="expat_exp26"/>
      <sheetName val="Customer_List26"/>
      <sheetName val="Stock_CIW26"/>
      <sheetName val="_INCOME_STATEMENT27"/>
      <sheetName val="Data_Submission29"/>
      <sheetName val="Lookup_Tables29"/>
      <sheetName val="K_6DEPOSIT26"/>
      <sheetName val="99_10_1226"/>
      <sheetName val="Other_charges_(income)26"/>
      <sheetName val="lab_norge26"/>
      <sheetName val="SAD_Conclusion26"/>
      <sheetName val="SAD_Schedule26"/>
      <sheetName val="Cruser_Sp7124"/>
      <sheetName val="Sch_24"/>
      <sheetName val="E-9_3(PBC)24"/>
      <sheetName val="hitung_ulang_JEPANG24"/>
      <sheetName val="HO_Use24"/>
      <sheetName val="BGT_Cashflow24"/>
      <sheetName val="ACT_Cashflow24"/>
      <sheetName val="BGT_Cashflow_24"/>
      <sheetName val="Muebles_y_Enseres24"/>
      <sheetName val="New_List24"/>
      <sheetName val="LOC_Score24"/>
      <sheetName val="Laba_Rugi24"/>
      <sheetName val="Pembelian_Aktiva24"/>
      <sheetName val="Beban_Operasi24"/>
      <sheetName val="GL_Items_MEI24"/>
      <sheetName val="7_224"/>
      <sheetName val="00_received_in_0124"/>
      <sheetName val="Per_GL_J_a_n24"/>
      <sheetName val="Lamp_RPT0483"/>
      <sheetName val="Lamp_RPT0403"/>
      <sheetName val="Bgn-Ingg_PLANTATION3"/>
      <sheetName val="L_BA_blok3"/>
      <sheetName val="L_I_-_ATY3"/>
      <sheetName val="S_e_p3"/>
      <sheetName val="M_a_r3"/>
      <sheetName val="J_1_Deffered_Landright3"/>
      <sheetName val="rincian_DO3"/>
      <sheetName val="OPNAME_SALES3"/>
      <sheetName val="FE-1770_P133"/>
      <sheetName val="FE-1770_P233"/>
      <sheetName val="FI-177O_P133"/>
      <sheetName val="FI-1770_P233"/>
      <sheetName val="Final_Tax33"/>
      <sheetName val="Irregular_Income33"/>
      <sheetName val="Rp_Banten31"/>
      <sheetName val="Permanent_info31"/>
      <sheetName val="RMFE_0430"/>
      <sheetName val="BS_final32"/>
      <sheetName val="B_131"/>
      <sheetName val="3__Neraca_dan_RL32"/>
      <sheetName val="Mine_Assumptions32"/>
      <sheetName val="RENCANA_KERJA32"/>
      <sheetName val="VAT_out32"/>
      <sheetName val="Journal_Template32"/>
      <sheetName val="trf_d-i31"/>
      <sheetName val="K_2_130"/>
      <sheetName val="Forecase_200431"/>
      <sheetName val="Main_Menu31"/>
      <sheetName val="A_u_g31"/>
      <sheetName val="M-2_Adjusted31"/>
      <sheetName val="BOQ_price30"/>
      <sheetName val="Professionals_Standard30"/>
      <sheetName val="ESG_local30"/>
      <sheetName val="Details_BS_YTD30"/>
      <sheetName val="K_1_1_1_HGU29"/>
      <sheetName val="DEFECTED_NOV29"/>
      <sheetName val="Exch_rate29"/>
      <sheetName val="Internal_order30"/>
      <sheetName val="Other_Current29"/>
      <sheetName val="Other_YTD29"/>
      <sheetName val="HBI_NCD29"/>
      <sheetName val="Table_Array29"/>
      <sheetName val="HBS_Credit_Detail29"/>
      <sheetName val="ID_MENADO28"/>
      <sheetName val="Bank_Recon_-_IDR29"/>
      <sheetName val="Detail_pg230"/>
      <sheetName val="move_(2)30"/>
      <sheetName val="oblig_Trad&amp;AFS29"/>
      <sheetName val="For_Mgmt_fee30"/>
      <sheetName val="For_GSC_charge30"/>
      <sheetName val="For_Training_Svc_fee30"/>
      <sheetName val="For_Mgmt_fee_(PasteValue)30"/>
      <sheetName val="For_GSC_charge_(PasteValue)30"/>
      <sheetName val="Allocation_Base_(GSIN)30"/>
      <sheetName val="To_DCIN30"/>
      <sheetName val="For_Training_Svc_fee_(PasteVa30"/>
      <sheetName val="Income_Statement29"/>
      <sheetName val="INV0299_(2)29"/>
      <sheetName val="FOREX_0429"/>
      <sheetName val="FOREX_0329"/>
      <sheetName val="FOREX_04_audited29"/>
      <sheetName val="Data_Input29"/>
      <sheetName val="Cost_Input_Sheet29"/>
      <sheetName val="Q120_AP_Aging29"/>
      <sheetName val="Base_Data28"/>
      <sheetName val="RWP_3328"/>
      <sheetName val="TRADING_PROFIT28"/>
      <sheetName val="EB_PDT28"/>
      <sheetName val="Exc__Rate28"/>
      <sheetName val="EYAS_Standar28"/>
      <sheetName val="BAL_SHEET(2)28"/>
      <sheetName val="CUSTOMER_LOOKUP28"/>
      <sheetName val="SUMMARY_28"/>
      <sheetName val="Sheet1_(19)28"/>
      <sheetName val="Rekap_Penj28"/>
      <sheetName val="BS-PL_Komersil_and_Fiskal28"/>
      <sheetName val="Front_Sheet28"/>
      <sheetName val="Name_Map28"/>
      <sheetName val="TB_IDR_Only28"/>
      <sheetName val="Breakdown_LF603_128"/>
      <sheetName val="Sheet_1_(2)28"/>
      <sheetName val="COA_BM28"/>
      <sheetName val="Check_Sheet28"/>
      <sheetName val="PLHO_Report28"/>
      <sheetName val="FL_&amp;_IC28"/>
      <sheetName val="Table_128"/>
      <sheetName val="229_Accr_Exp28"/>
      <sheetName val="Income_State28"/>
      <sheetName val="Content_328"/>
      <sheetName val="hutang_DPLK28"/>
      <sheetName val="Access_Radio_NL40028"/>
      <sheetName val="HWL_(2)27"/>
      <sheetName val="A2_1_CAJE30"/>
      <sheetName val="TRAVEL_PLAN28"/>
      <sheetName val="Financial_Statement25"/>
      <sheetName val="Tax_comp28"/>
      <sheetName val="TWDV_over_NBV28"/>
      <sheetName val="Product_Requirement28"/>
      <sheetName val="Investasi_&amp;_depresiasi28"/>
      <sheetName val="Att_1-5_yr01_(Ind)25"/>
      <sheetName val="Att_1-5_yr0125"/>
      <sheetName val="PPh_22_-_0125"/>
      <sheetName val="PPh_22_-_01_(E)25"/>
      <sheetName val="Depr_for_add_200125"/>
      <sheetName val="Perhit_disp_01_(E)25"/>
      <sheetName val="Perhit_disp_0125"/>
      <sheetName val="Depreciation_DBI_0125"/>
      <sheetName val="Amortisation_DBI_25"/>
      <sheetName val="Sheet1_(3)25"/>
      <sheetName val="Sheet1_(2)25"/>
      <sheetName val="expat_exp25"/>
      <sheetName val="Customer_List25"/>
      <sheetName val="Stock_CIW25"/>
      <sheetName val="_INCOME_STATEMENT26"/>
      <sheetName val="Data_Submission28"/>
      <sheetName val="Lookup_Tables28"/>
      <sheetName val="K_6DEPOSIT25"/>
      <sheetName val="99_10_1225"/>
      <sheetName val="Other_charges_(income)25"/>
      <sheetName val="lab_norge25"/>
      <sheetName val="SAD_Conclusion25"/>
      <sheetName val="SAD_Schedule25"/>
      <sheetName val="Cruser_Sp7123"/>
      <sheetName val="Sch_23"/>
      <sheetName val="E-9_3(PBC)23"/>
      <sheetName val="hitung_ulang_JEPANG23"/>
      <sheetName val="HO_Use23"/>
      <sheetName val="BGT_Cashflow23"/>
      <sheetName val="ACT_Cashflow23"/>
      <sheetName val="BGT_Cashflow_23"/>
      <sheetName val="Muebles_y_Enseres23"/>
      <sheetName val="New_List23"/>
      <sheetName val="LOC_Score23"/>
      <sheetName val="Laba_Rugi23"/>
      <sheetName val="Pembelian_Aktiva23"/>
      <sheetName val="Beban_Operasi23"/>
      <sheetName val="GL_Items_MEI23"/>
      <sheetName val="7_223"/>
      <sheetName val="00_received_in_0123"/>
      <sheetName val="Per_GL_J_a_n23"/>
      <sheetName val="J_1_Deffered_Landright2"/>
      <sheetName val="rincian_DO2"/>
      <sheetName val="OPNAME_SALES2"/>
      <sheetName val="FE-1770_P135"/>
      <sheetName val="FE-1770_P235"/>
      <sheetName val="FI-177O_P135"/>
      <sheetName val="FI-1770_P235"/>
      <sheetName val="Final_Tax35"/>
      <sheetName val="Irregular_Income35"/>
      <sheetName val="Rp_Banten33"/>
      <sheetName val="Permanent_info33"/>
      <sheetName val="RMFE_0432"/>
      <sheetName val="BS_final34"/>
      <sheetName val="B_133"/>
      <sheetName val="3__Neraca_dan_RL34"/>
      <sheetName val="Mine_Assumptions34"/>
      <sheetName val="RENCANA_KERJA34"/>
      <sheetName val="VAT_out34"/>
      <sheetName val="Journal_Template34"/>
      <sheetName val="trf_d-i33"/>
      <sheetName val="K_2_132"/>
      <sheetName val="Forecase_200433"/>
      <sheetName val="Main_Menu33"/>
      <sheetName val="A_u_g33"/>
      <sheetName val="M-2_Adjusted33"/>
      <sheetName val="BOQ_price32"/>
      <sheetName val="Professionals_Standard32"/>
      <sheetName val="ESG_local32"/>
      <sheetName val="Details_BS_YTD32"/>
      <sheetName val="K_1_1_1_HGU31"/>
      <sheetName val="DEFECTED_NOV31"/>
      <sheetName val="Exch_rate31"/>
      <sheetName val="Internal_order32"/>
      <sheetName val="Other_Current31"/>
      <sheetName val="Other_YTD31"/>
      <sheetName val="HBI_NCD31"/>
      <sheetName val="Table_Array31"/>
      <sheetName val="HBS_Credit_Detail31"/>
      <sheetName val="ID_MENADO30"/>
      <sheetName val="Bank_Recon_-_IDR31"/>
      <sheetName val="Detail_pg232"/>
      <sheetName val="move_(2)32"/>
      <sheetName val="oblig_Trad&amp;AFS31"/>
      <sheetName val="For_Mgmt_fee32"/>
      <sheetName val="For_GSC_charge32"/>
      <sheetName val="For_Training_Svc_fee32"/>
      <sheetName val="For_Mgmt_fee_(PasteValue)32"/>
      <sheetName val="For_GSC_charge_(PasteValue)32"/>
      <sheetName val="Allocation_Base_(GSIN)32"/>
      <sheetName val="To_DCIN32"/>
      <sheetName val="For_Training_Svc_fee_(PasteVa32"/>
      <sheetName val="Income_Statement31"/>
      <sheetName val="INV0299_(2)31"/>
      <sheetName val="FOREX_0431"/>
      <sheetName val="FOREX_0331"/>
      <sheetName val="FOREX_04_audited31"/>
      <sheetName val="Data_Input31"/>
      <sheetName val="Cost_Input_Sheet31"/>
      <sheetName val="Q120_AP_Aging31"/>
      <sheetName val="Base_Data30"/>
      <sheetName val="RWP_3330"/>
      <sheetName val="TRADING_PROFIT30"/>
      <sheetName val="EB_PDT30"/>
      <sheetName val="Exc__Rate30"/>
      <sheetName val="EYAS_Standar30"/>
      <sheetName val="BAL_SHEET(2)30"/>
      <sheetName val="CUSTOMER_LOOKUP30"/>
      <sheetName val="SUMMARY_30"/>
      <sheetName val="Sheet1_(19)30"/>
      <sheetName val="Rekap_Penj30"/>
      <sheetName val="BS-PL_Komersil_and_Fiskal30"/>
      <sheetName val="Front_Sheet30"/>
      <sheetName val="Name_Map30"/>
      <sheetName val="TB_IDR_Only30"/>
      <sheetName val="Breakdown_LF603_130"/>
      <sheetName val="Sheet_1_(2)30"/>
      <sheetName val="COA_BM30"/>
      <sheetName val="Check_Sheet30"/>
      <sheetName val="PLHO_Report30"/>
      <sheetName val="FL_&amp;_IC30"/>
      <sheetName val="Table_130"/>
      <sheetName val="229_Accr_Exp30"/>
      <sheetName val="Income_State30"/>
      <sheetName val="Content_330"/>
      <sheetName val="hutang_DPLK30"/>
      <sheetName val="Access_Radio_NL40030"/>
      <sheetName val="HWL_(2)29"/>
      <sheetName val="A2_1_CAJE32"/>
      <sheetName val="TRAVEL_PLAN30"/>
      <sheetName val="Financial_Statement27"/>
      <sheetName val="Tax_comp30"/>
      <sheetName val="TWDV_over_NBV30"/>
      <sheetName val="Product_Requirement30"/>
      <sheetName val="Investasi_&amp;_depresiasi30"/>
      <sheetName val="Att_1-5_yr01_(Ind)27"/>
      <sheetName val="Att_1-5_yr0127"/>
      <sheetName val="PPh_22_-_0127"/>
      <sheetName val="PPh_22_-_01_(E)27"/>
      <sheetName val="Depr_for_add_200127"/>
      <sheetName val="Perhit_disp_01_(E)27"/>
      <sheetName val="Perhit_disp_0127"/>
      <sheetName val="Depreciation_DBI_0127"/>
      <sheetName val="Amortisation_DBI_27"/>
      <sheetName val="Sheet1_(3)27"/>
      <sheetName val="Sheet1_(2)27"/>
      <sheetName val="expat_exp27"/>
      <sheetName val="Customer_List27"/>
      <sheetName val="Stock_CIW27"/>
      <sheetName val="_INCOME_STATEMENT28"/>
      <sheetName val="Data_Submission30"/>
      <sheetName val="Lookup_Tables30"/>
      <sheetName val="K_6DEPOSIT27"/>
      <sheetName val="99_10_1227"/>
      <sheetName val="Other_charges_(income)27"/>
      <sheetName val="lab_norge27"/>
      <sheetName val="SAD_Conclusion27"/>
      <sheetName val="SAD_Schedule27"/>
      <sheetName val="Cruser_Sp7125"/>
      <sheetName val="Sch_25"/>
      <sheetName val="E-9_3(PBC)25"/>
      <sheetName val="hitung_ulang_JEPANG25"/>
      <sheetName val="HO_Use25"/>
      <sheetName val="BGT_Cashflow25"/>
      <sheetName val="ACT_Cashflow25"/>
      <sheetName val="BGT_Cashflow_25"/>
      <sheetName val="Muebles_y_Enseres25"/>
      <sheetName val="New_List25"/>
      <sheetName val="LOC_Score25"/>
      <sheetName val="Laba_Rugi25"/>
      <sheetName val="Pembelian_Aktiva25"/>
      <sheetName val="Beban_Operasi25"/>
      <sheetName val="GL_Items_MEI25"/>
      <sheetName val="7_225"/>
      <sheetName val="00_received_in_0125"/>
      <sheetName val="Per_GL_J_a_n25"/>
      <sheetName val="FE-1771$_P14"/>
      <sheetName val="Lamp_RPT0484"/>
      <sheetName val="Lamp_RPT0404"/>
      <sheetName val="Bgn-Ingg_PLANTATION4"/>
      <sheetName val="L_BA_blok4"/>
      <sheetName val="L_I_-_ATY4"/>
      <sheetName val="S_e_p4"/>
      <sheetName val="M_a_r4"/>
      <sheetName val="J_1_Deffered_Landright4"/>
      <sheetName val="rincian_DO4"/>
      <sheetName val="OPNAME_SALES4"/>
      <sheetName val="FE-1770_P138"/>
      <sheetName val="FE-1770_P238"/>
      <sheetName val="FI-177O_P138"/>
      <sheetName val="FI-1770_P238"/>
      <sheetName val="Final_Tax38"/>
      <sheetName val="Irregular_Income38"/>
      <sheetName val="Rp_Banten36"/>
      <sheetName val="Permanent_info36"/>
      <sheetName val="RMFE_0435"/>
      <sheetName val="BS_final37"/>
      <sheetName val="B_136"/>
      <sheetName val="3__Neraca_dan_RL37"/>
      <sheetName val="Mine_Assumptions37"/>
      <sheetName val="RENCANA_KERJA37"/>
      <sheetName val="VAT_out37"/>
      <sheetName val="Journal_Template37"/>
      <sheetName val="trf_d-i36"/>
      <sheetName val="K_2_135"/>
      <sheetName val="Forecase_200436"/>
      <sheetName val="Main_Menu36"/>
      <sheetName val="A_u_g36"/>
      <sheetName val="M-2_Adjusted36"/>
      <sheetName val="BOQ_price35"/>
      <sheetName val="Professionals_Standard35"/>
      <sheetName val="ESG_local35"/>
      <sheetName val="Details_BS_YTD35"/>
      <sheetName val="K_1_1_1_HGU34"/>
      <sheetName val="DEFECTED_NOV34"/>
      <sheetName val="Exch_rate34"/>
      <sheetName val="Internal_order35"/>
      <sheetName val="Other_Current34"/>
      <sheetName val="Other_YTD34"/>
      <sheetName val="HBI_NCD34"/>
      <sheetName val="Table_Array34"/>
      <sheetName val="HBS_Credit_Detail34"/>
      <sheetName val="ID_MENADO33"/>
      <sheetName val="Bank_Recon_-_IDR34"/>
      <sheetName val="Detail_pg235"/>
      <sheetName val="move_(2)35"/>
      <sheetName val="oblig_Trad&amp;AFS34"/>
      <sheetName val="For_Mgmt_fee35"/>
      <sheetName val="For_GSC_charge35"/>
      <sheetName val="For_Training_Svc_fee35"/>
      <sheetName val="For_Mgmt_fee_(PasteValue)35"/>
      <sheetName val="For_GSC_charge_(PasteValue)35"/>
      <sheetName val="Allocation_Base_(GSIN)35"/>
      <sheetName val="To_DCIN35"/>
      <sheetName val="For_Training_Svc_fee_(PasteVa35"/>
      <sheetName val="Income_Statement34"/>
      <sheetName val="INV0299_(2)34"/>
      <sheetName val="FOREX_0434"/>
      <sheetName val="FOREX_0334"/>
      <sheetName val="FOREX_04_audited34"/>
      <sheetName val="Data_Input34"/>
      <sheetName val="Cost_Input_Sheet34"/>
      <sheetName val="Q120_AP_Aging34"/>
      <sheetName val="Base_Data33"/>
      <sheetName val="RWP_3333"/>
      <sheetName val="TRADING_PROFIT33"/>
      <sheetName val="EB_PDT33"/>
      <sheetName val="Exc__Rate33"/>
      <sheetName val="EYAS_Standar33"/>
      <sheetName val="BAL_SHEET(2)33"/>
      <sheetName val="CUSTOMER_LOOKUP33"/>
      <sheetName val="SUMMARY_33"/>
      <sheetName val="Sheet1_(19)33"/>
      <sheetName val="Rekap_Penj33"/>
      <sheetName val="BS-PL_Komersil_and_Fiskal33"/>
      <sheetName val="Front_Sheet33"/>
      <sheetName val="Name_Map33"/>
      <sheetName val="TB_IDR_Only33"/>
      <sheetName val="Breakdown_LF603_133"/>
      <sheetName val="Sheet_1_(2)33"/>
      <sheetName val="COA_BM33"/>
      <sheetName val="Check_Sheet33"/>
      <sheetName val="PLHO_Report33"/>
      <sheetName val="FL_&amp;_IC33"/>
      <sheetName val="Table_133"/>
      <sheetName val="229_Accr_Exp33"/>
      <sheetName val="Income_State33"/>
      <sheetName val="Content_333"/>
      <sheetName val="hutang_DPLK33"/>
      <sheetName val="Access_Radio_NL40033"/>
      <sheetName val="HWL_(2)32"/>
      <sheetName val="A2_1_CAJE35"/>
      <sheetName val="TRAVEL_PLAN33"/>
      <sheetName val="Financial_Statement30"/>
      <sheetName val="Tax_comp33"/>
      <sheetName val="TWDV_over_NBV33"/>
      <sheetName val="Product_Requirement33"/>
      <sheetName val="Investasi_&amp;_depresiasi33"/>
      <sheetName val="Att_1-5_yr01_(Ind)30"/>
      <sheetName val="Att_1-5_yr0130"/>
      <sheetName val="PPh_22_-_0130"/>
      <sheetName val="PPh_22_-_01_(E)30"/>
      <sheetName val="Depr_for_add_200130"/>
      <sheetName val="Perhit_disp_01_(E)30"/>
      <sheetName val="Perhit_disp_0130"/>
      <sheetName val="Depreciation_DBI_0130"/>
      <sheetName val="Amortisation_DBI_30"/>
      <sheetName val="Sheet1_(3)30"/>
      <sheetName val="Sheet1_(2)30"/>
      <sheetName val="expat_exp30"/>
      <sheetName val="Customer_List30"/>
      <sheetName val="Stock_CIW30"/>
      <sheetName val="_INCOME_STATEMENT31"/>
      <sheetName val="Data_Submission33"/>
      <sheetName val="Lookup_Tables33"/>
      <sheetName val="K_6DEPOSIT30"/>
      <sheetName val="99_10_1230"/>
      <sheetName val="Other_charges_(income)30"/>
      <sheetName val="lab_norge30"/>
      <sheetName val="SAD_Conclusion30"/>
      <sheetName val="SAD_Schedule30"/>
      <sheetName val="Cruser_Sp7128"/>
      <sheetName val="Sch_28"/>
      <sheetName val="E-9_3(PBC)28"/>
      <sheetName val="hitung_ulang_JEPANG28"/>
      <sheetName val="HO_Use28"/>
      <sheetName val="BGT_Cashflow28"/>
      <sheetName val="ACT_Cashflow28"/>
      <sheetName val="BGT_Cashflow_28"/>
      <sheetName val="Muebles_y_Enseres28"/>
      <sheetName val="New_List28"/>
      <sheetName val="LOC_Score28"/>
      <sheetName val="Laba_Rugi28"/>
      <sheetName val="Pembelian_Aktiva28"/>
      <sheetName val="Beban_Operasi28"/>
      <sheetName val="GL_Items_MEI28"/>
      <sheetName val="7_228"/>
      <sheetName val="00_received_in_0128"/>
      <sheetName val="Per_GL_J_a_n28"/>
      <sheetName val="FE-1771$_P17"/>
      <sheetName val="Lamp_RPT0487"/>
      <sheetName val="Lamp_RPT0407"/>
      <sheetName val="Bgn-Ingg_PLANTATION7"/>
      <sheetName val="L_BA_blok7"/>
      <sheetName val="L_I_-_ATY7"/>
      <sheetName val="S_e_p7"/>
      <sheetName val="M_a_r7"/>
      <sheetName val="J_1_Deffered_Landright7"/>
      <sheetName val="rincian_DO7"/>
      <sheetName val="OPNAME_SALES7"/>
      <sheetName val="FE-1770_P136"/>
      <sheetName val="FE-1770_P236"/>
      <sheetName val="FI-177O_P136"/>
      <sheetName val="FI-1770_P236"/>
      <sheetName val="Final_Tax36"/>
      <sheetName val="Irregular_Income36"/>
      <sheetName val="Rp_Banten34"/>
      <sheetName val="Permanent_info34"/>
      <sheetName val="RMFE_0433"/>
      <sheetName val="BS_final35"/>
      <sheetName val="B_134"/>
      <sheetName val="3__Neraca_dan_RL35"/>
      <sheetName val="Mine_Assumptions35"/>
      <sheetName val="RENCANA_KERJA35"/>
      <sheetName val="VAT_out35"/>
      <sheetName val="Journal_Template35"/>
      <sheetName val="trf_d-i34"/>
      <sheetName val="K_2_133"/>
      <sheetName val="Forecase_200434"/>
      <sheetName val="Main_Menu34"/>
      <sheetName val="A_u_g34"/>
      <sheetName val="M-2_Adjusted34"/>
      <sheetName val="BOQ_price33"/>
      <sheetName val="Professionals_Standard33"/>
      <sheetName val="ESG_local33"/>
      <sheetName val="Details_BS_YTD33"/>
      <sheetName val="K_1_1_1_HGU32"/>
      <sheetName val="DEFECTED_NOV32"/>
      <sheetName val="Exch_rate32"/>
      <sheetName val="Internal_order33"/>
      <sheetName val="Other_Current32"/>
      <sheetName val="Other_YTD32"/>
      <sheetName val="HBI_NCD32"/>
      <sheetName val="Table_Array32"/>
      <sheetName val="HBS_Credit_Detail32"/>
      <sheetName val="ID_MENADO31"/>
      <sheetName val="Bank_Recon_-_IDR32"/>
      <sheetName val="Detail_pg233"/>
      <sheetName val="move_(2)33"/>
      <sheetName val="oblig_Trad&amp;AFS32"/>
      <sheetName val="For_Mgmt_fee33"/>
      <sheetName val="For_GSC_charge33"/>
      <sheetName val="For_Training_Svc_fee33"/>
      <sheetName val="For_Mgmt_fee_(PasteValue)33"/>
      <sheetName val="For_GSC_charge_(PasteValue)33"/>
      <sheetName val="Allocation_Base_(GSIN)33"/>
      <sheetName val="To_DCIN33"/>
      <sheetName val="For_Training_Svc_fee_(PasteVa33"/>
      <sheetName val="Income_Statement32"/>
      <sheetName val="INV0299_(2)32"/>
      <sheetName val="FOREX_0432"/>
      <sheetName val="FOREX_0332"/>
      <sheetName val="FOREX_04_audited32"/>
      <sheetName val="Data_Input32"/>
      <sheetName val="Cost_Input_Sheet32"/>
      <sheetName val="Q120_AP_Aging32"/>
      <sheetName val="Base_Data31"/>
      <sheetName val="RWP_3331"/>
      <sheetName val="TRADING_PROFIT31"/>
      <sheetName val="EB_PDT31"/>
      <sheetName val="Exc__Rate31"/>
      <sheetName val="EYAS_Standar31"/>
      <sheetName val="BAL_SHEET(2)31"/>
      <sheetName val="CUSTOMER_LOOKUP31"/>
      <sheetName val="SUMMARY_31"/>
      <sheetName val="Sheet1_(19)31"/>
      <sheetName val="Rekap_Penj31"/>
      <sheetName val="BS-PL_Komersil_and_Fiskal31"/>
      <sheetName val="Front_Sheet31"/>
      <sheetName val="Name_Map31"/>
      <sheetName val="TB_IDR_Only31"/>
      <sheetName val="Breakdown_LF603_131"/>
      <sheetName val="Sheet_1_(2)31"/>
      <sheetName val="COA_BM31"/>
      <sheetName val="Check_Sheet31"/>
      <sheetName val="PLHO_Report31"/>
      <sheetName val="FL_&amp;_IC31"/>
      <sheetName val="Table_131"/>
      <sheetName val="229_Accr_Exp31"/>
      <sheetName val="Income_State31"/>
      <sheetName val="Content_331"/>
      <sheetName val="hutang_DPLK31"/>
      <sheetName val="Access_Radio_NL40031"/>
      <sheetName val="HWL_(2)30"/>
      <sheetName val="A2_1_CAJE33"/>
      <sheetName val="TRAVEL_PLAN31"/>
      <sheetName val="Financial_Statement28"/>
      <sheetName val="Tax_comp31"/>
      <sheetName val="TWDV_over_NBV31"/>
      <sheetName val="Product_Requirement31"/>
      <sheetName val="Investasi_&amp;_depresiasi31"/>
      <sheetName val="Att_1-5_yr01_(Ind)28"/>
      <sheetName val="Att_1-5_yr0128"/>
      <sheetName val="PPh_22_-_0128"/>
      <sheetName val="PPh_22_-_01_(E)28"/>
      <sheetName val="Depr_for_add_200128"/>
      <sheetName val="Perhit_disp_01_(E)28"/>
      <sheetName val="Perhit_disp_0128"/>
      <sheetName val="Depreciation_DBI_0128"/>
      <sheetName val="Amortisation_DBI_28"/>
      <sheetName val="Sheet1_(3)28"/>
      <sheetName val="Sheet1_(2)28"/>
      <sheetName val="expat_exp28"/>
      <sheetName val="Customer_List28"/>
      <sheetName val="Stock_CIW28"/>
      <sheetName val="_INCOME_STATEMENT29"/>
      <sheetName val="Data_Submission31"/>
      <sheetName val="Lookup_Tables31"/>
      <sheetName val="K_6DEPOSIT28"/>
      <sheetName val="99_10_1228"/>
      <sheetName val="Other_charges_(income)28"/>
      <sheetName val="lab_norge28"/>
      <sheetName val="SAD_Conclusion28"/>
      <sheetName val="SAD_Schedule28"/>
      <sheetName val="Cruser_Sp7126"/>
      <sheetName val="Sch_26"/>
      <sheetName val="E-9_3(PBC)26"/>
      <sheetName val="hitung_ulang_JEPANG26"/>
      <sheetName val="HO_Use26"/>
      <sheetName val="BGT_Cashflow26"/>
      <sheetName val="ACT_Cashflow26"/>
      <sheetName val="BGT_Cashflow_26"/>
      <sheetName val="Muebles_y_Enseres26"/>
      <sheetName val="New_List26"/>
      <sheetName val="LOC_Score26"/>
      <sheetName val="Laba_Rugi26"/>
      <sheetName val="Pembelian_Aktiva26"/>
      <sheetName val="Beban_Operasi26"/>
      <sheetName val="GL_Items_MEI26"/>
      <sheetName val="7_226"/>
      <sheetName val="00_received_in_0126"/>
      <sheetName val="Per_GL_J_a_n26"/>
      <sheetName val="FE-1771$_P15"/>
      <sheetName val="Lamp_RPT0485"/>
      <sheetName val="Lamp_RPT0405"/>
      <sheetName val="Bgn-Ingg_PLANTATION5"/>
      <sheetName val="L_BA_blok5"/>
      <sheetName val="L_I_-_ATY5"/>
      <sheetName val="S_e_p5"/>
      <sheetName val="M_a_r5"/>
      <sheetName val="J_1_Deffered_Landright5"/>
      <sheetName val="rincian_DO5"/>
      <sheetName val="OPNAME_SALES5"/>
      <sheetName val="FE-1770_P137"/>
      <sheetName val="FE-1770_P237"/>
      <sheetName val="FI-177O_P137"/>
      <sheetName val="FI-1770_P237"/>
      <sheetName val="Final_Tax37"/>
      <sheetName val="Irregular_Income37"/>
      <sheetName val="Rp_Banten35"/>
      <sheetName val="Permanent_info35"/>
      <sheetName val="RMFE_0434"/>
      <sheetName val="BS_final36"/>
      <sheetName val="B_135"/>
      <sheetName val="3__Neraca_dan_RL36"/>
      <sheetName val="Mine_Assumptions36"/>
      <sheetName val="RENCANA_KERJA36"/>
      <sheetName val="VAT_out36"/>
      <sheetName val="Journal_Template36"/>
      <sheetName val="trf_d-i35"/>
      <sheetName val="K_2_134"/>
      <sheetName val="Forecase_200435"/>
      <sheetName val="Main_Menu35"/>
      <sheetName val="A_u_g35"/>
      <sheetName val="M-2_Adjusted35"/>
      <sheetName val="BOQ_price34"/>
      <sheetName val="Professionals_Standard34"/>
      <sheetName val="ESG_local34"/>
      <sheetName val="Details_BS_YTD34"/>
      <sheetName val="K_1_1_1_HGU33"/>
      <sheetName val="DEFECTED_NOV33"/>
      <sheetName val="Exch_rate33"/>
      <sheetName val="Internal_order34"/>
      <sheetName val="Other_Current33"/>
      <sheetName val="Other_YTD33"/>
      <sheetName val="HBI_NCD33"/>
      <sheetName val="Table_Array33"/>
      <sheetName val="HBS_Credit_Detail33"/>
      <sheetName val="ID_MENADO32"/>
      <sheetName val="Bank_Recon_-_IDR33"/>
      <sheetName val="Detail_pg234"/>
      <sheetName val="move_(2)34"/>
      <sheetName val="oblig_Trad&amp;AFS33"/>
      <sheetName val="For_Mgmt_fee34"/>
      <sheetName val="For_GSC_charge34"/>
      <sheetName val="For_Training_Svc_fee34"/>
      <sheetName val="For_Mgmt_fee_(PasteValue)34"/>
      <sheetName val="For_GSC_charge_(PasteValue)34"/>
      <sheetName val="Allocation_Base_(GSIN)34"/>
      <sheetName val="To_DCIN34"/>
      <sheetName val="For_Training_Svc_fee_(PasteVa34"/>
      <sheetName val="Income_Statement33"/>
      <sheetName val="INV0299_(2)33"/>
      <sheetName val="FOREX_0433"/>
      <sheetName val="FOREX_0333"/>
      <sheetName val="FOREX_04_audited33"/>
      <sheetName val="Data_Input33"/>
      <sheetName val="Cost_Input_Sheet33"/>
      <sheetName val="Q120_AP_Aging33"/>
      <sheetName val="Base_Data32"/>
      <sheetName val="RWP_3332"/>
      <sheetName val="TRADING_PROFIT32"/>
      <sheetName val="EB_PDT32"/>
      <sheetName val="Exc__Rate32"/>
      <sheetName val="EYAS_Standar32"/>
      <sheetName val="BAL_SHEET(2)32"/>
      <sheetName val="CUSTOMER_LOOKUP32"/>
      <sheetName val="SUMMARY_32"/>
      <sheetName val="Sheet1_(19)32"/>
      <sheetName val="Rekap_Penj32"/>
      <sheetName val="BS-PL_Komersil_and_Fiskal32"/>
      <sheetName val="Front_Sheet32"/>
      <sheetName val="Name_Map32"/>
      <sheetName val="TB_IDR_Only32"/>
      <sheetName val="Breakdown_LF603_132"/>
      <sheetName val="Sheet_1_(2)32"/>
      <sheetName val="COA_BM32"/>
      <sheetName val="Check_Sheet32"/>
      <sheetName val="PLHO_Report32"/>
      <sheetName val="FL_&amp;_IC32"/>
      <sheetName val="Table_132"/>
      <sheetName val="229_Accr_Exp32"/>
      <sheetName val="Income_State32"/>
      <sheetName val="Content_332"/>
      <sheetName val="hutang_DPLK32"/>
      <sheetName val="Access_Radio_NL40032"/>
      <sheetName val="HWL_(2)31"/>
      <sheetName val="A2_1_CAJE34"/>
      <sheetName val="TRAVEL_PLAN32"/>
      <sheetName val="Financial_Statement29"/>
      <sheetName val="Tax_comp32"/>
      <sheetName val="TWDV_over_NBV32"/>
      <sheetName val="Product_Requirement32"/>
      <sheetName val="Investasi_&amp;_depresiasi32"/>
      <sheetName val="Att_1-5_yr01_(Ind)29"/>
      <sheetName val="Att_1-5_yr0129"/>
      <sheetName val="PPh_22_-_0129"/>
      <sheetName val="PPh_22_-_01_(E)29"/>
      <sheetName val="Depr_for_add_200129"/>
      <sheetName val="Perhit_disp_01_(E)29"/>
      <sheetName val="Perhit_disp_0129"/>
      <sheetName val="Depreciation_DBI_0129"/>
      <sheetName val="Amortisation_DBI_29"/>
      <sheetName val="Sheet1_(3)29"/>
      <sheetName val="Sheet1_(2)29"/>
      <sheetName val="expat_exp29"/>
      <sheetName val="Customer_List29"/>
      <sheetName val="Stock_CIW29"/>
      <sheetName val="_INCOME_STATEMENT30"/>
      <sheetName val="Data_Submission32"/>
      <sheetName val="Lookup_Tables32"/>
      <sheetName val="K_6DEPOSIT29"/>
      <sheetName val="99_10_1229"/>
      <sheetName val="Other_charges_(income)29"/>
      <sheetName val="lab_norge29"/>
      <sheetName val="SAD_Conclusion29"/>
      <sheetName val="SAD_Schedule29"/>
      <sheetName val="Cruser_Sp7127"/>
      <sheetName val="Sch_27"/>
      <sheetName val="E-9_3(PBC)27"/>
      <sheetName val="hitung_ulang_JEPANG27"/>
      <sheetName val="HO_Use27"/>
      <sheetName val="BGT_Cashflow27"/>
      <sheetName val="ACT_Cashflow27"/>
      <sheetName val="BGT_Cashflow_27"/>
      <sheetName val="Muebles_y_Enseres27"/>
      <sheetName val="New_List27"/>
      <sheetName val="LOC_Score27"/>
      <sheetName val="Laba_Rugi27"/>
      <sheetName val="Pembelian_Aktiva27"/>
      <sheetName val="Beban_Operasi27"/>
      <sheetName val="GL_Items_MEI27"/>
      <sheetName val="7_227"/>
      <sheetName val="00_received_in_0127"/>
      <sheetName val="Per_GL_J_a_n27"/>
      <sheetName val="FE-1771$_P16"/>
      <sheetName val="Lamp_RPT0486"/>
      <sheetName val="Lamp_RPT0406"/>
      <sheetName val="Bgn-Ingg_PLANTATION6"/>
      <sheetName val="L_BA_blok6"/>
      <sheetName val="L_I_-_ATY6"/>
      <sheetName val="S_e_p6"/>
      <sheetName val="M_a_r6"/>
      <sheetName val="J_1_Deffered_Landright6"/>
      <sheetName val="rincian_DO6"/>
      <sheetName val="OPNAME_SALES6"/>
      <sheetName val="FE-1770_P142"/>
      <sheetName val="FE-1770_P242"/>
      <sheetName val="FI-177O_P142"/>
      <sheetName val="FI-1770_P242"/>
      <sheetName val="Final_Tax42"/>
      <sheetName val="Irregular_Income42"/>
      <sheetName val="Rp_Banten40"/>
      <sheetName val="Permanent_info40"/>
      <sheetName val="RMFE_0439"/>
      <sheetName val="BS_final41"/>
      <sheetName val="B_140"/>
      <sheetName val="3__Neraca_dan_RL41"/>
      <sheetName val="Mine_Assumptions41"/>
      <sheetName val="RENCANA_KERJA41"/>
      <sheetName val="VAT_out41"/>
      <sheetName val="Journal_Template41"/>
      <sheetName val="trf_d-i40"/>
      <sheetName val="K_2_139"/>
      <sheetName val="Forecase_200440"/>
      <sheetName val="Main_Menu40"/>
      <sheetName val="A_u_g40"/>
      <sheetName val="M-2_Adjusted40"/>
      <sheetName val="BOQ_price39"/>
      <sheetName val="Professionals_Standard39"/>
      <sheetName val="ESG_local39"/>
      <sheetName val="Details_BS_YTD39"/>
      <sheetName val="K_1_1_1_HGU38"/>
      <sheetName val="DEFECTED_NOV38"/>
      <sheetName val="Exch_rate38"/>
      <sheetName val="Internal_order39"/>
      <sheetName val="Other_Current38"/>
      <sheetName val="Other_YTD38"/>
      <sheetName val="HBI_NCD38"/>
      <sheetName val="Table_Array38"/>
      <sheetName val="HBS_Credit_Detail38"/>
      <sheetName val="ID_MENADO37"/>
      <sheetName val="Bank_Recon_-_IDR38"/>
      <sheetName val="Detail_pg239"/>
      <sheetName val="move_(2)39"/>
      <sheetName val="oblig_Trad&amp;AFS38"/>
      <sheetName val="For_Mgmt_fee39"/>
      <sheetName val="For_GSC_charge39"/>
      <sheetName val="For_Training_Svc_fee39"/>
      <sheetName val="For_Mgmt_fee_(PasteValue)39"/>
      <sheetName val="For_GSC_charge_(PasteValue)39"/>
      <sheetName val="Allocation_Base_(GSIN)39"/>
      <sheetName val="To_DCIN39"/>
      <sheetName val="For_Training_Svc_fee_(PasteVa39"/>
      <sheetName val="Income_Statement38"/>
      <sheetName val="INV0299_(2)38"/>
      <sheetName val="FOREX_0438"/>
      <sheetName val="FOREX_0338"/>
      <sheetName val="FOREX_04_audited38"/>
      <sheetName val="Data_Input38"/>
      <sheetName val="Cost_Input_Sheet38"/>
      <sheetName val="Q120_AP_Aging38"/>
      <sheetName val="Base_Data37"/>
      <sheetName val="RWP_3337"/>
      <sheetName val="TRADING_PROFIT37"/>
      <sheetName val="EB_PDT37"/>
      <sheetName val="Exc__Rate37"/>
      <sheetName val="EYAS_Standar37"/>
      <sheetName val="BAL_SHEET(2)37"/>
      <sheetName val="CUSTOMER_LOOKUP37"/>
      <sheetName val="SUMMARY_37"/>
      <sheetName val="Sheet1_(19)37"/>
      <sheetName val="Rekap_Penj37"/>
      <sheetName val="BS-PL_Komersil_and_Fiskal37"/>
      <sheetName val="Front_Sheet37"/>
      <sheetName val="Name_Map37"/>
      <sheetName val="TB_IDR_Only37"/>
      <sheetName val="Breakdown_LF603_137"/>
      <sheetName val="Sheet_1_(2)37"/>
      <sheetName val="COA_BM37"/>
      <sheetName val="Check_Sheet37"/>
      <sheetName val="PLHO_Report37"/>
      <sheetName val="FL_&amp;_IC37"/>
      <sheetName val="Table_137"/>
      <sheetName val="229_Accr_Exp37"/>
      <sheetName val="Income_State37"/>
      <sheetName val="Content_337"/>
      <sheetName val="hutang_DPLK37"/>
      <sheetName val="Access_Radio_NL40037"/>
      <sheetName val="HWL_(2)36"/>
      <sheetName val="A2_1_CAJE39"/>
      <sheetName val="TRAVEL_PLAN37"/>
      <sheetName val="Financial_Statement34"/>
      <sheetName val="Tax_comp37"/>
      <sheetName val="TWDV_over_NBV37"/>
      <sheetName val="Product_Requirement37"/>
      <sheetName val="Investasi_&amp;_depresiasi37"/>
      <sheetName val="Att_1-5_yr01_(Ind)34"/>
      <sheetName val="Att_1-5_yr0134"/>
      <sheetName val="PPh_22_-_0134"/>
      <sheetName val="PPh_22_-_01_(E)34"/>
      <sheetName val="Depr_for_add_200134"/>
      <sheetName val="Perhit_disp_01_(E)34"/>
      <sheetName val="Perhit_disp_0134"/>
      <sheetName val="Depreciation_DBI_0134"/>
      <sheetName val="Amortisation_DBI_34"/>
      <sheetName val="Sheet1_(3)34"/>
      <sheetName val="Sheet1_(2)34"/>
      <sheetName val="expat_exp34"/>
      <sheetName val="Customer_List34"/>
      <sheetName val="Stock_CIW34"/>
      <sheetName val="_INCOME_STATEMENT35"/>
      <sheetName val="Data_Submission37"/>
      <sheetName val="Lookup_Tables37"/>
      <sheetName val="K_6DEPOSIT34"/>
      <sheetName val="99_10_1234"/>
      <sheetName val="Other_charges_(income)34"/>
      <sheetName val="lab_norge34"/>
      <sheetName val="SAD_Conclusion34"/>
      <sheetName val="SAD_Schedule34"/>
      <sheetName val="Cruser_Sp7132"/>
      <sheetName val="Sch_32"/>
      <sheetName val="E-9_3(PBC)32"/>
      <sheetName val="hitung_ulang_JEPANG32"/>
      <sheetName val="HO_Use32"/>
      <sheetName val="BGT_Cashflow32"/>
      <sheetName val="ACT_Cashflow32"/>
      <sheetName val="BGT_Cashflow_32"/>
      <sheetName val="Muebles_y_Enseres32"/>
      <sheetName val="New_List32"/>
      <sheetName val="LOC_Score32"/>
      <sheetName val="Laba_Rugi32"/>
      <sheetName val="Pembelian_Aktiva32"/>
      <sheetName val="Beban_Operasi32"/>
      <sheetName val="GL_Items_MEI32"/>
      <sheetName val="7_232"/>
      <sheetName val="00_received_in_0132"/>
      <sheetName val="Per_GL_J_a_n32"/>
      <sheetName val="FE-1771$_P111"/>
      <sheetName val="Lamp_RPT04811"/>
      <sheetName val="Lamp_RPT04011"/>
      <sheetName val="Bgn-Ingg_PLANTATION11"/>
      <sheetName val="L_BA_blok11"/>
      <sheetName val="L_I_-_ATY11"/>
      <sheetName val="S_e_p11"/>
      <sheetName val="M_a_r11"/>
      <sheetName val="J_1_Deffered_Landright11"/>
      <sheetName val="rincian_DO11"/>
      <sheetName val="OPNAME_SALES11"/>
      <sheetName val="FE-1770_P140"/>
      <sheetName val="FE-1770_P240"/>
      <sheetName val="FI-177O_P140"/>
      <sheetName val="FI-1770_P240"/>
      <sheetName val="Final_Tax40"/>
      <sheetName val="Irregular_Income40"/>
      <sheetName val="Rp_Banten38"/>
      <sheetName val="Permanent_info38"/>
      <sheetName val="RMFE_0437"/>
      <sheetName val="BS_final39"/>
      <sheetName val="B_138"/>
      <sheetName val="3__Neraca_dan_RL39"/>
      <sheetName val="Mine_Assumptions39"/>
      <sheetName val="RENCANA_KERJA39"/>
      <sheetName val="VAT_out39"/>
      <sheetName val="Journal_Template39"/>
      <sheetName val="trf_d-i38"/>
      <sheetName val="K_2_137"/>
      <sheetName val="Forecase_200438"/>
      <sheetName val="Main_Menu38"/>
      <sheetName val="A_u_g38"/>
      <sheetName val="M-2_Adjusted38"/>
      <sheetName val="BOQ_price37"/>
      <sheetName val="Professionals_Standard37"/>
      <sheetName val="ESG_local37"/>
      <sheetName val="Details_BS_YTD37"/>
      <sheetName val="K_1_1_1_HGU36"/>
      <sheetName val="DEFECTED_NOV36"/>
      <sheetName val="Exch_rate36"/>
      <sheetName val="Internal_order37"/>
      <sheetName val="Other_Current36"/>
      <sheetName val="Other_YTD36"/>
      <sheetName val="HBI_NCD36"/>
      <sheetName val="Table_Array36"/>
      <sheetName val="HBS_Credit_Detail36"/>
      <sheetName val="ID_MENADO35"/>
      <sheetName val="Bank_Recon_-_IDR36"/>
      <sheetName val="Detail_pg237"/>
      <sheetName val="move_(2)37"/>
      <sheetName val="oblig_Trad&amp;AFS36"/>
      <sheetName val="For_Mgmt_fee37"/>
      <sheetName val="For_GSC_charge37"/>
      <sheetName val="For_Training_Svc_fee37"/>
      <sheetName val="For_Mgmt_fee_(PasteValue)37"/>
      <sheetName val="For_GSC_charge_(PasteValue)37"/>
      <sheetName val="Allocation_Base_(GSIN)37"/>
      <sheetName val="To_DCIN37"/>
      <sheetName val="For_Training_Svc_fee_(PasteVa37"/>
      <sheetName val="Income_Statement36"/>
      <sheetName val="INV0299_(2)36"/>
      <sheetName val="FOREX_0436"/>
      <sheetName val="FOREX_0336"/>
      <sheetName val="FOREX_04_audited36"/>
      <sheetName val="Data_Input36"/>
      <sheetName val="Cost_Input_Sheet36"/>
      <sheetName val="Q120_AP_Aging36"/>
      <sheetName val="Base_Data35"/>
      <sheetName val="RWP_3335"/>
      <sheetName val="TRADING_PROFIT35"/>
      <sheetName val="EB_PDT35"/>
      <sheetName val="Exc__Rate35"/>
      <sheetName val="EYAS_Standar35"/>
      <sheetName val="BAL_SHEET(2)35"/>
      <sheetName val="CUSTOMER_LOOKUP35"/>
      <sheetName val="SUMMARY_35"/>
      <sheetName val="Sheet1_(19)35"/>
      <sheetName val="Rekap_Penj35"/>
      <sheetName val="BS-PL_Komersil_and_Fiskal35"/>
      <sheetName val="Front_Sheet35"/>
      <sheetName val="Name_Map35"/>
      <sheetName val="TB_IDR_Only35"/>
      <sheetName val="Breakdown_LF603_135"/>
      <sheetName val="Sheet_1_(2)35"/>
      <sheetName val="COA_BM35"/>
      <sheetName val="Check_Sheet35"/>
      <sheetName val="PLHO_Report35"/>
      <sheetName val="FL_&amp;_IC35"/>
      <sheetName val="Table_135"/>
      <sheetName val="229_Accr_Exp35"/>
      <sheetName val="Income_State35"/>
      <sheetName val="Content_335"/>
      <sheetName val="hutang_DPLK35"/>
      <sheetName val="Access_Radio_NL40035"/>
      <sheetName val="HWL_(2)34"/>
      <sheetName val="A2_1_CAJE37"/>
      <sheetName val="TRAVEL_PLAN35"/>
      <sheetName val="Financial_Statement32"/>
      <sheetName val="Tax_comp35"/>
      <sheetName val="TWDV_over_NBV35"/>
      <sheetName val="Product_Requirement35"/>
      <sheetName val="Investasi_&amp;_depresiasi35"/>
      <sheetName val="Att_1-5_yr01_(Ind)32"/>
      <sheetName val="Att_1-5_yr0132"/>
      <sheetName val="PPh_22_-_0132"/>
      <sheetName val="PPh_22_-_01_(E)32"/>
      <sheetName val="Depr_for_add_200132"/>
      <sheetName val="Perhit_disp_01_(E)32"/>
      <sheetName val="Perhit_disp_0132"/>
      <sheetName val="Depreciation_DBI_0132"/>
      <sheetName val="Amortisation_DBI_32"/>
      <sheetName val="Sheet1_(3)32"/>
      <sheetName val="Sheet1_(2)32"/>
      <sheetName val="expat_exp32"/>
      <sheetName val="Customer_List32"/>
      <sheetName val="Stock_CIW32"/>
      <sheetName val="_INCOME_STATEMENT33"/>
      <sheetName val="Data_Submission35"/>
      <sheetName val="Lookup_Tables35"/>
      <sheetName val="K_6DEPOSIT32"/>
      <sheetName val="99_10_1232"/>
      <sheetName val="Other_charges_(income)32"/>
      <sheetName val="lab_norge32"/>
      <sheetName val="SAD_Conclusion32"/>
      <sheetName val="SAD_Schedule32"/>
      <sheetName val="Cruser_Sp7130"/>
      <sheetName val="Sch_30"/>
      <sheetName val="E-9_3(PBC)30"/>
      <sheetName val="hitung_ulang_JEPANG30"/>
      <sheetName val="HO_Use30"/>
      <sheetName val="BGT_Cashflow30"/>
      <sheetName val="ACT_Cashflow30"/>
      <sheetName val="BGT_Cashflow_30"/>
      <sheetName val="Muebles_y_Enseres30"/>
      <sheetName val="New_List30"/>
      <sheetName val="LOC_Score30"/>
      <sheetName val="Laba_Rugi30"/>
      <sheetName val="Pembelian_Aktiva30"/>
      <sheetName val="Beban_Operasi30"/>
      <sheetName val="GL_Items_MEI30"/>
      <sheetName val="7_230"/>
      <sheetName val="00_received_in_0130"/>
      <sheetName val="Per_GL_J_a_n30"/>
      <sheetName val="FE-1771$_P19"/>
      <sheetName val="Lamp_RPT0489"/>
      <sheetName val="Lamp_RPT0409"/>
      <sheetName val="Bgn-Ingg_PLANTATION9"/>
      <sheetName val="L_BA_blok9"/>
      <sheetName val="L_I_-_ATY9"/>
      <sheetName val="S_e_p9"/>
      <sheetName val="M_a_r9"/>
      <sheetName val="J_1_Deffered_Landright9"/>
      <sheetName val="rincian_DO9"/>
      <sheetName val="OPNAME_SALES9"/>
      <sheetName val="FE-1770_P141"/>
      <sheetName val="FE-1770_P241"/>
      <sheetName val="FI-177O_P141"/>
      <sheetName val="FI-1770_P241"/>
      <sheetName val="Final_Tax41"/>
      <sheetName val="Irregular_Income41"/>
      <sheetName val="Rp_Banten39"/>
      <sheetName val="Permanent_info39"/>
      <sheetName val="RMFE_0438"/>
      <sheetName val="BS_final40"/>
      <sheetName val="B_139"/>
      <sheetName val="3__Neraca_dan_RL40"/>
      <sheetName val="Mine_Assumptions40"/>
      <sheetName val="RENCANA_KERJA40"/>
      <sheetName val="VAT_out40"/>
      <sheetName val="Journal_Template40"/>
      <sheetName val="trf_d-i39"/>
      <sheetName val="K_2_138"/>
      <sheetName val="Forecase_200439"/>
      <sheetName val="Main_Menu39"/>
      <sheetName val="A_u_g39"/>
      <sheetName val="M-2_Adjusted39"/>
      <sheetName val="BOQ_price38"/>
      <sheetName val="Professionals_Standard38"/>
      <sheetName val="ESG_local38"/>
      <sheetName val="Details_BS_YTD38"/>
      <sheetName val="K_1_1_1_HGU37"/>
      <sheetName val="DEFECTED_NOV37"/>
      <sheetName val="Exch_rate37"/>
      <sheetName val="Internal_order38"/>
      <sheetName val="Other_Current37"/>
      <sheetName val="Other_YTD37"/>
      <sheetName val="HBI_NCD37"/>
      <sheetName val="Table_Array37"/>
      <sheetName val="HBS_Credit_Detail37"/>
      <sheetName val="ID_MENADO36"/>
      <sheetName val="Bank_Recon_-_IDR37"/>
      <sheetName val="Detail_pg238"/>
      <sheetName val="move_(2)38"/>
      <sheetName val="oblig_Trad&amp;AFS37"/>
      <sheetName val="For_Mgmt_fee38"/>
      <sheetName val="For_GSC_charge38"/>
      <sheetName val="For_Training_Svc_fee38"/>
      <sheetName val="For_Mgmt_fee_(PasteValue)38"/>
      <sheetName val="For_GSC_charge_(PasteValue)38"/>
      <sheetName val="Allocation_Base_(GSIN)38"/>
      <sheetName val="To_DCIN38"/>
      <sheetName val="For_Training_Svc_fee_(PasteVa38"/>
      <sheetName val="Income_Statement37"/>
      <sheetName val="INV0299_(2)37"/>
      <sheetName val="FOREX_0437"/>
      <sheetName val="FOREX_0337"/>
      <sheetName val="FOREX_04_audited37"/>
      <sheetName val="Data_Input37"/>
      <sheetName val="Cost_Input_Sheet37"/>
      <sheetName val="Q120_AP_Aging37"/>
      <sheetName val="Base_Data36"/>
      <sheetName val="RWP_3336"/>
      <sheetName val="TRADING_PROFIT36"/>
      <sheetName val="EB_PDT36"/>
      <sheetName val="Exc__Rate36"/>
      <sheetName val="EYAS_Standar36"/>
      <sheetName val="BAL_SHEET(2)36"/>
      <sheetName val="CUSTOMER_LOOKUP36"/>
      <sheetName val="SUMMARY_36"/>
      <sheetName val="Sheet1_(19)36"/>
      <sheetName val="Rekap_Penj36"/>
      <sheetName val="BS-PL_Komersil_and_Fiskal36"/>
      <sheetName val="Front_Sheet36"/>
      <sheetName val="Name_Map36"/>
      <sheetName val="TB_IDR_Only36"/>
      <sheetName val="Breakdown_LF603_136"/>
      <sheetName val="Sheet_1_(2)36"/>
      <sheetName val="COA_BM36"/>
      <sheetName val="Check_Sheet36"/>
      <sheetName val="PLHO_Report36"/>
      <sheetName val="FL_&amp;_IC36"/>
      <sheetName val="Table_136"/>
      <sheetName val="229_Accr_Exp36"/>
      <sheetName val="Income_State36"/>
      <sheetName val="Content_336"/>
      <sheetName val="hutang_DPLK36"/>
      <sheetName val="Access_Radio_NL40036"/>
      <sheetName val="HWL_(2)35"/>
      <sheetName val="A2_1_CAJE38"/>
      <sheetName val="TRAVEL_PLAN36"/>
      <sheetName val="Financial_Statement33"/>
      <sheetName val="Tax_comp36"/>
      <sheetName val="TWDV_over_NBV36"/>
      <sheetName val="Product_Requirement36"/>
      <sheetName val="Investasi_&amp;_depresiasi36"/>
      <sheetName val="Att_1-5_yr01_(Ind)33"/>
      <sheetName val="Att_1-5_yr0133"/>
      <sheetName val="PPh_22_-_0133"/>
      <sheetName val="PPh_22_-_01_(E)33"/>
      <sheetName val="Depr_for_add_200133"/>
      <sheetName val="Perhit_disp_01_(E)33"/>
      <sheetName val="Perhit_disp_0133"/>
      <sheetName val="Depreciation_DBI_0133"/>
      <sheetName val="Amortisation_DBI_33"/>
      <sheetName val="Sheet1_(3)33"/>
      <sheetName val="Sheet1_(2)33"/>
      <sheetName val="expat_exp33"/>
      <sheetName val="Customer_List33"/>
      <sheetName val="Stock_CIW33"/>
      <sheetName val="_INCOME_STATEMENT34"/>
      <sheetName val="Data_Submission36"/>
      <sheetName val="Lookup_Tables36"/>
      <sheetName val="K_6DEPOSIT33"/>
      <sheetName val="99_10_1233"/>
      <sheetName val="Other_charges_(income)33"/>
      <sheetName val="lab_norge33"/>
      <sheetName val="SAD_Conclusion33"/>
      <sheetName val="SAD_Schedule33"/>
      <sheetName val="Cruser_Sp7131"/>
      <sheetName val="Sch_31"/>
      <sheetName val="E-9_3(PBC)31"/>
      <sheetName val="hitung_ulang_JEPANG31"/>
      <sheetName val="HO_Use31"/>
      <sheetName val="BGT_Cashflow31"/>
      <sheetName val="ACT_Cashflow31"/>
      <sheetName val="BGT_Cashflow_31"/>
      <sheetName val="Muebles_y_Enseres31"/>
      <sheetName val="New_List31"/>
      <sheetName val="LOC_Score31"/>
      <sheetName val="Laba_Rugi31"/>
      <sheetName val="Pembelian_Aktiva31"/>
      <sheetName val="Beban_Operasi31"/>
      <sheetName val="GL_Items_MEI31"/>
      <sheetName val="7_231"/>
      <sheetName val="00_received_in_0131"/>
      <sheetName val="Per_GL_J_a_n31"/>
      <sheetName val="FE-1771$_P110"/>
      <sheetName val="Lamp_RPT04810"/>
      <sheetName val="Lamp_RPT04010"/>
      <sheetName val="Bgn-Ingg_PLANTATION10"/>
      <sheetName val="L_BA_blok10"/>
      <sheetName val="L_I_-_ATY10"/>
      <sheetName val="S_e_p10"/>
      <sheetName val="M_a_r10"/>
      <sheetName val="J_1_Deffered_Landright10"/>
      <sheetName val="rincian_DO10"/>
      <sheetName val="OPNAME_SALES10"/>
      <sheetName val="FE-1770_P143"/>
      <sheetName val="FE-1770_P243"/>
      <sheetName val="FI-177O_P143"/>
      <sheetName val="FI-1770_P243"/>
      <sheetName val="Final_Tax43"/>
      <sheetName val="Irregular_Income43"/>
      <sheetName val="Rp_Banten41"/>
      <sheetName val="Permanent_info41"/>
      <sheetName val="RMFE_0440"/>
      <sheetName val="BS_final42"/>
      <sheetName val="B_141"/>
      <sheetName val="3__Neraca_dan_RL42"/>
      <sheetName val="Mine_Assumptions42"/>
      <sheetName val="RENCANA_KERJA42"/>
      <sheetName val="VAT_out42"/>
      <sheetName val="Journal_Template42"/>
      <sheetName val="trf_d-i41"/>
      <sheetName val="K_2_140"/>
      <sheetName val="Forecase_200441"/>
      <sheetName val="Main_Menu41"/>
      <sheetName val="A_u_g41"/>
      <sheetName val="M-2_Adjusted41"/>
      <sheetName val="BOQ_price40"/>
      <sheetName val="Professionals_Standard40"/>
      <sheetName val="ESG_local40"/>
      <sheetName val="Details_BS_YTD40"/>
      <sheetName val="K_1_1_1_HGU39"/>
      <sheetName val="DEFECTED_NOV39"/>
      <sheetName val="Exch_rate39"/>
      <sheetName val="Internal_order40"/>
      <sheetName val="Other_Current39"/>
      <sheetName val="Other_YTD39"/>
      <sheetName val="HBI_NCD39"/>
      <sheetName val="Table_Array39"/>
      <sheetName val="HBS_Credit_Detail39"/>
      <sheetName val="ID_MENADO38"/>
      <sheetName val="Bank_Recon_-_IDR39"/>
      <sheetName val="Detail_pg240"/>
      <sheetName val="move_(2)40"/>
      <sheetName val="oblig_Trad&amp;AFS39"/>
      <sheetName val="For_Mgmt_fee40"/>
      <sheetName val="For_GSC_charge40"/>
      <sheetName val="For_Training_Svc_fee40"/>
      <sheetName val="For_Mgmt_fee_(PasteValue)40"/>
      <sheetName val="For_GSC_charge_(PasteValue)40"/>
      <sheetName val="Allocation_Base_(GSIN)40"/>
      <sheetName val="To_DCIN40"/>
      <sheetName val="For_Training_Svc_fee_(PasteVa40"/>
      <sheetName val="Income_Statement39"/>
      <sheetName val="INV0299_(2)39"/>
      <sheetName val="FOREX_0439"/>
      <sheetName val="FOREX_0339"/>
      <sheetName val="FOREX_04_audited39"/>
      <sheetName val="Data_Input39"/>
      <sheetName val="Cost_Input_Sheet39"/>
      <sheetName val="Q120_AP_Aging39"/>
      <sheetName val="Base_Data38"/>
      <sheetName val="RWP_3338"/>
      <sheetName val="TRADING_PROFIT38"/>
      <sheetName val="EB_PDT38"/>
      <sheetName val="Exc__Rate38"/>
      <sheetName val="EYAS_Standar38"/>
      <sheetName val="BAL_SHEET(2)38"/>
      <sheetName val="CUSTOMER_LOOKUP38"/>
      <sheetName val="SUMMARY_38"/>
      <sheetName val="Sheet1_(19)38"/>
      <sheetName val="Rekap_Penj38"/>
      <sheetName val="BS-PL_Komersil_and_Fiskal38"/>
      <sheetName val="Front_Sheet38"/>
      <sheetName val="Name_Map38"/>
      <sheetName val="TB_IDR_Only38"/>
      <sheetName val="Breakdown_LF603_138"/>
      <sheetName val="Sheet_1_(2)38"/>
      <sheetName val="COA_BM38"/>
      <sheetName val="Check_Sheet38"/>
      <sheetName val="PLHO_Report38"/>
      <sheetName val="FL_&amp;_IC38"/>
      <sheetName val="Table_138"/>
      <sheetName val="229_Accr_Exp38"/>
      <sheetName val="Income_State38"/>
      <sheetName val="Content_338"/>
      <sheetName val="hutang_DPLK38"/>
      <sheetName val="Access_Radio_NL40038"/>
      <sheetName val="HWL_(2)37"/>
      <sheetName val="A2_1_CAJE40"/>
      <sheetName val="TRAVEL_PLAN38"/>
      <sheetName val="Financial_Statement35"/>
      <sheetName val="Tax_comp38"/>
      <sheetName val="TWDV_over_NBV38"/>
      <sheetName val="Product_Requirement38"/>
      <sheetName val="Investasi_&amp;_depresiasi38"/>
      <sheetName val="Att_1-5_yr01_(Ind)35"/>
      <sheetName val="Att_1-5_yr0135"/>
      <sheetName val="PPh_22_-_0135"/>
      <sheetName val="PPh_22_-_01_(E)35"/>
      <sheetName val="Depr_for_add_200135"/>
      <sheetName val="Perhit_disp_01_(E)35"/>
      <sheetName val="Perhit_disp_0135"/>
      <sheetName val="Depreciation_DBI_0135"/>
      <sheetName val="Amortisation_DBI_35"/>
      <sheetName val="Sheet1_(3)35"/>
      <sheetName val="Sheet1_(2)35"/>
      <sheetName val="expat_exp35"/>
      <sheetName val="Customer_List35"/>
      <sheetName val="Stock_CIW35"/>
      <sheetName val="_INCOME_STATEMENT36"/>
      <sheetName val="Data_Submission38"/>
      <sheetName val="Lookup_Tables38"/>
      <sheetName val="K_6DEPOSIT35"/>
      <sheetName val="99_10_1235"/>
      <sheetName val="Other_charges_(income)35"/>
      <sheetName val="lab_norge35"/>
      <sheetName val="SAD_Conclusion35"/>
      <sheetName val="SAD_Schedule35"/>
      <sheetName val="Cruser_Sp7133"/>
      <sheetName val="Sch_33"/>
      <sheetName val="E-9_3(PBC)33"/>
      <sheetName val="hitung_ulang_JEPANG33"/>
      <sheetName val="HO_Use33"/>
      <sheetName val="BGT_Cashflow33"/>
      <sheetName val="ACT_Cashflow33"/>
      <sheetName val="BGT_Cashflow_33"/>
      <sheetName val="Muebles_y_Enseres33"/>
      <sheetName val="New_List33"/>
      <sheetName val="LOC_Score33"/>
      <sheetName val="Laba_Rugi33"/>
      <sheetName val="Pembelian_Aktiva33"/>
      <sheetName val="Beban_Operasi33"/>
      <sheetName val="GL_Items_MEI33"/>
      <sheetName val="7_233"/>
      <sheetName val="00_received_in_0133"/>
      <sheetName val="Per_GL_J_a_n33"/>
      <sheetName val="FE-1771$_P112"/>
      <sheetName val="Lamp_RPT04812"/>
      <sheetName val="Lamp_RPT04012"/>
      <sheetName val="Bgn-Ingg_PLANTATION12"/>
      <sheetName val="L_BA_blok12"/>
      <sheetName val="L_I_-_ATY12"/>
      <sheetName val="S_e_p12"/>
      <sheetName val="M_a_r12"/>
      <sheetName val="J_1_Deffered_Landright12"/>
      <sheetName val="rincian_DO12"/>
      <sheetName val="OPNAME_SALES12"/>
      <sheetName val="FE-1770_P146"/>
      <sheetName val="FE-1770_P246"/>
      <sheetName val="FI-177O_P146"/>
      <sheetName val="FI-1770_P246"/>
      <sheetName val="Final_Tax46"/>
      <sheetName val="Irregular_Income46"/>
      <sheetName val="Rp_Banten44"/>
      <sheetName val="Permanent_info44"/>
      <sheetName val="RMFE_0443"/>
      <sheetName val="BS_final45"/>
      <sheetName val="B_144"/>
      <sheetName val="3__Neraca_dan_RL45"/>
      <sheetName val="Mine_Assumptions45"/>
      <sheetName val="RENCANA_KERJA45"/>
      <sheetName val="VAT_out45"/>
      <sheetName val="Journal_Template45"/>
      <sheetName val="trf_d-i44"/>
      <sheetName val="K_2_143"/>
      <sheetName val="Forecase_200444"/>
      <sheetName val="Main_Menu44"/>
      <sheetName val="A_u_g44"/>
      <sheetName val="M-2_Adjusted44"/>
      <sheetName val="BOQ_price43"/>
      <sheetName val="Professionals_Standard43"/>
      <sheetName val="ESG_local43"/>
      <sheetName val="Details_BS_YTD43"/>
      <sheetName val="K_1_1_1_HGU42"/>
      <sheetName val="DEFECTED_NOV42"/>
      <sheetName val="Exch_rate42"/>
      <sheetName val="Internal_order43"/>
      <sheetName val="Other_Current42"/>
      <sheetName val="Other_YTD42"/>
      <sheetName val="HBI_NCD42"/>
      <sheetName val="Table_Array42"/>
      <sheetName val="HBS_Credit_Detail42"/>
      <sheetName val="ID_MENADO41"/>
      <sheetName val="Bank_Recon_-_IDR42"/>
      <sheetName val="Detail_pg243"/>
      <sheetName val="move_(2)43"/>
      <sheetName val="oblig_Trad&amp;AFS42"/>
      <sheetName val="For_Mgmt_fee43"/>
      <sheetName val="For_GSC_charge43"/>
      <sheetName val="For_Training_Svc_fee43"/>
      <sheetName val="For_Mgmt_fee_(PasteValue)43"/>
      <sheetName val="For_GSC_charge_(PasteValue)43"/>
      <sheetName val="Allocation_Base_(GSIN)43"/>
      <sheetName val="To_DCIN43"/>
      <sheetName val="For_Training_Svc_fee_(PasteVa43"/>
      <sheetName val="Income_Statement42"/>
      <sheetName val="INV0299_(2)42"/>
      <sheetName val="FOREX_0442"/>
      <sheetName val="FOREX_0342"/>
      <sheetName val="FOREX_04_audited42"/>
      <sheetName val="Data_Input42"/>
      <sheetName val="Cost_Input_Sheet42"/>
      <sheetName val="Q120_AP_Aging42"/>
      <sheetName val="Base_Data41"/>
      <sheetName val="RWP_3341"/>
      <sheetName val="TRADING_PROFIT41"/>
      <sheetName val="EB_PDT41"/>
      <sheetName val="Exc__Rate41"/>
      <sheetName val="EYAS_Standar41"/>
      <sheetName val="BAL_SHEET(2)41"/>
      <sheetName val="CUSTOMER_LOOKUP41"/>
      <sheetName val="SUMMARY_41"/>
      <sheetName val="Sheet1_(19)41"/>
      <sheetName val="Rekap_Penj41"/>
      <sheetName val="BS-PL_Komersil_and_Fiskal41"/>
      <sheetName val="Front_Sheet41"/>
      <sheetName val="Name_Map41"/>
      <sheetName val="TB_IDR_Only41"/>
      <sheetName val="Breakdown_LF603_141"/>
      <sheetName val="Sheet_1_(2)41"/>
      <sheetName val="COA_BM41"/>
      <sheetName val="Check_Sheet41"/>
      <sheetName val="PLHO_Report41"/>
      <sheetName val="FL_&amp;_IC41"/>
      <sheetName val="Table_141"/>
      <sheetName val="229_Accr_Exp41"/>
      <sheetName val="Income_State41"/>
      <sheetName val="Content_341"/>
      <sheetName val="hutang_DPLK41"/>
      <sheetName val="Access_Radio_NL40041"/>
      <sheetName val="HWL_(2)40"/>
      <sheetName val="A2_1_CAJE43"/>
      <sheetName val="TRAVEL_PLAN41"/>
      <sheetName val="Financial_Statement38"/>
      <sheetName val="Tax_comp41"/>
      <sheetName val="TWDV_over_NBV41"/>
      <sheetName val="Product_Requirement41"/>
      <sheetName val="Investasi_&amp;_depresiasi41"/>
      <sheetName val="Att_1-5_yr01_(Ind)38"/>
      <sheetName val="Att_1-5_yr0138"/>
      <sheetName val="PPh_22_-_0138"/>
      <sheetName val="PPh_22_-_01_(E)38"/>
      <sheetName val="Depr_for_add_200138"/>
      <sheetName val="Perhit_disp_01_(E)38"/>
      <sheetName val="Perhit_disp_0138"/>
      <sheetName val="Depreciation_DBI_0138"/>
      <sheetName val="Amortisation_DBI_38"/>
      <sheetName val="Sheet1_(3)38"/>
      <sheetName val="Sheet1_(2)38"/>
      <sheetName val="expat_exp38"/>
      <sheetName val="Customer_List38"/>
      <sheetName val="Stock_CIW38"/>
      <sheetName val="_INCOME_STATEMENT39"/>
      <sheetName val="Data_Submission41"/>
      <sheetName val="Lookup_Tables41"/>
      <sheetName val="K_6DEPOSIT38"/>
      <sheetName val="99_10_1238"/>
      <sheetName val="Other_charges_(income)38"/>
      <sheetName val="lab_norge38"/>
      <sheetName val="SAD_Conclusion38"/>
      <sheetName val="SAD_Schedule38"/>
      <sheetName val="Cruser_Sp7136"/>
      <sheetName val="Sch_36"/>
      <sheetName val="E-9_3(PBC)36"/>
      <sheetName val="hitung_ulang_JEPANG36"/>
      <sheetName val="HO_Use36"/>
      <sheetName val="BGT_Cashflow36"/>
      <sheetName val="ACT_Cashflow36"/>
      <sheetName val="BGT_Cashflow_36"/>
      <sheetName val="Muebles_y_Enseres36"/>
      <sheetName val="New_List36"/>
      <sheetName val="LOC_Score36"/>
      <sheetName val="Laba_Rugi36"/>
      <sheetName val="Pembelian_Aktiva36"/>
      <sheetName val="Beban_Operasi36"/>
      <sheetName val="GL_Items_MEI36"/>
      <sheetName val="7_236"/>
      <sheetName val="00_received_in_0136"/>
      <sheetName val="Per_GL_J_a_n36"/>
      <sheetName val="FE-1771$_P115"/>
      <sheetName val="Lamp_RPT04815"/>
      <sheetName val="Lamp_RPT04015"/>
      <sheetName val="Bgn-Ingg_PLANTATION15"/>
      <sheetName val="L_BA_blok15"/>
      <sheetName val="L_I_-_ATY15"/>
      <sheetName val="S_e_p15"/>
      <sheetName val="M_a_r15"/>
      <sheetName val="J_1_Deffered_Landright15"/>
      <sheetName val="rincian_DO15"/>
      <sheetName val="OPNAME_SALES15"/>
      <sheetName val="FE-1770_P145"/>
      <sheetName val="FE-1770_P245"/>
      <sheetName val="FI-177O_P145"/>
      <sheetName val="FI-1770_P245"/>
      <sheetName val="Final_Tax45"/>
      <sheetName val="Irregular_Income45"/>
      <sheetName val="Rp_Banten43"/>
      <sheetName val="Permanent_info43"/>
      <sheetName val="RMFE_0442"/>
      <sheetName val="BS_final44"/>
      <sheetName val="B_143"/>
      <sheetName val="3__Neraca_dan_RL44"/>
      <sheetName val="Mine_Assumptions44"/>
      <sheetName val="RENCANA_KERJA44"/>
      <sheetName val="VAT_out44"/>
      <sheetName val="Journal_Template44"/>
      <sheetName val="trf_d-i43"/>
      <sheetName val="K_2_142"/>
      <sheetName val="Forecase_200443"/>
      <sheetName val="Main_Menu43"/>
      <sheetName val="A_u_g43"/>
      <sheetName val="M-2_Adjusted43"/>
      <sheetName val="BOQ_price42"/>
      <sheetName val="Professionals_Standard42"/>
      <sheetName val="ESG_local42"/>
      <sheetName val="Details_BS_YTD42"/>
      <sheetName val="K_1_1_1_HGU41"/>
      <sheetName val="DEFECTED_NOV41"/>
      <sheetName val="Exch_rate41"/>
      <sheetName val="Internal_order42"/>
      <sheetName val="Other_Current41"/>
      <sheetName val="Other_YTD41"/>
      <sheetName val="HBI_NCD41"/>
      <sheetName val="Table_Array41"/>
      <sheetName val="HBS_Credit_Detail41"/>
      <sheetName val="ID_MENADO40"/>
      <sheetName val="Bank_Recon_-_IDR41"/>
      <sheetName val="Detail_pg242"/>
      <sheetName val="move_(2)42"/>
      <sheetName val="oblig_Trad&amp;AFS41"/>
      <sheetName val="For_Mgmt_fee42"/>
      <sheetName val="For_GSC_charge42"/>
      <sheetName val="For_Training_Svc_fee42"/>
      <sheetName val="For_Mgmt_fee_(PasteValue)42"/>
      <sheetName val="For_GSC_charge_(PasteValue)42"/>
      <sheetName val="Allocation_Base_(GSIN)42"/>
      <sheetName val="To_DCIN42"/>
      <sheetName val="For_Training_Svc_fee_(PasteVa42"/>
      <sheetName val="Income_Statement41"/>
      <sheetName val="INV0299_(2)41"/>
      <sheetName val="FOREX_0441"/>
      <sheetName val="FOREX_0341"/>
      <sheetName val="FOREX_04_audited41"/>
      <sheetName val="Data_Input41"/>
      <sheetName val="Cost_Input_Sheet41"/>
      <sheetName val="Q120_AP_Aging41"/>
      <sheetName val="Base_Data40"/>
      <sheetName val="RWP_3340"/>
      <sheetName val="TRADING_PROFIT40"/>
      <sheetName val="EB_PDT40"/>
      <sheetName val="Exc__Rate40"/>
      <sheetName val="EYAS_Standar40"/>
      <sheetName val="BAL_SHEET(2)40"/>
      <sheetName val="CUSTOMER_LOOKUP40"/>
      <sheetName val="SUMMARY_40"/>
      <sheetName val="Sheet1_(19)40"/>
      <sheetName val="Rekap_Penj40"/>
      <sheetName val="BS-PL_Komersil_and_Fiskal40"/>
      <sheetName val="Front_Sheet40"/>
      <sheetName val="Name_Map40"/>
      <sheetName val="TB_IDR_Only40"/>
      <sheetName val="Breakdown_LF603_140"/>
      <sheetName val="Sheet_1_(2)40"/>
      <sheetName val="COA_BM40"/>
      <sheetName val="Check_Sheet40"/>
      <sheetName val="PLHO_Report40"/>
      <sheetName val="FL_&amp;_IC40"/>
      <sheetName val="Table_140"/>
      <sheetName val="229_Accr_Exp40"/>
      <sheetName val="Income_State40"/>
      <sheetName val="Content_340"/>
      <sheetName val="hutang_DPLK40"/>
      <sheetName val="Access_Radio_NL40040"/>
      <sheetName val="HWL_(2)39"/>
      <sheetName val="A2_1_CAJE42"/>
      <sheetName val="TRAVEL_PLAN40"/>
      <sheetName val="Financial_Statement37"/>
      <sheetName val="Tax_comp40"/>
      <sheetName val="TWDV_over_NBV40"/>
      <sheetName val="Product_Requirement40"/>
      <sheetName val="Investasi_&amp;_depresiasi40"/>
      <sheetName val="Att_1-5_yr01_(Ind)37"/>
      <sheetName val="Att_1-5_yr0137"/>
      <sheetName val="PPh_22_-_0137"/>
      <sheetName val="PPh_22_-_01_(E)37"/>
      <sheetName val="Depr_for_add_200137"/>
      <sheetName val="Perhit_disp_01_(E)37"/>
      <sheetName val="Perhit_disp_0137"/>
      <sheetName val="Depreciation_DBI_0137"/>
      <sheetName val="Amortisation_DBI_37"/>
      <sheetName val="Sheet1_(3)37"/>
      <sheetName val="Sheet1_(2)37"/>
      <sheetName val="expat_exp37"/>
      <sheetName val="Customer_List37"/>
      <sheetName val="Stock_CIW37"/>
      <sheetName val="_INCOME_STATEMENT38"/>
      <sheetName val="Data_Submission40"/>
      <sheetName val="Lookup_Tables40"/>
      <sheetName val="K_6DEPOSIT37"/>
      <sheetName val="99_10_1237"/>
      <sheetName val="Other_charges_(income)37"/>
      <sheetName val="lab_norge37"/>
      <sheetName val="SAD_Conclusion37"/>
      <sheetName val="SAD_Schedule37"/>
      <sheetName val="Cruser_Sp7135"/>
      <sheetName val="Sch_35"/>
      <sheetName val="E-9_3(PBC)35"/>
      <sheetName val="hitung_ulang_JEPANG35"/>
      <sheetName val="HO_Use35"/>
      <sheetName val="BGT_Cashflow35"/>
      <sheetName val="ACT_Cashflow35"/>
      <sheetName val="BGT_Cashflow_35"/>
      <sheetName val="Muebles_y_Enseres35"/>
      <sheetName val="New_List35"/>
      <sheetName val="LOC_Score35"/>
      <sheetName val="Laba_Rugi35"/>
      <sheetName val="Pembelian_Aktiva35"/>
      <sheetName val="Beban_Operasi35"/>
      <sheetName val="GL_Items_MEI35"/>
      <sheetName val="7_235"/>
      <sheetName val="00_received_in_0135"/>
      <sheetName val="Per_GL_J_a_n35"/>
      <sheetName val="FE-1771$_P114"/>
      <sheetName val="Lamp_RPT04814"/>
      <sheetName val="Lamp_RPT04014"/>
      <sheetName val="Bgn-Ingg_PLANTATION14"/>
      <sheetName val="L_BA_blok14"/>
      <sheetName val="L_I_-_ATY14"/>
      <sheetName val="S_e_p14"/>
      <sheetName val="M_a_r14"/>
      <sheetName val="J_1_Deffered_Landright14"/>
      <sheetName val="rincian_DO14"/>
      <sheetName val="OPNAME_SALES14"/>
      <sheetName val="FE-1770_P144"/>
      <sheetName val="FE-1770_P244"/>
      <sheetName val="FI-177O_P144"/>
      <sheetName val="FI-1770_P244"/>
      <sheetName val="Final_Tax44"/>
      <sheetName val="Irregular_Income44"/>
      <sheetName val="Rp_Banten42"/>
      <sheetName val="Permanent_info42"/>
      <sheetName val="RMFE_0441"/>
      <sheetName val="BS_final43"/>
      <sheetName val="B_142"/>
      <sheetName val="3__Neraca_dan_RL43"/>
      <sheetName val="Mine_Assumptions43"/>
      <sheetName val="RENCANA_KERJA43"/>
      <sheetName val="VAT_out43"/>
      <sheetName val="Journal_Template43"/>
      <sheetName val="trf_d-i42"/>
      <sheetName val="K_2_141"/>
      <sheetName val="Forecase_200442"/>
      <sheetName val="Main_Menu42"/>
      <sheetName val="A_u_g42"/>
      <sheetName val="M-2_Adjusted42"/>
      <sheetName val="BOQ_price41"/>
      <sheetName val="Professionals_Standard41"/>
      <sheetName val="ESG_local41"/>
      <sheetName val="Details_BS_YTD41"/>
      <sheetName val="K_1_1_1_HGU40"/>
      <sheetName val="DEFECTED_NOV40"/>
      <sheetName val="Exch_rate40"/>
      <sheetName val="Internal_order41"/>
      <sheetName val="Other_Current40"/>
      <sheetName val="Other_YTD40"/>
      <sheetName val="HBI_NCD40"/>
      <sheetName val="Table_Array40"/>
      <sheetName val="HBS_Credit_Detail40"/>
      <sheetName val="ID_MENADO39"/>
      <sheetName val="Bank_Recon_-_IDR40"/>
      <sheetName val="Detail_pg241"/>
      <sheetName val="move_(2)41"/>
      <sheetName val="oblig_Trad&amp;AFS40"/>
      <sheetName val="For_Mgmt_fee41"/>
      <sheetName val="For_GSC_charge41"/>
      <sheetName val="For_Training_Svc_fee41"/>
      <sheetName val="For_Mgmt_fee_(PasteValue)41"/>
      <sheetName val="For_GSC_charge_(PasteValue)41"/>
      <sheetName val="Allocation_Base_(GSIN)41"/>
      <sheetName val="To_DCIN41"/>
      <sheetName val="For_Training_Svc_fee_(PasteVa41"/>
      <sheetName val="Income_Statement40"/>
      <sheetName val="INV0299_(2)40"/>
      <sheetName val="FOREX_0440"/>
      <sheetName val="FOREX_0340"/>
      <sheetName val="FOREX_04_audited40"/>
      <sheetName val="Data_Input40"/>
      <sheetName val="Cost_Input_Sheet40"/>
      <sheetName val="Q120_AP_Aging40"/>
      <sheetName val="Base_Data39"/>
      <sheetName val="RWP_3339"/>
      <sheetName val="TRADING_PROFIT39"/>
      <sheetName val="EB_PDT39"/>
      <sheetName val="Exc__Rate39"/>
      <sheetName val="EYAS_Standar39"/>
      <sheetName val="BAL_SHEET(2)39"/>
      <sheetName val="CUSTOMER_LOOKUP39"/>
      <sheetName val="SUMMARY_39"/>
      <sheetName val="Sheet1_(19)39"/>
      <sheetName val="Rekap_Penj39"/>
      <sheetName val="BS-PL_Komersil_and_Fiskal39"/>
      <sheetName val="Front_Sheet39"/>
      <sheetName val="Name_Map39"/>
      <sheetName val="TB_IDR_Only39"/>
      <sheetName val="Breakdown_LF603_139"/>
      <sheetName val="Sheet_1_(2)39"/>
      <sheetName val="COA_BM39"/>
      <sheetName val="Check_Sheet39"/>
      <sheetName val="PLHO_Report39"/>
      <sheetName val="FL_&amp;_IC39"/>
      <sheetName val="Table_139"/>
      <sheetName val="229_Accr_Exp39"/>
      <sheetName val="Income_State39"/>
      <sheetName val="Content_339"/>
      <sheetName val="hutang_DPLK39"/>
      <sheetName val="Access_Radio_NL40039"/>
      <sheetName val="HWL_(2)38"/>
      <sheetName val="A2_1_CAJE41"/>
      <sheetName val="TRAVEL_PLAN39"/>
      <sheetName val="Financial_Statement36"/>
      <sheetName val="Tax_comp39"/>
      <sheetName val="TWDV_over_NBV39"/>
      <sheetName val="Product_Requirement39"/>
      <sheetName val="Investasi_&amp;_depresiasi39"/>
      <sheetName val="Att_1-5_yr01_(Ind)36"/>
      <sheetName val="Att_1-5_yr0136"/>
      <sheetName val="PPh_22_-_0136"/>
      <sheetName val="PPh_22_-_01_(E)36"/>
      <sheetName val="Depr_for_add_200136"/>
      <sheetName val="Perhit_disp_01_(E)36"/>
      <sheetName val="Perhit_disp_0136"/>
      <sheetName val="Depreciation_DBI_0136"/>
      <sheetName val="Amortisation_DBI_36"/>
      <sheetName val="Sheet1_(3)36"/>
      <sheetName val="Sheet1_(2)36"/>
      <sheetName val="expat_exp36"/>
      <sheetName val="Customer_List36"/>
      <sheetName val="Stock_CIW36"/>
      <sheetName val="_INCOME_STATEMENT37"/>
      <sheetName val="Data_Submission39"/>
      <sheetName val="Lookup_Tables39"/>
      <sheetName val="K_6DEPOSIT36"/>
      <sheetName val="99_10_1236"/>
      <sheetName val="Other_charges_(income)36"/>
      <sheetName val="lab_norge36"/>
      <sheetName val="SAD_Conclusion36"/>
      <sheetName val="SAD_Schedule36"/>
      <sheetName val="Cruser_Sp7134"/>
      <sheetName val="Sch_34"/>
      <sheetName val="E-9_3(PBC)34"/>
      <sheetName val="hitung_ulang_JEPANG34"/>
      <sheetName val="HO_Use34"/>
      <sheetName val="BGT_Cashflow34"/>
      <sheetName val="ACT_Cashflow34"/>
      <sheetName val="BGT_Cashflow_34"/>
      <sheetName val="Muebles_y_Enseres34"/>
      <sheetName val="New_List34"/>
      <sheetName val="LOC_Score34"/>
      <sheetName val="Laba_Rugi34"/>
      <sheetName val="Pembelian_Aktiva34"/>
      <sheetName val="Beban_Operasi34"/>
      <sheetName val="GL_Items_MEI34"/>
      <sheetName val="7_234"/>
      <sheetName val="00_received_in_0134"/>
      <sheetName val="Per_GL_J_a_n34"/>
      <sheetName val="FE-1771$_P113"/>
      <sheetName val="Lamp_RPT04813"/>
      <sheetName val="Lamp_RPT04013"/>
      <sheetName val="Bgn-Ingg_PLANTATION13"/>
      <sheetName val="L_BA_blok13"/>
      <sheetName val="L_I_-_ATY13"/>
      <sheetName val="S_e_p13"/>
      <sheetName val="M_a_r13"/>
      <sheetName val="J_1_Deffered_Landright13"/>
      <sheetName val="rincian_DO13"/>
      <sheetName val="OPNAME_SALES13"/>
      <sheetName val="TBH"/>
      <sheetName val="Jurnal"/>
      <sheetName val="FE-1770_P148"/>
      <sheetName val="FE-1770_P248"/>
      <sheetName val="FI-177O_P148"/>
      <sheetName val="FI-1770_P248"/>
      <sheetName val="Final_Tax48"/>
      <sheetName val="Irregular_Income48"/>
      <sheetName val="Rp_Banten46"/>
      <sheetName val="Permanent_info46"/>
      <sheetName val="RMFE_0445"/>
      <sheetName val="BS_final47"/>
      <sheetName val="B_146"/>
      <sheetName val="3__Neraca_dan_RL47"/>
      <sheetName val="Mine_Assumptions47"/>
      <sheetName val="RENCANA_KERJA47"/>
      <sheetName val="VAT_out47"/>
      <sheetName val="Journal_Template47"/>
      <sheetName val="trf_d-i46"/>
      <sheetName val="K_2_145"/>
      <sheetName val="Forecase_200446"/>
      <sheetName val="Main_Menu46"/>
      <sheetName val="A_u_g46"/>
      <sheetName val="M-2_Adjusted46"/>
      <sheetName val="BOQ_price45"/>
      <sheetName val="Professionals_Standard45"/>
      <sheetName val="ESG_local45"/>
      <sheetName val="Details_BS_YTD45"/>
      <sheetName val="K_1_1_1_HGU44"/>
      <sheetName val="DEFECTED_NOV44"/>
      <sheetName val="Exch_rate44"/>
      <sheetName val="Internal_order45"/>
      <sheetName val="Other_Current44"/>
      <sheetName val="Other_YTD44"/>
      <sheetName val="HBI_NCD44"/>
      <sheetName val="Table_Array44"/>
      <sheetName val="HBS_Credit_Detail44"/>
      <sheetName val="ID_MENADO43"/>
      <sheetName val="Bank_Recon_-_IDR44"/>
      <sheetName val="Detail_pg245"/>
      <sheetName val="move_(2)45"/>
      <sheetName val="oblig_Trad&amp;AFS44"/>
      <sheetName val="For_Mgmt_fee45"/>
      <sheetName val="For_GSC_charge45"/>
      <sheetName val="For_Training_Svc_fee45"/>
      <sheetName val="For_Mgmt_fee_(PasteValue)45"/>
      <sheetName val="For_GSC_charge_(PasteValue)45"/>
      <sheetName val="Allocation_Base_(GSIN)45"/>
      <sheetName val="To_DCIN45"/>
      <sheetName val="For_Training_Svc_fee_(PasteVa45"/>
      <sheetName val="Income_Statement44"/>
      <sheetName val="INV0299_(2)44"/>
      <sheetName val="FOREX_0444"/>
      <sheetName val="FOREX_0344"/>
      <sheetName val="FOREX_04_audited44"/>
      <sheetName val="Data_Input44"/>
      <sheetName val="Cost_Input_Sheet44"/>
      <sheetName val="Q120_AP_Aging44"/>
      <sheetName val="Base_Data43"/>
      <sheetName val="RWP_3343"/>
      <sheetName val="TRADING_PROFIT43"/>
      <sheetName val="EB_PDT43"/>
      <sheetName val="Exc__Rate43"/>
      <sheetName val="EYAS_Standar43"/>
      <sheetName val="BAL_SHEET(2)43"/>
      <sheetName val="CUSTOMER_LOOKUP43"/>
      <sheetName val="SUMMARY_43"/>
      <sheetName val="Sheet1_(19)43"/>
      <sheetName val="Rekap_Penj43"/>
      <sheetName val="BS-PL_Komersil_and_Fiskal43"/>
      <sheetName val="Front_Sheet43"/>
      <sheetName val="Name_Map43"/>
      <sheetName val="TB_IDR_Only43"/>
      <sheetName val="Breakdown_LF603_143"/>
      <sheetName val="Sheet_1_(2)43"/>
      <sheetName val="COA_BM43"/>
      <sheetName val="Check_Sheet43"/>
      <sheetName val="PLHO_Report43"/>
      <sheetName val="FL_&amp;_IC43"/>
      <sheetName val="Table_143"/>
      <sheetName val="229_Accr_Exp43"/>
      <sheetName val="Income_State43"/>
      <sheetName val="Content_343"/>
      <sheetName val="hutang_DPLK43"/>
      <sheetName val="Access_Radio_NL40043"/>
      <sheetName val="HWL_(2)42"/>
      <sheetName val="A2_1_CAJE45"/>
      <sheetName val="TRAVEL_PLAN43"/>
      <sheetName val="Financial_Statement40"/>
      <sheetName val="Tax_comp43"/>
      <sheetName val="TWDV_over_NBV43"/>
      <sheetName val="Product_Requirement43"/>
      <sheetName val="Investasi_&amp;_depresiasi43"/>
      <sheetName val="Att_1-5_yr01_(Ind)40"/>
      <sheetName val="Att_1-5_yr0140"/>
      <sheetName val="PPh_22_-_0140"/>
      <sheetName val="PPh_22_-_01_(E)40"/>
      <sheetName val="Depr_for_add_200140"/>
      <sheetName val="Perhit_disp_01_(E)40"/>
      <sheetName val="Perhit_disp_0140"/>
      <sheetName val="Depreciation_DBI_0140"/>
      <sheetName val="Amortisation_DBI_40"/>
      <sheetName val="Sheet1_(3)40"/>
      <sheetName val="Sheet1_(2)40"/>
      <sheetName val="expat_exp40"/>
      <sheetName val="Customer_List40"/>
      <sheetName val="Stock_CIW40"/>
      <sheetName val="_INCOME_STATEMENT41"/>
      <sheetName val="Data_Submission43"/>
      <sheetName val="Lookup_Tables43"/>
      <sheetName val="K_6DEPOSIT40"/>
      <sheetName val="99_10_1240"/>
      <sheetName val="Other_charges_(income)40"/>
      <sheetName val="lab_norge40"/>
      <sheetName val="SAD_Conclusion40"/>
      <sheetName val="SAD_Schedule40"/>
      <sheetName val="Cruser_Sp7138"/>
      <sheetName val="Sch_38"/>
      <sheetName val="E-9_3(PBC)38"/>
      <sheetName val="hitung_ulang_JEPANG38"/>
      <sheetName val="HO_Use38"/>
      <sheetName val="BGT_Cashflow38"/>
      <sheetName val="ACT_Cashflow38"/>
      <sheetName val="BGT_Cashflow_38"/>
      <sheetName val="Muebles_y_Enseres38"/>
      <sheetName val="New_List38"/>
      <sheetName val="LOC_Score38"/>
      <sheetName val="Laba_Rugi38"/>
      <sheetName val="Pembelian_Aktiva38"/>
      <sheetName val="Beban_Operasi38"/>
      <sheetName val="GL_Items_MEI38"/>
      <sheetName val="7_238"/>
      <sheetName val="00_received_in_0138"/>
      <sheetName val="Per_GL_J_a_n38"/>
      <sheetName val="FE-1771$_P117"/>
      <sheetName val="Lamp_RPT04817"/>
      <sheetName val="Lamp_RPT04017"/>
      <sheetName val="Bgn-Ingg_PLANTATION17"/>
      <sheetName val="L_BA_blok17"/>
      <sheetName val="L_I_-_ATY17"/>
      <sheetName val="S_e_p17"/>
      <sheetName val="M_a_r17"/>
      <sheetName val="J_1_Deffered_Landright17"/>
      <sheetName val="rincian_DO17"/>
      <sheetName val="OPNAME_SALES17"/>
      <sheetName val="FE-1770_P147"/>
      <sheetName val="FE-1770_P247"/>
      <sheetName val="FI-177O_P147"/>
      <sheetName val="FI-1770_P247"/>
      <sheetName val="Final_Tax47"/>
      <sheetName val="Irregular_Income47"/>
      <sheetName val="Rp_Banten45"/>
      <sheetName val="Permanent_info45"/>
      <sheetName val="RMFE_0444"/>
      <sheetName val="BS_final46"/>
      <sheetName val="B_145"/>
      <sheetName val="3__Neraca_dan_RL46"/>
      <sheetName val="Mine_Assumptions46"/>
      <sheetName val="RENCANA_KERJA46"/>
      <sheetName val="VAT_out46"/>
      <sheetName val="Journal_Template46"/>
      <sheetName val="trf_d-i45"/>
      <sheetName val="K_2_144"/>
      <sheetName val="Forecase_200445"/>
      <sheetName val="Main_Menu45"/>
      <sheetName val="A_u_g45"/>
      <sheetName val="M-2_Adjusted45"/>
      <sheetName val="BOQ_price44"/>
      <sheetName val="Professionals_Standard44"/>
      <sheetName val="ESG_local44"/>
      <sheetName val="Details_BS_YTD44"/>
      <sheetName val="K_1_1_1_HGU43"/>
      <sheetName val="DEFECTED_NOV43"/>
      <sheetName val="Exch_rate43"/>
      <sheetName val="Internal_order44"/>
      <sheetName val="Other_Current43"/>
      <sheetName val="Other_YTD43"/>
      <sheetName val="HBI_NCD43"/>
      <sheetName val="Table_Array43"/>
      <sheetName val="HBS_Credit_Detail43"/>
      <sheetName val="ID_MENADO42"/>
      <sheetName val="Bank_Recon_-_IDR43"/>
      <sheetName val="Detail_pg244"/>
      <sheetName val="move_(2)44"/>
      <sheetName val="oblig_Trad&amp;AFS43"/>
      <sheetName val="For_Mgmt_fee44"/>
      <sheetName val="For_GSC_charge44"/>
      <sheetName val="For_Training_Svc_fee44"/>
      <sheetName val="For_Mgmt_fee_(PasteValue)44"/>
      <sheetName val="For_GSC_charge_(PasteValue)44"/>
      <sheetName val="Allocation_Base_(GSIN)44"/>
      <sheetName val="To_DCIN44"/>
      <sheetName val="For_Training_Svc_fee_(PasteVa44"/>
      <sheetName val="Income_Statement43"/>
      <sheetName val="INV0299_(2)43"/>
      <sheetName val="FOREX_0443"/>
      <sheetName val="FOREX_0343"/>
      <sheetName val="FOREX_04_audited43"/>
      <sheetName val="Data_Input43"/>
      <sheetName val="Cost_Input_Sheet43"/>
      <sheetName val="Q120_AP_Aging43"/>
      <sheetName val="Base_Data42"/>
      <sheetName val="RWP_3342"/>
      <sheetName val="TRADING_PROFIT42"/>
      <sheetName val="EB_PDT42"/>
      <sheetName val="Exc__Rate42"/>
      <sheetName val="EYAS_Standar42"/>
      <sheetName val="BAL_SHEET(2)42"/>
      <sheetName val="CUSTOMER_LOOKUP42"/>
      <sheetName val="SUMMARY_42"/>
      <sheetName val="Sheet1_(19)42"/>
      <sheetName val="Rekap_Penj42"/>
      <sheetName val="BS-PL_Komersil_and_Fiskal42"/>
      <sheetName val="Front_Sheet42"/>
      <sheetName val="Name_Map42"/>
      <sheetName val="TB_IDR_Only42"/>
      <sheetName val="Breakdown_LF603_142"/>
      <sheetName val="Sheet_1_(2)42"/>
      <sheetName val="COA_BM42"/>
      <sheetName val="Check_Sheet42"/>
      <sheetName val="PLHO_Report42"/>
      <sheetName val="FL_&amp;_IC42"/>
      <sheetName val="Table_142"/>
      <sheetName val="229_Accr_Exp42"/>
      <sheetName val="Income_State42"/>
      <sheetName val="Content_342"/>
      <sheetName val="hutang_DPLK42"/>
      <sheetName val="Access_Radio_NL40042"/>
      <sheetName val="HWL_(2)41"/>
      <sheetName val="A2_1_CAJE44"/>
      <sheetName val="TRAVEL_PLAN42"/>
      <sheetName val="Financial_Statement39"/>
      <sheetName val="Tax_comp42"/>
      <sheetName val="TWDV_over_NBV42"/>
      <sheetName val="Product_Requirement42"/>
      <sheetName val="Investasi_&amp;_depresiasi42"/>
      <sheetName val="Att_1-5_yr01_(Ind)39"/>
      <sheetName val="Att_1-5_yr0139"/>
      <sheetName val="PPh_22_-_0139"/>
      <sheetName val="PPh_22_-_01_(E)39"/>
      <sheetName val="Depr_for_add_200139"/>
      <sheetName val="Perhit_disp_01_(E)39"/>
      <sheetName val="Perhit_disp_0139"/>
      <sheetName val="Depreciation_DBI_0139"/>
      <sheetName val="Amortisation_DBI_39"/>
      <sheetName val="Sheet1_(3)39"/>
      <sheetName val="Sheet1_(2)39"/>
      <sheetName val="expat_exp39"/>
      <sheetName val="Customer_List39"/>
      <sheetName val="Stock_CIW39"/>
      <sheetName val="_INCOME_STATEMENT40"/>
      <sheetName val="Data_Submission42"/>
      <sheetName val="Lookup_Tables42"/>
      <sheetName val="K_6DEPOSIT39"/>
      <sheetName val="99_10_1239"/>
      <sheetName val="Other_charges_(income)39"/>
      <sheetName val="lab_norge39"/>
      <sheetName val="SAD_Conclusion39"/>
      <sheetName val="SAD_Schedule39"/>
      <sheetName val="Cruser_Sp7137"/>
      <sheetName val="Sch_37"/>
      <sheetName val="E-9_3(PBC)37"/>
      <sheetName val="hitung_ulang_JEPANG37"/>
      <sheetName val="HO_Use37"/>
      <sheetName val="BGT_Cashflow37"/>
      <sheetName val="ACT_Cashflow37"/>
      <sheetName val="BGT_Cashflow_37"/>
      <sheetName val="Muebles_y_Enseres37"/>
      <sheetName val="New_List37"/>
      <sheetName val="LOC_Score37"/>
      <sheetName val="Laba_Rugi37"/>
      <sheetName val="Pembelian_Aktiva37"/>
      <sheetName val="Beban_Operasi37"/>
      <sheetName val="GL_Items_MEI37"/>
      <sheetName val="7_237"/>
      <sheetName val="00_received_in_0137"/>
      <sheetName val="Per_GL_J_a_n37"/>
      <sheetName val="FE-1771$_P116"/>
      <sheetName val="Lamp_RPT04816"/>
      <sheetName val="Lamp_RPT04016"/>
      <sheetName val="Bgn-Ingg_PLANTATION16"/>
      <sheetName val="L_BA_blok16"/>
      <sheetName val="L_I_-_ATY16"/>
      <sheetName val="S_e_p16"/>
      <sheetName val="M_a_r16"/>
      <sheetName val="J_1_Deffered_Landright16"/>
      <sheetName val="rincian_DO16"/>
      <sheetName val="OPNAME_SALES16"/>
      <sheetName val="BARS"/>
      <sheetName val="flights"/>
      <sheetName val="SPSB"/>
      <sheetName val="M Peninsula"/>
      <sheetName val="IS"/>
      <sheetName val="KPI_RDCs"/>
      <sheetName val="FINALPHP"/>
      <sheetName val="HP"/>
      <sheetName val="Interco list"/>
      <sheetName val="412"/>
      <sheetName val="SELISIHKURSSOURCE"/>
      <sheetName val="CJE"/>
      <sheetName val="PL"/>
      <sheetName val=""/>
      <sheetName val="HRU "/>
      <sheetName val="MAP"/>
      <sheetName val="Volatility Data"/>
      <sheetName val="GEMSE TOTAL - Eqpt"/>
      <sheetName val="Chart of Products"/>
      <sheetName val="Harga Publish All"/>
      <sheetName val="UnitCost"/>
      <sheetName val="Crew"/>
      <sheetName val="Harga DOC"/>
      <sheetName val="PCA TOTAL"/>
      <sheetName val="GL 09.17"/>
      <sheetName val="(14)"/>
      <sheetName val="Sales Parameter"/>
      <sheetName val="Invoice"/>
      <sheetName val="เงินกู้ MGC"/>
      <sheetName val="intercocode"/>
      <sheetName val="Deferred Rev"/>
      <sheetName val="HARVEST02"/>
      <sheetName val="FRYPROD"/>
      <sheetName val="PEMAKAIAN PAKAN &amp; OBAT"/>
      <sheetName val="Drop Down"/>
      <sheetName val="RunOff"/>
      <sheetName val="ShareCapital "/>
      <sheetName val="Inventories"/>
      <sheetName val="SL1006 (IDR)"/>
      <sheetName val="SL1006 (VLS)"/>
      <sheetName val="DAFINV"/>
      <sheetName val="Cost Center"/>
      <sheetName val="master非表示"/>
      <sheetName val="HIT"/>
      <sheetName val="SEX"/>
      <sheetName val="Lumpsum"/>
      <sheetName val="IPL_SCHEDULE"/>
      <sheetName val="A4.3"/>
      <sheetName val="tindak lanj"/>
      <sheetName val="ｺﾝY条件BD"/>
      <sheetName val="HONDA"/>
      <sheetName val="GBY.C企"/>
      <sheetName val="FA Movement"/>
      <sheetName val="74上"/>
      <sheetName val="E 4 - Long Out. Analysis"/>
      <sheetName val="NIS KS"/>
      <sheetName val="Jrnl_Kas"/>
      <sheetName val="Daf.Harga-Upah"/>
      <sheetName val="Input2"/>
      <sheetName val="Block"/>
      <sheetName val="DaiRep"/>
      <sheetName val="Safety"/>
      <sheetName val="CondMonthly"/>
      <sheetName val="Weather"/>
      <sheetName val="Jakarta"/>
      <sheetName val="D7(1)"/>
      <sheetName val="BOQ"/>
      <sheetName val="5-ALAT(1)"/>
      <sheetName val="4-Basic Price"/>
      <sheetName val="PM"/>
      <sheetName val="TBCons KMB04"/>
      <sheetName val="Ket"/>
      <sheetName val="3-DIV2"/>
      <sheetName val="Trf-SAP-GL"/>
      <sheetName val="Contents"/>
      <sheetName val="TRAINING PUBLIK"/>
      <sheetName val="INDIRECT TPN"/>
      <sheetName val="Capacity Plan"/>
      <sheetName val="PRE"/>
      <sheetName val="Input-SAP_data_FI"/>
      <sheetName val="Mapping_SAP-&gt;sprdsht_via_Oracle"/>
      <sheetName val="Akun"/>
      <sheetName val="Setting"/>
      <sheetName val="25. Jakaranatama"/>
      <sheetName val="Bi.Promosi"/>
      <sheetName val="Input-KREDIT"/>
      <sheetName val="Bi.Majalah"/>
      <sheetName val="Bi.Service &amp; Ban"/>
      <sheetName val="Bi.Sewa"/>
      <sheetName val="JUL"/>
      <sheetName val="FA2010"/>
      <sheetName val="WTB"/>
      <sheetName val="DATA DIST"/>
      <sheetName val="Customize Your Invoice"/>
      <sheetName val="daftar21"/>
      <sheetName val="KKP (3.1) Impor"/>
      <sheetName val="KKP-III"/>
      <sheetName val="PPH GB"/>
      <sheetName val="Content Page"/>
      <sheetName val="DAT_FIS"/>
      <sheetName val="DAT_KOM"/>
      <sheetName val="Sandi_laba_rugi"/>
      <sheetName val="Rekg_9"/>
      <sheetName val="Spares_Data"/>
      <sheetName val="KAS_$"/>
      <sheetName val="HP_18_th"/>
      <sheetName val="GB1_PPE_Lead"/>
      <sheetName val="Notes_to_Accounts"/>
      <sheetName val="FF402-WIP_movement"/>
      <sheetName val="FF403-WIP_movement"/>
      <sheetName val="TAX_COM_MAL'SIA"/>
      <sheetName val="addl_cost"/>
      <sheetName val="Bar_SUPP"/>
      <sheetName val="AR Drop Downs"/>
      <sheetName val="AR APR'02"/>
      <sheetName val="วงเครดิต 3"/>
      <sheetName val="Constants"/>
      <sheetName val="Type"/>
      <sheetName val="FF-3"/>
      <sheetName val="A-GL-SUMMARY"/>
      <sheetName val="Entry  HTM"/>
      <sheetName val="SAHAM"/>
      <sheetName val="SK HTM"/>
      <sheetName val="PER-HP"/>
      <sheetName val="Kartu"/>
      <sheetName val="TON  per Jam"/>
      <sheetName val="Lead Schedule"/>
      <sheetName val="Kontensalden"/>
      <sheetName val="May"/>
      <sheetName val="A.4.2"/>
      <sheetName val="Appendix &quot;I&quot;"/>
      <sheetName val="Revenue - Commit Group"/>
      <sheetName val="NZ_BS"/>
      <sheetName val="TW_BS"/>
      <sheetName val="GL"/>
      <sheetName val="BDM"/>
      <sheetName val="CRA-Detail"/>
      <sheetName val="PercenDiv"/>
      <sheetName val="FX &amp; Hedge - Pacific Ltd"/>
      <sheetName val="Credit-22"/>
      <sheetName val="F2"/>
      <sheetName val="1_1"/>
      <sheetName val="FO1"/>
      <sheetName val="lookups"/>
      <sheetName val="FORM"/>
      <sheetName val="Biaya Departemen"/>
      <sheetName val="Accounts"/>
      <sheetName val="311208"/>
      <sheetName val="Price"/>
      <sheetName val="Grouping"/>
      <sheetName val="WBS2"/>
      <sheetName val="ADJ MHD 08"/>
      <sheetName val="Benefit"/>
      <sheetName val="ASUMSI PENJLAN &amp; OUTPUT PROD"/>
      <sheetName val="ML"/>
      <sheetName val="2004"/>
      <sheetName val="2005"/>
      <sheetName val="RMCONS"/>
      <sheetName val="CGS"/>
      <sheetName val="rekap aset"/>
      <sheetName val="Buku Besar 1"/>
      <sheetName val="Trans Alt - IRR"/>
      <sheetName val="FSA"/>
      <sheetName val="B"/>
      <sheetName val="Centel Drivers (use)"/>
      <sheetName val="nagai 08"/>
      <sheetName val="FinStat"/>
      <sheetName val="d_com"/>
      <sheetName val="K4. F&amp;F"/>
      <sheetName val="FIXASS_MAR"/>
      <sheetName val="Investment"/>
      <sheetName val="Project Details"/>
      <sheetName val="rent by month"/>
      <sheetName val="Master Sek (Per TW)"/>
      <sheetName val="Master Sek"/>
      <sheetName val="Master Sek (V2) Ok"/>
      <sheetName val="Ekspor030715"/>
      <sheetName val="Perb Hrg Prog-RKAP 2015"/>
      <sheetName val="Surgical"/>
      <sheetName val="DAFTAR ISI"/>
      <sheetName val="Analisa Harga Satuan"/>
      <sheetName val="fiscal_depr(E)2"/>
      <sheetName val="Indirects_Actuals2"/>
      <sheetName val="gg_13"/>
      <sheetName val="M_a_y2"/>
      <sheetName val="J_u_l2"/>
      <sheetName val="A_p_r2"/>
      <sheetName val="O_c_t2"/>
      <sheetName val="J_u_n2"/>
      <sheetName val="N_o_v2"/>
      <sheetName val="F_e_b2"/>
      <sheetName val="J_a_n2"/>
      <sheetName val="(Global_Parameters)"/>
      <sheetName val="List_Price_(Implementation)"/>
      <sheetName val="IPO_Proceed2"/>
      <sheetName val="Cap__Structure2"/>
      <sheetName val="Email_Instructions"/>
      <sheetName val="COLLATERAL_CONTROL2"/>
      <sheetName val="I-PPh_Final2"/>
      <sheetName val="List_Price__Implementation_"/>
      <sheetName val="SPT-1770-BLANK_xls"/>
      <sheetName val="I_7_3_ICAB_(in)"/>
      <sheetName val="I_7_1_ICAC_(in)"/>
      <sheetName val="I_7_2_ICAS_(in)"/>
      <sheetName val="I_7_4_ICAX_(in)"/>
      <sheetName val="I_7_5_ICRJ_(in)"/>
      <sheetName val="Cockpit_22"/>
      <sheetName val="Cons_I2"/>
      <sheetName val="Cons_II2"/>
      <sheetName val="CONS_OPAT2"/>
      <sheetName val="RONOA_tree2"/>
      <sheetName val="Training_-_Action_List2"/>
      <sheetName val="Listes_de_Sélection2"/>
      <sheetName val="Company_Consol_(R)2"/>
      <sheetName val="GRAND_REKAP2"/>
      <sheetName val="GL_ACC"/>
      <sheetName val="FISIK_RAB_2000"/>
      <sheetName val="ocean_voyage"/>
      <sheetName val="General_Info"/>
      <sheetName val="cons_workpapers"/>
      <sheetName val="budget_idr"/>
      <sheetName val="UM_Beli-New"/>
      <sheetName val="14__Risk_&amp;_Reserve"/>
      <sheetName val="NRC-2009_08"/>
      <sheetName val="Name_List"/>
      <sheetName val="A-11_Steel_Str_(2)"/>
      <sheetName val="Input_Areas"/>
      <sheetName val="UK_GAAP_Adjustments"/>
      <sheetName val="UK_GAAP_Purchase_Price"/>
      <sheetName val="NAP"/>
      <sheetName val="input "/>
      <sheetName val="Qty"/>
      <sheetName val="Stock_Val"/>
      <sheetName val="ACCOUNT NO"/>
      <sheetName val="A1-B ASSET"/>
      <sheetName val="JKT"/>
      <sheetName val="IAD_"/>
      <sheetName val="BQ-E20-02(Rp)"/>
      <sheetName val="BS3"/>
      <sheetName val="BS2"/>
      <sheetName val="BS2.1"/>
      <sheetName val="BS3.5"/>
      <sheetName val="BS2.4"/>
      <sheetName val="BS 4"/>
      <sheetName val="ECP"/>
      <sheetName val="TypeSite.AXD155-3"/>
      <sheetName val="INSTRUMENT"/>
      <sheetName val="HG_BEL"/>
      <sheetName val="mdeg_04"/>
      <sheetName val="Hutang"/>
      <sheetName val="PTK09"/>
      <sheetName val="Pakai 1-31 Jan 05"/>
      <sheetName val="RKAP2005"/>
      <sheetName val="HSJ"/>
      <sheetName val="catatan"/>
      <sheetName val="TYE"/>
      <sheetName val="Drawdowns"/>
      <sheetName val="General_Assumption"/>
      <sheetName val="Coding"/>
      <sheetName val="MANU"/>
      <sheetName val="NERACA JUL"/>
      <sheetName val="cALC"/>
      <sheetName val="Indexing"/>
      <sheetName val="U"/>
      <sheetName val="Building Your PAR"/>
      <sheetName val="Enter FSA Data"/>
      <sheetName val="Cashflow"/>
      <sheetName val="Sheet4"/>
      <sheetName val="KOR"/>
      <sheetName val="Act_vs_budg"/>
      <sheetName val="1997_vs_1998"/>
      <sheetName val="EAST"/>
      <sheetName val="PPN terutang"/>
      <sheetName val="Input-SAP_data_FI1"/>
      <sheetName val="Mapping_SAP-&gt;sprdsht_via_Oracl1"/>
      <sheetName val="Input-SAP_data_FI2"/>
      <sheetName val="Mapping_SAP-&gt;sprdsht_via_Oracl2"/>
      <sheetName val="no ref"/>
      <sheetName val="input data VDR"/>
      <sheetName val="Client Aje"/>
      <sheetName val="TPG Key figures"/>
      <sheetName val="p&amp;leuro"/>
      <sheetName val="AUG02"/>
      <sheetName val="wp"/>
      <sheetName val="OFE"/>
      <sheetName val="Configuration"/>
      <sheetName val="Arus Kas"/>
      <sheetName val="Tanah"/>
      <sheetName val="AJE"/>
      <sheetName val="KAS_$1"/>
      <sheetName val="HP_18_th1"/>
      <sheetName val="1_11"/>
      <sheetName val="Kode Bantu"/>
      <sheetName val="Daftar Akun"/>
      <sheetName val="TblPajak"/>
      <sheetName val="trf multiple"/>
      <sheetName val="trfakt sgl"/>
      <sheetName val="Calcs"/>
      <sheetName val="BOP-P2"/>
      <sheetName val="HPP_0503"/>
      <sheetName val="Bgt"/>
      <sheetName val="STOCK AKHIR"/>
      <sheetName val="name"/>
      <sheetName val="TB2015"/>
      <sheetName val="TB2016"/>
      <sheetName val="CODE"/>
      <sheetName val="RAG Eg"/>
      <sheetName val="Rugilaba"/>
      <sheetName val="Diagram"/>
      <sheetName val="analis"/>
      <sheetName val="Harga Material"/>
      <sheetName val="NAMA DEPT"/>
      <sheetName val="U1-1"/>
      <sheetName val="InvoEâ_x005f_x005f_x005f_x005F_x0004"/>
      <sheetName val="SPM PPN"/>
      <sheetName val="data (2)"/>
      <sheetName val="Macro"/>
      <sheetName val="I3-CF&amp;Fin"/>
      <sheetName val="I1-Data"/>
      <sheetName val="I4-Mutasi"/>
      <sheetName val="I2-Result"/>
      <sheetName val="Appendix 9-2"/>
      <sheetName val="Potongan"/>
      <sheetName val="BAOP"/>
      <sheetName val="tgp-02"/>
      <sheetName val="AM REG"/>
      <sheetName val="Price_D_F"/>
      <sheetName val="gg_14"/>
      <sheetName val="Indirects_Actuals3"/>
      <sheetName val="M_a_y3"/>
      <sheetName val="J_u_l3"/>
      <sheetName val="A_p_r3"/>
      <sheetName val="O_c_t3"/>
      <sheetName val="J_u_n3"/>
      <sheetName val="N_o_v3"/>
      <sheetName val="F_e_b3"/>
      <sheetName val="J_a_n3"/>
      <sheetName val="KPI_RDCs1"/>
      <sheetName val="DAT_FIS1"/>
      <sheetName val="DAT_KOM1"/>
      <sheetName val="IPO_Proceed3"/>
      <sheetName val="Cap__Structure3"/>
      <sheetName val="I-PPh_Final3"/>
      <sheetName val="fiscal_depr(E)3"/>
      <sheetName val="(Global_Parameters)1"/>
      <sheetName val="List_Price_(Implementation)1"/>
      <sheetName val="Email_Instructions1"/>
      <sheetName val="COLLATERAL_CONTROL3"/>
      <sheetName val="List_Price__Implementation_1"/>
      <sheetName val="SPT-1770-BLANK_xls1"/>
      <sheetName val="A-11_Steel_Str_(2)1"/>
      <sheetName val="Company_Consol_(R)3"/>
      <sheetName val="Cockpit_23"/>
      <sheetName val="Cons_I3"/>
      <sheetName val="Cons_II3"/>
      <sheetName val="CONS_OPAT3"/>
      <sheetName val="RONOA_tree3"/>
      <sheetName val="Training_-_Action_List3"/>
      <sheetName val="Listes_de_Sélection3"/>
      <sheetName val="GRAND_REKAP3"/>
      <sheetName val="I_7_3_ICAB_(in)1"/>
      <sheetName val="I_7_1_ICAC_(in)1"/>
      <sheetName val="I_7_2_ICAS_(in)1"/>
      <sheetName val="I_7_4_ICAX_(in)1"/>
      <sheetName val="I_7_5_ICRJ_(in)1"/>
      <sheetName val="GL_ACC1"/>
      <sheetName val="FISIK_RAB_20001"/>
      <sheetName val="ocean_voyage1"/>
      <sheetName val="General_Info1"/>
      <sheetName val="14__Risk_&amp;_Reserve1"/>
      <sheetName val="Spares_Data1"/>
      <sheetName val="cons_workpapers1"/>
      <sheetName val="Input_Areas1"/>
      <sheetName val="UK_GAAP_Adjustments1"/>
      <sheetName val="UK_GAAP_Purchase_Price1"/>
      <sheetName val="Interco_list"/>
      <sheetName val="R1_COVER"/>
      <sheetName val="DH_RI_SI_Exceptions"/>
      <sheetName val="TAX_LIST"/>
      <sheetName val="budget_idr1"/>
      <sheetName val="UM_Beli-New1"/>
      <sheetName val="Harga_DOC"/>
      <sheetName val="NRC-2009_081"/>
      <sheetName val="Name_List1"/>
      <sheetName val="GL_09_17"/>
      <sheetName val="Comp_equip"/>
      <sheetName val="CA_Sheet"/>
      <sheetName val="Sale-Leaseback_(2)"/>
      <sheetName val="DATA_WP"/>
      <sheetName val="tax_supp_doc"/>
      <sheetName val="ASSET_REGISTER"/>
      <sheetName val="A_4_3"/>
      <sheetName val="Depreciation__schedule"/>
      <sheetName val="Input-Expected_Case"/>
      <sheetName val="Input-Worst_Case"/>
      <sheetName val="Other_Cargill_BU_Synergies"/>
      <sheetName val="Revenue_Detail"/>
      <sheetName val="DCF_Inputs"/>
      <sheetName val="X_rate"/>
      <sheetName val="Penyusutan_Kendaraan"/>
      <sheetName val="(ABS)_JUN-JUL'07"/>
      <sheetName val="Statutory_Query"/>
      <sheetName val="6B_BLS_Trends"/>
      <sheetName val="CashFlow_Standard_Combined"/>
      <sheetName val="Inputing_data"/>
      <sheetName val="InvoEâ_ist"/>
      <sheetName val="Setup_Data"/>
      <sheetName val="R-16_1"/>
      <sheetName val="R-16_2"/>
      <sheetName val="BIAYA_DIVISI"/>
      <sheetName val="Prod-_TBS"/>
      <sheetName val="M_a_y4"/>
      <sheetName val="J_u_l4"/>
      <sheetName val="A_p_r4"/>
      <sheetName val="O_c_t4"/>
      <sheetName val="J_u_n4"/>
      <sheetName val="N_o_v4"/>
      <sheetName val="F_e_b4"/>
      <sheetName val="J_a_n4"/>
      <sheetName val="fiscal_depr(E)4"/>
      <sheetName val="(Global_Parameters)2"/>
      <sheetName val="gg_15"/>
      <sheetName val="Indirects_Actuals4"/>
      <sheetName val="IPO_Proceed4"/>
      <sheetName val="Cap__Structure4"/>
      <sheetName val="List_Price_(Implementation)2"/>
      <sheetName val="Email_Instructions2"/>
      <sheetName val="COLLATERAL_CONTROL4"/>
      <sheetName val="DAT_FIS2"/>
      <sheetName val="DAT_KOM2"/>
      <sheetName val="KPI_RDCs2"/>
      <sheetName val="I-PPh_Final4"/>
      <sheetName val="List_Price__Implementation_2"/>
      <sheetName val="SPT-1770-BLANK_xls2"/>
      <sheetName val="1_12"/>
      <sheetName val="Company_Consol_(R)4"/>
      <sheetName val="Cockpit_24"/>
      <sheetName val="Cons_I4"/>
      <sheetName val="Cons_II4"/>
      <sheetName val="CONS_OPAT4"/>
      <sheetName val="RONOA_tree4"/>
      <sheetName val="Training_-_Action_List4"/>
      <sheetName val="Listes_de_Sélection4"/>
      <sheetName val="GRAND_REKAP4"/>
      <sheetName val="I_7_3_ICAB_(in)2"/>
      <sheetName val="I_7_1_ICAC_(in)2"/>
      <sheetName val="I_7_2_ICAS_(in)2"/>
      <sheetName val="I_7_4_ICAX_(in)2"/>
      <sheetName val="I_7_5_ICRJ_(in)2"/>
      <sheetName val="GL_ACC2"/>
      <sheetName val="FISIK_RAB_20002"/>
      <sheetName val="ocean_voyage2"/>
      <sheetName val="General_Info2"/>
      <sheetName val="KAS_$2"/>
      <sheetName val="HP_18_th2"/>
      <sheetName val="cons_workpapers2"/>
      <sheetName val="budget_idr2"/>
      <sheetName val="UM_Beli-New2"/>
      <sheetName val="14__Risk_&amp;_Reserve2"/>
      <sheetName val="NRC-2009_082"/>
      <sheetName val="Name_List2"/>
      <sheetName val="A-11_Steel_Str_(2)2"/>
      <sheetName val="Spares_Data2"/>
      <sheetName val="Input_Areas2"/>
      <sheetName val="UK_GAAP_Adjustments2"/>
      <sheetName val="UK_GAAP_Purchase_Price2"/>
      <sheetName val="M_a_y6"/>
      <sheetName val="J_u_l6"/>
      <sheetName val="A_p_r6"/>
      <sheetName val="O_c_t6"/>
      <sheetName val="J_u_n6"/>
      <sheetName val="N_o_v6"/>
      <sheetName val="F_e_b6"/>
      <sheetName val="J_a_n6"/>
      <sheetName val="fiscal_depr(E)6"/>
      <sheetName val="(Global_Parameters)4"/>
      <sheetName val="gg_17"/>
      <sheetName val="Indirects_Actuals6"/>
      <sheetName val="IPO_Proceed6"/>
      <sheetName val="Cap__Structure6"/>
      <sheetName val="List_Price_(Implementation)4"/>
      <sheetName val="Email_Instructions4"/>
      <sheetName val="COLLATERAL_CONTROL6"/>
      <sheetName val="DAT_FIS4"/>
      <sheetName val="DAT_KOM4"/>
      <sheetName val="KPI_RDCs4"/>
      <sheetName val="I-PPh_Final6"/>
      <sheetName val="Input-SAP_data_FI4"/>
      <sheetName val="Mapping_SAP-&gt;sprdsht_via_Oracl4"/>
      <sheetName val="List_Price__Implementation_4"/>
      <sheetName val="SPT-1770-BLANK_xls4"/>
      <sheetName val="1_14"/>
      <sheetName val="Company_Consol_(R)6"/>
      <sheetName val="Cockpit_26"/>
      <sheetName val="Cons_I6"/>
      <sheetName val="Cons_II6"/>
      <sheetName val="CONS_OPAT6"/>
      <sheetName val="RONOA_tree6"/>
      <sheetName val="Training_-_Action_List6"/>
      <sheetName val="Listes_de_Sélection6"/>
      <sheetName val="GRAND_REKAP6"/>
      <sheetName val="I_7_3_ICAB_(in)4"/>
      <sheetName val="I_7_1_ICAC_(in)4"/>
      <sheetName val="I_7_2_ICAS_(in)4"/>
      <sheetName val="I_7_4_ICAX_(in)4"/>
      <sheetName val="I_7_5_ICRJ_(in)4"/>
      <sheetName val="GL_ACC4"/>
      <sheetName val="FISIK_RAB_20004"/>
      <sheetName val="ocean_voyage4"/>
      <sheetName val="General_Info4"/>
      <sheetName val="KAS_$4"/>
      <sheetName val="HP_18_th4"/>
      <sheetName val="cons_workpapers4"/>
      <sheetName val="budget_idr4"/>
      <sheetName val="UM_Beli-New4"/>
      <sheetName val="14__Risk_&amp;_Reserve4"/>
      <sheetName val="NRC-2009_084"/>
      <sheetName val="Name_List4"/>
      <sheetName val="A-11_Steel_Str_(2)4"/>
      <sheetName val="Spares_Data4"/>
      <sheetName val="Input_Areas4"/>
      <sheetName val="UK_GAAP_Adjustments4"/>
      <sheetName val="UK_GAAP_Purchase_Price4"/>
      <sheetName val="Interco_list2"/>
      <sheetName val="R1_COVER2"/>
      <sheetName val="DH_RI_SI_Exceptions2"/>
      <sheetName val="Harga_DOC2"/>
      <sheetName val="TAX_LIST2"/>
      <sheetName val="GL_09_172"/>
      <sheetName val="Comp_equip2"/>
      <sheetName val="CA_Sheet2"/>
      <sheetName val="Sale-Leaseback_(2)2"/>
      <sheetName val="DATA_WP2"/>
      <sheetName val="tax_supp_doc2"/>
      <sheetName val="Bar_SUPP2"/>
      <sheetName val="ASSET_REGISTER2"/>
      <sheetName val="A_4_32"/>
      <sheetName val="Depreciation__schedule2"/>
      <sheetName val="Input-Expected_Case2"/>
      <sheetName val="Input-Worst_Case2"/>
      <sheetName val="Other_Cargill_BU_Synergies2"/>
      <sheetName val="Revenue_Detail2"/>
      <sheetName val="DCF_Inputs2"/>
      <sheetName val="X_rate2"/>
      <sheetName val="Penyusutan_Kendaraan2"/>
      <sheetName val="(ABS)_JUN-JUL'072"/>
      <sheetName val="Statutory_Query2"/>
      <sheetName val="6B_BLS_Trends2"/>
      <sheetName val="CashFlow_Standard_Combined2"/>
      <sheetName val="Inputing_data2"/>
      <sheetName val="InvoEâ_ist2"/>
      <sheetName val="GB1_PPE_Lead2"/>
      <sheetName val="Notes_to_Accounts2"/>
      <sheetName val="FF402-WIP_movement2"/>
      <sheetName val="FF403-WIP_movement2"/>
      <sheetName val="TAX_COM_MAL'SIA2"/>
      <sheetName val="addl_cost2"/>
      <sheetName val="Setup_Data2"/>
      <sheetName val="R-16_12"/>
      <sheetName val="R-16_22"/>
      <sheetName val="BIAYA_DIVISI2"/>
      <sheetName val="Prod-_TBS2"/>
      <sheetName val="M_a_y5"/>
      <sheetName val="J_u_l5"/>
      <sheetName val="A_p_r5"/>
      <sheetName val="O_c_t5"/>
      <sheetName val="J_u_n5"/>
      <sheetName val="N_o_v5"/>
      <sheetName val="F_e_b5"/>
      <sheetName val="J_a_n5"/>
      <sheetName val="fiscal_depr(E)5"/>
      <sheetName val="(Global_Parameters)3"/>
      <sheetName val="gg_16"/>
      <sheetName val="Indirects_Actuals5"/>
      <sheetName val="IPO_Proceed5"/>
      <sheetName val="Cap__Structure5"/>
      <sheetName val="List_Price_(Implementation)3"/>
      <sheetName val="Email_Instructions3"/>
      <sheetName val="COLLATERAL_CONTROL5"/>
      <sheetName val="DAT_FIS3"/>
      <sheetName val="DAT_KOM3"/>
      <sheetName val="KPI_RDCs3"/>
      <sheetName val="I-PPh_Final5"/>
      <sheetName val="Input-SAP_data_FI3"/>
      <sheetName val="Mapping_SAP-&gt;sprdsht_via_Oracl3"/>
      <sheetName val="List_Price__Implementation_3"/>
      <sheetName val="SPT-1770-BLANK_xls3"/>
      <sheetName val="1_13"/>
      <sheetName val="Company_Consol_(R)5"/>
      <sheetName val="Cockpit_25"/>
      <sheetName val="Cons_I5"/>
      <sheetName val="Cons_II5"/>
      <sheetName val="CONS_OPAT5"/>
      <sheetName val="RONOA_tree5"/>
      <sheetName val="Training_-_Action_List5"/>
      <sheetName val="Listes_de_Sélection5"/>
      <sheetName val="GRAND_REKAP5"/>
      <sheetName val="I_7_3_ICAB_(in)3"/>
      <sheetName val="I_7_1_ICAC_(in)3"/>
      <sheetName val="I_7_2_ICAS_(in)3"/>
      <sheetName val="I_7_4_ICAX_(in)3"/>
      <sheetName val="I_7_5_ICRJ_(in)3"/>
      <sheetName val="GL_ACC3"/>
      <sheetName val="FISIK_RAB_20003"/>
      <sheetName val="ocean_voyage3"/>
      <sheetName val="General_Info3"/>
      <sheetName val="KAS_$3"/>
      <sheetName val="HP_18_th3"/>
      <sheetName val="cons_workpapers3"/>
      <sheetName val="budget_idr3"/>
      <sheetName val="UM_Beli-New3"/>
      <sheetName val="14__Risk_&amp;_Reserve3"/>
      <sheetName val="NRC-2009_083"/>
      <sheetName val="Name_List3"/>
      <sheetName val="A-11_Steel_Str_(2)3"/>
      <sheetName val="Spares_Data3"/>
      <sheetName val="Input_Areas3"/>
      <sheetName val="UK_GAAP_Adjustments3"/>
      <sheetName val="UK_GAAP_Purchase_Price3"/>
      <sheetName val="Interco_list1"/>
      <sheetName val="R1_COVER1"/>
      <sheetName val="DH_RI_SI_Exceptions1"/>
      <sheetName val="Harga_DOC1"/>
      <sheetName val="TAX_LIST1"/>
      <sheetName val="GL_09_171"/>
      <sheetName val="Comp_equip1"/>
      <sheetName val="CA_Sheet1"/>
      <sheetName val="Sale-Leaseback_(2)1"/>
      <sheetName val="DATA_WP1"/>
      <sheetName val="tax_supp_doc1"/>
      <sheetName val="Bar_SUPP1"/>
      <sheetName val="ASSET_REGISTER1"/>
      <sheetName val="A_4_31"/>
      <sheetName val="Depreciation__schedule1"/>
      <sheetName val="Input-Expected_Case1"/>
      <sheetName val="Input-Worst_Case1"/>
      <sheetName val="Other_Cargill_BU_Synergies1"/>
      <sheetName val="Revenue_Detail1"/>
      <sheetName val="DCF_Inputs1"/>
      <sheetName val="X_rate1"/>
      <sheetName val="Penyusutan_Kendaraan1"/>
      <sheetName val="(ABS)_JUN-JUL'071"/>
      <sheetName val="Statutory_Query1"/>
      <sheetName val="6B_BLS_Trends1"/>
      <sheetName val="CashFlow_Standard_Combined1"/>
      <sheetName val="Inputing_data1"/>
      <sheetName val="InvoEâ_ist1"/>
      <sheetName val="GB1_PPE_Lead1"/>
      <sheetName val="Notes_to_Accounts1"/>
      <sheetName val="FF402-WIP_movement1"/>
      <sheetName val="FF403-WIP_movement1"/>
      <sheetName val="TAX_COM_MAL'SIA1"/>
      <sheetName val="addl_cost1"/>
      <sheetName val="Setup_Data1"/>
      <sheetName val="R-16_11"/>
      <sheetName val="R-16_21"/>
      <sheetName val="BIAYA_DIVISI1"/>
      <sheetName val="Prod-_TBS1"/>
      <sheetName val="M_a_y7"/>
      <sheetName val="J_u_l7"/>
      <sheetName val="A_p_r7"/>
      <sheetName val="O_c_t7"/>
      <sheetName val="J_u_n7"/>
      <sheetName val="N_o_v7"/>
      <sheetName val="F_e_b7"/>
      <sheetName val="J_a_n7"/>
      <sheetName val="IPO_Proceed7"/>
      <sheetName val="Cap__Structure7"/>
      <sheetName val="Indirects_Actuals7"/>
      <sheetName val="gg_18"/>
      <sheetName val="14__Risk_&amp;_Reserve5"/>
      <sheetName val="cons_workpapers5"/>
      <sheetName val="KAS_$5"/>
      <sheetName val="HP_18_th5"/>
      <sheetName val="I-PPh_Final7"/>
      <sheetName val="fiscal_depr(E)7"/>
      <sheetName val="KPI_RDCs5"/>
      <sheetName val="DAT_FIS5"/>
      <sheetName val="DAT_KOM5"/>
      <sheetName val="Input-SAP_data_FI5"/>
      <sheetName val="Mapping_SAP-&gt;sprdsht_via_Oracl5"/>
      <sheetName val="List_Price__Implementation_5"/>
      <sheetName val="SPT-1770-BLANK_xls5"/>
      <sheetName val="Company_Consol_(R)7"/>
      <sheetName val="Cockpit_27"/>
      <sheetName val="Cons_I7"/>
      <sheetName val="Cons_II7"/>
      <sheetName val="CONS_OPAT7"/>
      <sheetName val="RONOA_tree7"/>
      <sheetName val="Training_-_Action_List7"/>
      <sheetName val="Listes_de_Sélection7"/>
      <sheetName val="COLLATERAL_CONTROL7"/>
      <sheetName val="GRAND_REKAP7"/>
      <sheetName val="1_15"/>
      <sheetName val="I_7_3_ICAB_(in)5"/>
      <sheetName val="I_7_1_ICAC_(in)5"/>
      <sheetName val="I_7_2_ICAS_(in)5"/>
      <sheetName val="I_7_4_ICAX_(in)5"/>
      <sheetName val="I_7_5_ICRJ_(in)5"/>
      <sheetName val="GL_ACC5"/>
      <sheetName val="FISIK_RAB_20005"/>
      <sheetName val="ocean_voyage5"/>
      <sheetName val="General_Info5"/>
      <sheetName val="(Global_Parameters)5"/>
      <sheetName val="List_Price_(Implementation)5"/>
      <sheetName val="Email_Instructions5"/>
      <sheetName val="A-11_Steel_Str_(2)5"/>
      <sheetName val="Spares_Data5"/>
      <sheetName val="Input_Areas5"/>
      <sheetName val="UK_GAAP_Adjustments5"/>
      <sheetName val="UK_GAAP_Purchase_Price5"/>
      <sheetName val="Interco_list3"/>
      <sheetName val="R1_COVER3"/>
      <sheetName val="DH_RI_SI_Exceptions3"/>
      <sheetName val="budget_idr5"/>
      <sheetName val="UM_Beli-New5"/>
      <sheetName val="Harga_DOC3"/>
      <sheetName val="TAX_LIST3"/>
      <sheetName val="tax_supp_doc3"/>
      <sheetName val="Comp_equip3"/>
      <sheetName val="CA_Sheet3"/>
      <sheetName val="Bar_SUPP3"/>
      <sheetName val="Name_List5"/>
      <sheetName val="ASSET_REGISTER3"/>
      <sheetName val="A_4_33"/>
      <sheetName val="Depreciation__schedule3"/>
      <sheetName val="Input-Expected_Case3"/>
      <sheetName val="Input-Worst_Case3"/>
      <sheetName val="Other_Cargill_BU_Synergies3"/>
      <sheetName val="Revenue_Detail3"/>
      <sheetName val="DCF_Inputs3"/>
      <sheetName val="Sale-Leaseback_(2)3"/>
      <sheetName val="X_rate3"/>
      <sheetName val="Penyusutan_Kendaraan3"/>
      <sheetName val="(ABS)_JUN-JUL'073"/>
      <sheetName val="Statutory_Query3"/>
      <sheetName val="6B_BLS_Trends3"/>
      <sheetName val="CashFlow_Standard_Combined3"/>
      <sheetName val="Inputing_data3"/>
      <sheetName val="InvoEâ_ist3"/>
      <sheetName val="NRC-2009_085"/>
      <sheetName val="GL_09_173"/>
      <sheetName val="GB1_PPE_Lead3"/>
      <sheetName val="Notes_to_Accounts3"/>
      <sheetName val="FF402-WIP_movement3"/>
      <sheetName val="FF403-WIP_movement3"/>
      <sheetName val="TAX_COM_MAL'SIA3"/>
      <sheetName val="addl_cost3"/>
      <sheetName val="Setup_Data3"/>
      <sheetName val="R-16_13"/>
      <sheetName val="R-16_23"/>
      <sheetName val="BIAYA_DIVISI3"/>
      <sheetName val="Prod-_TBS3"/>
      <sheetName val="COST_OF_VESSEL"/>
      <sheetName val="Sales_Parameter"/>
      <sheetName val="RMS_-_STR"/>
      <sheetName val="A4_3"/>
      <sheetName val="Scenarios_and_Sensitivities"/>
      <sheetName val="Global_Assumptions"/>
      <sheetName val="Library_Procedures_"/>
      <sheetName val="Results_Template"/>
      <sheetName val="WS_Aug_18"/>
      <sheetName val="Drop_Down"/>
      <sheetName val="Sandi_laba_rugi1"/>
      <sheetName val="Rekg_91"/>
      <sheetName val="NIS_KS"/>
      <sheetName val="Clarifikasi_"/>
      <sheetName val="ShareCapital_"/>
      <sheetName val="SL1006_(IDR)"/>
      <sheetName val="SL1006_(VLS)"/>
      <sheetName val="PCA_TOTAL"/>
      <sheetName val="M_Peninsula"/>
      <sheetName val="Volatility_Data"/>
      <sheetName val="LAP_JUAL"/>
      <sheetName val="Deferred_Rev"/>
      <sheetName val="PEMAKAIAN_PAKAN_&amp;_OBAT"/>
      <sheetName val="Harian"/>
      <sheetName val="CD&amp;Stok"/>
      <sheetName val="Benchmarks"/>
      <sheetName val="cashflow-in-vs-out "/>
      <sheetName val="KPI-Data Entry"/>
      <sheetName val="VR-Rev"/>
      <sheetName val="PDG"/>
      <sheetName val="A.R."/>
      <sheetName val="ARC_SEGMENT"/>
      <sheetName val="witholding tax list ptp 2001"/>
      <sheetName val="harsat"/>
      <sheetName val="LIST ANHARSAT"/>
      <sheetName val="Factors"/>
      <sheetName val="TABEL-DETASIR"/>
      <sheetName val="rekaprab"/>
      <sheetName val="Mu"/>
      <sheetName val="Hargamat"/>
      <sheetName val="T. Cs Log P III"/>
      <sheetName val="INDEKS"/>
      <sheetName val="rekap.c"/>
      <sheetName val="JABATAN"/>
      <sheetName val="ar Comp"/>
      <sheetName val="Forecast"/>
      <sheetName val="Record Operation"/>
      <sheetName val="Unload Lati Port"/>
      <sheetName val="LT Coal"/>
      <sheetName val="LT OB"/>
      <sheetName val="Data entry"/>
      <sheetName val="GM09"/>
      <sheetName val="MOTM39&amp;40"/>
      <sheetName val="U1.6"/>
      <sheetName val="U1.2"/>
      <sheetName val="U1.5"/>
      <sheetName val="U1.1"/>
      <sheetName val="U1.3"/>
      <sheetName val="july"/>
      <sheetName val="june"/>
      <sheetName val="AJE&amp;RJE"/>
      <sheetName val="data_val"/>
      <sheetName val="Account Code"/>
      <sheetName val="Bi_Promosi"/>
      <sheetName val="Bi_Majalah"/>
      <sheetName val="Bi_Service_&amp;_Ban"/>
      <sheetName val="Bi_Sewa"/>
      <sheetName val="Account_Code"/>
      <sheetName val="Start_up Cost Calc"/>
      <sheetName val="databank"/>
      <sheetName val="Prediksi 2011"/>
      <sheetName val="Prediksi HT 2011"/>
      <sheetName val="Solar"/>
      <sheetName val="OLI HEQ"/>
      <sheetName val="Jurnal Koreksi"/>
      <sheetName val="setoran"/>
      <sheetName val="Loan Land"/>
      <sheetName val="ASSET-0301"/>
      <sheetName val="ASSUM-COMB-Prop"/>
      <sheetName val="INT-BNI"/>
      <sheetName val="Data_Umum"/>
      <sheetName val="Sum All"/>
      <sheetName val="Bns&amp;TtmApr'03"/>
      <sheetName val="Prog Imbalan"/>
      <sheetName val="PROLOSS"/>
      <sheetName val="PSC_Calc"/>
      <sheetName val="COA Infomedia"/>
      <sheetName val="SALES"/>
      <sheetName val="FIXED FLOAT"/>
      <sheetName val="AFTER 55"/>
      <sheetName val="Validasi"/>
      <sheetName val="GLP_s_changed_from_previous"/>
      <sheetName val="Staff"/>
      <sheetName val="Professionals"/>
      <sheetName val="MasterReff"/>
      <sheetName val="EB_NetIncomeMthlyTrendAnalysis"/>
      <sheetName val="PPh21_pegttp"/>
      <sheetName val="1. BQ"/>
      <sheetName val="Down Payment Invoice"/>
      <sheetName val="2934"/>
      <sheetName val="LAPD"/>
      <sheetName val="BBRI-N"/>
      <sheetName val="BMRI"/>
      <sheetName val="DNKS-N"/>
      <sheetName val="JIHD-J"/>
      <sheetName val="N-TKIM"/>
      <sheetName val="ADHI-N"/>
      <sheetName val="BBRI-J"/>
      <sheetName val="BDMN"/>
      <sheetName val="BNII"/>
      <sheetName val="ISAT"/>
      <sheetName val="LPBNN"/>
      <sheetName val="PGAS"/>
      <sheetName val="BNGA"/>
      <sheetName val="NOTES "/>
      <sheetName val="BALANCE SHEET"/>
      <sheetName val="kardus"/>
      <sheetName val="Feb"/>
      <sheetName val="Bobot rev"/>
      <sheetName val="INDIRECT DETAIL"/>
      <sheetName val="FE-1770_P149"/>
      <sheetName val="FE-1770_P249"/>
      <sheetName val="FI-177O_P149"/>
      <sheetName val="FI-1770_P249"/>
      <sheetName val="Final_Tax49"/>
      <sheetName val="Irregular_Income49"/>
      <sheetName val="Rp_Banten47"/>
      <sheetName val="Permanent_info47"/>
      <sheetName val="RMFE_0446"/>
      <sheetName val="BS_final48"/>
      <sheetName val="B_147"/>
      <sheetName val="3__Neraca_dan_RL48"/>
      <sheetName val="Mine_Assumptions48"/>
      <sheetName val="RENCANA_KERJA48"/>
      <sheetName val="VAT_out48"/>
      <sheetName val="Journal_Template48"/>
      <sheetName val="trf_d-i47"/>
      <sheetName val="K_2_146"/>
      <sheetName val="Forecase_200447"/>
      <sheetName val="Main_Menu47"/>
      <sheetName val="A_u_g47"/>
      <sheetName val="M-2_Adjusted47"/>
      <sheetName val="BOQ_price46"/>
      <sheetName val="Professionals_Standard46"/>
      <sheetName val="ESG_local46"/>
      <sheetName val="Details_BS_YTD46"/>
      <sheetName val="K_1_1_1_HGU45"/>
      <sheetName val="DEFECTED_NOV45"/>
      <sheetName val="Exch_rate45"/>
      <sheetName val="Internal_order46"/>
      <sheetName val="Other_Current45"/>
      <sheetName val="Other_YTD45"/>
      <sheetName val="HBI_NCD45"/>
      <sheetName val="Table_Array45"/>
      <sheetName val="HBS_Credit_Detail45"/>
      <sheetName val="ID_MENADO44"/>
      <sheetName val="Bank_Recon_-_IDR45"/>
      <sheetName val="Detail_pg246"/>
      <sheetName val="move_(2)46"/>
      <sheetName val="oblig_Trad&amp;AFS45"/>
      <sheetName val="For_Mgmt_fee46"/>
      <sheetName val="For_GSC_charge46"/>
      <sheetName val="For_Training_Svc_fee46"/>
      <sheetName val="For_Mgmt_fee_(PasteValue)46"/>
      <sheetName val="For_GSC_charge_(PasteValue)46"/>
      <sheetName val="Allocation_Base_(GSIN)46"/>
      <sheetName val="To_DCIN46"/>
      <sheetName val="For_Training_Svc_fee_(PasteVa46"/>
      <sheetName val="Income_Statement45"/>
      <sheetName val="INV0299_(2)45"/>
      <sheetName val="FOREX_0445"/>
      <sheetName val="FOREX_0345"/>
      <sheetName val="FOREX_04_audited45"/>
      <sheetName val="Data_Input45"/>
      <sheetName val="Cost_Input_Sheet45"/>
      <sheetName val="Q120_AP_Aging45"/>
      <sheetName val="Base_Data44"/>
      <sheetName val="RWP_3344"/>
      <sheetName val="TRADING_PROFIT44"/>
      <sheetName val="EB_PDT44"/>
      <sheetName val="Exc__Rate44"/>
      <sheetName val="EYAS_Standar44"/>
      <sheetName val="BAL_SHEET(2)44"/>
      <sheetName val="CUSTOMER_LOOKUP44"/>
      <sheetName val="SUMMARY_44"/>
      <sheetName val="Sheet1_(19)44"/>
      <sheetName val="Rekap_Penj44"/>
      <sheetName val="BS-PL_Komersil_and_Fiskal44"/>
      <sheetName val="Front_Sheet44"/>
      <sheetName val="Name_Map44"/>
      <sheetName val="TB_IDR_Only44"/>
      <sheetName val="Breakdown_LF603_144"/>
      <sheetName val="Sheet_1_(2)44"/>
      <sheetName val="COA_BM44"/>
      <sheetName val="Check_Sheet44"/>
      <sheetName val="PLHO_Report44"/>
      <sheetName val="FL_&amp;_IC44"/>
      <sheetName val="Table_144"/>
      <sheetName val="229_Accr_Exp44"/>
      <sheetName val="Income_State44"/>
      <sheetName val="Content_344"/>
      <sheetName val="hutang_DPLK44"/>
      <sheetName val="Access_Radio_NL40044"/>
      <sheetName val="HWL_(2)43"/>
      <sheetName val="A2_1_CAJE46"/>
      <sheetName val="TRAVEL_PLAN44"/>
      <sheetName val="Financial_Statement41"/>
      <sheetName val="Tax_comp44"/>
      <sheetName val="TWDV_over_NBV44"/>
      <sheetName val="Product_Requirement44"/>
      <sheetName val="Investasi_&amp;_depresiasi44"/>
      <sheetName val="Att_1-5_yr01_(Ind)41"/>
      <sheetName val="Att_1-5_yr0141"/>
      <sheetName val="PPh_22_-_0141"/>
      <sheetName val="PPh_22_-_01_(E)41"/>
      <sheetName val="Depr_for_add_200141"/>
      <sheetName val="Perhit_disp_01_(E)41"/>
      <sheetName val="Perhit_disp_0141"/>
      <sheetName val="Depreciation_DBI_0141"/>
      <sheetName val="Amortisation_DBI_41"/>
      <sheetName val="Sheet1_(3)41"/>
      <sheetName val="Sheet1_(2)41"/>
      <sheetName val="expat_exp41"/>
      <sheetName val="Customer_List41"/>
      <sheetName val="Stock_CIW41"/>
      <sheetName val="_INCOME_STATEMENT42"/>
      <sheetName val="Data_Submission44"/>
      <sheetName val="Lookup_Tables44"/>
      <sheetName val="K_6DEPOSIT41"/>
      <sheetName val="99_10_1241"/>
      <sheetName val="Other_charges_(income)41"/>
      <sheetName val="lab_norge41"/>
      <sheetName val="SAD_Conclusion41"/>
      <sheetName val="SAD_Schedule41"/>
      <sheetName val="Cruser_Sp7139"/>
      <sheetName val="Sch_39"/>
      <sheetName val="E-9_3(PBC)39"/>
      <sheetName val="hitung_ulang_JEPANG39"/>
      <sheetName val="HO_Use39"/>
      <sheetName val="BGT_Cashflow39"/>
      <sheetName val="ACT_Cashflow39"/>
      <sheetName val="BGT_Cashflow_39"/>
      <sheetName val="Muebles_y_Enseres39"/>
      <sheetName val="New_List39"/>
      <sheetName val="LOC_Score39"/>
      <sheetName val="Laba_Rugi39"/>
      <sheetName val="Pembelian_Aktiva39"/>
      <sheetName val="Beban_Operasi39"/>
      <sheetName val="GL_Items_MEI39"/>
      <sheetName val="7_239"/>
      <sheetName val="00_received_in_0139"/>
      <sheetName val="Per_GL_J_a_n39"/>
      <sheetName val="FE-1771$_P118"/>
      <sheetName val="Lamp_RPT04818"/>
      <sheetName val="Lamp_RPT04018"/>
      <sheetName val="Bgn-Ingg_PLANTATION18"/>
      <sheetName val="L_BA_blok18"/>
      <sheetName val="L_I_-_ATY18"/>
      <sheetName val="S_e_p18"/>
      <sheetName val="M_a_r18"/>
      <sheetName val="J_1_Deffered_Landright18"/>
      <sheetName val="rincian_DO18"/>
      <sheetName val="OPNAME_SALES18"/>
      <sheetName val="FE-1770_P150"/>
      <sheetName val="FE-1770_P250"/>
      <sheetName val="FI-177O_P150"/>
      <sheetName val="FI-1770_P250"/>
      <sheetName val="Final_Tax50"/>
      <sheetName val="Irregular_Income50"/>
      <sheetName val="Rp_Banten48"/>
      <sheetName val="Permanent_info48"/>
      <sheetName val="RMFE_0447"/>
      <sheetName val="BS_final49"/>
      <sheetName val="B_148"/>
      <sheetName val="3__Neraca_dan_RL49"/>
      <sheetName val="Mine_Assumptions49"/>
      <sheetName val="RENCANA_KERJA49"/>
      <sheetName val="VAT_out49"/>
      <sheetName val="Journal_Template49"/>
      <sheetName val="trf_d-i48"/>
      <sheetName val="K_2_147"/>
      <sheetName val="Forecase_200448"/>
      <sheetName val="Main_Menu48"/>
      <sheetName val="A_u_g48"/>
      <sheetName val="M-2_Adjusted48"/>
      <sheetName val="BOQ_price47"/>
      <sheetName val="Professionals_Standard47"/>
      <sheetName val="ESG_local47"/>
      <sheetName val="Details_BS_YTD47"/>
      <sheetName val="K_1_1_1_HGU46"/>
      <sheetName val="DEFECTED_NOV46"/>
      <sheetName val="Exch_rate46"/>
      <sheetName val="Internal_order47"/>
      <sheetName val="Other_Current46"/>
      <sheetName val="Other_YTD46"/>
      <sheetName val="HBI_NCD46"/>
      <sheetName val="Table_Array46"/>
      <sheetName val="HBS_Credit_Detail46"/>
      <sheetName val="ID_MENADO45"/>
      <sheetName val="Bank_Recon_-_IDR46"/>
      <sheetName val="Detail_pg247"/>
      <sheetName val="move_(2)47"/>
      <sheetName val="oblig_Trad&amp;AFS46"/>
      <sheetName val="For_Mgmt_fee47"/>
      <sheetName val="For_GSC_charge47"/>
      <sheetName val="For_Training_Svc_fee47"/>
      <sheetName val="For_Mgmt_fee_(PasteValue)47"/>
      <sheetName val="For_GSC_charge_(PasteValue)47"/>
      <sheetName val="Allocation_Base_(GSIN)47"/>
      <sheetName val="To_DCIN47"/>
      <sheetName val="For_Training_Svc_fee_(PasteVa47"/>
      <sheetName val="Income_Statement46"/>
      <sheetName val="INV0299_(2)46"/>
      <sheetName val="FOREX_0446"/>
      <sheetName val="FOREX_0346"/>
      <sheetName val="FOREX_04_audited46"/>
      <sheetName val="Data_Input46"/>
      <sheetName val="Cost_Input_Sheet46"/>
      <sheetName val="Q120_AP_Aging46"/>
      <sheetName val="Base_Data45"/>
      <sheetName val="RWP_3345"/>
      <sheetName val="TRADING_PROFIT45"/>
      <sheetName val="EB_PDT45"/>
      <sheetName val="Exc__Rate45"/>
      <sheetName val="EYAS_Standar45"/>
      <sheetName val="BAL_SHEET(2)45"/>
      <sheetName val="CUSTOMER_LOOKUP45"/>
      <sheetName val="SUMMARY_45"/>
      <sheetName val="Sheet1_(19)45"/>
      <sheetName val="Rekap_Penj45"/>
      <sheetName val="BS-PL_Komersil_and_Fiskal45"/>
      <sheetName val="Front_Sheet45"/>
      <sheetName val="Name_Map45"/>
      <sheetName val="TB_IDR_Only45"/>
      <sheetName val="Breakdown_LF603_145"/>
      <sheetName val="Sheet_1_(2)45"/>
      <sheetName val="COA_BM45"/>
      <sheetName val="Check_Sheet45"/>
      <sheetName val="PLHO_Report45"/>
      <sheetName val="FL_&amp;_IC45"/>
      <sheetName val="Table_145"/>
      <sheetName val="229_Accr_Exp45"/>
      <sheetName val="Income_State45"/>
      <sheetName val="Content_345"/>
      <sheetName val="hutang_DPLK45"/>
      <sheetName val="Access_Radio_NL40045"/>
      <sheetName val="HWL_(2)44"/>
      <sheetName val="A2_1_CAJE47"/>
      <sheetName val="TRAVEL_PLAN45"/>
      <sheetName val="Financial_Statement42"/>
      <sheetName val="Tax_comp45"/>
      <sheetName val="TWDV_over_NBV45"/>
      <sheetName val="Product_Requirement45"/>
      <sheetName val="Investasi_&amp;_depresiasi45"/>
      <sheetName val="Att_1-5_yr01_(Ind)42"/>
      <sheetName val="Att_1-5_yr0142"/>
      <sheetName val="PPh_22_-_0142"/>
      <sheetName val="PPh_22_-_01_(E)42"/>
      <sheetName val="Depr_for_add_200142"/>
      <sheetName val="Perhit_disp_01_(E)42"/>
      <sheetName val="Perhit_disp_0142"/>
      <sheetName val="Depreciation_DBI_0142"/>
      <sheetName val="Amortisation_DBI_42"/>
      <sheetName val="Sheet1_(3)42"/>
      <sheetName val="Sheet1_(2)42"/>
      <sheetName val="expat_exp42"/>
      <sheetName val="Customer_List42"/>
      <sheetName val="Stock_CIW42"/>
      <sheetName val="_INCOME_STATEMENT43"/>
      <sheetName val="Data_Submission45"/>
      <sheetName val="Lookup_Tables45"/>
      <sheetName val="K_6DEPOSIT42"/>
      <sheetName val="99_10_1242"/>
      <sheetName val="Other_charges_(income)42"/>
      <sheetName val="lab_norge42"/>
      <sheetName val="SAD_Conclusion42"/>
      <sheetName val="SAD_Schedule42"/>
      <sheetName val="Cruser_Sp7140"/>
      <sheetName val="Sch_40"/>
      <sheetName val="E-9_3(PBC)40"/>
      <sheetName val="hitung_ulang_JEPANG40"/>
      <sheetName val="HO_Use40"/>
      <sheetName val="BGT_Cashflow40"/>
      <sheetName val="ACT_Cashflow40"/>
      <sheetName val="BGT_Cashflow_40"/>
      <sheetName val="Muebles_y_Enseres40"/>
      <sheetName val="New_List40"/>
      <sheetName val="LOC_Score40"/>
      <sheetName val="Laba_Rugi40"/>
      <sheetName val="Pembelian_Aktiva40"/>
      <sheetName val="Beban_Operasi40"/>
      <sheetName val="GL_Items_MEI40"/>
      <sheetName val="7_240"/>
      <sheetName val="00_received_in_0140"/>
      <sheetName val="Per_GL_J_a_n40"/>
      <sheetName val="FE-1771$_P119"/>
      <sheetName val="Lamp_RPT04819"/>
      <sheetName val="Lamp_RPT04019"/>
      <sheetName val="Bgn-Ingg_PLANTATION19"/>
      <sheetName val="L_BA_blok19"/>
      <sheetName val="L_I_-_ATY19"/>
      <sheetName val="S_e_p19"/>
      <sheetName val="M_a_r19"/>
      <sheetName val="J_1_Deffered_Landright19"/>
      <sheetName val="rincian_DO19"/>
      <sheetName val="OPNAME_SALES19"/>
      <sheetName val="FE-1770_P151"/>
      <sheetName val="FE-1770_P251"/>
      <sheetName val="FI-177O_P151"/>
      <sheetName val="FI-1770_P251"/>
      <sheetName val="Final_Tax51"/>
      <sheetName val="Irregular_Income51"/>
      <sheetName val="Rp_Banten49"/>
      <sheetName val="Permanent_info49"/>
      <sheetName val="RMFE_0448"/>
      <sheetName val="BS_final50"/>
      <sheetName val="B_149"/>
      <sheetName val="3__Neraca_dan_RL50"/>
      <sheetName val="Mine_Assumptions50"/>
      <sheetName val="RENCANA_KERJA50"/>
      <sheetName val="VAT_out50"/>
      <sheetName val="Journal_Template50"/>
      <sheetName val="trf_d-i49"/>
      <sheetName val="K_2_148"/>
      <sheetName val="Forecase_200449"/>
      <sheetName val="Main_Menu49"/>
      <sheetName val="A_u_g49"/>
      <sheetName val="M-2_Adjusted49"/>
      <sheetName val="BOQ_price48"/>
      <sheetName val="Professionals_Standard48"/>
      <sheetName val="ESG_local48"/>
      <sheetName val="Details_BS_YTD48"/>
      <sheetName val="K_1_1_1_HGU47"/>
      <sheetName val="DEFECTED_NOV47"/>
      <sheetName val="Exch_rate47"/>
      <sheetName val="Internal_order48"/>
      <sheetName val="Other_Current47"/>
      <sheetName val="Other_YTD47"/>
      <sheetName val="HBI_NCD47"/>
      <sheetName val="Table_Array47"/>
      <sheetName val="HBS_Credit_Detail47"/>
      <sheetName val="ID_MENADO46"/>
      <sheetName val="Bank_Recon_-_IDR47"/>
      <sheetName val="Detail_pg248"/>
      <sheetName val="move_(2)48"/>
      <sheetName val="oblig_Trad&amp;AFS47"/>
      <sheetName val="For_Mgmt_fee48"/>
      <sheetName val="For_GSC_charge48"/>
      <sheetName val="For_Training_Svc_fee48"/>
      <sheetName val="For_Mgmt_fee_(PasteValue)48"/>
      <sheetName val="For_GSC_charge_(PasteValue)48"/>
      <sheetName val="Allocation_Base_(GSIN)48"/>
      <sheetName val="To_DCIN48"/>
      <sheetName val="For_Training_Svc_fee_(PasteVa48"/>
      <sheetName val="Income_Statement47"/>
      <sheetName val="INV0299_(2)47"/>
      <sheetName val="FOREX_0447"/>
      <sheetName val="FOREX_0347"/>
      <sheetName val="FOREX_04_audited47"/>
      <sheetName val="Data_Input47"/>
      <sheetName val="Cost_Input_Sheet47"/>
      <sheetName val="Q120_AP_Aging47"/>
      <sheetName val="Base_Data46"/>
      <sheetName val="RWP_3346"/>
      <sheetName val="TRADING_PROFIT46"/>
      <sheetName val="EB_PDT46"/>
      <sheetName val="Exc__Rate46"/>
      <sheetName val="EYAS_Standar46"/>
      <sheetName val="BAL_SHEET(2)46"/>
      <sheetName val="CUSTOMER_LOOKUP46"/>
      <sheetName val="SUMMARY_46"/>
      <sheetName val="Sheet1_(19)46"/>
      <sheetName val="Rekap_Penj46"/>
      <sheetName val="BS-PL_Komersil_and_Fiskal46"/>
      <sheetName val="Front_Sheet46"/>
      <sheetName val="Name_Map46"/>
      <sheetName val="TB_IDR_Only46"/>
      <sheetName val="Breakdown_LF603_146"/>
      <sheetName val="Sheet_1_(2)46"/>
      <sheetName val="COA_BM46"/>
      <sheetName val="Check_Sheet46"/>
      <sheetName val="PLHO_Report46"/>
      <sheetName val="FL_&amp;_IC46"/>
      <sheetName val="Table_146"/>
      <sheetName val="229_Accr_Exp46"/>
      <sheetName val="Income_State46"/>
      <sheetName val="Content_346"/>
      <sheetName val="hutang_DPLK46"/>
      <sheetName val="Access_Radio_NL40046"/>
      <sheetName val="HWL_(2)45"/>
      <sheetName val="A2_1_CAJE48"/>
      <sheetName val="TRAVEL_PLAN46"/>
      <sheetName val="Financial_Statement43"/>
      <sheetName val="Tax_comp46"/>
      <sheetName val="TWDV_over_NBV46"/>
      <sheetName val="Product_Requirement46"/>
      <sheetName val="Investasi_&amp;_depresiasi46"/>
      <sheetName val="Att_1-5_yr01_(Ind)43"/>
      <sheetName val="Att_1-5_yr0143"/>
      <sheetName val="PPh_22_-_0143"/>
      <sheetName val="PPh_22_-_01_(E)43"/>
      <sheetName val="Depr_for_add_200143"/>
      <sheetName val="Perhit_disp_01_(E)43"/>
      <sheetName val="Perhit_disp_0143"/>
      <sheetName val="Depreciation_DBI_0143"/>
      <sheetName val="Amortisation_DBI_43"/>
      <sheetName val="Sheet1_(3)43"/>
      <sheetName val="Sheet1_(2)43"/>
      <sheetName val="expat_exp43"/>
      <sheetName val="Customer_List43"/>
      <sheetName val="Stock_CIW43"/>
      <sheetName val="_INCOME_STATEMENT44"/>
      <sheetName val="Data_Submission46"/>
      <sheetName val="Lookup_Tables46"/>
      <sheetName val="K_6DEPOSIT43"/>
      <sheetName val="99_10_1243"/>
      <sheetName val="Other_charges_(income)43"/>
      <sheetName val="lab_norge43"/>
      <sheetName val="SAD_Conclusion43"/>
      <sheetName val="SAD_Schedule43"/>
      <sheetName val="Cruser_Sp7141"/>
      <sheetName val="Sch_41"/>
      <sheetName val="E-9_3(PBC)41"/>
      <sheetName val="hitung_ulang_JEPANG41"/>
      <sheetName val="HO_Use41"/>
      <sheetName val="BGT_Cashflow41"/>
      <sheetName val="ACT_Cashflow41"/>
      <sheetName val="BGT_Cashflow_41"/>
      <sheetName val="Muebles_y_Enseres41"/>
      <sheetName val="New_List41"/>
      <sheetName val="LOC_Score41"/>
      <sheetName val="Laba_Rugi41"/>
      <sheetName val="Pembelian_Aktiva41"/>
      <sheetName val="Beban_Operasi41"/>
      <sheetName val="GL_Items_MEI41"/>
      <sheetName val="7_241"/>
      <sheetName val="00_received_in_0141"/>
      <sheetName val="Per_GL_J_a_n41"/>
      <sheetName val="FE-1771$_P120"/>
      <sheetName val="Lamp_RPT04820"/>
      <sheetName val="Lamp_RPT04020"/>
      <sheetName val="Bgn-Ingg_PLANTATION20"/>
      <sheetName val="L_BA_blok20"/>
      <sheetName val="L_I_-_ATY20"/>
      <sheetName val="S_e_p20"/>
      <sheetName val="M_a_r20"/>
      <sheetName val="J_1_Deffered_Landright20"/>
      <sheetName val="rincian_DO20"/>
      <sheetName val="OPNAME_SALES20"/>
      <sheetName val="FE-1770_P152"/>
      <sheetName val="FE-1770_P252"/>
      <sheetName val="FI-177O_P152"/>
      <sheetName val="FI-1770_P252"/>
      <sheetName val="Final_Tax52"/>
      <sheetName val="Irregular_Income52"/>
      <sheetName val="RENCANA_KERJA51"/>
      <sheetName val="VAT_out51"/>
      <sheetName val="BS_final51"/>
      <sheetName val="Mine_Assumptions51"/>
      <sheetName val="Journal_Template51"/>
      <sheetName val="Permanent_info50"/>
      <sheetName val="Rp_Banten50"/>
      <sheetName val="B_150"/>
      <sheetName val="Forecase_200450"/>
      <sheetName val="trf_d-i50"/>
      <sheetName val="A_u_g50"/>
      <sheetName val="3__Neraca_dan_RL51"/>
      <sheetName val="Main_Menu50"/>
      <sheetName val="RMFE_0449"/>
      <sheetName val="K_2_149"/>
      <sheetName val="Details_BS_YTD49"/>
      <sheetName val="Detail_pg249"/>
      <sheetName val="M-2_Adjusted50"/>
      <sheetName val="Internal_order49"/>
      <sheetName val="move_(2)49"/>
      <sheetName val="Professionals_Standard49"/>
      <sheetName val="ESG_local49"/>
      <sheetName val="Exch_rate48"/>
      <sheetName val="HBS_Credit_Detail48"/>
      <sheetName val="K_1_1_1_HGU48"/>
      <sheetName val="BOQ_price49"/>
      <sheetName val="DEFECTED_NOV48"/>
      <sheetName val="Other_Current48"/>
      <sheetName val="Other_YTD48"/>
      <sheetName val="Table_Array48"/>
      <sheetName val="INV0299_(2)48"/>
      <sheetName val="HBI_NCD48"/>
      <sheetName val="ID_MENADO47"/>
      <sheetName val="Income_Statement48"/>
      <sheetName val="oblig_Trad&amp;AFS48"/>
      <sheetName val="For_Mgmt_fee49"/>
      <sheetName val="For_GSC_charge49"/>
      <sheetName val="For_Training_Svc_fee49"/>
      <sheetName val="For_Mgmt_fee_(PasteValue)49"/>
      <sheetName val="For_GSC_charge_(PasteValue)49"/>
      <sheetName val="Allocation_Base_(GSIN)49"/>
      <sheetName val="To_DCIN49"/>
      <sheetName val="For_Training_Svc_fee_(PasteVa49"/>
      <sheetName val="Bank_Recon_-_IDR48"/>
      <sheetName val="Cost_Input_Sheet48"/>
      <sheetName val="Data_Input48"/>
      <sheetName val="FOREX_0448"/>
      <sheetName val="FOREX_0348"/>
      <sheetName val="FOREX_04_audited48"/>
      <sheetName val="Q120_AP_Aging48"/>
      <sheetName val="Base_Data47"/>
      <sheetName val="RWP_3347"/>
      <sheetName val="TRADING_PROFIT47"/>
      <sheetName val="EB_PDT47"/>
      <sheetName val="Exc__Rate47"/>
      <sheetName val="EYAS_Standar47"/>
      <sheetName val="BAL_SHEET(2)47"/>
      <sheetName val="CUSTOMER_LOOKUP47"/>
      <sheetName val="SUMMARY_47"/>
      <sheetName val="Rekap_Penj47"/>
      <sheetName val="BS-PL_Komersil_and_Fiskal47"/>
      <sheetName val="Front_Sheet47"/>
      <sheetName val="Name_Map47"/>
      <sheetName val="TB_IDR_Only47"/>
      <sheetName val="Breakdown_LF603_147"/>
      <sheetName val="Sheet_1_(2)47"/>
      <sheetName val="COA_BM47"/>
      <sheetName val="Check_Sheet47"/>
      <sheetName val="PLHO_Report47"/>
      <sheetName val="Sheet1_(19)47"/>
      <sheetName val="FL_&amp;_IC47"/>
      <sheetName val="Table_147"/>
      <sheetName val="229_Accr_Exp47"/>
      <sheetName val="Income_State47"/>
      <sheetName val="Content_347"/>
      <sheetName val="hutang_DPLK47"/>
      <sheetName val="Access_Radio_NL40047"/>
      <sheetName val="HWL_(2)46"/>
      <sheetName val="A2_1_CAJE49"/>
      <sheetName val="TRAVEL_PLAN47"/>
      <sheetName val="Financial_Statement44"/>
      <sheetName val="Tax_comp47"/>
      <sheetName val="TWDV_over_NBV47"/>
      <sheetName val="Product_Requirement47"/>
      <sheetName val="Investasi_&amp;_depresiasi47"/>
      <sheetName val="Att_1-5_yr01_(Ind)44"/>
      <sheetName val="Att_1-5_yr0144"/>
      <sheetName val="PPh_22_-_0144"/>
      <sheetName val="PPh_22_-_01_(E)44"/>
      <sheetName val="Depr_for_add_200144"/>
      <sheetName val="Perhit_disp_01_(E)44"/>
      <sheetName val="Perhit_disp_0144"/>
      <sheetName val="Depreciation_DBI_0144"/>
      <sheetName val="Amortisation_DBI_44"/>
      <sheetName val="Sheet1_(3)44"/>
      <sheetName val="Sheet1_(2)44"/>
      <sheetName val="expat_exp44"/>
      <sheetName val="Customer_List44"/>
      <sheetName val="_INCOME_STATEMENT45"/>
      <sheetName val="Stock_CIW44"/>
      <sheetName val="K_6DEPOSIT44"/>
      <sheetName val="99_10_1244"/>
      <sheetName val="Data_Submission47"/>
      <sheetName val="Lookup_Tables47"/>
      <sheetName val="Other_charges_(income)44"/>
      <sheetName val="lab_norge44"/>
      <sheetName val="SAD_Conclusion44"/>
      <sheetName val="SAD_Schedule44"/>
      <sheetName val="Sch_42"/>
      <sheetName val="E-9_3(PBC)42"/>
      <sheetName val="hitung_ulang_JEPANG42"/>
      <sheetName val="HO_Use42"/>
      <sheetName val="BGT_Cashflow42"/>
      <sheetName val="ACT_Cashflow42"/>
      <sheetName val="BGT_Cashflow_42"/>
      <sheetName val="Muebles_y_Enseres42"/>
      <sheetName val="New_List42"/>
      <sheetName val="LOC_Score42"/>
      <sheetName val="Laba_Rugi42"/>
      <sheetName val="Pembelian_Aktiva42"/>
      <sheetName val="Beban_Operasi42"/>
      <sheetName val="Cruser_Sp7142"/>
      <sheetName val="GL_Items_MEI42"/>
      <sheetName val="7_242"/>
      <sheetName val="00_received_in_0142"/>
      <sheetName val="Per_GL_J_a_n42"/>
      <sheetName val="J_1_Deffered_Landright21"/>
      <sheetName val="FE-1771$_P121"/>
      <sheetName val="Lamp_RPT04821"/>
      <sheetName val="Lamp_RPT04021"/>
      <sheetName val="Bgn-Ingg_PLANTATION21"/>
      <sheetName val="L_BA_blok21"/>
      <sheetName val="rincian_DO21"/>
      <sheetName val="L_I_-_ATY21"/>
      <sheetName val="S_e_p21"/>
      <sheetName val="M_a_r21"/>
      <sheetName val="OPNAME_SALES21"/>
      <sheetName val="FE-1770_P153"/>
      <sheetName val="FE-1770_P253"/>
      <sheetName val="FI-177O_P153"/>
      <sheetName val="FI-1770_P253"/>
      <sheetName val="Final_Tax53"/>
      <sheetName val="Irregular_Income53"/>
      <sheetName val="RENCANA_KERJA52"/>
      <sheetName val="VAT_out52"/>
      <sheetName val="BS_final52"/>
      <sheetName val="Mine_Assumptions52"/>
      <sheetName val="Journal_Template52"/>
      <sheetName val="Permanent_info51"/>
      <sheetName val="Rp_Banten51"/>
      <sheetName val="B_151"/>
      <sheetName val="Forecase_200451"/>
      <sheetName val="trf_d-i51"/>
      <sheetName val="A_u_g51"/>
      <sheetName val="3__Neraca_dan_RL52"/>
      <sheetName val="Main_Menu51"/>
      <sheetName val="RMFE_0450"/>
      <sheetName val="K_2_150"/>
      <sheetName val="Details_BS_YTD50"/>
      <sheetName val="Detail_pg250"/>
      <sheetName val="M-2_Adjusted51"/>
      <sheetName val="Internal_order50"/>
      <sheetName val="move_(2)50"/>
      <sheetName val="Professionals_Standard50"/>
      <sheetName val="ESG_local50"/>
      <sheetName val="Exch_rate49"/>
      <sheetName val="HBS_Credit_Detail49"/>
      <sheetName val="K_1_1_1_HGU49"/>
      <sheetName val="BOQ_price50"/>
      <sheetName val="DEFECTED_NOV49"/>
      <sheetName val="Other_Current49"/>
      <sheetName val="Other_YTD49"/>
      <sheetName val="Table_Array49"/>
      <sheetName val="INV0299_(2)49"/>
      <sheetName val="HBI_NCD49"/>
      <sheetName val="ID_MENADO48"/>
      <sheetName val="Income_Statement49"/>
      <sheetName val="oblig_Trad&amp;AFS49"/>
      <sheetName val="For_Mgmt_fee50"/>
      <sheetName val="For_GSC_charge50"/>
      <sheetName val="For_Training_Svc_fee50"/>
      <sheetName val="For_Mgmt_fee_(PasteValue)50"/>
      <sheetName val="For_GSC_charge_(PasteValue)50"/>
      <sheetName val="Allocation_Base_(GSIN)50"/>
      <sheetName val="To_DCIN50"/>
      <sheetName val="For_Training_Svc_fee_(PasteVa50"/>
      <sheetName val="Bank_Recon_-_IDR49"/>
      <sheetName val="Cost_Input_Sheet49"/>
      <sheetName val="Data_Input49"/>
      <sheetName val="FOREX_0449"/>
      <sheetName val="FOREX_0349"/>
      <sheetName val="FOREX_04_audited49"/>
      <sheetName val="Q120_AP_Aging49"/>
      <sheetName val="Base_Data48"/>
      <sheetName val="RWP_3348"/>
      <sheetName val="TRADING_PROFIT48"/>
      <sheetName val="EB_PDT48"/>
      <sheetName val="Exc__Rate48"/>
      <sheetName val="EYAS_Standar48"/>
      <sheetName val="BAL_SHEET(2)48"/>
      <sheetName val="CUSTOMER_LOOKUP48"/>
      <sheetName val="SUMMARY_48"/>
      <sheetName val="Rekap_Penj48"/>
      <sheetName val="BS-PL_Komersil_and_Fiskal48"/>
      <sheetName val="Front_Sheet48"/>
      <sheetName val="Name_Map48"/>
      <sheetName val="TB_IDR_Only48"/>
      <sheetName val="Breakdown_LF603_148"/>
      <sheetName val="Sheet_1_(2)48"/>
      <sheetName val="COA_BM48"/>
      <sheetName val="Check_Sheet48"/>
      <sheetName val="PLHO_Report48"/>
      <sheetName val="Sheet1_(19)48"/>
      <sheetName val="FL_&amp;_IC48"/>
      <sheetName val="Table_148"/>
      <sheetName val="229_Accr_Exp48"/>
      <sheetName val="Income_State48"/>
      <sheetName val="Content_348"/>
      <sheetName val="hutang_DPLK48"/>
      <sheetName val="Access_Radio_NL40048"/>
      <sheetName val="HWL_(2)47"/>
      <sheetName val="A2_1_CAJE50"/>
      <sheetName val="TRAVEL_PLAN48"/>
      <sheetName val="Financial_Statement45"/>
      <sheetName val="Tax_comp48"/>
      <sheetName val="TWDV_over_NBV48"/>
      <sheetName val="Product_Requirement48"/>
      <sheetName val="Investasi_&amp;_depresiasi48"/>
      <sheetName val="Att_1-5_yr01_(Ind)45"/>
      <sheetName val="Att_1-5_yr0145"/>
      <sheetName val="PPh_22_-_0145"/>
      <sheetName val="PPh_22_-_01_(E)45"/>
      <sheetName val="Depr_for_add_200145"/>
      <sheetName val="Perhit_disp_01_(E)45"/>
      <sheetName val="Perhit_disp_0145"/>
      <sheetName val="Depreciation_DBI_0145"/>
      <sheetName val="Amortisation_DBI_45"/>
      <sheetName val="Sheet1_(3)45"/>
      <sheetName val="Sheet1_(2)45"/>
      <sheetName val="expat_exp45"/>
      <sheetName val="Customer_List45"/>
      <sheetName val="_INCOME_STATEMENT46"/>
      <sheetName val="Stock_CIW45"/>
      <sheetName val="K_6DEPOSIT45"/>
      <sheetName val="99_10_1245"/>
      <sheetName val="Data_Submission48"/>
      <sheetName val="Lookup_Tables48"/>
      <sheetName val="Other_charges_(income)45"/>
      <sheetName val="lab_norge45"/>
      <sheetName val="SAD_Conclusion45"/>
      <sheetName val="SAD_Schedule45"/>
      <sheetName val="Sch_43"/>
      <sheetName val="E-9_3(PBC)43"/>
      <sheetName val="hitung_ulang_JEPANG43"/>
      <sheetName val="HO_Use43"/>
      <sheetName val="BGT_Cashflow43"/>
      <sheetName val="ACT_Cashflow43"/>
      <sheetName val="BGT_Cashflow_43"/>
      <sheetName val="Muebles_y_Enseres43"/>
      <sheetName val="New_List43"/>
      <sheetName val="LOC_Score43"/>
      <sheetName val="Laba_Rugi43"/>
      <sheetName val="Pembelian_Aktiva43"/>
      <sheetName val="Beban_Operasi43"/>
      <sheetName val="Cruser_Sp7143"/>
      <sheetName val="GL_Items_MEI43"/>
      <sheetName val="7_243"/>
      <sheetName val="00_received_in_0143"/>
      <sheetName val="Per_GL_J_a_n43"/>
      <sheetName val="J_1_Deffered_Landright22"/>
      <sheetName val="FE-1771$_P122"/>
      <sheetName val="Lamp_RPT04822"/>
      <sheetName val="Lamp_RPT04022"/>
      <sheetName val="Bgn-Ingg_PLANTATION22"/>
      <sheetName val="L_BA_blok22"/>
      <sheetName val="rincian_DO22"/>
      <sheetName val="L_I_-_ATY22"/>
      <sheetName val="S_e_p22"/>
      <sheetName val="M_a_r22"/>
      <sheetName val="OPNAME_SALES22"/>
      <sheetName val="result"/>
      <sheetName val="WP PASIVA"/>
      <sheetName val="Supplier Master"/>
      <sheetName val="Upah"/>
      <sheetName val="tgp_02"/>
      <sheetName val="IM price"/>
      <sheetName val="Local price"/>
      <sheetName val="Master sheet"/>
      <sheetName val="5660-TOOL&amp;SPRT"/>
      <sheetName val="rekonsiliasi pph 21"/>
      <sheetName val="T-Accts"/>
      <sheetName val="1721"/>
      <sheetName val="AGING"/>
      <sheetName val="CTDZ6kv (gd1) "/>
      <sheetName val="CTDZ 0.4+cto (GD1)"/>
      <sheetName val="CTTBA (gd1)"/>
      <sheetName val="TST"/>
      <sheetName val="DAFTAR REK"/>
      <sheetName val="prog-mgu"/>
      <sheetName val="Manual"/>
      <sheetName val="NR _ MTM"/>
      <sheetName val="Management"/>
      <sheetName val="PL-Invst Pty"/>
      <sheetName val="FF-2 (1)"/>
      <sheetName val="DAF_2"/>
      <sheetName val="METHANOL"/>
      <sheetName val="NITROGEN"/>
      <sheetName val="UK"/>
      <sheetName val="Toggles &amp; Other"/>
      <sheetName val="REMUNERASISTANDAR"/>
      <sheetName val="U2.3"/>
      <sheetName val="inv-enc"/>
      <sheetName val="inv-ssi"/>
      <sheetName val="Minority"/>
      <sheetName val="mutinv"/>
      <sheetName val="mutlab"/>
      <sheetName val="Calendar (2)"/>
      <sheetName val="UshDeb00"/>
      <sheetName val="TRNS-C1"/>
      <sheetName val="Test Accrue"/>
      <sheetName val="DESEMBER"/>
      <sheetName val="NerSubsis"/>
      <sheetName val="InvoEâ_x005f"/>
      <sheetName val="IMP TAX"/>
      <sheetName val="Submission"/>
      <sheetName val="412src2"/>
      <sheetName val="GAJI April 2016"/>
      <sheetName val="ZK70A96E"/>
      <sheetName val="10 yr val"/>
      <sheetName val="Training _ Action List"/>
      <sheetName val="SP"/>
      <sheetName val="database"/>
      <sheetName val="bayar_04_fak"/>
      <sheetName val="PULP"/>
      <sheetName val="Fas-1,5M"/>
      <sheetName val="Fas-5M"/>
      <sheetName val="N-CTRS"/>
      <sheetName val="INTP"/>
      <sheetName val="N-PNBN"/>
      <sheetName val="J-JIHD"/>
      <sheetName val="PORTO 19 JUL"/>
      <sheetName val="SMAR"/>
      <sheetName val="ANTA"/>
      <sheetName val="ANTMN"/>
      <sheetName val="N-KLBF"/>
      <sheetName val="PGASN"/>
      <sheetName val="PTBA"/>
      <sheetName val="SMCB"/>
      <sheetName val="MTDL"/>
      <sheetName val="N-LPLI"/>
      <sheetName val="N-LTLS"/>
      <sheetName val="KOMIN"/>
      <sheetName val="ASGR-N"/>
      <sheetName val="ANTM"/>
      <sheetName val="LPBN"/>
      <sheetName val="SCM"/>
      <sheetName val="AALI-J"/>
      <sheetName val="AMFG"/>
      <sheetName val="J-ASII "/>
      <sheetName val="BBCA-J"/>
      <sheetName val="BEKS"/>
      <sheetName val="N-BLTA"/>
      <sheetName val="BMTR-N"/>
      <sheetName val="BMTR"/>
      <sheetName val="BNGAN"/>
      <sheetName val="BUMI"/>
      <sheetName val="CFIN"/>
      <sheetName val="CMNP"/>
      <sheetName val="N-CMNP-N"/>
      <sheetName val="CPIN"/>
      <sheetName val="DGSA"/>
      <sheetName val="DVLA"/>
      <sheetName val="DYNA-N"/>
      <sheetName val="GGRM-J"/>
      <sheetName val="INAF-J"/>
      <sheetName val="N-INCO"/>
      <sheetName val="INDF"/>
      <sheetName val="N-INDR"/>
      <sheetName val="N-INKP"/>
      <sheetName val="N-INTP"/>
      <sheetName val="KAEF-J"/>
      <sheetName val="N-KOPI"/>
      <sheetName val="KOPI"/>
      <sheetName val="MEDCN"/>
      <sheetName val="MEGA"/>
      <sheetName val="MLPL"/>
      <sheetName val="MPPA"/>
      <sheetName val="N-RALS"/>
      <sheetName val="RMBA"/>
      <sheetName val="J-SMGR"/>
      <sheetName val="SONA-J"/>
      <sheetName val="TSPC"/>
      <sheetName val="BELI"/>
      <sheetName val="HITUNG_HPP_25"/>
      <sheetName val="P_L98"/>
      <sheetName val="Op.Exp-SAP"/>
      <sheetName val="Test cost oversea"/>
      <sheetName val="M_a_y8"/>
      <sheetName val="J_u_l8"/>
      <sheetName val="A_p_r8"/>
      <sheetName val="O_c_t8"/>
      <sheetName val="J_u_n8"/>
      <sheetName val="N_o_v8"/>
      <sheetName val="F_e_b8"/>
      <sheetName val="J_a_n8"/>
      <sheetName val="IPO_Proceed8"/>
      <sheetName val="Cap__Structure8"/>
      <sheetName val="Indirects_Actuals8"/>
      <sheetName val="gg_19"/>
      <sheetName val="14__Risk_&amp;_Reserve6"/>
      <sheetName val="cons_workpapers6"/>
      <sheetName val="KAS_$6"/>
      <sheetName val="HP_18_th6"/>
      <sheetName val="I-PPh_Final8"/>
      <sheetName val="fiscal_depr(E)8"/>
      <sheetName val="KPI_RDCs6"/>
      <sheetName val="DAT_FIS6"/>
      <sheetName val="DAT_KOM6"/>
      <sheetName val="Input-SAP_data_FI6"/>
      <sheetName val="Mapping_SAP-&gt;sprdsht_via_Oracl6"/>
      <sheetName val="List_Price__Implementation_6"/>
      <sheetName val="SPT-1770-BLANK_xls6"/>
      <sheetName val="Company_Consol_(R)8"/>
      <sheetName val="Cockpit_28"/>
      <sheetName val="Cons_I8"/>
      <sheetName val="Cons_II8"/>
      <sheetName val="CONS_OPAT8"/>
      <sheetName val="RONOA_tree8"/>
      <sheetName val="Training_-_Action_List8"/>
      <sheetName val="Listes_de_Sélection8"/>
      <sheetName val="COLLATERAL_CONTROL8"/>
      <sheetName val="GRAND_REKAP8"/>
      <sheetName val="1_16"/>
      <sheetName val="I_7_3_ICAB_(in)6"/>
      <sheetName val="I_7_1_ICAC_(in)6"/>
      <sheetName val="I_7_2_ICAS_(in)6"/>
      <sheetName val="I_7_4_ICAX_(in)6"/>
      <sheetName val="I_7_5_ICRJ_(in)6"/>
      <sheetName val="GL_ACC6"/>
      <sheetName val="FISIK_RAB_20006"/>
      <sheetName val="ocean_voyage6"/>
      <sheetName val="General_Info6"/>
      <sheetName val="(Global_Parameters)6"/>
      <sheetName val="List_Price_(Implementation)6"/>
      <sheetName val="Email_Instructions6"/>
      <sheetName val="A-11_Steel_Str_(2)6"/>
      <sheetName val="Spares_Data6"/>
      <sheetName val="Input_Areas6"/>
      <sheetName val="UK_GAAP_Adjustments6"/>
      <sheetName val="UK_GAAP_Purchase_Price6"/>
      <sheetName val="Interco_list4"/>
      <sheetName val="R1_COVER4"/>
      <sheetName val="DH_RI_SI_Exceptions4"/>
      <sheetName val="budget_idr6"/>
      <sheetName val="UM_Beli-New6"/>
      <sheetName val="Harga_DOC4"/>
      <sheetName val="TAX_LIST4"/>
      <sheetName val="tax_supp_doc4"/>
      <sheetName val="Comp_equip4"/>
      <sheetName val="CA_Sheet4"/>
      <sheetName val="Bar_SUPP4"/>
      <sheetName val="Name_List6"/>
      <sheetName val="ASSET_REGISTER4"/>
      <sheetName val="A_4_34"/>
      <sheetName val="Depreciation__schedule4"/>
      <sheetName val="Input-Expected_Case4"/>
      <sheetName val="Input-Worst_Case4"/>
      <sheetName val="Other_Cargill_BU_Synergies4"/>
      <sheetName val="Revenue_Detail4"/>
      <sheetName val="DCF_Inputs4"/>
      <sheetName val="Sale-Leaseback_(2)4"/>
      <sheetName val="X_rate4"/>
      <sheetName val="Penyusutan_Kendaraan4"/>
      <sheetName val="(ABS)_JUN-JUL'074"/>
      <sheetName val="Statutory_Query4"/>
      <sheetName val="6B_BLS_Trends4"/>
      <sheetName val="CashFlow_Standard_Combined4"/>
      <sheetName val="Inputing_data4"/>
      <sheetName val="InvoEâ_ist4"/>
      <sheetName val="NRC-2009_086"/>
      <sheetName val="GL_09_174"/>
      <sheetName val="GB1_PPE_Lead4"/>
      <sheetName val="Notes_to_Accounts4"/>
      <sheetName val="FF402-WIP_movement4"/>
      <sheetName val="FF403-WIP_movement4"/>
      <sheetName val="TAX_COM_MAL'SIA4"/>
      <sheetName val="addl_cost4"/>
      <sheetName val="Setup_Data4"/>
      <sheetName val="R-16_14"/>
      <sheetName val="R-16_24"/>
      <sheetName val="BIAYA_DIVISI4"/>
      <sheetName val="Prod-_TBS4"/>
      <sheetName val="COST_OF_VESSEL1"/>
      <sheetName val="Sales_Parameter1"/>
      <sheetName val="RMS_-_STR1"/>
      <sheetName val="A4_31"/>
      <sheetName val="Scenarios_and_Sensitivities1"/>
      <sheetName val="Global_Assumptions1"/>
      <sheetName val="Library_Procedures_1"/>
      <sheetName val="Results_Template1"/>
      <sheetName val="WS_Aug_181"/>
      <sheetName val="IAD_1"/>
      <sheetName val="Drop_Down1"/>
      <sheetName val="Sandi_laba_rugi2"/>
      <sheetName val="Rekg_92"/>
      <sheetName val="NIS_KS1"/>
      <sheetName val="Clarifikasi_1"/>
      <sheetName val="ShareCapital_1"/>
      <sheetName val="SL1006_(IDR)1"/>
      <sheetName val="SL1006_(VLS)1"/>
      <sheetName val="PCA_TOTAL1"/>
      <sheetName val="M_Peninsula1"/>
      <sheetName val="Volatility_Data1"/>
      <sheetName val="LAP_JUAL1"/>
      <sheetName val="Deferred_Rev1"/>
      <sheetName val="PEMAKAIAN_PAKAN_&amp;_OBAT1"/>
      <sheetName val="ASUMSI_PENJLAN_&amp;_OUTPUT_PROD"/>
      <sheetName val="Harga_Publish_All"/>
      <sheetName val="NAMA_DEPT"/>
      <sheetName val="25__Jakaranatama"/>
      <sheetName val="Cost_Center"/>
      <sheetName val="excess_calc"/>
      <sheetName val="input_"/>
      <sheetName val="HRU_"/>
      <sheetName val="Arus_Kas"/>
      <sheetName val="tindak_lanj"/>
      <sheetName val="DATA_DIST"/>
      <sheetName val="Chart_of_Products"/>
      <sheetName val="4-Basic_Price"/>
      <sheetName val="TBCons_KMB04"/>
      <sheetName val="INCOME_TAX_02"/>
      <sheetName val="Content_Page"/>
      <sheetName val="E_4_-_Long_Out__Analysis"/>
      <sheetName val="Master_Sek_(Per_TW)"/>
      <sheetName val="Master_Sek"/>
      <sheetName val="Master_Sek_(V2)_Ok"/>
      <sheetName val="Perb_Hrg_Prog-RKAP_2015"/>
      <sheetName val="AR_Drop_Downs"/>
      <sheetName val="AR_APR'02"/>
      <sheetName val="วงเครดิต_3"/>
      <sheetName val="Daf_Harga-Upah"/>
      <sheetName val="INDIRECT_TPN"/>
      <sheetName val="Capacity_Plan"/>
      <sheetName val="Customize_Your_Invoice"/>
      <sheetName val="KKP_(3_1)_Impor"/>
      <sheetName val="TypeSite_AXD155-3"/>
      <sheetName val="Biaya_Departemen"/>
      <sheetName val="rekap_aset"/>
      <sheetName val="Buku_Besar_1"/>
      <sheetName val="Trans_Alt_-_IRR"/>
      <sheetName val="Centel_Drivers_(use)"/>
      <sheetName val="nagai_08"/>
      <sheetName val="K4__F&amp;F"/>
      <sheetName val="AM_REG"/>
      <sheetName val="Assumption &amp; Result"/>
      <sheetName val="300705"/>
      <sheetName val="ms"/>
      <sheetName val="FORM-X-1"/>
      <sheetName val="Summonth MP"/>
      <sheetName val="Summonth SC"/>
      <sheetName val="4.1 Placement w.o.b"/>
      <sheetName val="BS+PL"/>
      <sheetName val="NDX"/>
      <sheetName val="Toggle"/>
      <sheetName val="rkap7"/>
      <sheetName val="pintar"/>
      <sheetName val="LM13_16"/>
      <sheetName val="Daftar Customer"/>
      <sheetName val="Cashflow (2)"/>
      <sheetName val="CHIPPING"/>
      <sheetName val="FF-6"/>
      <sheetName val="DESBASTE"/>
      <sheetName val="REG TOTAL"/>
      <sheetName val="rab.8.2(swt)"/>
      <sheetName val="1 LeadSchedule"/>
      <sheetName val="Bal Sheet"/>
      <sheetName val="JL_BEL"/>
      <sheetName val="DATA_JUALAN"/>
      <sheetName val="Inventory Part"/>
      <sheetName val="BS-after AJE"/>
      <sheetName val="ASSR"/>
      <sheetName val="DETIL"/>
      <sheetName val="Employees"/>
      <sheetName val="Cover_01"/>
      <sheetName val="Inv_Eng"/>
      <sheetName val="Inv_Ind"/>
      <sheetName val="WS"/>
      <sheetName val="A63"/>
      <sheetName val="Cost Model"/>
      <sheetName val="DebtH12012"/>
      <sheetName val="PRICE_INFLATION"/>
      <sheetName val="Sensitivitas"/>
      <sheetName val="STEEL_INDEX"/>
      <sheetName val="Ratio Budget"/>
      <sheetName val="TGR"/>
      <sheetName val="CKR"/>
      <sheetName val="FE-1770_P154"/>
      <sheetName val="FE-1770_P254"/>
      <sheetName val="FI-177O_P154"/>
      <sheetName val="FI-1770_P254"/>
      <sheetName val="Final_Tax54"/>
      <sheetName val="Irregular_Income54"/>
      <sheetName val="BS_final53"/>
      <sheetName val="Mine_Assumptions53"/>
      <sheetName val="Journal_Template53"/>
      <sheetName val="trf_d-i52"/>
      <sheetName val="RENCANA_KERJA53"/>
      <sheetName val="Main_Menu52"/>
      <sheetName val="A_u_g52"/>
      <sheetName val="VAT_out53"/>
      <sheetName val="B_152"/>
      <sheetName val="Permanent_info52"/>
      <sheetName val="Rp_Banten52"/>
      <sheetName val="Forecase_200452"/>
      <sheetName val="3__Neraca_dan_RL53"/>
      <sheetName val="RMFE_0451"/>
      <sheetName val="K_2_151"/>
      <sheetName val="Professionals_Standard51"/>
      <sheetName val="ESG_local51"/>
      <sheetName val="Exch_rate50"/>
      <sheetName val="Internal_order51"/>
      <sheetName val="HBS_Credit_Detail50"/>
      <sheetName val="move_(2)51"/>
      <sheetName val="Details_BS_YTD51"/>
      <sheetName val="Detail_pg251"/>
      <sheetName val="K_1_1_1_HGU50"/>
      <sheetName val="M-2_Adjusted52"/>
      <sheetName val="For_Mgmt_fee51"/>
      <sheetName val="For_GSC_charge51"/>
      <sheetName val="For_Training_Svc_fee51"/>
      <sheetName val="For_Mgmt_fee_(PasteValue)51"/>
      <sheetName val="For_GSC_charge_(PasteValue)51"/>
      <sheetName val="Allocation_Base_(GSIN)51"/>
      <sheetName val="To_DCIN51"/>
      <sheetName val="For_Training_Svc_fee_(PasteVa51"/>
      <sheetName val="BOQ_price51"/>
      <sheetName val="Table_Array50"/>
      <sheetName val="oblig_Trad&amp;AFS50"/>
      <sheetName val="INV0299_(2)50"/>
      <sheetName val="Cost_Input_Sheet50"/>
      <sheetName val="Income_Statement50"/>
      <sheetName val="Q120_AP_Aging50"/>
      <sheetName val="DEFECTED_NOV50"/>
      <sheetName val="Other_Current50"/>
      <sheetName val="Other_YTD50"/>
      <sheetName val="Bank_Recon_-_IDR50"/>
      <sheetName val="FOREX_0450"/>
      <sheetName val="FOREX_0350"/>
      <sheetName val="FOREX_04_audited50"/>
      <sheetName val="Data_Input50"/>
      <sheetName val="TRADING_PROFIT49"/>
      <sheetName val="HBI_NCD50"/>
      <sheetName val="SUMMARY_49"/>
      <sheetName val="Table_149"/>
      <sheetName val="EB_PDT49"/>
      <sheetName val="RWP_3349"/>
      <sheetName val="Base_Data49"/>
      <sheetName val="EYAS_Standar49"/>
      <sheetName val="BAL_SHEET(2)49"/>
      <sheetName val="TB_IDR_Only49"/>
      <sheetName val="Breakdown_LF603_149"/>
      <sheetName val="Sheet_1_(2)49"/>
      <sheetName val="COA_BM49"/>
      <sheetName val="Check_Sheet49"/>
      <sheetName val="PLHO_Report49"/>
      <sheetName val="BS-PL_Komersil_and_Fiskal49"/>
      <sheetName val="Exc__Rate49"/>
      <sheetName val="Rekap_Penj49"/>
      <sheetName val="Front_Sheet49"/>
      <sheetName val="Content_349"/>
      <sheetName val="ID_MENADO49"/>
      <sheetName val="A2_1_CAJE51"/>
      <sheetName val="229_Accr_Exp49"/>
      <sheetName val="Tax_comp49"/>
      <sheetName val="TWDV_over_NBV49"/>
      <sheetName val="CUSTOMER_LOOKUP49"/>
      <sheetName val="Income_State49"/>
      <sheetName val="hutang_DPLK49"/>
      <sheetName val="TRAVEL_PLAN49"/>
      <sheetName val="Access_Radio_NL40049"/>
      <sheetName val="Name_Map49"/>
      <sheetName val="Sheet1_(19)49"/>
      <sheetName val="FL_&amp;_IC49"/>
      <sheetName val="Product_Requirement49"/>
      <sheetName val="Data_Submission49"/>
      <sheetName val="Lookup_Tables49"/>
      <sheetName val="Investasi_&amp;_depresiasi49"/>
      <sheetName val="HWL_(2)48"/>
      <sheetName val="Financial_Statement46"/>
      <sheetName val="99_10_1246"/>
      <sheetName val="Att_1-5_yr01_(Ind)46"/>
      <sheetName val="Att_1-5_yr0146"/>
      <sheetName val="PPh_22_-_0146"/>
      <sheetName val="PPh_22_-_01_(E)46"/>
      <sheetName val="Depr_for_add_200146"/>
      <sheetName val="Perhit_disp_01_(E)46"/>
      <sheetName val="Perhit_disp_0146"/>
      <sheetName val="Depreciation_DBI_0146"/>
      <sheetName val="Amortisation_DBI_46"/>
      <sheetName val="Sheet1_(3)46"/>
      <sheetName val="Sheet1_(2)46"/>
      <sheetName val="expat_exp46"/>
      <sheetName val="Stock_CIW46"/>
      <sheetName val="_INCOME_STATEMENT47"/>
      <sheetName val="Customer_List46"/>
      <sheetName val="Other_charges_(income)46"/>
      <sheetName val="Muebles_y_Enseres44"/>
      <sheetName val="lab_norge46"/>
      <sheetName val="Sch_44"/>
      <sheetName val="SAD_Conclusion46"/>
      <sheetName val="SAD_Schedule46"/>
      <sheetName val="GL_Items_MEI44"/>
      <sheetName val="K_6DEPOSIT46"/>
      <sheetName val="Cruser_Sp7144"/>
      <sheetName val="New_List44"/>
      <sheetName val="LOC_Score44"/>
      <sheetName val="Lamp_RPT04823"/>
      <sheetName val="Lamp_RPT04023"/>
      <sheetName val="Bgn-Ingg_PLANTATION23"/>
      <sheetName val="L_BA_blok23"/>
      <sheetName val="00_received_in_0144"/>
      <sheetName val="Per_GL_J_a_n44"/>
      <sheetName val="E-9_3(PBC)44"/>
      <sheetName val="hitung_ulang_JEPANG44"/>
      <sheetName val="HO_Use44"/>
      <sheetName val="BGT_Cashflow44"/>
      <sheetName val="ACT_Cashflow44"/>
      <sheetName val="BGT_Cashflow_44"/>
      <sheetName val="J_1_Deffered_Landright23"/>
      <sheetName val="L_I_-_ATY23"/>
      <sheetName val="S_e_p23"/>
      <sheetName val="M_a_r23"/>
      <sheetName val="FE-1771$_P123"/>
      <sheetName val="7_244"/>
      <sheetName val="Laba_Rugi44"/>
      <sheetName val="Pembelian_Aktiva44"/>
      <sheetName val="Beban_Operasi44"/>
      <sheetName val="rincian_DO23"/>
      <sheetName val="OPNAME_SALES23"/>
      <sheetName val="Bi_Promosi1"/>
      <sheetName val="Bi_Majalah1"/>
      <sheetName val="Bi_Service_&amp;_Ban1"/>
      <sheetName val="Bi_Sewa1"/>
      <sheetName val="CF-Oth__Receipt"/>
      <sheetName val="NOTES_"/>
      <sheetName val="BALANCE_SHEET"/>
      <sheetName val="Bobot_rev"/>
      <sheetName val="INDIRECT_DETAIL"/>
      <sheetName val="ADJ_MHD_08"/>
      <sheetName val="Pakai_1-31_Jan_05"/>
      <sheetName val="เงินกู้_MGC"/>
      <sheetName val="FX_&amp;_Hedge_-_Pacific_Ltd"/>
      <sheetName val="PPH_GB"/>
      <sheetName val="Project_Details"/>
      <sheetName val="Data_Inv"/>
      <sheetName val="Data_Pinj"/>
      <sheetName val="Contoh_lap_keu"/>
      <sheetName val="GBY_C企"/>
      <sheetName val="FA_Movement"/>
      <sheetName val="Building_Your_PAR"/>
      <sheetName val="Enter_FSA_Data"/>
      <sheetName val="PL-Invst_Pty"/>
      <sheetName val="BS2_1"/>
      <sheetName val="BS3_5"/>
      <sheetName val="BS2_4"/>
      <sheetName val="BS_4"/>
      <sheetName val="GEMSE_TOTAL_-_Eqpt"/>
      <sheetName val="Kode_Bantu"/>
      <sheetName val="Daftar_Akun"/>
      <sheetName val="STOCK_AKHIR"/>
      <sheetName val="RAG_Eg"/>
      <sheetName val="Account_Code1"/>
      <sheetName val="trf_multiple"/>
      <sheetName val="trfakt_sgl"/>
      <sheetName val="A_R_"/>
      <sheetName val="rent_by_month"/>
      <sheetName val="DAFTAR_ISI"/>
      <sheetName val="Analisa_Harga_Satuan"/>
      <sheetName val="Harga_Material"/>
      <sheetName val="TPG_Key_figures"/>
      <sheetName val="U1_6"/>
      <sheetName val="U1_2"/>
      <sheetName val="U1_5"/>
      <sheetName val="U1_1"/>
      <sheetName val="U1_3"/>
      <sheetName val="VEN"/>
      <sheetName val="Int. &amp; Inv. Details"/>
      <sheetName val="U2.5 RM From Purhase"/>
      <sheetName val="Master Fault"/>
      <sheetName val="2"/>
      <sheetName val="TEARSHT"/>
      <sheetName val="Profile"/>
      <sheetName val="RESUME INTERNAL"/>
      <sheetName val="PropSum"/>
      <sheetName val="kump-IGP"/>
      <sheetName val="ADIRA-N"/>
      <sheetName val="PortfolioAnalysis"/>
      <sheetName val="B-4"/>
      <sheetName val="TRADING_PROFI_x0000__x0000_"/>
      <sheetName val="Sept Invoice"/>
      <sheetName val="Discount Tables"/>
      <sheetName val="RPT-1.0"/>
      <sheetName val="Gross Capex"/>
      <sheetName val="prmt"/>
      <sheetName val="Master"/>
      <sheetName val="guidance team"/>
      <sheetName val="CONFIRMATION 40805630"/>
      <sheetName val="sales detail"/>
      <sheetName val="current proj code"/>
      <sheetName val="Proj Cod_Int Ext"/>
      <sheetName val="NCA-RETENTION RECEIVABLE"/>
      <sheetName val="Gen. Assump."/>
      <sheetName val="97EST021"/>
      <sheetName val="TT35"/>
      <sheetName val="HT"/>
      <sheetName val="Forging"/>
      <sheetName val="IPMExport"/>
      <sheetName val="Corptax2003"/>
      <sheetName val="Benefits"/>
      <sheetName val="Neraca detail per book"/>
      <sheetName val="GLdownload"/>
      <sheetName val="Income Statement-May 2004"/>
      <sheetName val="bg hsbc"/>
      <sheetName val="PS-21-K-HARIAN"/>
      <sheetName val="kas-idr"/>
      <sheetName val="Cust"/>
      <sheetName val="Dates"/>
      <sheetName val="KKP A.2.1"/>
    </sheetNames>
    <sheetDataSet>
      <sheetData sheetId="0" refreshError="1">
        <row r="7">
          <cell r="E7" t="str">
            <v>PT. DANONE BISCUITS INDONESIA</v>
          </cell>
        </row>
        <row r="89">
          <cell r="AL89">
            <v>0</v>
          </cell>
        </row>
        <row r="103">
          <cell r="AL103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7">
          <cell r="E7" t="str">
            <v>PT. DANONE BISCUITS INDONESIA</v>
          </cell>
        </row>
        <row r="37">
          <cell r="D37">
            <v>0</v>
          </cell>
        </row>
      </sheetData>
      <sheetData sheetId="14">
        <row r="7">
          <cell r="E7" t="str">
            <v>PT. DANONE BISCUITS INDONESIA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>
        <row r="37">
          <cell r="D37">
            <v>0</v>
          </cell>
        </row>
      </sheetData>
      <sheetData sheetId="308"/>
      <sheetData sheetId="309" refreshError="1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>
        <row r="7">
          <cell r="E7" t="str">
            <v>PT. DANONE BISCUITS INDONESIA</v>
          </cell>
        </row>
      </sheetData>
      <sheetData sheetId="319">
        <row r="7">
          <cell r="E7" t="str">
            <v>PT. DANONE BISCUITS INDONESIA</v>
          </cell>
        </row>
      </sheetData>
      <sheetData sheetId="320">
        <row r="7">
          <cell r="E7" t="str">
            <v>PT. DANONE BISCUITS INDONESIA</v>
          </cell>
        </row>
      </sheetData>
      <sheetData sheetId="321">
        <row r="7">
          <cell r="E7" t="str">
            <v>PT. DANONE BISCUITS INDONESIA</v>
          </cell>
        </row>
      </sheetData>
      <sheetData sheetId="322">
        <row r="7">
          <cell r="E7" t="str">
            <v>PT. DANONE BISCUITS INDONESIA</v>
          </cell>
        </row>
      </sheetData>
      <sheetData sheetId="323">
        <row r="37">
          <cell r="D37">
            <v>0</v>
          </cell>
        </row>
      </sheetData>
      <sheetData sheetId="324">
        <row r="7">
          <cell r="E7" t="str">
            <v>PT. DANONE BISCUITS INDONESIA</v>
          </cell>
        </row>
      </sheetData>
      <sheetData sheetId="325">
        <row r="7">
          <cell r="E7" t="str">
            <v>PT. DANONE BISCUITS INDONESIA</v>
          </cell>
        </row>
      </sheetData>
      <sheetData sheetId="326">
        <row r="7">
          <cell r="E7" t="str">
            <v>PT. DANONE BISCUITS INDONESIA</v>
          </cell>
        </row>
      </sheetData>
      <sheetData sheetId="327">
        <row r="7">
          <cell r="E7" t="str">
            <v>PT. DANONE BISCUITS INDONESIA</v>
          </cell>
        </row>
      </sheetData>
      <sheetData sheetId="328">
        <row r="7">
          <cell r="E7" t="str">
            <v>PT. DANONE BISCUITS INDONESIA</v>
          </cell>
        </row>
      </sheetData>
      <sheetData sheetId="329">
        <row r="7">
          <cell r="E7" t="str">
            <v>PT. DANONE BISCUITS INDONESIA</v>
          </cell>
        </row>
      </sheetData>
      <sheetData sheetId="330">
        <row r="37">
          <cell r="D37">
            <v>0</v>
          </cell>
        </row>
      </sheetData>
      <sheetData sheetId="331">
        <row r="37">
          <cell r="D37">
            <v>0</v>
          </cell>
        </row>
      </sheetData>
      <sheetData sheetId="332">
        <row r="37">
          <cell r="D37">
            <v>0</v>
          </cell>
        </row>
      </sheetData>
      <sheetData sheetId="333">
        <row r="7">
          <cell r="E7" t="str">
            <v>PT. DANONE BISCUITS INDONESIA</v>
          </cell>
        </row>
      </sheetData>
      <sheetData sheetId="334">
        <row r="37">
          <cell r="D37">
            <v>0</v>
          </cell>
        </row>
      </sheetData>
      <sheetData sheetId="335">
        <row r="37">
          <cell r="D37">
            <v>0</v>
          </cell>
        </row>
      </sheetData>
      <sheetData sheetId="336">
        <row r="37">
          <cell r="D37">
            <v>0</v>
          </cell>
        </row>
      </sheetData>
      <sheetData sheetId="337">
        <row r="7">
          <cell r="E7" t="str">
            <v>PT. DANONE BISCUITS INDONESIA</v>
          </cell>
        </row>
      </sheetData>
      <sheetData sheetId="338">
        <row r="7">
          <cell r="E7" t="str">
            <v>PT. DANONE BISCUITS INDONESIA</v>
          </cell>
        </row>
      </sheetData>
      <sheetData sheetId="339">
        <row r="7">
          <cell r="E7" t="str">
            <v>PT. DANONE BISCUITS INDONESIA</v>
          </cell>
        </row>
      </sheetData>
      <sheetData sheetId="340">
        <row r="7">
          <cell r="E7" t="str">
            <v>PT. DANONE BISCUITS INDONESIA</v>
          </cell>
        </row>
      </sheetData>
      <sheetData sheetId="341">
        <row r="7">
          <cell r="E7" t="str">
            <v>PT. DANONE BISCUITS INDONESIA</v>
          </cell>
        </row>
      </sheetData>
      <sheetData sheetId="342">
        <row r="7">
          <cell r="E7" t="str">
            <v>PT. DANONE BISCUITS INDONESIA</v>
          </cell>
        </row>
      </sheetData>
      <sheetData sheetId="343">
        <row r="7">
          <cell r="E7" t="str">
            <v>PT. DANONE BISCUITS INDONESIA</v>
          </cell>
        </row>
      </sheetData>
      <sheetData sheetId="344">
        <row r="7">
          <cell r="E7" t="str">
            <v>PT. DANONE BISCUITS INDONESIA</v>
          </cell>
        </row>
      </sheetData>
      <sheetData sheetId="345">
        <row r="7">
          <cell r="E7" t="str">
            <v>PT. DANONE BISCUITS INDONESIA</v>
          </cell>
        </row>
      </sheetData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>
        <row r="7">
          <cell r="E7" t="str">
            <v>PT. DANONE BISCUITS INDONESIA</v>
          </cell>
        </row>
      </sheetData>
      <sheetData sheetId="443">
        <row r="7">
          <cell r="E7" t="str">
            <v>PT. DANONE BISCUITS INDONESIA</v>
          </cell>
        </row>
      </sheetData>
      <sheetData sheetId="444">
        <row r="7">
          <cell r="E7" t="str">
            <v>PT. DANONE BISCUITS INDONESIA</v>
          </cell>
        </row>
      </sheetData>
      <sheetData sheetId="445">
        <row r="7">
          <cell r="E7" t="str">
            <v>PT. DANONE BISCUITS INDONESIA</v>
          </cell>
        </row>
      </sheetData>
      <sheetData sheetId="446">
        <row r="7">
          <cell r="E7" t="str">
            <v>PT. DANONE BISCUITS INDONESIA</v>
          </cell>
        </row>
      </sheetData>
      <sheetData sheetId="447">
        <row r="7">
          <cell r="E7" t="str">
            <v>PT. DANONE BISCUITS INDONESIA</v>
          </cell>
        </row>
      </sheetData>
      <sheetData sheetId="448">
        <row r="7">
          <cell r="E7" t="str">
            <v>PT. DANONE BISCUITS INDONESIA</v>
          </cell>
        </row>
      </sheetData>
      <sheetData sheetId="449">
        <row r="7">
          <cell r="E7" t="str">
            <v>PT. DANONE BISCUITS INDONESIA</v>
          </cell>
        </row>
      </sheetData>
      <sheetData sheetId="450">
        <row r="7">
          <cell r="E7" t="str">
            <v>PT. DANONE BISCUITS INDONESIA</v>
          </cell>
        </row>
      </sheetData>
      <sheetData sheetId="451">
        <row r="7">
          <cell r="E7" t="str">
            <v>PT. DANONE BISCUITS INDONESIA</v>
          </cell>
        </row>
      </sheetData>
      <sheetData sheetId="452">
        <row r="7">
          <cell r="E7" t="str">
            <v>PT. DANONE BISCUITS INDONESIA</v>
          </cell>
        </row>
      </sheetData>
      <sheetData sheetId="453">
        <row r="7">
          <cell r="E7" t="str">
            <v>PT. DANONE BISCUITS INDONESIA</v>
          </cell>
        </row>
      </sheetData>
      <sheetData sheetId="454">
        <row r="7">
          <cell r="E7" t="str">
            <v>PT. DANONE BISCUITS INDONESIA</v>
          </cell>
        </row>
      </sheetData>
      <sheetData sheetId="455">
        <row r="7">
          <cell r="E7" t="str">
            <v>PT. DANONE BISCUITS INDONESIA</v>
          </cell>
        </row>
      </sheetData>
      <sheetData sheetId="456">
        <row r="7">
          <cell r="E7" t="str">
            <v>PT. DANONE BISCUITS INDONESIA</v>
          </cell>
        </row>
      </sheetData>
      <sheetData sheetId="457">
        <row r="7">
          <cell r="E7" t="str">
            <v>PT. DANONE BISCUITS INDONESIA</v>
          </cell>
        </row>
      </sheetData>
      <sheetData sheetId="458">
        <row r="7">
          <cell r="E7" t="str">
            <v>PT. DANONE BISCUITS INDONESIA</v>
          </cell>
        </row>
      </sheetData>
      <sheetData sheetId="459">
        <row r="7">
          <cell r="E7" t="str">
            <v>PT. DANONE BISCUITS INDONESIA</v>
          </cell>
        </row>
      </sheetData>
      <sheetData sheetId="460">
        <row r="7">
          <cell r="E7" t="str">
            <v>PT. DANONE BISCUITS INDONESIA</v>
          </cell>
        </row>
      </sheetData>
      <sheetData sheetId="461">
        <row r="7">
          <cell r="E7" t="str">
            <v>PT. DANONE BISCUITS INDONESIA</v>
          </cell>
        </row>
      </sheetData>
      <sheetData sheetId="462">
        <row r="7">
          <cell r="E7" t="str">
            <v>PT. DANONE BISCUITS INDONESIA</v>
          </cell>
        </row>
      </sheetData>
      <sheetData sheetId="463">
        <row r="7">
          <cell r="E7" t="str">
            <v>PT. DANONE BISCUITS INDONESIA</v>
          </cell>
        </row>
      </sheetData>
      <sheetData sheetId="464">
        <row r="7">
          <cell r="E7" t="str">
            <v>PT. DANONE BISCUITS INDONESIA</v>
          </cell>
        </row>
      </sheetData>
      <sheetData sheetId="465">
        <row r="7">
          <cell r="E7" t="str">
            <v>PT. DANONE BISCUITS INDONESIA</v>
          </cell>
        </row>
      </sheetData>
      <sheetData sheetId="466">
        <row r="7">
          <cell r="E7" t="str">
            <v>PT. DANONE BISCUITS INDONESIA</v>
          </cell>
        </row>
      </sheetData>
      <sheetData sheetId="467">
        <row r="7">
          <cell r="E7" t="str">
            <v>PT. DANONE BISCUITS INDONESIA</v>
          </cell>
        </row>
      </sheetData>
      <sheetData sheetId="468">
        <row r="7">
          <cell r="E7" t="str">
            <v>PT. DANONE BISCUITS INDONESIA</v>
          </cell>
        </row>
      </sheetData>
      <sheetData sheetId="469">
        <row r="7">
          <cell r="E7" t="str">
            <v>PT. DANONE BISCUITS INDONESIA</v>
          </cell>
        </row>
      </sheetData>
      <sheetData sheetId="470">
        <row r="7">
          <cell r="E7" t="str">
            <v>PT. DANONE BISCUITS INDONESIA</v>
          </cell>
        </row>
      </sheetData>
      <sheetData sheetId="471">
        <row r="7">
          <cell r="E7" t="str">
            <v>PT. DANONE BISCUITS INDONESIA</v>
          </cell>
        </row>
      </sheetData>
      <sheetData sheetId="472">
        <row r="7">
          <cell r="E7" t="str">
            <v>PT. DANONE BISCUITS INDONESIA</v>
          </cell>
        </row>
      </sheetData>
      <sheetData sheetId="473">
        <row r="7">
          <cell r="E7" t="str">
            <v>PT. DANONE BISCUITS INDONESIA</v>
          </cell>
        </row>
      </sheetData>
      <sheetData sheetId="474">
        <row r="7">
          <cell r="E7" t="str">
            <v>PT. DANONE BISCUITS INDONESIA</v>
          </cell>
        </row>
      </sheetData>
      <sheetData sheetId="475">
        <row r="7">
          <cell r="E7" t="str">
            <v>PT. DANONE BISCUITS INDONESIA</v>
          </cell>
        </row>
      </sheetData>
      <sheetData sheetId="476">
        <row r="7">
          <cell r="E7" t="str">
            <v>PT. DANONE BISCUITS INDONESIA</v>
          </cell>
        </row>
      </sheetData>
      <sheetData sheetId="477">
        <row r="7">
          <cell r="E7" t="str">
            <v>PT. DANONE BISCUITS INDONESIA</v>
          </cell>
        </row>
      </sheetData>
      <sheetData sheetId="478">
        <row r="7">
          <cell r="E7" t="str">
            <v>PT. DANONE BISCUITS INDONESIA</v>
          </cell>
        </row>
      </sheetData>
      <sheetData sheetId="479">
        <row r="7">
          <cell r="E7" t="str">
            <v>PT. DANONE BISCUITS INDONESIA</v>
          </cell>
        </row>
      </sheetData>
      <sheetData sheetId="480">
        <row r="7">
          <cell r="E7" t="str">
            <v>PT. DANONE BISCUITS INDONESIA</v>
          </cell>
        </row>
      </sheetData>
      <sheetData sheetId="481">
        <row r="7">
          <cell r="E7" t="str">
            <v>PT. DANONE BISCUITS INDONESIA</v>
          </cell>
        </row>
      </sheetData>
      <sheetData sheetId="482">
        <row r="7">
          <cell r="E7" t="str">
            <v>PT. DANONE BISCUITS INDONESIA</v>
          </cell>
        </row>
      </sheetData>
      <sheetData sheetId="483">
        <row r="7">
          <cell r="E7" t="str">
            <v>PT. DANONE BISCUITS INDONESIA</v>
          </cell>
        </row>
      </sheetData>
      <sheetData sheetId="484">
        <row r="7">
          <cell r="E7" t="str">
            <v>PT. DANONE BISCUITS INDONESIA</v>
          </cell>
        </row>
      </sheetData>
      <sheetData sheetId="485">
        <row r="7">
          <cell r="E7" t="str">
            <v>PT. DANONE BISCUITS INDONESIA</v>
          </cell>
        </row>
      </sheetData>
      <sheetData sheetId="486">
        <row r="7">
          <cell r="E7" t="str">
            <v>PT. DANONE BISCUITS INDONESIA</v>
          </cell>
        </row>
      </sheetData>
      <sheetData sheetId="487">
        <row r="7">
          <cell r="E7" t="str">
            <v>PT. DANONE BISCUITS INDONESIA</v>
          </cell>
        </row>
      </sheetData>
      <sheetData sheetId="488">
        <row r="7">
          <cell r="E7" t="str">
            <v>PT. DANONE BISCUITS INDONESIA</v>
          </cell>
        </row>
      </sheetData>
      <sheetData sheetId="489">
        <row r="7">
          <cell r="E7" t="str">
            <v>PT. DANONE BISCUITS INDONESIA</v>
          </cell>
        </row>
      </sheetData>
      <sheetData sheetId="490">
        <row r="7">
          <cell r="E7" t="str">
            <v>PT. DANONE BISCUITS INDONESIA</v>
          </cell>
        </row>
      </sheetData>
      <sheetData sheetId="491">
        <row r="7">
          <cell r="E7" t="str">
            <v>PT. DANONE BISCUITS INDONESIA</v>
          </cell>
        </row>
      </sheetData>
      <sheetData sheetId="492">
        <row r="7">
          <cell r="E7" t="str">
            <v>PT. DANONE BISCUITS INDONESIA</v>
          </cell>
        </row>
      </sheetData>
      <sheetData sheetId="493">
        <row r="7">
          <cell r="E7" t="str">
            <v>PT. DANONE BISCUITS INDONESIA</v>
          </cell>
        </row>
      </sheetData>
      <sheetData sheetId="494">
        <row r="7">
          <cell r="E7" t="str">
            <v>PT. DANONE BISCUITS INDONESIA</v>
          </cell>
        </row>
      </sheetData>
      <sheetData sheetId="495">
        <row r="7">
          <cell r="E7" t="str">
            <v>PT. DANONE BISCUITS INDONESIA</v>
          </cell>
        </row>
      </sheetData>
      <sheetData sheetId="496">
        <row r="7">
          <cell r="E7" t="str">
            <v>PT. DANONE BISCUITS INDONESIA</v>
          </cell>
        </row>
      </sheetData>
      <sheetData sheetId="497">
        <row r="7">
          <cell r="E7" t="str">
            <v>PT. DANONE BISCUITS INDONESIA</v>
          </cell>
        </row>
      </sheetData>
      <sheetData sheetId="498">
        <row r="7">
          <cell r="E7" t="str">
            <v>PT. DANONE BISCUITS INDONESIA</v>
          </cell>
        </row>
      </sheetData>
      <sheetData sheetId="499">
        <row r="7">
          <cell r="E7" t="str">
            <v>PT. DANONE BISCUITS INDONESIA</v>
          </cell>
        </row>
      </sheetData>
      <sheetData sheetId="500">
        <row r="7">
          <cell r="E7" t="str">
            <v>PT. DANONE BISCUITS INDONESIA</v>
          </cell>
        </row>
      </sheetData>
      <sheetData sheetId="501">
        <row r="7">
          <cell r="E7" t="str">
            <v>PT. DANONE BISCUITS INDONESIA</v>
          </cell>
        </row>
      </sheetData>
      <sheetData sheetId="502">
        <row r="7">
          <cell r="E7" t="str">
            <v>PT. DANONE BISCUITS INDONESIA</v>
          </cell>
        </row>
      </sheetData>
      <sheetData sheetId="503">
        <row r="7">
          <cell r="E7" t="str">
            <v>PT. DANONE BISCUITS INDONESIA</v>
          </cell>
        </row>
      </sheetData>
      <sheetData sheetId="504">
        <row r="7">
          <cell r="E7" t="str">
            <v>PT. DANONE BISCUITS INDONESIA</v>
          </cell>
        </row>
      </sheetData>
      <sheetData sheetId="505">
        <row r="7">
          <cell r="E7" t="str">
            <v>PT. DANONE BISCUITS INDONESIA</v>
          </cell>
        </row>
      </sheetData>
      <sheetData sheetId="506">
        <row r="7">
          <cell r="E7" t="str">
            <v>PT. DANONE BISCUITS INDONESIA</v>
          </cell>
        </row>
      </sheetData>
      <sheetData sheetId="507">
        <row r="7">
          <cell r="E7" t="str">
            <v>PT. DANONE BISCUITS INDONESIA</v>
          </cell>
        </row>
      </sheetData>
      <sheetData sheetId="508">
        <row r="7">
          <cell r="E7" t="str">
            <v>PT. DANONE BISCUITS INDONESIA</v>
          </cell>
        </row>
      </sheetData>
      <sheetData sheetId="509">
        <row r="7">
          <cell r="E7" t="str">
            <v>PT. DANONE BISCUITS INDONESIA</v>
          </cell>
        </row>
      </sheetData>
      <sheetData sheetId="510">
        <row r="7">
          <cell r="E7" t="str">
            <v>PT. DANONE BISCUITS INDONESIA</v>
          </cell>
        </row>
      </sheetData>
      <sheetData sheetId="511">
        <row r="7">
          <cell r="E7" t="str">
            <v>PT. DANONE BISCUITS INDONESIA</v>
          </cell>
        </row>
      </sheetData>
      <sheetData sheetId="512">
        <row r="7">
          <cell r="E7" t="str">
            <v>PT. DANONE BISCUITS INDONESIA</v>
          </cell>
        </row>
      </sheetData>
      <sheetData sheetId="513">
        <row r="7">
          <cell r="E7" t="str">
            <v>PT. DANONE BISCUITS INDONESIA</v>
          </cell>
        </row>
      </sheetData>
      <sheetData sheetId="514">
        <row r="7">
          <cell r="E7" t="str">
            <v>PT. DANONE BISCUITS INDONESIA</v>
          </cell>
        </row>
      </sheetData>
      <sheetData sheetId="515">
        <row r="7">
          <cell r="E7" t="str">
            <v>PT. DANONE BISCUITS INDONESIA</v>
          </cell>
        </row>
      </sheetData>
      <sheetData sheetId="516">
        <row r="7">
          <cell r="E7" t="str">
            <v>PT. DANONE BISCUITS INDONESIA</v>
          </cell>
        </row>
      </sheetData>
      <sheetData sheetId="517" refreshError="1"/>
      <sheetData sheetId="518">
        <row r="7">
          <cell r="E7" t="str">
            <v>PT. DANONE BISCUITS INDONESIA</v>
          </cell>
        </row>
      </sheetData>
      <sheetData sheetId="519">
        <row r="7">
          <cell r="E7" t="str">
            <v>PT. DANONE BISCUITS INDONESIA</v>
          </cell>
        </row>
      </sheetData>
      <sheetData sheetId="520" refreshError="1"/>
      <sheetData sheetId="521" refreshError="1"/>
      <sheetData sheetId="522" refreshError="1"/>
      <sheetData sheetId="523" refreshError="1"/>
      <sheetData sheetId="524">
        <row r="7">
          <cell r="E7" t="str">
            <v>PT. DANONE BISCUITS INDONESIA</v>
          </cell>
        </row>
      </sheetData>
      <sheetData sheetId="525" refreshError="1"/>
      <sheetData sheetId="526" refreshError="1"/>
      <sheetData sheetId="527">
        <row r="7">
          <cell r="E7" t="str">
            <v>PT. DANONE BISCUITS INDONESIA</v>
          </cell>
        </row>
      </sheetData>
      <sheetData sheetId="528">
        <row r="7">
          <cell r="E7" t="str">
            <v>PT. DANONE BISCUITS INDONESIA</v>
          </cell>
        </row>
      </sheetData>
      <sheetData sheetId="529">
        <row r="7">
          <cell r="E7" t="str">
            <v>PT. DANONE BISCUITS INDONESIA</v>
          </cell>
        </row>
      </sheetData>
      <sheetData sheetId="530" refreshError="1"/>
      <sheetData sheetId="531" refreshError="1"/>
      <sheetData sheetId="532">
        <row r="7">
          <cell r="E7" t="str">
            <v>PT. DANONE BISCUITS INDONESIA</v>
          </cell>
        </row>
      </sheetData>
      <sheetData sheetId="533" refreshError="1"/>
      <sheetData sheetId="534">
        <row r="7">
          <cell r="E7" t="str">
            <v>PT. DANONE BISCUITS INDONESIA</v>
          </cell>
        </row>
      </sheetData>
      <sheetData sheetId="535">
        <row r="7">
          <cell r="E7" t="str">
            <v>PT. DANONE BISCUITS INDONESIA</v>
          </cell>
        </row>
      </sheetData>
      <sheetData sheetId="536">
        <row r="7">
          <cell r="E7" t="str">
            <v>PT. DANONE BISCUITS INDONESIA</v>
          </cell>
        </row>
      </sheetData>
      <sheetData sheetId="537">
        <row r="7">
          <cell r="E7" t="str">
            <v>PT. DANONE BISCUITS INDONESIA</v>
          </cell>
        </row>
      </sheetData>
      <sheetData sheetId="538">
        <row r="7">
          <cell r="E7" t="str">
            <v>PT. DANONE BISCUITS INDONESIA</v>
          </cell>
        </row>
      </sheetData>
      <sheetData sheetId="539">
        <row r="7">
          <cell r="E7" t="str">
            <v>PT. DANONE BISCUITS INDONESIA</v>
          </cell>
        </row>
      </sheetData>
      <sheetData sheetId="540">
        <row r="7">
          <cell r="E7" t="str">
            <v>PT. DANONE BISCUITS INDONESIA</v>
          </cell>
        </row>
      </sheetData>
      <sheetData sheetId="541">
        <row r="7">
          <cell r="E7" t="str">
            <v>PT. DANONE BISCUITS INDONESIA</v>
          </cell>
        </row>
      </sheetData>
      <sheetData sheetId="542">
        <row r="7">
          <cell r="E7" t="str">
            <v>PT. DANONE BISCUITS INDONESIA</v>
          </cell>
        </row>
      </sheetData>
      <sheetData sheetId="543">
        <row r="7">
          <cell r="E7" t="str">
            <v>PT. DANONE BISCUITS INDONESIA</v>
          </cell>
        </row>
      </sheetData>
      <sheetData sheetId="544">
        <row r="7">
          <cell r="E7" t="str">
            <v>PT. DANONE BISCUITS INDONESIA</v>
          </cell>
        </row>
      </sheetData>
      <sheetData sheetId="545">
        <row r="7">
          <cell r="E7" t="str">
            <v>PT. DANONE BISCUITS INDONESIA</v>
          </cell>
        </row>
      </sheetData>
      <sheetData sheetId="546">
        <row r="7">
          <cell r="E7" t="str">
            <v>PT. DANONE BISCUITS INDONESIA</v>
          </cell>
        </row>
      </sheetData>
      <sheetData sheetId="547">
        <row r="7">
          <cell r="E7" t="str">
            <v>PT. DANONE BISCUITS INDONESIA</v>
          </cell>
        </row>
      </sheetData>
      <sheetData sheetId="548">
        <row r="7">
          <cell r="E7" t="str">
            <v>PT. DANONE BISCUITS INDONESIA</v>
          </cell>
        </row>
      </sheetData>
      <sheetData sheetId="549">
        <row r="7">
          <cell r="E7" t="str">
            <v>PT. DANONE BISCUITS INDONESIA</v>
          </cell>
        </row>
      </sheetData>
      <sheetData sheetId="550">
        <row r="7">
          <cell r="E7" t="str">
            <v>PT. DANONE BISCUITS INDONESIA</v>
          </cell>
        </row>
      </sheetData>
      <sheetData sheetId="551">
        <row r="7">
          <cell r="E7" t="str">
            <v>PT. DANONE BISCUITS INDONESIA</v>
          </cell>
        </row>
      </sheetData>
      <sheetData sheetId="552">
        <row r="7">
          <cell r="E7" t="str">
            <v>PT. DANONE BISCUITS INDONESIA</v>
          </cell>
        </row>
      </sheetData>
      <sheetData sheetId="553">
        <row r="7">
          <cell r="E7" t="str">
            <v>PT. DANONE BISCUITS INDONESIA</v>
          </cell>
        </row>
      </sheetData>
      <sheetData sheetId="554">
        <row r="7">
          <cell r="E7" t="str">
            <v>PT. DANONE BISCUITS INDONESIA</v>
          </cell>
        </row>
      </sheetData>
      <sheetData sheetId="555">
        <row r="7">
          <cell r="E7" t="str">
            <v>PT. DANONE BISCUITS INDONESIA</v>
          </cell>
        </row>
      </sheetData>
      <sheetData sheetId="556" refreshError="1"/>
      <sheetData sheetId="557">
        <row r="7">
          <cell r="E7" t="str">
            <v>PT. DANONE BISCUITS INDONESIA</v>
          </cell>
        </row>
      </sheetData>
      <sheetData sheetId="558">
        <row r="7">
          <cell r="E7" t="str">
            <v>PT. DANONE BISCUITS INDONESIA</v>
          </cell>
        </row>
      </sheetData>
      <sheetData sheetId="559">
        <row r="7">
          <cell r="E7" t="str">
            <v>PT. DANONE BISCUITS INDONESIA</v>
          </cell>
        </row>
      </sheetData>
      <sheetData sheetId="560">
        <row r="7">
          <cell r="E7" t="str">
            <v>PT. DANONE BISCUITS INDONESIA</v>
          </cell>
        </row>
      </sheetData>
      <sheetData sheetId="561" refreshError="1"/>
      <sheetData sheetId="562" refreshError="1"/>
      <sheetData sheetId="563" refreshError="1"/>
      <sheetData sheetId="564">
        <row r="7">
          <cell r="E7" t="str">
            <v>PT. DANONE BISCUITS INDONESIA</v>
          </cell>
        </row>
      </sheetData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>
        <row r="7">
          <cell r="E7" t="str">
            <v>PT. DANONE BISCUITS INDONESIA</v>
          </cell>
        </row>
      </sheetData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>
        <row r="37">
          <cell r="D37">
            <v>0</v>
          </cell>
        </row>
      </sheetData>
      <sheetData sheetId="731">
        <row r="37">
          <cell r="D37">
            <v>0</v>
          </cell>
        </row>
      </sheetData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>
        <row r="37">
          <cell r="D37">
            <v>0</v>
          </cell>
        </row>
      </sheetData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>
        <row r="7">
          <cell r="E7" t="str">
            <v>PT. DANONE BISCUITS INDONESIA</v>
          </cell>
        </row>
      </sheetData>
      <sheetData sheetId="815" refreshError="1"/>
      <sheetData sheetId="816">
        <row r="7">
          <cell r="E7" t="str">
            <v>PT. DANONE BISCUITS INDONESIA</v>
          </cell>
        </row>
      </sheetData>
      <sheetData sheetId="817">
        <row r="7">
          <cell r="E7" t="str">
            <v>PT. DANONE BISCUITS INDONESIA</v>
          </cell>
        </row>
      </sheetData>
      <sheetData sheetId="818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>
        <row r="37">
          <cell r="D37">
            <v>0</v>
          </cell>
        </row>
      </sheetData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>
        <row r="7">
          <cell r="E7" t="str">
            <v>PT. DANONE BISCUITS INDONESIA</v>
          </cell>
        </row>
      </sheetData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>
        <row r="7">
          <cell r="E7" t="str">
            <v>PT. DANONE BISCUITS INDONESIA</v>
          </cell>
        </row>
      </sheetData>
      <sheetData sheetId="893">
        <row r="7">
          <cell r="E7" t="str">
            <v>PT. DANONE BISCUITS INDONESIA</v>
          </cell>
        </row>
      </sheetData>
      <sheetData sheetId="894">
        <row r="7">
          <cell r="E7" t="str">
            <v>PT. DANONE BISCUITS INDONESIA</v>
          </cell>
        </row>
      </sheetData>
      <sheetData sheetId="895">
        <row r="7">
          <cell r="E7" t="str">
            <v>PT. DANONE BISCUITS INDONESIA</v>
          </cell>
        </row>
      </sheetData>
      <sheetData sheetId="896">
        <row r="7">
          <cell r="E7" t="str">
            <v>PT. DANONE BISCUITS INDONESIA</v>
          </cell>
        </row>
      </sheetData>
      <sheetData sheetId="897">
        <row r="7">
          <cell r="E7" t="str">
            <v>PT. DANONE BISCUITS INDONESIA</v>
          </cell>
        </row>
      </sheetData>
      <sheetData sheetId="898">
        <row r="7">
          <cell r="E7" t="str">
            <v>PT. DANONE BISCUITS INDONESIA</v>
          </cell>
        </row>
      </sheetData>
      <sheetData sheetId="899">
        <row r="7">
          <cell r="E7" t="str">
            <v>PT. DANONE BISCUITS INDONESIA</v>
          </cell>
        </row>
      </sheetData>
      <sheetData sheetId="900">
        <row r="7">
          <cell r="E7" t="str">
            <v>PT. DANONE BISCUITS INDONESIA</v>
          </cell>
        </row>
      </sheetData>
      <sheetData sheetId="901">
        <row r="7">
          <cell r="E7" t="str">
            <v>PT. DANONE BISCUITS INDONESIA</v>
          </cell>
        </row>
      </sheetData>
      <sheetData sheetId="902">
        <row r="7">
          <cell r="E7" t="str">
            <v>PT. DANONE BISCUITS INDONESIA</v>
          </cell>
        </row>
      </sheetData>
      <sheetData sheetId="903">
        <row r="7">
          <cell r="E7" t="str">
            <v>PT. DANONE BISCUITS INDONESIA</v>
          </cell>
        </row>
      </sheetData>
      <sheetData sheetId="904">
        <row r="7">
          <cell r="E7" t="str">
            <v>PT. DANONE BISCUITS INDONESIA</v>
          </cell>
        </row>
      </sheetData>
      <sheetData sheetId="905">
        <row r="7">
          <cell r="E7" t="str">
            <v>PT. DANONE BISCUITS INDONESIA</v>
          </cell>
        </row>
      </sheetData>
      <sheetData sheetId="906">
        <row r="7">
          <cell r="E7" t="str">
            <v>PT. DANONE BISCUITS INDONESIA</v>
          </cell>
        </row>
      </sheetData>
      <sheetData sheetId="907">
        <row r="7">
          <cell r="E7" t="str">
            <v>PT. DANONE BISCUITS INDONESIA</v>
          </cell>
        </row>
      </sheetData>
      <sheetData sheetId="908">
        <row r="7">
          <cell r="E7" t="str">
            <v>PT. DANONE BISCUITS INDONESIA</v>
          </cell>
        </row>
      </sheetData>
      <sheetData sheetId="909">
        <row r="7">
          <cell r="E7" t="str">
            <v>PT. DANONE BISCUITS INDONESIA</v>
          </cell>
        </row>
      </sheetData>
      <sheetData sheetId="910">
        <row r="7">
          <cell r="E7" t="str">
            <v>PT. DANONE BISCUITS INDONESIA</v>
          </cell>
        </row>
      </sheetData>
      <sheetData sheetId="911">
        <row r="7">
          <cell r="E7" t="str">
            <v>PT. DANONE BISCUITS INDONESIA</v>
          </cell>
        </row>
      </sheetData>
      <sheetData sheetId="912">
        <row r="7">
          <cell r="E7" t="str">
            <v>PT. DANONE BISCUITS INDONESIA</v>
          </cell>
        </row>
      </sheetData>
      <sheetData sheetId="913">
        <row r="7">
          <cell r="E7" t="str">
            <v>PT. DANONE BISCUITS INDONESIA</v>
          </cell>
        </row>
      </sheetData>
      <sheetData sheetId="914">
        <row r="7">
          <cell r="E7" t="str">
            <v>PT. DANONE BISCUITS INDONESIA</v>
          </cell>
        </row>
      </sheetData>
      <sheetData sheetId="915">
        <row r="7">
          <cell r="E7" t="str">
            <v>PT. DANONE BISCUITS INDONESIA</v>
          </cell>
        </row>
      </sheetData>
      <sheetData sheetId="916">
        <row r="7">
          <cell r="E7" t="str">
            <v>PT. DANONE BISCUITS INDONESIA</v>
          </cell>
        </row>
      </sheetData>
      <sheetData sheetId="917">
        <row r="7">
          <cell r="E7" t="str">
            <v>PT. DANONE BISCUITS INDONESIA</v>
          </cell>
        </row>
      </sheetData>
      <sheetData sheetId="918">
        <row r="7">
          <cell r="E7" t="str">
            <v>PT. DANONE BISCUITS INDONESIA</v>
          </cell>
        </row>
      </sheetData>
      <sheetData sheetId="919">
        <row r="7">
          <cell r="E7" t="str">
            <v>PT. DANONE BISCUITS INDONESIA</v>
          </cell>
        </row>
      </sheetData>
      <sheetData sheetId="920">
        <row r="7">
          <cell r="E7" t="str">
            <v>PT. DANONE BISCUITS INDONESIA</v>
          </cell>
        </row>
      </sheetData>
      <sheetData sheetId="921">
        <row r="7">
          <cell r="E7" t="str">
            <v>PT. DANONE BISCUITS INDONESIA</v>
          </cell>
        </row>
      </sheetData>
      <sheetData sheetId="922">
        <row r="7">
          <cell r="E7" t="str">
            <v>PT. DANONE BISCUITS INDONESIA</v>
          </cell>
        </row>
      </sheetData>
      <sheetData sheetId="923">
        <row r="7">
          <cell r="E7" t="str">
            <v>PT. DANONE BISCUITS INDONESIA</v>
          </cell>
        </row>
      </sheetData>
      <sheetData sheetId="924">
        <row r="7">
          <cell r="E7" t="str">
            <v>PT. DANONE BISCUITS INDONESIA</v>
          </cell>
        </row>
      </sheetData>
      <sheetData sheetId="925">
        <row r="7">
          <cell r="E7" t="str">
            <v>PT. DANONE BISCUITS INDONESIA</v>
          </cell>
        </row>
      </sheetData>
      <sheetData sheetId="926">
        <row r="7">
          <cell r="E7" t="str">
            <v>PT. DANONE BISCUITS INDONESIA</v>
          </cell>
        </row>
      </sheetData>
      <sheetData sheetId="927">
        <row r="7">
          <cell r="E7" t="str">
            <v>PT. DANONE BISCUITS INDONESIA</v>
          </cell>
        </row>
      </sheetData>
      <sheetData sheetId="928">
        <row r="7">
          <cell r="E7" t="str">
            <v>PT. DANONE BISCUITS INDONESIA</v>
          </cell>
        </row>
      </sheetData>
      <sheetData sheetId="929">
        <row r="7">
          <cell r="E7" t="str">
            <v>PT. DANONE BISCUITS INDONESIA</v>
          </cell>
        </row>
      </sheetData>
      <sheetData sheetId="930">
        <row r="7">
          <cell r="E7" t="str">
            <v>PT. DANONE BISCUITS INDONESIA</v>
          </cell>
        </row>
      </sheetData>
      <sheetData sheetId="931">
        <row r="7">
          <cell r="E7" t="str">
            <v>PT. DANONE BISCUITS INDONESIA</v>
          </cell>
        </row>
      </sheetData>
      <sheetData sheetId="932">
        <row r="7">
          <cell r="E7" t="str">
            <v>PT. DANONE BISCUITS INDONESIA</v>
          </cell>
        </row>
      </sheetData>
      <sheetData sheetId="933">
        <row r="7">
          <cell r="E7" t="str">
            <v>PT. DANONE BISCUITS INDONESIA</v>
          </cell>
        </row>
      </sheetData>
      <sheetData sheetId="934">
        <row r="7">
          <cell r="E7" t="str">
            <v>PT. DANONE BISCUITS INDONESIA</v>
          </cell>
        </row>
      </sheetData>
      <sheetData sheetId="935">
        <row r="7">
          <cell r="E7" t="str">
            <v>PT. DANONE BISCUITS INDONESIA</v>
          </cell>
        </row>
      </sheetData>
      <sheetData sheetId="936">
        <row r="7">
          <cell r="E7" t="str">
            <v>PT. DANONE BISCUITS INDONESIA</v>
          </cell>
        </row>
      </sheetData>
      <sheetData sheetId="937">
        <row r="7">
          <cell r="E7" t="str">
            <v>PT. DANONE BISCUITS INDONESIA</v>
          </cell>
        </row>
      </sheetData>
      <sheetData sheetId="938">
        <row r="7">
          <cell r="E7" t="str">
            <v>PT. DANONE BISCUITS INDONESIA</v>
          </cell>
        </row>
      </sheetData>
      <sheetData sheetId="939">
        <row r="7">
          <cell r="E7" t="str">
            <v>PT. DANONE BISCUITS INDONESIA</v>
          </cell>
        </row>
      </sheetData>
      <sheetData sheetId="940">
        <row r="7">
          <cell r="E7" t="str">
            <v>PT. DANONE BISCUITS INDONESIA</v>
          </cell>
        </row>
      </sheetData>
      <sheetData sheetId="941">
        <row r="7">
          <cell r="E7" t="str">
            <v>PT. DANONE BISCUITS INDONESIA</v>
          </cell>
        </row>
      </sheetData>
      <sheetData sheetId="942">
        <row r="7">
          <cell r="E7" t="str">
            <v>PT. DANONE BISCUITS INDONESIA</v>
          </cell>
        </row>
      </sheetData>
      <sheetData sheetId="943">
        <row r="7">
          <cell r="E7" t="str">
            <v>PT. DANONE BISCUITS INDONESIA</v>
          </cell>
        </row>
      </sheetData>
      <sheetData sheetId="944">
        <row r="7">
          <cell r="E7" t="str">
            <v>PT. DANONE BISCUITS INDONESIA</v>
          </cell>
        </row>
      </sheetData>
      <sheetData sheetId="945">
        <row r="7">
          <cell r="E7" t="str">
            <v>PT. DANONE BISCUITS INDONESIA</v>
          </cell>
        </row>
      </sheetData>
      <sheetData sheetId="946">
        <row r="7">
          <cell r="E7" t="str">
            <v>PT. DANONE BISCUITS INDONESIA</v>
          </cell>
        </row>
      </sheetData>
      <sheetData sheetId="947">
        <row r="7">
          <cell r="E7" t="str">
            <v>PT. DANONE BISCUITS INDONESIA</v>
          </cell>
        </row>
      </sheetData>
      <sheetData sheetId="948">
        <row r="7">
          <cell r="E7" t="str">
            <v>PT. DANONE BISCUITS INDONESIA</v>
          </cell>
        </row>
      </sheetData>
      <sheetData sheetId="949">
        <row r="7">
          <cell r="E7" t="str">
            <v>PT. DANONE BISCUITS INDONESIA</v>
          </cell>
        </row>
      </sheetData>
      <sheetData sheetId="950">
        <row r="7">
          <cell r="E7" t="str">
            <v>PT. DANONE BISCUITS INDONESIA</v>
          </cell>
        </row>
      </sheetData>
      <sheetData sheetId="951">
        <row r="7">
          <cell r="E7" t="str">
            <v>PT. DANONE BISCUITS INDONESIA</v>
          </cell>
        </row>
      </sheetData>
      <sheetData sheetId="952">
        <row r="7">
          <cell r="E7" t="str">
            <v>PT. DANONE BISCUITS INDONESIA</v>
          </cell>
        </row>
      </sheetData>
      <sheetData sheetId="953">
        <row r="7">
          <cell r="E7" t="str">
            <v>PT. DANONE BISCUITS INDONESIA</v>
          </cell>
        </row>
      </sheetData>
      <sheetData sheetId="954">
        <row r="7">
          <cell r="E7" t="str">
            <v>PT. DANONE BISCUITS INDONESIA</v>
          </cell>
        </row>
      </sheetData>
      <sheetData sheetId="955">
        <row r="7">
          <cell r="E7" t="str">
            <v>PT. DANONE BISCUITS INDONESIA</v>
          </cell>
        </row>
      </sheetData>
      <sheetData sheetId="956">
        <row r="7">
          <cell r="E7" t="str">
            <v>PT. DANONE BISCUITS INDONESIA</v>
          </cell>
        </row>
      </sheetData>
      <sheetData sheetId="957">
        <row r="7">
          <cell r="E7" t="str">
            <v>PT. DANONE BISCUITS INDONESIA</v>
          </cell>
        </row>
      </sheetData>
      <sheetData sheetId="958">
        <row r="7">
          <cell r="E7" t="str">
            <v>PT. DANONE BISCUITS INDONESIA</v>
          </cell>
        </row>
      </sheetData>
      <sheetData sheetId="959">
        <row r="7">
          <cell r="E7" t="str">
            <v>PT. DANONE BISCUITS INDONESIA</v>
          </cell>
        </row>
      </sheetData>
      <sheetData sheetId="960">
        <row r="7">
          <cell r="E7" t="str">
            <v>PT. DANONE BISCUITS INDONESIA</v>
          </cell>
        </row>
      </sheetData>
      <sheetData sheetId="961">
        <row r="7">
          <cell r="E7" t="str">
            <v>PT. DANONE BISCUITS INDONESIA</v>
          </cell>
        </row>
      </sheetData>
      <sheetData sheetId="962">
        <row r="7">
          <cell r="E7" t="str">
            <v>PT. DANONE BISCUITS INDONESIA</v>
          </cell>
        </row>
      </sheetData>
      <sheetData sheetId="963">
        <row r="7">
          <cell r="E7" t="str">
            <v>PT. DANONE BISCUITS INDONESIA</v>
          </cell>
        </row>
      </sheetData>
      <sheetData sheetId="964">
        <row r="7">
          <cell r="E7" t="str">
            <v>PT. DANONE BISCUITS INDONESIA</v>
          </cell>
        </row>
      </sheetData>
      <sheetData sheetId="965">
        <row r="7">
          <cell r="E7" t="str">
            <v>PT. DANONE BISCUITS INDONESIA</v>
          </cell>
        </row>
      </sheetData>
      <sheetData sheetId="966">
        <row r="7">
          <cell r="E7" t="str">
            <v>PT. DANONE BISCUITS INDONESIA</v>
          </cell>
        </row>
      </sheetData>
      <sheetData sheetId="967">
        <row r="7">
          <cell r="E7" t="str">
            <v>PT. DANONE BISCUITS INDONESIA</v>
          </cell>
        </row>
      </sheetData>
      <sheetData sheetId="968">
        <row r="7">
          <cell r="E7" t="str">
            <v>PT. DANONE BISCUITS INDONESIA</v>
          </cell>
        </row>
      </sheetData>
      <sheetData sheetId="969">
        <row r="7">
          <cell r="E7" t="str">
            <v>PT. DANONE BISCUITS INDONESIA</v>
          </cell>
        </row>
      </sheetData>
      <sheetData sheetId="970">
        <row r="7">
          <cell r="E7" t="str">
            <v>PT. DANONE BISCUITS INDONESIA</v>
          </cell>
        </row>
      </sheetData>
      <sheetData sheetId="971">
        <row r="7">
          <cell r="E7" t="str">
            <v>PT. DANONE BISCUITS INDONESIA</v>
          </cell>
        </row>
      </sheetData>
      <sheetData sheetId="972">
        <row r="7">
          <cell r="E7" t="str">
            <v>PT. DANONE BISCUITS INDONESIA</v>
          </cell>
        </row>
      </sheetData>
      <sheetData sheetId="973">
        <row r="7">
          <cell r="E7" t="str">
            <v>PT. DANONE BISCUITS INDONESIA</v>
          </cell>
        </row>
      </sheetData>
      <sheetData sheetId="974">
        <row r="7">
          <cell r="E7" t="str">
            <v>PT. DANONE BISCUITS INDONESIA</v>
          </cell>
        </row>
      </sheetData>
      <sheetData sheetId="975">
        <row r="7">
          <cell r="E7" t="str">
            <v>PT. DANONE BISCUITS INDONESIA</v>
          </cell>
        </row>
      </sheetData>
      <sheetData sheetId="976">
        <row r="7">
          <cell r="E7" t="str">
            <v>PT. DANONE BISCUITS INDONESIA</v>
          </cell>
        </row>
      </sheetData>
      <sheetData sheetId="977">
        <row r="7">
          <cell r="E7" t="str">
            <v>PT. DANONE BISCUITS INDONESIA</v>
          </cell>
        </row>
      </sheetData>
      <sheetData sheetId="978">
        <row r="7">
          <cell r="E7" t="str">
            <v>PT. DANONE BISCUITS INDONESIA</v>
          </cell>
        </row>
      </sheetData>
      <sheetData sheetId="979">
        <row r="7">
          <cell r="E7" t="str">
            <v>PT. DANONE BISCUITS INDONESIA</v>
          </cell>
        </row>
      </sheetData>
      <sheetData sheetId="980">
        <row r="7">
          <cell r="E7" t="str">
            <v>PT. DANONE BISCUITS INDONESIA</v>
          </cell>
        </row>
      </sheetData>
      <sheetData sheetId="981">
        <row r="7">
          <cell r="E7" t="str">
            <v>PT. DANONE BISCUITS INDONESIA</v>
          </cell>
        </row>
      </sheetData>
      <sheetData sheetId="982">
        <row r="7">
          <cell r="E7" t="str">
            <v>PT. DANONE BISCUITS INDONESIA</v>
          </cell>
        </row>
      </sheetData>
      <sheetData sheetId="983">
        <row r="7">
          <cell r="E7" t="str">
            <v>PT. DANONE BISCUITS INDONESIA</v>
          </cell>
        </row>
      </sheetData>
      <sheetData sheetId="984">
        <row r="7">
          <cell r="E7" t="str">
            <v>PT. DANONE BISCUITS INDONESIA</v>
          </cell>
        </row>
      </sheetData>
      <sheetData sheetId="985">
        <row r="7">
          <cell r="E7" t="str">
            <v>PT. DANONE BISCUITS INDONESIA</v>
          </cell>
        </row>
      </sheetData>
      <sheetData sheetId="986">
        <row r="7">
          <cell r="E7" t="str">
            <v>PT. DANONE BISCUITS INDONESIA</v>
          </cell>
        </row>
      </sheetData>
      <sheetData sheetId="987">
        <row r="7">
          <cell r="E7" t="str">
            <v>PT. DANONE BISCUITS INDONESIA</v>
          </cell>
        </row>
      </sheetData>
      <sheetData sheetId="988">
        <row r="7">
          <cell r="E7" t="str">
            <v>PT. DANONE BISCUITS INDONESIA</v>
          </cell>
        </row>
      </sheetData>
      <sheetData sheetId="989">
        <row r="7">
          <cell r="E7" t="str">
            <v>PT. DANONE BISCUITS INDONESIA</v>
          </cell>
        </row>
      </sheetData>
      <sheetData sheetId="990">
        <row r="7">
          <cell r="E7" t="str">
            <v>PT. DANONE BISCUITS INDONESIA</v>
          </cell>
        </row>
      </sheetData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>
        <row r="7">
          <cell r="E7" t="str">
            <v>PT. DANONE BISCUITS INDONESIA</v>
          </cell>
        </row>
      </sheetData>
      <sheetData sheetId="997">
        <row r="7">
          <cell r="E7" t="str">
            <v>PT. DANONE BISCUITS INDONESIA</v>
          </cell>
        </row>
      </sheetData>
      <sheetData sheetId="998">
        <row r="7">
          <cell r="E7" t="str">
            <v>PT. DANONE BISCUITS INDONESIA</v>
          </cell>
        </row>
      </sheetData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>
        <row r="7">
          <cell r="E7" t="str">
            <v>PT. DANONE BISCUITS INDONESIA</v>
          </cell>
        </row>
      </sheetData>
      <sheetData sheetId="1015">
        <row r="7">
          <cell r="E7" t="str">
            <v>PT. DANONE BISCUITS INDONESIA</v>
          </cell>
        </row>
      </sheetData>
      <sheetData sheetId="1016">
        <row r="7">
          <cell r="E7" t="str">
            <v>PT. DANONE BISCUITS INDONESIA</v>
          </cell>
        </row>
      </sheetData>
      <sheetData sheetId="1017">
        <row r="7">
          <cell r="E7" t="str">
            <v>PT. DANONE BISCUITS INDONESIA</v>
          </cell>
        </row>
      </sheetData>
      <sheetData sheetId="1018">
        <row r="7">
          <cell r="E7" t="str">
            <v>PT. DANONE BISCUITS INDONESIA</v>
          </cell>
        </row>
      </sheetData>
      <sheetData sheetId="1019">
        <row r="7">
          <cell r="E7" t="str">
            <v>PT. DANONE BISCUITS INDONESIA</v>
          </cell>
        </row>
      </sheetData>
      <sheetData sheetId="1020">
        <row r="7">
          <cell r="E7" t="str">
            <v>PT. DANONE BISCUITS INDONESIA</v>
          </cell>
        </row>
      </sheetData>
      <sheetData sheetId="1021">
        <row r="7">
          <cell r="E7" t="str">
            <v>PT. DANONE BISCUITS INDONESIA</v>
          </cell>
        </row>
      </sheetData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>
        <row r="7">
          <cell r="E7" t="str">
            <v>PT. DANONE BISCUITS INDONESIA</v>
          </cell>
        </row>
      </sheetData>
      <sheetData sheetId="1039">
        <row r="7">
          <cell r="E7" t="str">
            <v>PT. DANONE BISCUITS INDONESIA</v>
          </cell>
        </row>
      </sheetData>
      <sheetData sheetId="1040">
        <row r="7">
          <cell r="E7" t="str">
            <v>PT. DANONE BISCUITS INDONESIA</v>
          </cell>
        </row>
      </sheetData>
      <sheetData sheetId="1041">
        <row r="7">
          <cell r="E7" t="str">
            <v>PT. DANONE BISCUITS INDONESIA</v>
          </cell>
        </row>
      </sheetData>
      <sheetData sheetId="1042">
        <row r="7">
          <cell r="E7" t="str">
            <v>PT. DANONE BISCUITS INDONESIA</v>
          </cell>
        </row>
      </sheetData>
      <sheetData sheetId="1043">
        <row r="7">
          <cell r="E7" t="str">
            <v>PT. DANONE BISCUITS INDONESIA</v>
          </cell>
        </row>
      </sheetData>
      <sheetData sheetId="1044">
        <row r="7">
          <cell r="E7" t="str">
            <v>PT. DANONE BISCUITS INDONESIA</v>
          </cell>
        </row>
      </sheetData>
      <sheetData sheetId="1045">
        <row r="7">
          <cell r="E7" t="str">
            <v>PT. DANONE BISCUITS INDONESIA</v>
          </cell>
        </row>
      </sheetData>
      <sheetData sheetId="1046">
        <row r="7">
          <cell r="E7" t="str">
            <v>PT. DANONE BISCUITS INDONESIA</v>
          </cell>
        </row>
      </sheetData>
      <sheetData sheetId="1047">
        <row r="7">
          <cell r="E7" t="str">
            <v>PT. DANONE BISCUITS INDONESIA</v>
          </cell>
        </row>
      </sheetData>
      <sheetData sheetId="1048">
        <row r="7">
          <cell r="E7" t="str">
            <v>PT. DANONE BISCUITS INDONESIA</v>
          </cell>
        </row>
      </sheetData>
      <sheetData sheetId="1049">
        <row r="7">
          <cell r="E7" t="str">
            <v>PT. DANONE BISCUITS INDONESIA</v>
          </cell>
        </row>
      </sheetData>
      <sheetData sheetId="1050">
        <row r="7">
          <cell r="E7" t="str">
            <v>PT. DANONE BISCUITS INDONESIA</v>
          </cell>
        </row>
      </sheetData>
      <sheetData sheetId="1051">
        <row r="7">
          <cell r="E7" t="str">
            <v>PT. DANONE BISCUITS INDONESIA</v>
          </cell>
        </row>
      </sheetData>
      <sheetData sheetId="1052">
        <row r="7">
          <cell r="E7" t="str">
            <v>PT. DANONE BISCUITS INDONESIA</v>
          </cell>
        </row>
      </sheetData>
      <sheetData sheetId="1053">
        <row r="7">
          <cell r="E7" t="str">
            <v>PT. DANONE BISCUITS INDONESIA</v>
          </cell>
        </row>
      </sheetData>
      <sheetData sheetId="1054">
        <row r="7">
          <cell r="E7" t="str">
            <v>PT. DANONE BISCUITS INDONESIA</v>
          </cell>
        </row>
      </sheetData>
      <sheetData sheetId="1055">
        <row r="7">
          <cell r="E7" t="str">
            <v>PT. DANONE BISCUITS INDONESIA</v>
          </cell>
        </row>
      </sheetData>
      <sheetData sheetId="1056">
        <row r="7">
          <cell r="E7" t="str">
            <v>PT. DANONE BISCUITS INDONESIA</v>
          </cell>
        </row>
      </sheetData>
      <sheetData sheetId="1057">
        <row r="7">
          <cell r="E7" t="str">
            <v>PT. DANONE BISCUITS INDONESIA</v>
          </cell>
        </row>
      </sheetData>
      <sheetData sheetId="1058">
        <row r="7">
          <cell r="E7" t="str">
            <v>PT. DANONE BISCUITS INDONESIA</v>
          </cell>
        </row>
      </sheetData>
      <sheetData sheetId="1059">
        <row r="7">
          <cell r="E7" t="str">
            <v>PT. DANONE BISCUITS INDONESIA</v>
          </cell>
        </row>
      </sheetData>
      <sheetData sheetId="1060">
        <row r="7">
          <cell r="E7" t="str">
            <v>PT. DANONE BISCUITS INDONESIA</v>
          </cell>
        </row>
      </sheetData>
      <sheetData sheetId="1061">
        <row r="7">
          <cell r="E7" t="str">
            <v>PT. DANONE BISCUITS INDONESIA</v>
          </cell>
        </row>
      </sheetData>
      <sheetData sheetId="1062">
        <row r="7">
          <cell r="E7" t="str">
            <v>PT. DANONE BISCUITS INDONESIA</v>
          </cell>
        </row>
      </sheetData>
      <sheetData sheetId="1063">
        <row r="7">
          <cell r="E7" t="str">
            <v>PT. DANONE BISCUITS INDONESIA</v>
          </cell>
        </row>
      </sheetData>
      <sheetData sheetId="1064">
        <row r="7">
          <cell r="E7" t="str">
            <v>PT. DANONE BISCUITS INDONESIA</v>
          </cell>
        </row>
      </sheetData>
      <sheetData sheetId="1065">
        <row r="7">
          <cell r="E7" t="str">
            <v>PT. DANONE BISCUITS INDONESIA</v>
          </cell>
        </row>
      </sheetData>
      <sheetData sheetId="1066">
        <row r="7">
          <cell r="E7" t="str">
            <v>PT. DANONE BISCUITS INDONESIA</v>
          </cell>
        </row>
      </sheetData>
      <sheetData sheetId="1067">
        <row r="7">
          <cell r="E7" t="str">
            <v>PT. DANONE BISCUITS INDONESIA</v>
          </cell>
        </row>
      </sheetData>
      <sheetData sheetId="1068">
        <row r="7">
          <cell r="E7" t="str">
            <v>PT. DANONE BISCUITS INDONESIA</v>
          </cell>
        </row>
      </sheetData>
      <sheetData sheetId="1069">
        <row r="7">
          <cell r="E7" t="str">
            <v>PT. DANONE BISCUITS INDONESIA</v>
          </cell>
        </row>
      </sheetData>
      <sheetData sheetId="1070">
        <row r="7">
          <cell r="E7" t="str">
            <v>PT. DANONE BISCUITS INDONESIA</v>
          </cell>
        </row>
      </sheetData>
      <sheetData sheetId="1071">
        <row r="7">
          <cell r="E7" t="str">
            <v>PT. DANONE BISCUITS INDONESIA</v>
          </cell>
        </row>
      </sheetData>
      <sheetData sheetId="1072">
        <row r="7">
          <cell r="E7" t="str">
            <v>PT. DANONE BISCUITS INDONESIA</v>
          </cell>
        </row>
      </sheetData>
      <sheetData sheetId="1073">
        <row r="7">
          <cell r="E7" t="str">
            <v>PT. DANONE BISCUITS INDONESIA</v>
          </cell>
        </row>
      </sheetData>
      <sheetData sheetId="1074">
        <row r="7">
          <cell r="E7" t="str">
            <v>PT. DANONE BISCUITS INDONESIA</v>
          </cell>
        </row>
      </sheetData>
      <sheetData sheetId="1075">
        <row r="7">
          <cell r="E7" t="str">
            <v>PT. DANONE BISCUITS INDONESIA</v>
          </cell>
        </row>
      </sheetData>
      <sheetData sheetId="1076">
        <row r="7">
          <cell r="E7" t="str">
            <v>PT. DANONE BISCUITS INDONESIA</v>
          </cell>
        </row>
      </sheetData>
      <sheetData sheetId="1077">
        <row r="7">
          <cell r="E7" t="str">
            <v>PT. DANONE BISCUITS INDONESIA</v>
          </cell>
        </row>
      </sheetData>
      <sheetData sheetId="1078">
        <row r="7">
          <cell r="E7" t="str">
            <v>PT. DANONE BISCUITS INDONESIA</v>
          </cell>
        </row>
      </sheetData>
      <sheetData sheetId="1079">
        <row r="7">
          <cell r="E7" t="str">
            <v>PT. DANONE BISCUITS INDONESIA</v>
          </cell>
        </row>
      </sheetData>
      <sheetData sheetId="1080">
        <row r="7">
          <cell r="E7" t="str">
            <v>PT. DANONE BISCUITS INDONESIA</v>
          </cell>
        </row>
      </sheetData>
      <sheetData sheetId="1081">
        <row r="7">
          <cell r="E7" t="str">
            <v>PT. DANONE BISCUITS INDONESIA</v>
          </cell>
        </row>
      </sheetData>
      <sheetData sheetId="1082">
        <row r="7">
          <cell r="E7" t="str">
            <v>PT. DANONE BISCUITS INDONESIA</v>
          </cell>
        </row>
      </sheetData>
      <sheetData sheetId="1083">
        <row r="7">
          <cell r="E7" t="str">
            <v>PT. DANONE BISCUITS INDONESIA</v>
          </cell>
        </row>
      </sheetData>
      <sheetData sheetId="1084">
        <row r="7">
          <cell r="E7" t="str">
            <v>PT. DANONE BISCUITS INDONESIA</v>
          </cell>
        </row>
      </sheetData>
      <sheetData sheetId="1085">
        <row r="7">
          <cell r="E7" t="str">
            <v>PT. DANONE BISCUITS INDONESIA</v>
          </cell>
        </row>
      </sheetData>
      <sheetData sheetId="1086">
        <row r="7">
          <cell r="E7" t="str">
            <v>PT. DANONE BISCUITS INDONESIA</v>
          </cell>
        </row>
      </sheetData>
      <sheetData sheetId="1087">
        <row r="7">
          <cell r="E7" t="str">
            <v>PT. DANONE BISCUITS INDONESIA</v>
          </cell>
        </row>
      </sheetData>
      <sheetData sheetId="1088">
        <row r="7">
          <cell r="E7" t="str">
            <v>PT. DANONE BISCUITS INDONESIA</v>
          </cell>
        </row>
      </sheetData>
      <sheetData sheetId="1089">
        <row r="7">
          <cell r="E7" t="str">
            <v>PT. DANONE BISCUITS INDONESIA</v>
          </cell>
        </row>
      </sheetData>
      <sheetData sheetId="1090">
        <row r="7">
          <cell r="E7" t="str">
            <v>PT. DANONE BISCUITS INDONESIA</v>
          </cell>
        </row>
      </sheetData>
      <sheetData sheetId="1091">
        <row r="7">
          <cell r="E7" t="str">
            <v>PT. DANONE BISCUITS INDONESIA</v>
          </cell>
        </row>
      </sheetData>
      <sheetData sheetId="1092">
        <row r="7">
          <cell r="E7" t="str">
            <v>PT. DANONE BISCUITS INDONESIA</v>
          </cell>
        </row>
      </sheetData>
      <sheetData sheetId="1093">
        <row r="7">
          <cell r="E7" t="str">
            <v>PT. DANONE BISCUITS INDONESIA</v>
          </cell>
        </row>
      </sheetData>
      <sheetData sheetId="1094">
        <row r="7">
          <cell r="E7" t="str">
            <v>PT. DANONE BISCUITS INDONESIA</v>
          </cell>
        </row>
      </sheetData>
      <sheetData sheetId="1095">
        <row r="7">
          <cell r="E7" t="str">
            <v>PT. DANONE BISCUITS INDONESIA</v>
          </cell>
        </row>
      </sheetData>
      <sheetData sheetId="1096">
        <row r="7">
          <cell r="E7" t="str">
            <v>PT. DANONE BISCUITS INDONESIA</v>
          </cell>
        </row>
      </sheetData>
      <sheetData sheetId="1097">
        <row r="7">
          <cell r="E7" t="str">
            <v>PT. DANONE BISCUITS INDONESIA</v>
          </cell>
        </row>
      </sheetData>
      <sheetData sheetId="1098">
        <row r="7">
          <cell r="E7" t="str">
            <v>PT. DANONE BISCUITS INDONESIA</v>
          </cell>
        </row>
      </sheetData>
      <sheetData sheetId="1099">
        <row r="7">
          <cell r="E7" t="str">
            <v>PT. DANONE BISCUITS INDONESIA</v>
          </cell>
        </row>
      </sheetData>
      <sheetData sheetId="1100">
        <row r="7">
          <cell r="E7" t="str">
            <v>PT. DANONE BISCUITS INDONESIA</v>
          </cell>
        </row>
      </sheetData>
      <sheetData sheetId="1101">
        <row r="7">
          <cell r="E7" t="str">
            <v>PT. DANONE BISCUITS INDONESIA</v>
          </cell>
        </row>
      </sheetData>
      <sheetData sheetId="1102">
        <row r="7">
          <cell r="E7" t="str">
            <v>PT. DANONE BISCUITS INDONESIA</v>
          </cell>
        </row>
      </sheetData>
      <sheetData sheetId="1103">
        <row r="7">
          <cell r="E7" t="str">
            <v>PT. DANONE BISCUITS INDONESIA</v>
          </cell>
        </row>
      </sheetData>
      <sheetData sheetId="1104">
        <row r="7">
          <cell r="E7" t="str">
            <v>PT. DANONE BISCUITS INDONESIA</v>
          </cell>
        </row>
      </sheetData>
      <sheetData sheetId="1105">
        <row r="7">
          <cell r="E7" t="str">
            <v>PT. DANONE BISCUITS INDONESIA</v>
          </cell>
        </row>
      </sheetData>
      <sheetData sheetId="1106">
        <row r="7">
          <cell r="E7" t="str">
            <v>PT. DANONE BISCUITS INDONESIA</v>
          </cell>
        </row>
      </sheetData>
      <sheetData sheetId="1107">
        <row r="7">
          <cell r="E7" t="str">
            <v>PT. DANONE BISCUITS INDONESIA</v>
          </cell>
        </row>
      </sheetData>
      <sheetData sheetId="1108">
        <row r="7">
          <cell r="E7" t="str">
            <v>PT. DANONE BISCUITS INDONESIA</v>
          </cell>
        </row>
      </sheetData>
      <sheetData sheetId="1109">
        <row r="7">
          <cell r="E7" t="str">
            <v>PT. DANONE BISCUITS INDONESIA</v>
          </cell>
        </row>
      </sheetData>
      <sheetData sheetId="1110">
        <row r="7">
          <cell r="E7" t="str">
            <v>PT. DANONE BISCUITS INDONESIA</v>
          </cell>
        </row>
      </sheetData>
      <sheetData sheetId="1111">
        <row r="7">
          <cell r="E7" t="str">
            <v>PT. DANONE BISCUITS INDONESIA</v>
          </cell>
        </row>
      </sheetData>
      <sheetData sheetId="1112">
        <row r="7">
          <cell r="E7" t="str">
            <v>PT. DANONE BISCUITS INDONESIA</v>
          </cell>
        </row>
      </sheetData>
      <sheetData sheetId="1113">
        <row r="7">
          <cell r="E7" t="str">
            <v>PT. DANONE BISCUITS INDONESIA</v>
          </cell>
        </row>
      </sheetData>
      <sheetData sheetId="1114">
        <row r="7">
          <cell r="E7" t="str">
            <v>PT. DANONE BISCUITS INDONESIA</v>
          </cell>
        </row>
      </sheetData>
      <sheetData sheetId="1115">
        <row r="7">
          <cell r="E7" t="str">
            <v>PT. DANONE BISCUITS INDONESIA</v>
          </cell>
        </row>
      </sheetData>
      <sheetData sheetId="1116">
        <row r="7">
          <cell r="E7" t="str">
            <v>PT. DANONE BISCUITS INDONESIA</v>
          </cell>
        </row>
      </sheetData>
      <sheetData sheetId="1117">
        <row r="7">
          <cell r="E7" t="str">
            <v>PT. DANONE BISCUITS INDONESIA</v>
          </cell>
        </row>
      </sheetData>
      <sheetData sheetId="1118">
        <row r="7">
          <cell r="E7" t="str">
            <v>PT. DANONE BISCUITS INDONESIA</v>
          </cell>
        </row>
      </sheetData>
      <sheetData sheetId="1119">
        <row r="7">
          <cell r="E7" t="str">
            <v>PT. DANONE BISCUITS INDONESIA</v>
          </cell>
        </row>
      </sheetData>
      <sheetData sheetId="1120">
        <row r="7">
          <cell r="E7" t="str">
            <v>PT. DANONE BISCUITS INDONESIA</v>
          </cell>
        </row>
      </sheetData>
      <sheetData sheetId="1121">
        <row r="7">
          <cell r="E7" t="str">
            <v>PT. DANONE BISCUITS INDONESIA</v>
          </cell>
        </row>
      </sheetData>
      <sheetData sheetId="1122">
        <row r="7">
          <cell r="E7" t="str">
            <v>PT. DANONE BISCUITS INDONESIA</v>
          </cell>
        </row>
      </sheetData>
      <sheetData sheetId="1123">
        <row r="7">
          <cell r="E7" t="str">
            <v>PT. DANONE BISCUITS INDONESIA</v>
          </cell>
        </row>
      </sheetData>
      <sheetData sheetId="1124">
        <row r="7">
          <cell r="E7" t="str">
            <v>PT. DANONE BISCUITS INDONESIA</v>
          </cell>
        </row>
      </sheetData>
      <sheetData sheetId="1125">
        <row r="7">
          <cell r="E7" t="str">
            <v>PT. DANONE BISCUITS INDONESIA</v>
          </cell>
        </row>
      </sheetData>
      <sheetData sheetId="1126">
        <row r="7">
          <cell r="E7" t="str">
            <v>PT. DANONE BISCUITS INDONESIA</v>
          </cell>
        </row>
      </sheetData>
      <sheetData sheetId="1127">
        <row r="7">
          <cell r="E7" t="str">
            <v>PT. DANONE BISCUITS INDONESIA</v>
          </cell>
        </row>
      </sheetData>
      <sheetData sheetId="1128">
        <row r="7">
          <cell r="E7" t="str">
            <v>PT. DANONE BISCUITS INDONESIA</v>
          </cell>
        </row>
      </sheetData>
      <sheetData sheetId="1129">
        <row r="7">
          <cell r="E7" t="str">
            <v>PT. DANONE BISCUITS INDONESIA</v>
          </cell>
        </row>
      </sheetData>
      <sheetData sheetId="1130">
        <row r="7">
          <cell r="E7" t="str">
            <v>PT. DANONE BISCUITS INDONESIA</v>
          </cell>
        </row>
      </sheetData>
      <sheetData sheetId="1131">
        <row r="7">
          <cell r="E7" t="str">
            <v>PT. DANONE BISCUITS INDONESIA</v>
          </cell>
        </row>
      </sheetData>
      <sheetData sheetId="1132">
        <row r="7">
          <cell r="E7" t="str">
            <v>PT. DANONE BISCUITS INDONESIA</v>
          </cell>
        </row>
      </sheetData>
      <sheetData sheetId="1133">
        <row r="7">
          <cell r="E7" t="str">
            <v>PT. DANONE BISCUITS INDONESIA</v>
          </cell>
        </row>
      </sheetData>
      <sheetData sheetId="1134">
        <row r="7">
          <cell r="E7" t="str">
            <v>PT. DANONE BISCUITS INDONESIA</v>
          </cell>
        </row>
      </sheetData>
      <sheetData sheetId="1135">
        <row r="7">
          <cell r="E7" t="str">
            <v>PT. DANONE BISCUITS INDONESIA</v>
          </cell>
        </row>
      </sheetData>
      <sheetData sheetId="1136">
        <row r="7">
          <cell r="E7" t="str">
            <v>PT. DANONE BISCUITS INDONESIA</v>
          </cell>
        </row>
      </sheetData>
      <sheetData sheetId="1137">
        <row r="7">
          <cell r="E7" t="str">
            <v>PT. DANONE BISCUITS INDONESIA</v>
          </cell>
        </row>
      </sheetData>
      <sheetData sheetId="1138">
        <row r="7">
          <cell r="E7" t="str">
            <v>PT. DANONE BISCUITS INDONESIA</v>
          </cell>
        </row>
      </sheetData>
      <sheetData sheetId="1139">
        <row r="7">
          <cell r="E7" t="str">
            <v>PT. DANONE BISCUITS INDONESIA</v>
          </cell>
        </row>
      </sheetData>
      <sheetData sheetId="1140">
        <row r="7">
          <cell r="E7" t="str">
            <v>PT. DANONE BISCUITS INDONESIA</v>
          </cell>
        </row>
      </sheetData>
      <sheetData sheetId="1141">
        <row r="7">
          <cell r="E7" t="str">
            <v>PT. DANONE BISCUITS INDONESIA</v>
          </cell>
        </row>
      </sheetData>
      <sheetData sheetId="1142">
        <row r="7">
          <cell r="E7" t="str">
            <v>PT. DANONE BISCUITS INDONESIA</v>
          </cell>
        </row>
      </sheetData>
      <sheetData sheetId="1143">
        <row r="7">
          <cell r="E7" t="str">
            <v>PT. DANONE BISCUITS INDONESIA</v>
          </cell>
        </row>
      </sheetData>
      <sheetData sheetId="1144">
        <row r="7">
          <cell r="E7" t="str">
            <v>PT. DANONE BISCUITS INDONESIA</v>
          </cell>
        </row>
      </sheetData>
      <sheetData sheetId="1145">
        <row r="7">
          <cell r="E7" t="str">
            <v>PT. DANONE BISCUITS INDONESIA</v>
          </cell>
        </row>
      </sheetData>
      <sheetData sheetId="1146">
        <row r="7">
          <cell r="E7" t="str">
            <v>PT. DANONE BISCUITS INDONESIA</v>
          </cell>
        </row>
      </sheetData>
      <sheetData sheetId="1147">
        <row r="7">
          <cell r="E7" t="str">
            <v>PT. DANONE BISCUITS INDONESIA</v>
          </cell>
        </row>
      </sheetData>
      <sheetData sheetId="1148">
        <row r="7">
          <cell r="E7" t="str">
            <v>PT. DANONE BISCUITS INDONESIA</v>
          </cell>
        </row>
      </sheetData>
      <sheetData sheetId="1149">
        <row r="7">
          <cell r="E7" t="str">
            <v>PT. DANONE BISCUITS INDONESIA</v>
          </cell>
        </row>
      </sheetData>
      <sheetData sheetId="1150">
        <row r="7">
          <cell r="E7" t="str">
            <v>PT. DANONE BISCUITS INDONESIA</v>
          </cell>
        </row>
      </sheetData>
      <sheetData sheetId="1151">
        <row r="7">
          <cell r="E7" t="str">
            <v>PT. DANONE BISCUITS INDONESIA</v>
          </cell>
        </row>
      </sheetData>
      <sheetData sheetId="1152">
        <row r="7">
          <cell r="E7" t="str">
            <v>PT. DANONE BISCUITS INDONESIA</v>
          </cell>
        </row>
      </sheetData>
      <sheetData sheetId="1153">
        <row r="7">
          <cell r="E7" t="str">
            <v>PT. DANONE BISCUITS INDONESIA</v>
          </cell>
        </row>
      </sheetData>
      <sheetData sheetId="1154">
        <row r="7">
          <cell r="E7" t="str">
            <v>PT. DANONE BISCUITS INDONESIA</v>
          </cell>
        </row>
      </sheetData>
      <sheetData sheetId="1155">
        <row r="7">
          <cell r="E7" t="str">
            <v>PT. DANONE BISCUITS INDONESIA</v>
          </cell>
        </row>
      </sheetData>
      <sheetData sheetId="1156">
        <row r="7">
          <cell r="E7" t="str">
            <v>PT. DANONE BISCUITS INDONESIA</v>
          </cell>
        </row>
      </sheetData>
      <sheetData sheetId="1157">
        <row r="7">
          <cell r="E7" t="str">
            <v>PT. DANONE BISCUITS INDONESIA</v>
          </cell>
        </row>
      </sheetData>
      <sheetData sheetId="1158">
        <row r="7">
          <cell r="E7" t="str">
            <v>PT. DANONE BISCUITS INDONESIA</v>
          </cell>
        </row>
      </sheetData>
      <sheetData sheetId="1159">
        <row r="7">
          <cell r="E7" t="str">
            <v>PT. DANONE BISCUITS INDONESIA</v>
          </cell>
        </row>
      </sheetData>
      <sheetData sheetId="1160">
        <row r="7">
          <cell r="E7" t="str">
            <v>PT. DANONE BISCUITS INDONESIA</v>
          </cell>
        </row>
      </sheetData>
      <sheetData sheetId="1161">
        <row r="7">
          <cell r="E7" t="str">
            <v>PT. DANONE BISCUITS INDONESIA</v>
          </cell>
        </row>
      </sheetData>
      <sheetData sheetId="1162">
        <row r="7">
          <cell r="E7" t="str">
            <v>PT. DANONE BISCUITS INDONESIA</v>
          </cell>
        </row>
      </sheetData>
      <sheetData sheetId="1163">
        <row r="7">
          <cell r="E7" t="str">
            <v>PT. DANONE BISCUITS INDONESIA</v>
          </cell>
        </row>
      </sheetData>
      <sheetData sheetId="1164">
        <row r="7">
          <cell r="E7" t="str">
            <v>PT. DANONE BISCUITS INDONESIA</v>
          </cell>
        </row>
      </sheetData>
      <sheetData sheetId="1165">
        <row r="7">
          <cell r="E7" t="str">
            <v>PT. DANONE BISCUITS INDONESIA</v>
          </cell>
        </row>
      </sheetData>
      <sheetData sheetId="1166">
        <row r="7">
          <cell r="E7" t="str">
            <v>PT. DANONE BISCUITS INDONESIA</v>
          </cell>
        </row>
      </sheetData>
      <sheetData sheetId="1167">
        <row r="7">
          <cell r="E7" t="str">
            <v>PT. DANONE BISCUITS INDONESIA</v>
          </cell>
        </row>
      </sheetData>
      <sheetData sheetId="1168">
        <row r="7">
          <cell r="E7" t="str">
            <v>PT. DANONE BISCUITS INDONESIA</v>
          </cell>
        </row>
      </sheetData>
      <sheetData sheetId="1169">
        <row r="7">
          <cell r="E7" t="str">
            <v>PT. DANONE BISCUITS INDONESIA</v>
          </cell>
        </row>
      </sheetData>
      <sheetData sheetId="1170">
        <row r="7">
          <cell r="E7" t="str">
            <v>PT. DANONE BISCUITS INDONESIA</v>
          </cell>
        </row>
      </sheetData>
      <sheetData sheetId="1171">
        <row r="7">
          <cell r="E7" t="str">
            <v>PT. DANONE BISCUITS INDONESIA</v>
          </cell>
        </row>
      </sheetData>
      <sheetData sheetId="1172">
        <row r="7">
          <cell r="E7" t="str">
            <v>PT. DANONE BISCUITS INDONESIA</v>
          </cell>
        </row>
      </sheetData>
      <sheetData sheetId="1173">
        <row r="7">
          <cell r="E7" t="str">
            <v>PT. DANONE BISCUITS INDONESIA</v>
          </cell>
        </row>
      </sheetData>
      <sheetData sheetId="1174">
        <row r="7">
          <cell r="E7" t="str">
            <v>PT. DANONE BISCUITS INDONESIA</v>
          </cell>
        </row>
      </sheetData>
      <sheetData sheetId="1175">
        <row r="7">
          <cell r="E7" t="str">
            <v>PT. DANONE BISCUITS INDONESIA</v>
          </cell>
        </row>
      </sheetData>
      <sheetData sheetId="1176">
        <row r="7">
          <cell r="E7" t="str">
            <v>PT. DANONE BISCUITS INDONESIA</v>
          </cell>
        </row>
      </sheetData>
      <sheetData sheetId="1177">
        <row r="7">
          <cell r="E7" t="str">
            <v>PT. DANONE BISCUITS INDONESIA</v>
          </cell>
        </row>
      </sheetData>
      <sheetData sheetId="1178">
        <row r="7">
          <cell r="E7" t="str">
            <v>PT. DANONE BISCUITS INDONESIA</v>
          </cell>
        </row>
      </sheetData>
      <sheetData sheetId="1179">
        <row r="7">
          <cell r="E7" t="str">
            <v>PT. DANONE BISCUITS INDONESIA</v>
          </cell>
        </row>
      </sheetData>
      <sheetData sheetId="1180">
        <row r="7">
          <cell r="E7" t="str">
            <v>PT. DANONE BISCUITS INDONESIA</v>
          </cell>
        </row>
      </sheetData>
      <sheetData sheetId="1181">
        <row r="7">
          <cell r="E7" t="str">
            <v>PT. DANONE BISCUITS INDONESIA</v>
          </cell>
        </row>
      </sheetData>
      <sheetData sheetId="1182">
        <row r="7">
          <cell r="E7" t="str">
            <v>PT. DANONE BISCUITS INDONESIA</v>
          </cell>
        </row>
      </sheetData>
      <sheetData sheetId="1183">
        <row r="7">
          <cell r="E7" t="str">
            <v>PT. DANONE BISCUITS INDONESIA</v>
          </cell>
        </row>
      </sheetData>
      <sheetData sheetId="1184">
        <row r="7">
          <cell r="E7" t="str">
            <v>PT. DANONE BISCUITS INDONESIA</v>
          </cell>
        </row>
      </sheetData>
      <sheetData sheetId="1185">
        <row r="7">
          <cell r="E7" t="str">
            <v>PT. DANONE BISCUITS INDONESIA</v>
          </cell>
        </row>
      </sheetData>
      <sheetData sheetId="1186">
        <row r="7">
          <cell r="E7" t="str">
            <v>PT. DANONE BISCUITS INDONESIA</v>
          </cell>
        </row>
      </sheetData>
      <sheetData sheetId="1187">
        <row r="7">
          <cell r="E7" t="str">
            <v>PT. DANONE BISCUITS INDONESIA</v>
          </cell>
        </row>
      </sheetData>
      <sheetData sheetId="1188">
        <row r="7">
          <cell r="E7" t="str">
            <v>PT. DANONE BISCUITS INDONESIA</v>
          </cell>
        </row>
      </sheetData>
      <sheetData sheetId="1189">
        <row r="7">
          <cell r="E7" t="str">
            <v>PT. DANONE BISCUITS INDONESIA</v>
          </cell>
        </row>
      </sheetData>
      <sheetData sheetId="1190">
        <row r="7">
          <cell r="E7" t="str">
            <v>PT. DANONE BISCUITS INDONESIA</v>
          </cell>
        </row>
      </sheetData>
      <sheetData sheetId="1191">
        <row r="7">
          <cell r="E7" t="str">
            <v>PT. DANONE BISCUITS INDONESIA</v>
          </cell>
        </row>
      </sheetData>
      <sheetData sheetId="1192">
        <row r="7">
          <cell r="E7" t="str">
            <v>PT. DANONE BISCUITS INDONESIA</v>
          </cell>
        </row>
      </sheetData>
      <sheetData sheetId="1193">
        <row r="7">
          <cell r="E7" t="str">
            <v>PT. DANONE BISCUITS INDONESIA</v>
          </cell>
        </row>
      </sheetData>
      <sheetData sheetId="1194">
        <row r="7">
          <cell r="E7" t="str">
            <v>PT. DANONE BISCUITS INDONESIA</v>
          </cell>
        </row>
      </sheetData>
      <sheetData sheetId="1195">
        <row r="7">
          <cell r="E7" t="str">
            <v>PT. DANONE BISCUITS INDONESIA</v>
          </cell>
        </row>
      </sheetData>
      <sheetData sheetId="1196">
        <row r="7">
          <cell r="E7" t="str">
            <v>PT. DANONE BISCUITS INDONESIA</v>
          </cell>
        </row>
      </sheetData>
      <sheetData sheetId="1197">
        <row r="7">
          <cell r="E7" t="str">
            <v>PT. DANONE BISCUITS INDONESIA</v>
          </cell>
        </row>
      </sheetData>
      <sheetData sheetId="1198">
        <row r="7">
          <cell r="E7" t="str">
            <v>PT. DANONE BISCUITS INDONESIA</v>
          </cell>
        </row>
      </sheetData>
      <sheetData sheetId="1199">
        <row r="7">
          <cell r="E7" t="str">
            <v>PT. DANONE BISCUITS INDONESIA</v>
          </cell>
        </row>
      </sheetData>
      <sheetData sheetId="1200">
        <row r="7">
          <cell r="E7" t="str">
            <v>PT. DANONE BISCUITS INDONESIA</v>
          </cell>
        </row>
      </sheetData>
      <sheetData sheetId="1201">
        <row r="7">
          <cell r="E7" t="str">
            <v>PT. DANONE BISCUITS INDONESIA</v>
          </cell>
        </row>
      </sheetData>
      <sheetData sheetId="1202">
        <row r="7">
          <cell r="E7" t="str">
            <v>PT. DANONE BISCUITS INDONESIA</v>
          </cell>
        </row>
      </sheetData>
      <sheetData sheetId="1203">
        <row r="7">
          <cell r="E7" t="str">
            <v>PT. DANONE BISCUITS INDONESIA</v>
          </cell>
        </row>
      </sheetData>
      <sheetData sheetId="1204">
        <row r="7">
          <cell r="E7" t="str">
            <v>PT. DANONE BISCUITS INDONESIA</v>
          </cell>
        </row>
      </sheetData>
      <sheetData sheetId="1205">
        <row r="7">
          <cell r="E7" t="str">
            <v>PT. DANONE BISCUITS INDONESIA</v>
          </cell>
        </row>
      </sheetData>
      <sheetData sheetId="1206">
        <row r="7">
          <cell r="E7" t="str">
            <v>PT. DANONE BISCUITS INDONESIA</v>
          </cell>
        </row>
      </sheetData>
      <sheetData sheetId="1207">
        <row r="7">
          <cell r="E7" t="str">
            <v>PT. DANONE BISCUITS INDONESIA</v>
          </cell>
        </row>
      </sheetData>
      <sheetData sheetId="1208">
        <row r="7">
          <cell r="E7" t="str">
            <v>PT. DANONE BISCUITS INDONESIA</v>
          </cell>
        </row>
      </sheetData>
      <sheetData sheetId="1209">
        <row r="7">
          <cell r="E7" t="str">
            <v>PT. DANONE BISCUITS INDONESIA</v>
          </cell>
        </row>
      </sheetData>
      <sheetData sheetId="1210">
        <row r="7">
          <cell r="E7" t="str">
            <v>PT. DANONE BISCUITS INDONESIA</v>
          </cell>
        </row>
      </sheetData>
      <sheetData sheetId="1211">
        <row r="7">
          <cell r="E7" t="str">
            <v>PT. DANONE BISCUITS INDONESIA</v>
          </cell>
        </row>
      </sheetData>
      <sheetData sheetId="1212">
        <row r="7">
          <cell r="E7" t="str">
            <v>PT. DANONE BISCUITS INDONESIA</v>
          </cell>
        </row>
      </sheetData>
      <sheetData sheetId="1213">
        <row r="7">
          <cell r="E7" t="str">
            <v>PT. DANONE BISCUITS INDONESIA</v>
          </cell>
        </row>
      </sheetData>
      <sheetData sheetId="1214">
        <row r="7">
          <cell r="E7" t="str">
            <v>PT. DANONE BISCUITS INDONESIA</v>
          </cell>
        </row>
      </sheetData>
      <sheetData sheetId="1215">
        <row r="7">
          <cell r="E7" t="str">
            <v>PT. DANONE BISCUITS INDONESIA</v>
          </cell>
        </row>
      </sheetData>
      <sheetData sheetId="1216">
        <row r="7">
          <cell r="E7" t="str">
            <v>PT. DANONE BISCUITS INDONESIA</v>
          </cell>
        </row>
      </sheetData>
      <sheetData sheetId="1217">
        <row r="7">
          <cell r="E7" t="str">
            <v>PT. DANONE BISCUITS INDONESIA</v>
          </cell>
        </row>
      </sheetData>
      <sheetData sheetId="1218">
        <row r="7">
          <cell r="E7" t="str">
            <v>PT. DANONE BISCUITS INDONESIA</v>
          </cell>
        </row>
      </sheetData>
      <sheetData sheetId="1219">
        <row r="7">
          <cell r="E7" t="str">
            <v>PT. DANONE BISCUITS INDONESIA</v>
          </cell>
        </row>
      </sheetData>
      <sheetData sheetId="1220">
        <row r="7">
          <cell r="E7" t="str">
            <v>PT. DANONE BISCUITS INDONESIA</v>
          </cell>
        </row>
      </sheetData>
      <sheetData sheetId="1221">
        <row r="7">
          <cell r="E7" t="str">
            <v>PT. DANONE BISCUITS INDONESIA</v>
          </cell>
        </row>
      </sheetData>
      <sheetData sheetId="1222">
        <row r="7">
          <cell r="E7" t="str">
            <v>PT. DANONE BISCUITS INDONESIA</v>
          </cell>
        </row>
      </sheetData>
      <sheetData sheetId="1223">
        <row r="7">
          <cell r="E7" t="str">
            <v>PT. DANONE BISCUITS INDONESIA</v>
          </cell>
        </row>
      </sheetData>
      <sheetData sheetId="1224">
        <row r="7">
          <cell r="E7" t="str">
            <v>PT. DANONE BISCUITS INDONESIA</v>
          </cell>
        </row>
      </sheetData>
      <sheetData sheetId="1225">
        <row r="7">
          <cell r="E7" t="str">
            <v>PT. DANONE BISCUITS INDONESIA</v>
          </cell>
        </row>
      </sheetData>
      <sheetData sheetId="1226">
        <row r="7">
          <cell r="E7" t="str">
            <v>PT. DANONE BISCUITS INDONESIA</v>
          </cell>
        </row>
      </sheetData>
      <sheetData sheetId="1227">
        <row r="7">
          <cell r="E7" t="str">
            <v>PT. DANONE BISCUITS INDONESIA</v>
          </cell>
        </row>
      </sheetData>
      <sheetData sheetId="1228">
        <row r="7">
          <cell r="E7" t="str">
            <v>PT. DANONE BISCUITS INDONESIA</v>
          </cell>
        </row>
      </sheetData>
      <sheetData sheetId="1229">
        <row r="7">
          <cell r="E7" t="str">
            <v>PT. DANONE BISCUITS INDONESIA</v>
          </cell>
        </row>
      </sheetData>
      <sheetData sheetId="1230">
        <row r="7">
          <cell r="E7" t="str">
            <v>PT. DANONE BISCUITS INDONESIA</v>
          </cell>
        </row>
      </sheetData>
      <sheetData sheetId="1231">
        <row r="7">
          <cell r="E7" t="str">
            <v>PT. DANONE BISCUITS INDONESIA</v>
          </cell>
        </row>
      </sheetData>
      <sheetData sheetId="1232">
        <row r="7">
          <cell r="E7" t="str">
            <v>PT. DANONE BISCUITS INDONESIA</v>
          </cell>
        </row>
      </sheetData>
      <sheetData sheetId="1233">
        <row r="7">
          <cell r="E7" t="str">
            <v>PT. DANONE BISCUITS INDONESIA</v>
          </cell>
        </row>
      </sheetData>
      <sheetData sheetId="1234">
        <row r="7">
          <cell r="E7" t="str">
            <v>PT. DANONE BISCUITS INDONESIA</v>
          </cell>
        </row>
      </sheetData>
      <sheetData sheetId="1235">
        <row r="7">
          <cell r="E7" t="str">
            <v>PT. DANONE BISCUITS INDONESIA</v>
          </cell>
        </row>
      </sheetData>
      <sheetData sheetId="1236">
        <row r="7">
          <cell r="E7" t="str">
            <v>PT. DANONE BISCUITS INDONESIA</v>
          </cell>
        </row>
      </sheetData>
      <sheetData sheetId="1237">
        <row r="7">
          <cell r="E7" t="str">
            <v>PT. DANONE BISCUITS INDONESIA</v>
          </cell>
        </row>
      </sheetData>
      <sheetData sheetId="1238">
        <row r="7">
          <cell r="E7" t="str">
            <v>PT. DANONE BISCUITS INDONESIA</v>
          </cell>
        </row>
      </sheetData>
      <sheetData sheetId="1239">
        <row r="7">
          <cell r="E7" t="str">
            <v>PT. DANONE BISCUITS INDONESIA</v>
          </cell>
        </row>
      </sheetData>
      <sheetData sheetId="1240">
        <row r="7">
          <cell r="E7" t="str">
            <v>PT. DANONE BISCUITS INDONESIA</v>
          </cell>
        </row>
      </sheetData>
      <sheetData sheetId="1241">
        <row r="7">
          <cell r="E7" t="str">
            <v>PT. DANONE BISCUITS INDONESIA</v>
          </cell>
        </row>
      </sheetData>
      <sheetData sheetId="1242">
        <row r="7">
          <cell r="E7" t="str">
            <v>PT. DANONE BISCUITS INDONESIA</v>
          </cell>
        </row>
      </sheetData>
      <sheetData sheetId="1243">
        <row r="7">
          <cell r="E7" t="str">
            <v>PT. DANONE BISCUITS INDONESIA</v>
          </cell>
        </row>
      </sheetData>
      <sheetData sheetId="1244">
        <row r="7">
          <cell r="E7" t="str">
            <v>PT. DANONE BISCUITS INDONESIA</v>
          </cell>
        </row>
      </sheetData>
      <sheetData sheetId="1245">
        <row r="7">
          <cell r="E7" t="str">
            <v>PT. DANONE BISCUITS INDONESIA</v>
          </cell>
        </row>
      </sheetData>
      <sheetData sheetId="1246">
        <row r="7">
          <cell r="E7" t="str">
            <v>PT. DANONE BISCUITS INDONESIA</v>
          </cell>
        </row>
      </sheetData>
      <sheetData sheetId="1247">
        <row r="7">
          <cell r="E7" t="str">
            <v>PT. DANONE BISCUITS INDONESIA</v>
          </cell>
        </row>
      </sheetData>
      <sheetData sheetId="1248">
        <row r="7">
          <cell r="E7" t="str">
            <v>PT. DANONE BISCUITS INDONESIA</v>
          </cell>
        </row>
      </sheetData>
      <sheetData sheetId="1249">
        <row r="7">
          <cell r="E7" t="str">
            <v>PT. DANONE BISCUITS INDONESIA</v>
          </cell>
        </row>
      </sheetData>
      <sheetData sheetId="1250">
        <row r="7">
          <cell r="E7" t="str">
            <v>PT. DANONE BISCUITS INDONESIA</v>
          </cell>
        </row>
      </sheetData>
      <sheetData sheetId="1251">
        <row r="7">
          <cell r="E7" t="str">
            <v>PT. DANONE BISCUITS INDONESIA</v>
          </cell>
        </row>
      </sheetData>
      <sheetData sheetId="1252">
        <row r="7">
          <cell r="E7" t="str">
            <v>PT. DANONE BISCUITS INDONESIA</v>
          </cell>
        </row>
      </sheetData>
      <sheetData sheetId="1253">
        <row r="7">
          <cell r="E7" t="str">
            <v>PT. DANONE BISCUITS INDONESIA</v>
          </cell>
        </row>
      </sheetData>
      <sheetData sheetId="1254">
        <row r="7">
          <cell r="E7" t="str">
            <v>PT. DANONE BISCUITS INDONESIA</v>
          </cell>
        </row>
      </sheetData>
      <sheetData sheetId="1255">
        <row r="7">
          <cell r="E7" t="str">
            <v>PT. DANONE BISCUITS INDONESIA</v>
          </cell>
        </row>
      </sheetData>
      <sheetData sheetId="1256">
        <row r="7">
          <cell r="E7" t="str">
            <v>PT. DANONE BISCUITS INDONESIA</v>
          </cell>
        </row>
      </sheetData>
      <sheetData sheetId="1257">
        <row r="7">
          <cell r="E7" t="str">
            <v>PT. DANONE BISCUITS INDONESIA</v>
          </cell>
        </row>
      </sheetData>
      <sheetData sheetId="1258">
        <row r="7">
          <cell r="E7" t="str">
            <v>PT. DANONE BISCUITS INDONESIA</v>
          </cell>
        </row>
      </sheetData>
      <sheetData sheetId="1259">
        <row r="7">
          <cell r="E7" t="str">
            <v>PT. DANONE BISCUITS INDONESIA</v>
          </cell>
        </row>
      </sheetData>
      <sheetData sheetId="1260">
        <row r="7">
          <cell r="E7" t="str">
            <v>PT. DANONE BISCUITS INDONESIA</v>
          </cell>
        </row>
      </sheetData>
      <sheetData sheetId="1261">
        <row r="7">
          <cell r="E7" t="str">
            <v>PT. DANONE BISCUITS INDONESIA</v>
          </cell>
        </row>
      </sheetData>
      <sheetData sheetId="1262">
        <row r="7">
          <cell r="E7" t="str">
            <v>PT. DANONE BISCUITS INDONESIA</v>
          </cell>
        </row>
      </sheetData>
      <sheetData sheetId="1263">
        <row r="7">
          <cell r="E7" t="str">
            <v>PT. DANONE BISCUITS INDONESIA</v>
          </cell>
        </row>
      </sheetData>
      <sheetData sheetId="1264">
        <row r="7">
          <cell r="E7" t="str">
            <v>PT. DANONE BISCUITS INDONESIA</v>
          </cell>
        </row>
      </sheetData>
      <sheetData sheetId="1265">
        <row r="7">
          <cell r="E7" t="str">
            <v>PT. DANONE BISCUITS INDONESIA</v>
          </cell>
        </row>
      </sheetData>
      <sheetData sheetId="1266">
        <row r="7">
          <cell r="E7" t="str">
            <v>PT. DANONE BISCUITS INDONESIA</v>
          </cell>
        </row>
      </sheetData>
      <sheetData sheetId="1267">
        <row r="7">
          <cell r="E7" t="str">
            <v>PT. DANONE BISCUITS INDONESIA</v>
          </cell>
        </row>
      </sheetData>
      <sheetData sheetId="1268">
        <row r="7">
          <cell r="E7" t="str">
            <v>PT. DANONE BISCUITS INDONESIA</v>
          </cell>
        </row>
      </sheetData>
      <sheetData sheetId="1269">
        <row r="7">
          <cell r="E7" t="str">
            <v>PT. DANONE BISCUITS INDONESIA</v>
          </cell>
        </row>
      </sheetData>
      <sheetData sheetId="1270">
        <row r="7">
          <cell r="E7" t="str">
            <v>PT. DANONE BISCUITS INDONESIA</v>
          </cell>
        </row>
      </sheetData>
      <sheetData sheetId="1271">
        <row r="7">
          <cell r="E7" t="str">
            <v>PT. DANONE BISCUITS INDONESIA</v>
          </cell>
        </row>
      </sheetData>
      <sheetData sheetId="1272">
        <row r="7">
          <cell r="E7" t="str">
            <v>PT. DANONE BISCUITS INDONESIA</v>
          </cell>
        </row>
      </sheetData>
      <sheetData sheetId="1273">
        <row r="7">
          <cell r="E7" t="str">
            <v>PT. DANONE BISCUITS INDONESIA</v>
          </cell>
        </row>
      </sheetData>
      <sheetData sheetId="1274">
        <row r="7">
          <cell r="E7" t="str">
            <v>PT. DANONE BISCUITS INDONESIA</v>
          </cell>
        </row>
      </sheetData>
      <sheetData sheetId="1275">
        <row r="7">
          <cell r="E7" t="str">
            <v>PT. DANONE BISCUITS INDONESIA</v>
          </cell>
        </row>
      </sheetData>
      <sheetData sheetId="1276">
        <row r="7">
          <cell r="E7" t="str">
            <v>PT. DANONE BISCUITS INDONESIA</v>
          </cell>
        </row>
      </sheetData>
      <sheetData sheetId="1277">
        <row r="7">
          <cell r="E7" t="str">
            <v>PT. DANONE BISCUITS INDONESIA</v>
          </cell>
        </row>
      </sheetData>
      <sheetData sheetId="1278">
        <row r="7">
          <cell r="E7" t="str">
            <v>PT. DANONE BISCUITS INDONESIA</v>
          </cell>
        </row>
      </sheetData>
      <sheetData sheetId="1279">
        <row r="7">
          <cell r="E7" t="str">
            <v>PT. DANONE BISCUITS INDONESIA</v>
          </cell>
        </row>
      </sheetData>
      <sheetData sheetId="1280">
        <row r="7">
          <cell r="E7" t="str">
            <v>PT. DANONE BISCUITS INDONESIA</v>
          </cell>
        </row>
      </sheetData>
      <sheetData sheetId="1281">
        <row r="7">
          <cell r="E7" t="str">
            <v>PT. DANONE BISCUITS INDONESIA</v>
          </cell>
        </row>
      </sheetData>
      <sheetData sheetId="1282">
        <row r="7">
          <cell r="E7" t="str">
            <v>PT. DANONE BISCUITS INDONESIA</v>
          </cell>
        </row>
      </sheetData>
      <sheetData sheetId="1283">
        <row r="7">
          <cell r="E7" t="str">
            <v>PT. DANONE BISCUITS INDONESIA</v>
          </cell>
        </row>
      </sheetData>
      <sheetData sheetId="1284">
        <row r="7">
          <cell r="E7" t="str">
            <v>PT. DANONE BISCUITS INDONESIA</v>
          </cell>
        </row>
      </sheetData>
      <sheetData sheetId="1285">
        <row r="7">
          <cell r="E7" t="str">
            <v>PT. DANONE BISCUITS INDONESIA</v>
          </cell>
        </row>
      </sheetData>
      <sheetData sheetId="1286">
        <row r="7">
          <cell r="E7" t="str">
            <v>PT. DANONE BISCUITS INDONESIA</v>
          </cell>
        </row>
      </sheetData>
      <sheetData sheetId="1287">
        <row r="7">
          <cell r="E7" t="str">
            <v>PT. DANONE BISCUITS INDONESIA</v>
          </cell>
        </row>
      </sheetData>
      <sheetData sheetId="1288">
        <row r="7">
          <cell r="E7" t="str">
            <v>PT. DANONE BISCUITS INDONESIA</v>
          </cell>
        </row>
      </sheetData>
      <sheetData sheetId="1289">
        <row r="7">
          <cell r="E7" t="str">
            <v>PT. DANONE BISCUITS INDONESIA</v>
          </cell>
        </row>
      </sheetData>
      <sheetData sheetId="1290">
        <row r="7">
          <cell r="E7" t="str">
            <v>PT. DANONE BISCUITS INDONESIA</v>
          </cell>
        </row>
      </sheetData>
      <sheetData sheetId="1291">
        <row r="7">
          <cell r="E7" t="str">
            <v>PT. DANONE BISCUITS INDONESIA</v>
          </cell>
        </row>
      </sheetData>
      <sheetData sheetId="1292">
        <row r="7">
          <cell r="E7" t="str">
            <v>PT. DANONE BISCUITS INDONESIA</v>
          </cell>
        </row>
      </sheetData>
      <sheetData sheetId="1293">
        <row r="7">
          <cell r="E7" t="str">
            <v>PT. DANONE BISCUITS INDONESIA</v>
          </cell>
        </row>
      </sheetData>
      <sheetData sheetId="1294">
        <row r="7">
          <cell r="E7" t="str">
            <v>PT. DANONE BISCUITS INDONESIA</v>
          </cell>
        </row>
      </sheetData>
      <sheetData sheetId="1295">
        <row r="7">
          <cell r="E7" t="str">
            <v>PT. DANONE BISCUITS INDONESIA</v>
          </cell>
        </row>
      </sheetData>
      <sheetData sheetId="1296">
        <row r="7">
          <cell r="E7" t="str">
            <v>PT. DANONE BISCUITS INDONESIA</v>
          </cell>
        </row>
      </sheetData>
      <sheetData sheetId="1297">
        <row r="7">
          <cell r="E7" t="str">
            <v>PT. DANONE BISCUITS INDONESIA</v>
          </cell>
        </row>
      </sheetData>
      <sheetData sheetId="1298">
        <row r="7">
          <cell r="E7" t="str">
            <v>PT. DANONE BISCUITS INDONESIA</v>
          </cell>
        </row>
      </sheetData>
      <sheetData sheetId="1299">
        <row r="7">
          <cell r="E7" t="str">
            <v>PT. DANONE BISCUITS INDONESIA</v>
          </cell>
        </row>
      </sheetData>
      <sheetData sheetId="1300">
        <row r="7">
          <cell r="E7" t="str">
            <v>PT. DANONE BISCUITS INDONESIA</v>
          </cell>
        </row>
      </sheetData>
      <sheetData sheetId="1301">
        <row r="7">
          <cell r="E7" t="str">
            <v>PT. DANONE BISCUITS INDONESIA</v>
          </cell>
        </row>
      </sheetData>
      <sheetData sheetId="1302">
        <row r="7">
          <cell r="E7" t="str">
            <v>PT. DANONE BISCUITS INDONESIA</v>
          </cell>
        </row>
      </sheetData>
      <sheetData sheetId="1303">
        <row r="7">
          <cell r="E7" t="str">
            <v>PT. DANONE BISCUITS INDONESIA</v>
          </cell>
        </row>
      </sheetData>
      <sheetData sheetId="1304">
        <row r="7">
          <cell r="E7" t="str">
            <v>PT. DANONE BISCUITS INDONESIA</v>
          </cell>
        </row>
      </sheetData>
      <sheetData sheetId="1305">
        <row r="7">
          <cell r="E7" t="str">
            <v>PT. DANONE BISCUITS INDONESIA</v>
          </cell>
        </row>
      </sheetData>
      <sheetData sheetId="1306">
        <row r="7">
          <cell r="E7" t="str">
            <v>PT. DANONE BISCUITS INDONESIA</v>
          </cell>
        </row>
      </sheetData>
      <sheetData sheetId="1307">
        <row r="7">
          <cell r="E7" t="str">
            <v>PT. DANONE BISCUITS INDONESIA</v>
          </cell>
        </row>
      </sheetData>
      <sheetData sheetId="1308">
        <row r="7">
          <cell r="E7" t="str">
            <v>PT. DANONE BISCUITS INDONESIA</v>
          </cell>
        </row>
      </sheetData>
      <sheetData sheetId="1309">
        <row r="7">
          <cell r="E7" t="str">
            <v>PT. DANONE BISCUITS INDONESIA</v>
          </cell>
        </row>
      </sheetData>
      <sheetData sheetId="1310">
        <row r="7">
          <cell r="E7" t="str">
            <v>PT. DANONE BISCUITS INDONESIA</v>
          </cell>
        </row>
      </sheetData>
      <sheetData sheetId="1311">
        <row r="7">
          <cell r="E7" t="str">
            <v>PT. DANONE BISCUITS INDONESIA</v>
          </cell>
        </row>
      </sheetData>
      <sheetData sheetId="1312">
        <row r="7">
          <cell r="E7" t="str">
            <v>PT. DANONE BISCUITS INDONESIA</v>
          </cell>
        </row>
      </sheetData>
      <sheetData sheetId="1313">
        <row r="7">
          <cell r="E7" t="str">
            <v>PT. DANONE BISCUITS INDONESIA</v>
          </cell>
        </row>
      </sheetData>
      <sheetData sheetId="1314">
        <row r="7">
          <cell r="E7" t="str">
            <v>PT. DANONE BISCUITS INDONESIA</v>
          </cell>
        </row>
      </sheetData>
      <sheetData sheetId="1315">
        <row r="7">
          <cell r="E7" t="str">
            <v>PT. DANONE BISCUITS INDONESIA</v>
          </cell>
        </row>
      </sheetData>
      <sheetData sheetId="1316">
        <row r="7">
          <cell r="E7" t="str">
            <v>PT. DANONE BISCUITS INDONESIA</v>
          </cell>
        </row>
      </sheetData>
      <sheetData sheetId="1317">
        <row r="7">
          <cell r="E7" t="str">
            <v>PT. DANONE BISCUITS INDONESIA</v>
          </cell>
        </row>
      </sheetData>
      <sheetData sheetId="1318">
        <row r="7">
          <cell r="E7" t="str">
            <v>PT. DANONE BISCUITS INDONESIA</v>
          </cell>
        </row>
      </sheetData>
      <sheetData sheetId="1319">
        <row r="7">
          <cell r="E7" t="str">
            <v>PT. DANONE BISCUITS INDONESIA</v>
          </cell>
        </row>
      </sheetData>
      <sheetData sheetId="1320">
        <row r="7">
          <cell r="E7" t="str">
            <v>PT. DANONE BISCUITS INDONESIA</v>
          </cell>
        </row>
      </sheetData>
      <sheetData sheetId="1321">
        <row r="7">
          <cell r="E7" t="str">
            <v>PT. DANONE BISCUITS INDONESIA</v>
          </cell>
        </row>
      </sheetData>
      <sheetData sheetId="1322">
        <row r="7">
          <cell r="E7" t="str">
            <v>PT. DANONE BISCUITS INDONESIA</v>
          </cell>
        </row>
      </sheetData>
      <sheetData sheetId="1323">
        <row r="7">
          <cell r="E7" t="str">
            <v>PT. DANONE BISCUITS INDONESIA</v>
          </cell>
        </row>
      </sheetData>
      <sheetData sheetId="1324">
        <row r="7">
          <cell r="E7" t="str">
            <v>PT. DANONE BISCUITS INDONESIA</v>
          </cell>
        </row>
      </sheetData>
      <sheetData sheetId="1325">
        <row r="7">
          <cell r="E7" t="str">
            <v>PT. DANONE BISCUITS INDONESIA</v>
          </cell>
        </row>
      </sheetData>
      <sheetData sheetId="1326">
        <row r="7">
          <cell r="E7" t="str">
            <v>PT. DANONE BISCUITS INDONESIA</v>
          </cell>
        </row>
      </sheetData>
      <sheetData sheetId="1327">
        <row r="7">
          <cell r="E7" t="str">
            <v>PT. DANONE BISCUITS INDONESIA</v>
          </cell>
        </row>
      </sheetData>
      <sheetData sheetId="1328">
        <row r="7">
          <cell r="E7" t="str">
            <v>PT. DANONE BISCUITS INDONESIA</v>
          </cell>
        </row>
      </sheetData>
      <sheetData sheetId="1329">
        <row r="7">
          <cell r="E7" t="str">
            <v>PT. DANONE BISCUITS INDONESIA</v>
          </cell>
        </row>
      </sheetData>
      <sheetData sheetId="1330">
        <row r="7">
          <cell r="E7" t="str">
            <v>PT. DANONE BISCUITS INDONESIA</v>
          </cell>
        </row>
      </sheetData>
      <sheetData sheetId="1331">
        <row r="7">
          <cell r="E7" t="str">
            <v>PT. DANONE BISCUITS INDONESIA</v>
          </cell>
        </row>
      </sheetData>
      <sheetData sheetId="1332">
        <row r="7">
          <cell r="E7" t="str">
            <v>PT. DANONE BISCUITS INDONESIA</v>
          </cell>
        </row>
      </sheetData>
      <sheetData sheetId="1333">
        <row r="7">
          <cell r="E7" t="str">
            <v>PT. DANONE BISCUITS INDONESIA</v>
          </cell>
        </row>
      </sheetData>
      <sheetData sheetId="1334">
        <row r="7">
          <cell r="E7" t="str">
            <v>PT. DANONE BISCUITS INDONESIA</v>
          </cell>
        </row>
      </sheetData>
      <sheetData sheetId="1335">
        <row r="7">
          <cell r="E7" t="str">
            <v>PT. DANONE BISCUITS INDONESIA</v>
          </cell>
        </row>
      </sheetData>
      <sheetData sheetId="1336">
        <row r="7">
          <cell r="E7" t="str">
            <v>PT. DANONE BISCUITS INDONESIA</v>
          </cell>
        </row>
      </sheetData>
      <sheetData sheetId="1337">
        <row r="7">
          <cell r="E7" t="str">
            <v>PT. DANONE BISCUITS INDONESIA</v>
          </cell>
        </row>
      </sheetData>
      <sheetData sheetId="1338">
        <row r="7">
          <cell r="E7" t="str">
            <v>PT. DANONE BISCUITS INDONESIA</v>
          </cell>
        </row>
      </sheetData>
      <sheetData sheetId="1339">
        <row r="7">
          <cell r="E7" t="str">
            <v>PT. DANONE BISCUITS INDONESIA</v>
          </cell>
        </row>
      </sheetData>
      <sheetData sheetId="1340">
        <row r="7">
          <cell r="E7" t="str">
            <v>PT. DANONE BISCUITS INDONESIA</v>
          </cell>
        </row>
      </sheetData>
      <sheetData sheetId="1341">
        <row r="7">
          <cell r="E7" t="str">
            <v>PT. DANONE BISCUITS INDONESIA</v>
          </cell>
        </row>
      </sheetData>
      <sheetData sheetId="1342">
        <row r="7">
          <cell r="E7" t="str">
            <v>PT. DANONE BISCUITS INDONESIA</v>
          </cell>
        </row>
      </sheetData>
      <sheetData sheetId="1343">
        <row r="7">
          <cell r="E7" t="str">
            <v>PT. DANONE BISCUITS INDONESIA</v>
          </cell>
        </row>
      </sheetData>
      <sheetData sheetId="1344">
        <row r="7">
          <cell r="E7" t="str">
            <v>PT. DANONE BISCUITS INDONESIA</v>
          </cell>
        </row>
      </sheetData>
      <sheetData sheetId="1345">
        <row r="7">
          <cell r="E7" t="str">
            <v>PT. DANONE BISCUITS INDONESIA</v>
          </cell>
        </row>
      </sheetData>
      <sheetData sheetId="1346">
        <row r="7">
          <cell r="E7" t="str">
            <v>PT. DANONE BISCUITS INDONESIA</v>
          </cell>
        </row>
      </sheetData>
      <sheetData sheetId="1347">
        <row r="7">
          <cell r="E7" t="str">
            <v>PT. DANONE BISCUITS INDONESIA</v>
          </cell>
        </row>
      </sheetData>
      <sheetData sheetId="1348">
        <row r="7">
          <cell r="E7" t="str">
            <v>PT. DANONE BISCUITS INDONESIA</v>
          </cell>
        </row>
      </sheetData>
      <sheetData sheetId="1349">
        <row r="7">
          <cell r="E7" t="str">
            <v>PT. DANONE BISCUITS INDONESIA</v>
          </cell>
        </row>
      </sheetData>
      <sheetData sheetId="1350">
        <row r="7">
          <cell r="E7" t="str">
            <v>PT. DANONE BISCUITS INDONESIA</v>
          </cell>
        </row>
      </sheetData>
      <sheetData sheetId="1351">
        <row r="7">
          <cell r="E7" t="str">
            <v>PT. DANONE BISCUITS INDONESIA</v>
          </cell>
        </row>
      </sheetData>
      <sheetData sheetId="1352">
        <row r="7">
          <cell r="E7" t="str">
            <v>PT. DANONE BISCUITS INDONESIA</v>
          </cell>
        </row>
      </sheetData>
      <sheetData sheetId="1353">
        <row r="7">
          <cell r="E7" t="str">
            <v>PT. DANONE BISCUITS INDONESIA</v>
          </cell>
        </row>
      </sheetData>
      <sheetData sheetId="1354">
        <row r="7">
          <cell r="E7" t="str">
            <v>PT. DANONE BISCUITS INDONESIA</v>
          </cell>
        </row>
      </sheetData>
      <sheetData sheetId="1355">
        <row r="7">
          <cell r="E7" t="str">
            <v>PT. DANONE BISCUITS INDONESIA</v>
          </cell>
        </row>
      </sheetData>
      <sheetData sheetId="1356">
        <row r="7">
          <cell r="E7" t="str">
            <v>PT. DANONE BISCUITS INDONESIA</v>
          </cell>
        </row>
      </sheetData>
      <sheetData sheetId="1357">
        <row r="7">
          <cell r="E7" t="str">
            <v>PT. DANONE BISCUITS INDONESIA</v>
          </cell>
        </row>
      </sheetData>
      <sheetData sheetId="1358">
        <row r="7">
          <cell r="E7" t="str">
            <v>PT. DANONE BISCUITS INDONESIA</v>
          </cell>
        </row>
      </sheetData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>
        <row r="7">
          <cell r="E7" t="str">
            <v>PT. DANONE BISCUITS INDONESIA</v>
          </cell>
        </row>
      </sheetData>
      <sheetData sheetId="1373">
        <row r="7">
          <cell r="E7" t="str">
            <v>PT. DANONE BISCUITS INDONESIA</v>
          </cell>
        </row>
      </sheetData>
      <sheetData sheetId="1374">
        <row r="7">
          <cell r="E7" t="str">
            <v>PT. DANONE BISCUITS INDONESIA</v>
          </cell>
        </row>
      </sheetData>
      <sheetData sheetId="1375">
        <row r="7">
          <cell r="E7" t="str">
            <v>PT. DANONE BISCUITS INDONESIA</v>
          </cell>
        </row>
      </sheetData>
      <sheetData sheetId="1376">
        <row r="7">
          <cell r="E7" t="str">
            <v>PT. DANONE BISCUITS INDONESIA</v>
          </cell>
        </row>
      </sheetData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>
        <row r="7">
          <cell r="E7" t="str">
            <v>PT. DANONE BISCUITS INDONESIA</v>
          </cell>
        </row>
      </sheetData>
      <sheetData sheetId="1568">
        <row r="7">
          <cell r="E7" t="str">
            <v>PT. DANONE BISCUITS INDONESIA</v>
          </cell>
        </row>
      </sheetData>
      <sheetData sheetId="1569">
        <row r="7">
          <cell r="E7" t="str">
            <v>PT. DANONE BISCUITS INDONESIA</v>
          </cell>
        </row>
      </sheetData>
      <sheetData sheetId="1570">
        <row r="7">
          <cell r="E7" t="str">
            <v>PT. DANONE BISCUITS INDONESIA</v>
          </cell>
        </row>
      </sheetData>
      <sheetData sheetId="1571">
        <row r="7">
          <cell r="E7" t="str">
            <v>PT. DANONE BISCUITS INDONESIA</v>
          </cell>
        </row>
      </sheetData>
      <sheetData sheetId="1572">
        <row r="7">
          <cell r="E7" t="str">
            <v>PT. DANONE BISCUITS INDONESIA</v>
          </cell>
        </row>
      </sheetData>
      <sheetData sheetId="1573">
        <row r="7">
          <cell r="E7" t="str">
            <v>PT. DANONE BISCUITS INDONESIA</v>
          </cell>
        </row>
      </sheetData>
      <sheetData sheetId="1574">
        <row r="7">
          <cell r="E7" t="str">
            <v>PT. DANONE BISCUITS INDONESIA</v>
          </cell>
        </row>
      </sheetData>
      <sheetData sheetId="1575">
        <row r="7">
          <cell r="E7" t="str">
            <v>PT. DANONE BISCUITS INDONESIA</v>
          </cell>
        </row>
      </sheetData>
      <sheetData sheetId="1576">
        <row r="7">
          <cell r="E7" t="str">
            <v>PT. DANONE BISCUITS INDONESIA</v>
          </cell>
        </row>
      </sheetData>
      <sheetData sheetId="1577">
        <row r="7">
          <cell r="E7" t="str">
            <v>PT. DANONE BISCUITS INDONESIA</v>
          </cell>
        </row>
      </sheetData>
      <sheetData sheetId="1578">
        <row r="7">
          <cell r="E7" t="str">
            <v>PT. DANONE BISCUITS INDONESIA</v>
          </cell>
        </row>
      </sheetData>
      <sheetData sheetId="1579">
        <row r="7">
          <cell r="E7" t="str">
            <v>PT. DANONE BISCUITS INDONESIA</v>
          </cell>
        </row>
      </sheetData>
      <sheetData sheetId="1580">
        <row r="7">
          <cell r="E7" t="str">
            <v>PT. DANONE BISCUITS INDONESIA</v>
          </cell>
        </row>
      </sheetData>
      <sheetData sheetId="1581">
        <row r="7">
          <cell r="E7" t="str">
            <v>PT. DANONE BISCUITS INDONESIA</v>
          </cell>
        </row>
      </sheetData>
      <sheetData sheetId="1582">
        <row r="7">
          <cell r="E7" t="str">
            <v>PT. DANONE BISCUITS INDONESIA</v>
          </cell>
        </row>
      </sheetData>
      <sheetData sheetId="1583">
        <row r="7">
          <cell r="E7" t="str">
            <v>PT. DANONE BISCUITS INDONESIA</v>
          </cell>
        </row>
      </sheetData>
      <sheetData sheetId="1584">
        <row r="7">
          <cell r="E7" t="str">
            <v>PT. DANONE BISCUITS INDONESIA</v>
          </cell>
        </row>
      </sheetData>
      <sheetData sheetId="1585">
        <row r="7">
          <cell r="E7" t="str">
            <v>PT. DANONE BISCUITS INDONESIA</v>
          </cell>
        </row>
      </sheetData>
      <sheetData sheetId="1586">
        <row r="7">
          <cell r="E7" t="str">
            <v>PT. DANONE BISCUITS INDONESIA</v>
          </cell>
        </row>
      </sheetData>
      <sheetData sheetId="1587">
        <row r="7">
          <cell r="E7" t="str">
            <v>PT. DANONE BISCUITS INDONESIA</v>
          </cell>
        </row>
      </sheetData>
      <sheetData sheetId="1588">
        <row r="7">
          <cell r="E7" t="str">
            <v>PT. DANONE BISCUITS INDONESIA</v>
          </cell>
        </row>
      </sheetData>
      <sheetData sheetId="1589">
        <row r="7">
          <cell r="E7" t="str">
            <v>PT. DANONE BISCUITS INDONESIA</v>
          </cell>
        </row>
      </sheetData>
      <sheetData sheetId="1590">
        <row r="7">
          <cell r="E7" t="str">
            <v>PT. DANONE BISCUITS INDONESIA</v>
          </cell>
        </row>
      </sheetData>
      <sheetData sheetId="1591">
        <row r="7">
          <cell r="E7" t="str">
            <v>PT. DANONE BISCUITS INDONESIA</v>
          </cell>
        </row>
      </sheetData>
      <sheetData sheetId="1592">
        <row r="7">
          <cell r="E7" t="str">
            <v>PT. DANONE BISCUITS INDONESIA</v>
          </cell>
        </row>
      </sheetData>
      <sheetData sheetId="1593">
        <row r="7">
          <cell r="E7" t="str">
            <v>PT. DANONE BISCUITS INDONESIA</v>
          </cell>
        </row>
      </sheetData>
      <sheetData sheetId="1594">
        <row r="7">
          <cell r="E7" t="str">
            <v>PT. DANONE BISCUITS INDONESIA</v>
          </cell>
        </row>
      </sheetData>
      <sheetData sheetId="1595">
        <row r="7">
          <cell r="E7" t="str">
            <v>PT. DANONE BISCUITS INDONESIA</v>
          </cell>
        </row>
      </sheetData>
      <sheetData sheetId="1596">
        <row r="7">
          <cell r="E7" t="str">
            <v>PT. DANONE BISCUITS INDONESIA</v>
          </cell>
        </row>
      </sheetData>
      <sheetData sheetId="1597">
        <row r="7">
          <cell r="E7" t="str">
            <v>PT. DANONE BISCUITS INDONESIA</v>
          </cell>
        </row>
      </sheetData>
      <sheetData sheetId="1598">
        <row r="7">
          <cell r="E7" t="str">
            <v>PT. DANONE BISCUITS INDONESIA</v>
          </cell>
        </row>
      </sheetData>
      <sheetData sheetId="1599">
        <row r="7">
          <cell r="E7" t="str">
            <v>PT. DANONE BISCUITS INDONESIA</v>
          </cell>
        </row>
      </sheetData>
      <sheetData sheetId="1600">
        <row r="7">
          <cell r="E7" t="str">
            <v>PT. DANONE BISCUITS INDONESIA</v>
          </cell>
        </row>
      </sheetData>
      <sheetData sheetId="1601">
        <row r="7">
          <cell r="E7" t="str">
            <v>PT. DANONE BISCUITS INDONESIA</v>
          </cell>
        </row>
      </sheetData>
      <sheetData sheetId="1602">
        <row r="7">
          <cell r="E7" t="str">
            <v>PT. DANONE BISCUITS INDONESIA</v>
          </cell>
        </row>
      </sheetData>
      <sheetData sheetId="1603">
        <row r="7">
          <cell r="E7" t="str">
            <v>PT. DANONE BISCUITS INDONESIA</v>
          </cell>
        </row>
      </sheetData>
      <sheetData sheetId="1604">
        <row r="7">
          <cell r="E7" t="str">
            <v>PT. DANONE BISCUITS INDONESIA</v>
          </cell>
        </row>
      </sheetData>
      <sheetData sheetId="1605">
        <row r="7">
          <cell r="E7" t="str">
            <v>PT. DANONE BISCUITS INDONESIA</v>
          </cell>
        </row>
      </sheetData>
      <sheetData sheetId="1606">
        <row r="7">
          <cell r="E7" t="str">
            <v>PT. DANONE BISCUITS INDONESIA</v>
          </cell>
        </row>
      </sheetData>
      <sheetData sheetId="1607">
        <row r="7">
          <cell r="E7" t="str">
            <v>PT. DANONE BISCUITS INDONESIA</v>
          </cell>
        </row>
      </sheetData>
      <sheetData sheetId="1608">
        <row r="7">
          <cell r="E7" t="str">
            <v>PT. DANONE BISCUITS INDONESIA</v>
          </cell>
        </row>
      </sheetData>
      <sheetData sheetId="1609">
        <row r="7">
          <cell r="E7" t="str">
            <v>PT. DANONE BISCUITS INDONESIA</v>
          </cell>
        </row>
      </sheetData>
      <sheetData sheetId="1610">
        <row r="7">
          <cell r="E7" t="str">
            <v>PT. DANONE BISCUITS INDONESIA</v>
          </cell>
        </row>
      </sheetData>
      <sheetData sheetId="1611">
        <row r="7">
          <cell r="E7" t="str">
            <v>PT. DANONE BISCUITS INDONESIA</v>
          </cell>
        </row>
      </sheetData>
      <sheetData sheetId="1612">
        <row r="7">
          <cell r="E7" t="str">
            <v>PT. DANONE BISCUITS INDONESIA</v>
          </cell>
        </row>
      </sheetData>
      <sheetData sheetId="1613">
        <row r="7">
          <cell r="E7" t="str">
            <v>PT. DANONE BISCUITS INDONESIA</v>
          </cell>
        </row>
      </sheetData>
      <sheetData sheetId="1614">
        <row r="7">
          <cell r="E7" t="str">
            <v>PT. DANONE BISCUITS INDONESIA</v>
          </cell>
        </row>
      </sheetData>
      <sheetData sheetId="1615">
        <row r="7">
          <cell r="E7" t="str">
            <v>PT. DANONE BISCUITS INDONESIA</v>
          </cell>
        </row>
      </sheetData>
      <sheetData sheetId="1616">
        <row r="7">
          <cell r="E7" t="str">
            <v>PT. DANONE BISCUITS INDONESIA</v>
          </cell>
        </row>
      </sheetData>
      <sheetData sheetId="1617">
        <row r="7">
          <cell r="E7" t="str">
            <v>PT. DANONE BISCUITS INDONESIA</v>
          </cell>
        </row>
      </sheetData>
      <sheetData sheetId="1618">
        <row r="7">
          <cell r="E7" t="str">
            <v>PT. DANONE BISCUITS INDONESIA</v>
          </cell>
        </row>
      </sheetData>
      <sheetData sheetId="1619">
        <row r="7">
          <cell r="E7" t="str">
            <v>PT. DANONE BISCUITS INDONESIA</v>
          </cell>
        </row>
      </sheetData>
      <sheetData sheetId="1620">
        <row r="7">
          <cell r="E7" t="str">
            <v>PT. DANONE BISCUITS INDONESIA</v>
          </cell>
        </row>
      </sheetData>
      <sheetData sheetId="1621">
        <row r="7">
          <cell r="E7" t="str">
            <v>PT. DANONE BISCUITS INDONESIA</v>
          </cell>
        </row>
      </sheetData>
      <sheetData sheetId="1622">
        <row r="7">
          <cell r="E7" t="str">
            <v>PT. DANONE BISCUITS INDONESIA</v>
          </cell>
        </row>
      </sheetData>
      <sheetData sheetId="1623">
        <row r="7">
          <cell r="E7" t="str">
            <v>PT. DANONE BISCUITS INDONESIA</v>
          </cell>
        </row>
      </sheetData>
      <sheetData sheetId="1624">
        <row r="7">
          <cell r="E7" t="str">
            <v>PT. DANONE BISCUITS INDONESIA</v>
          </cell>
        </row>
      </sheetData>
      <sheetData sheetId="1625">
        <row r="7">
          <cell r="E7" t="str">
            <v>PT. DANONE BISCUITS INDONESIA</v>
          </cell>
        </row>
      </sheetData>
      <sheetData sheetId="1626">
        <row r="7">
          <cell r="E7" t="str">
            <v>PT. DANONE BISCUITS INDONESIA</v>
          </cell>
        </row>
      </sheetData>
      <sheetData sheetId="1627">
        <row r="7">
          <cell r="E7" t="str">
            <v>PT. DANONE BISCUITS INDONESIA</v>
          </cell>
        </row>
      </sheetData>
      <sheetData sheetId="1628">
        <row r="7">
          <cell r="E7" t="str">
            <v>PT. DANONE BISCUITS INDONESIA</v>
          </cell>
        </row>
      </sheetData>
      <sheetData sheetId="1629">
        <row r="7">
          <cell r="E7" t="str">
            <v>PT. DANONE BISCUITS INDONESIA</v>
          </cell>
        </row>
      </sheetData>
      <sheetData sheetId="1630">
        <row r="7">
          <cell r="E7" t="str">
            <v>PT. DANONE BISCUITS INDONESIA</v>
          </cell>
        </row>
      </sheetData>
      <sheetData sheetId="1631">
        <row r="7">
          <cell r="E7" t="str">
            <v>PT. DANONE BISCUITS INDONESIA</v>
          </cell>
        </row>
      </sheetData>
      <sheetData sheetId="1632">
        <row r="7">
          <cell r="E7" t="str">
            <v>PT. DANONE BISCUITS INDONESIA</v>
          </cell>
        </row>
      </sheetData>
      <sheetData sheetId="1633">
        <row r="7">
          <cell r="E7" t="str">
            <v>PT. DANONE BISCUITS INDONESIA</v>
          </cell>
        </row>
      </sheetData>
      <sheetData sheetId="1634">
        <row r="7">
          <cell r="E7" t="str">
            <v>PT. DANONE BISCUITS INDONESIA</v>
          </cell>
        </row>
      </sheetData>
      <sheetData sheetId="1635">
        <row r="7">
          <cell r="E7" t="str">
            <v>PT. DANONE BISCUITS INDONESIA</v>
          </cell>
        </row>
      </sheetData>
      <sheetData sheetId="1636">
        <row r="7">
          <cell r="E7" t="str">
            <v>PT. DANONE BISCUITS INDONESIA</v>
          </cell>
        </row>
      </sheetData>
      <sheetData sheetId="1637">
        <row r="7">
          <cell r="E7" t="str">
            <v>PT. DANONE BISCUITS INDONESIA</v>
          </cell>
        </row>
      </sheetData>
      <sheetData sheetId="1638">
        <row r="7">
          <cell r="E7" t="str">
            <v>PT. DANONE BISCUITS INDONESIA</v>
          </cell>
        </row>
      </sheetData>
      <sheetData sheetId="1639">
        <row r="7">
          <cell r="E7" t="str">
            <v>PT. DANONE BISCUITS INDONESIA</v>
          </cell>
        </row>
      </sheetData>
      <sheetData sheetId="1640">
        <row r="7">
          <cell r="E7" t="str">
            <v>PT. DANONE BISCUITS INDONESIA</v>
          </cell>
        </row>
      </sheetData>
      <sheetData sheetId="1641">
        <row r="7">
          <cell r="E7" t="str">
            <v>PT. DANONE BISCUITS INDONESIA</v>
          </cell>
        </row>
      </sheetData>
      <sheetData sheetId="1642">
        <row r="7">
          <cell r="E7" t="str">
            <v>PT. DANONE BISCUITS INDONESIA</v>
          </cell>
        </row>
      </sheetData>
      <sheetData sheetId="1643">
        <row r="7">
          <cell r="E7" t="str">
            <v>PT. DANONE BISCUITS INDONESIA</v>
          </cell>
        </row>
      </sheetData>
      <sheetData sheetId="1644">
        <row r="7">
          <cell r="E7" t="str">
            <v>PT. DANONE BISCUITS INDONESIA</v>
          </cell>
        </row>
      </sheetData>
      <sheetData sheetId="1645">
        <row r="7">
          <cell r="E7" t="str">
            <v>PT. DANONE BISCUITS INDONESIA</v>
          </cell>
        </row>
      </sheetData>
      <sheetData sheetId="1646">
        <row r="7">
          <cell r="E7" t="str">
            <v>PT. DANONE BISCUITS INDONESIA</v>
          </cell>
        </row>
      </sheetData>
      <sheetData sheetId="1647">
        <row r="7">
          <cell r="E7" t="str">
            <v>PT. DANONE BISCUITS INDONESIA</v>
          </cell>
        </row>
      </sheetData>
      <sheetData sheetId="1648">
        <row r="7">
          <cell r="E7" t="str">
            <v>PT. DANONE BISCUITS INDONESIA</v>
          </cell>
        </row>
      </sheetData>
      <sheetData sheetId="1649">
        <row r="7">
          <cell r="E7" t="str">
            <v>PT. DANONE BISCUITS INDONESIA</v>
          </cell>
        </row>
      </sheetData>
      <sheetData sheetId="1650">
        <row r="7">
          <cell r="E7" t="str">
            <v>PT. DANONE BISCUITS INDONESIA</v>
          </cell>
        </row>
      </sheetData>
      <sheetData sheetId="1651">
        <row r="7">
          <cell r="E7" t="str">
            <v>PT. DANONE BISCUITS INDONESIA</v>
          </cell>
        </row>
      </sheetData>
      <sheetData sheetId="1652">
        <row r="7">
          <cell r="E7" t="str">
            <v>PT. DANONE BISCUITS INDONESIA</v>
          </cell>
        </row>
      </sheetData>
      <sheetData sheetId="1653">
        <row r="7">
          <cell r="E7" t="str">
            <v>PT. DANONE BISCUITS INDONESIA</v>
          </cell>
        </row>
      </sheetData>
      <sheetData sheetId="1654">
        <row r="7">
          <cell r="E7" t="str">
            <v>PT. DANONE BISCUITS INDONESIA</v>
          </cell>
        </row>
      </sheetData>
      <sheetData sheetId="1655">
        <row r="7">
          <cell r="E7" t="str">
            <v>PT. DANONE BISCUITS INDONESIA</v>
          </cell>
        </row>
      </sheetData>
      <sheetData sheetId="1656">
        <row r="7">
          <cell r="E7" t="str">
            <v>PT. DANONE BISCUITS INDONESIA</v>
          </cell>
        </row>
      </sheetData>
      <sheetData sheetId="1657">
        <row r="7">
          <cell r="E7" t="str">
            <v>PT. DANONE BISCUITS INDONESIA</v>
          </cell>
        </row>
      </sheetData>
      <sheetData sheetId="1658">
        <row r="7">
          <cell r="E7" t="str">
            <v>PT. DANONE BISCUITS INDONESIA</v>
          </cell>
        </row>
      </sheetData>
      <sheetData sheetId="1659">
        <row r="7">
          <cell r="E7" t="str">
            <v>PT. DANONE BISCUITS INDONESIA</v>
          </cell>
        </row>
      </sheetData>
      <sheetData sheetId="1660">
        <row r="7">
          <cell r="E7" t="str">
            <v>PT. DANONE BISCUITS INDONESIA</v>
          </cell>
        </row>
      </sheetData>
      <sheetData sheetId="1661">
        <row r="7">
          <cell r="E7" t="str">
            <v>PT. DANONE BISCUITS INDONESIA</v>
          </cell>
        </row>
      </sheetData>
      <sheetData sheetId="1662">
        <row r="7">
          <cell r="E7" t="str">
            <v>PT. DANONE BISCUITS INDONESIA</v>
          </cell>
        </row>
      </sheetData>
      <sheetData sheetId="1663">
        <row r="7">
          <cell r="E7" t="str">
            <v>PT. DANONE BISCUITS INDONESIA</v>
          </cell>
        </row>
      </sheetData>
      <sheetData sheetId="1664">
        <row r="7">
          <cell r="E7" t="str">
            <v>PT. DANONE BISCUITS INDONESIA</v>
          </cell>
        </row>
      </sheetData>
      <sheetData sheetId="1665">
        <row r="7">
          <cell r="E7" t="str">
            <v>PT. DANONE BISCUITS INDONESIA</v>
          </cell>
        </row>
      </sheetData>
      <sheetData sheetId="1666">
        <row r="7">
          <cell r="E7" t="str">
            <v>PT. DANONE BISCUITS INDONESIA</v>
          </cell>
        </row>
      </sheetData>
      <sheetData sheetId="1667">
        <row r="7">
          <cell r="E7" t="str">
            <v>PT. DANONE BISCUITS INDONESIA</v>
          </cell>
        </row>
      </sheetData>
      <sheetData sheetId="1668">
        <row r="7">
          <cell r="E7" t="str">
            <v>PT. DANONE BISCUITS INDONESIA</v>
          </cell>
        </row>
      </sheetData>
      <sheetData sheetId="1669">
        <row r="7">
          <cell r="E7" t="str">
            <v>PT. DANONE BISCUITS INDONESIA</v>
          </cell>
        </row>
      </sheetData>
      <sheetData sheetId="1670">
        <row r="7">
          <cell r="E7" t="str">
            <v>PT. DANONE BISCUITS INDONESIA</v>
          </cell>
        </row>
      </sheetData>
      <sheetData sheetId="1671">
        <row r="7">
          <cell r="E7" t="str">
            <v>PT. DANONE BISCUITS INDONESIA</v>
          </cell>
        </row>
      </sheetData>
      <sheetData sheetId="1672">
        <row r="7">
          <cell r="E7" t="str">
            <v>PT. DANONE BISCUITS INDONESIA</v>
          </cell>
        </row>
      </sheetData>
      <sheetData sheetId="1673">
        <row r="7">
          <cell r="E7" t="str">
            <v>PT. DANONE BISCUITS INDONESIA</v>
          </cell>
        </row>
      </sheetData>
      <sheetData sheetId="1674">
        <row r="7">
          <cell r="E7" t="str">
            <v>PT. DANONE BISCUITS INDONESIA</v>
          </cell>
        </row>
      </sheetData>
      <sheetData sheetId="1675">
        <row r="7">
          <cell r="E7" t="str">
            <v>PT. DANONE BISCUITS INDONESIA</v>
          </cell>
        </row>
      </sheetData>
      <sheetData sheetId="1676">
        <row r="7">
          <cell r="E7" t="str">
            <v>PT. DANONE BISCUITS INDONESIA</v>
          </cell>
        </row>
      </sheetData>
      <sheetData sheetId="1677">
        <row r="7">
          <cell r="E7" t="str">
            <v>PT. DANONE BISCUITS INDONESIA</v>
          </cell>
        </row>
      </sheetData>
      <sheetData sheetId="1678">
        <row r="7">
          <cell r="E7" t="str">
            <v>PT. DANONE BISCUITS INDONESIA</v>
          </cell>
        </row>
      </sheetData>
      <sheetData sheetId="1679">
        <row r="7">
          <cell r="E7" t="str">
            <v>PT. DANONE BISCUITS INDONESIA</v>
          </cell>
        </row>
      </sheetData>
      <sheetData sheetId="1680">
        <row r="7">
          <cell r="E7" t="str">
            <v>PT. DANONE BISCUITS INDONESIA</v>
          </cell>
        </row>
      </sheetData>
      <sheetData sheetId="1681">
        <row r="7">
          <cell r="E7" t="str">
            <v>PT. DANONE BISCUITS INDONESIA</v>
          </cell>
        </row>
      </sheetData>
      <sheetData sheetId="1682">
        <row r="7">
          <cell r="E7" t="str">
            <v>PT. DANONE BISCUITS INDONESIA</v>
          </cell>
        </row>
      </sheetData>
      <sheetData sheetId="1683">
        <row r="7">
          <cell r="E7" t="str">
            <v>PT. DANONE BISCUITS INDONESIA</v>
          </cell>
        </row>
      </sheetData>
      <sheetData sheetId="1684">
        <row r="7">
          <cell r="E7" t="str">
            <v>PT. DANONE BISCUITS INDONESIA</v>
          </cell>
        </row>
      </sheetData>
      <sheetData sheetId="1685">
        <row r="7">
          <cell r="E7" t="str">
            <v>PT. DANONE BISCUITS INDONESIA</v>
          </cell>
        </row>
      </sheetData>
      <sheetData sheetId="1686">
        <row r="7">
          <cell r="E7" t="str">
            <v>PT. DANONE BISCUITS INDONESIA</v>
          </cell>
        </row>
      </sheetData>
      <sheetData sheetId="1687">
        <row r="7">
          <cell r="E7" t="str">
            <v>PT. DANONE BISCUITS INDONESIA</v>
          </cell>
        </row>
      </sheetData>
      <sheetData sheetId="1688">
        <row r="7">
          <cell r="E7" t="str">
            <v>PT. DANONE BISCUITS INDONESIA</v>
          </cell>
        </row>
      </sheetData>
      <sheetData sheetId="1689">
        <row r="7">
          <cell r="E7" t="str">
            <v>PT. DANONE BISCUITS INDONESIA</v>
          </cell>
        </row>
      </sheetData>
      <sheetData sheetId="1690">
        <row r="7">
          <cell r="E7" t="str">
            <v>PT. DANONE BISCUITS INDONESIA</v>
          </cell>
        </row>
      </sheetData>
      <sheetData sheetId="1691">
        <row r="7">
          <cell r="E7" t="str">
            <v>PT. DANONE BISCUITS INDONESIA</v>
          </cell>
        </row>
      </sheetData>
      <sheetData sheetId="1692">
        <row r="7">
          <cell r="E7" t="str">
            <v>PT. DANONE BISCUITS INDONESIA</v>
          </cell>
        </row>
      </sheetData>
      <sheetData sheetId="1693">
        <row r="7">
          <cell r="E7" t="str">
            <v>PT. DANONE BISCUITS INDONESIA</v>
          </cell>
        </row>
      </sheetData>
      <sheetData sheetId="1694">
        <row r="7">
          <cell r="E7" t="str">
            <v>PT. DANONE BISCUITS INDONESIA</v>
          </cell>
        </row>
      </sheetData>
      <sheetData sheetId="1695">
        <row r="7">
          <cell r="E7" t="str">
            <v>PT. DANONE BISCUITS INDONESIA</v>
          </cell>
        </row>
      </sheetData>
      <sheetData sheetId="1696">
        <row r="7">
          <cell r="E7" t="str">
            <v>PT. DANONE BISCUITS INDONESIA</v>
          </cell>
        </row>
      </sheetData>
      <sheetData sheetId="1697">
        <row r="7">
          <cell r="E7" t="str">
            <v>PT. DANONE BISCUITS INDONESIA</v>
          </cell>
        </row>
      </sheetData>
      <sheetData sheetId="1698">
        <row r="7">
          <cell r="E7" t="str">
            <v>PT. DANONE BISCUITS INDONESIA</v>
          </cell>
        </row>
      </sheetData>
      <sheetData sheetId="1699">
        <row r="7">
          <cell r="E7" t="str">
            <v>PT. DANONE BISCUITS INDONESIA</v>
          </cell>
        </row>
      </sheetData>
      <sheetData sheetId="1700">
        <row r="7">
          <cell r="E7" t="str">
            <v>PT. DANONE BISCUITS INDONESIA</v>
          </cell>
        </row>
      </sheetData>
      <sheetData sheetId="1701">
        <row r="7">
          <cell r="E7" t="str">
            <v>PT. DANONE BISCUITS INDONESIA</v>
          </cell>
        </row>
      </sheetData>
      <sheetData sheetId="1702">
        <row r="7">
          <cell r="E7" t="str">
            <v>PT. DANONE BISCUITS INDONESIA</v>
          </cell>
        </row>
      </sheetData>
      <sheetData sheetId="1703">
        <row r="7">
          <cell r="E7" t="str">
            <v>PT. DANONE BISCUITS INDONESIA</v>
          </cell>
        </row>
      </sheetData>
      <sheetData sheetId="1704">
        <row r="7">
          <cell r="E7" t="str">
            <v>PT. DANONE BISCUITS INDONESIA</v>
          </cell>
        </row>
      </sheetData>
      <sheetData sheetId="1705">
        <row r="7">
          <cell r="E7" t="str">
            <v>PT. DANONE BISCUITS INDONESIA</v>
          </cell>
        </row>
      </sheetData>
      <sheetData sheetId="1706">
        <row r="7">
          <cell r="E7" t="str">
            <v>PT. DANONE BISCUITS INDONESIA</v>
          </cell>
        </row>
      </sheetData>
      <sheetData sheetId="1707">
        <row r="7">
          <cell r="E7" t="str">
            <v>PT. DANONE BISCUITS INDONESIA</v>
          </cell>
        </row>
      </sheetData>
      <sheetData sheetId="1708">
        <row r="7">
          <cell r="E7" t="str">
            <v>PT. DANONE BISCUITS INDONESIA</v>
          </cell>
        </row>
      </sheetData>
      <sheetData sheetId="1709">
        <row r="7">
          <cell r="E7" t="str">
            <v>PT. DANONE BISCUITS INDONESIA</v>
          </cell>
        </row>
      </sheetData>
      <sheetData sheetId="1710">
        <row r="7">
          <cell r="E7" t="str">
            <v>PT. DANONE BISCUITS INDONESIA</v>
          </cell>
        </row>
      </sheetData>
      <sheetData sheetId="1711">
        <row r="7">
          <cell r="E7" t="str">
            <v>PT. DANONE BISCUITS INDONESIA</v>
          </cell>
        </row>
      </sheetData>
      <sheetData sheetId="1712">
        <row r="7">
          <cell r="E7" t="str">
            <v>PT. DANONE BISCUITS INDONESIA</v>
          </cell>
        </row>
      </sheetData>
      <sheetData sheetId="1713">
        <row r="7">
          <cell r="E7" t="str">
            <v>PT. DANONE BISCUITS INDONESIA</v>
          </cell>
        </row>
      </sheetData>
      <sheetData sheetId="1714">
        <row r="7">
          <cell r="E7" t="str">
            <v>PT. DANONE BISCUITS INDONESIA</v>
          </cell>
        </row>
      </sheetData>
      <sheetData sheetId="1715">
        <row r="7">
          <cell r="E7" t="str">
            <v>PT. DANONE BISCUITS INDONESIA</v>
          </cell>
        </row>
      </sheetData>
      <sheetData sheetId="1716">
        <row r="7">
          <cell r="E7" t="str">
            <v>PT. DANONE BISCUITS INDONESIA</v>
          </cell>
        </row>
      </sheetData>
      <sheetData sheetId="1717">
        <row r="7">
          <cell r="E7" t="str">
            <v>PT. DANONE BISCUITS INDONESIA</v>
          </cell>
        </row>
      </sheetData>
      <sheetData sheetId="1718">
        <row r="7">
          <cell r="E7" t="str">
            <v>PT. DANONE BISCUITS INDONESIA</v>
          </cell>
        </row>
      </sheetData>
      <sheetData sheetId="1719">
        <row r="7">
          <cell r="E7" t="str">
            <v>PT. DANONE BISCUITS INDONESIA</v>
          </cell>
        </row>
      </sheetData>
      <sheetData sheetId="1720">
        <row r="7">
          <cell r="E7" t="str">
            <v>PT. DANONE BISCUITS INDONESIA</v>
          </cell>
        </row>
      </sheetData>
      <sheetData sheetId="1721">
        <row r="7">
          <cell r="E7" t="str">
            <v>PT. DANONE BISCUITS INDONESIA</v>
          </cell>
        </row>
      </sheetData>
      <sheetData sheetId="1722">
        <row r="7">
          <cell r="E7" t="str">
            <v>PT. DANONE BISCUITS INDONESIA</v>
          </cell>
        </row>
      </sheetData>
      <sheetData sheetId="1723">
        <row r="7">
          <cell r="E7" t="str">
            <v>PT. DANONE BISCUITS INDONESIA</v>
          </cell>
        </row>
      </sheetData>
      <sheetData sheetId="1724">
        <row r="7">
          <cell r="E7" t="str">
            <v>PT. DANONE BISCUITS INDONESIA</v>
          </cell>
        </row>
      </sheetData>
      <sheetData sheetId="1725">
        <row r="7">
          <cell r="E7" t="str">
            <v>PT. DANONE BISCUITS INDONESIA</v>
          </cell>
        </row>
      </sheetData>
      <sheetData sheetId="1726">
        <row r="7">
          <cell r="E7" t="str">
            <v>PT. DANONE BISCUITS INDONESIA</v>
          </cell>
        </row>
      </sheetData>
      <sheetData sheetId="1727">
        <row r="7">
          <cell r="E7" t="str">
            <v>PT. DANONE BISCUITS INDONESIA</v>
          </cell>
        </row>
      </sheetData>
      <sheetData sheetId="1728">
        <row r="7">
          <cell r="E7" t="str">
            <v>PT. DANONE BISCUITS INDONESIA</v>
          </cell>
        </row>
      </sheetData>
      <sheetData sheetId="1729">
        <row r="7">
          <cell r="E7" t="str">
            <v>PT. DANONE BISCUITS INDONESIA</v>
          </cell>
        </row>
      </sheetData>
      <sheetData sheetId="1730">
        <row r="7">
          <cell r="E7" t="str">
            <v>PT. DANONE BISCUITS INDONESIA</v>
          </cell>
        </row>
      </sheetData>
      <sheetData sheetId="1731">
        <row r="7">
          <cell r="E7" t="str">
            <v>PT. DANONE BISCUITS INDONESIA</v>
          </cell>
        </row>
      </sheetData>
      <sheetData sheetId="1732">
        <row r="7">
          <cell r="E7" t="str">
            <v>PT. DANONE BISCUITS INDONESIA</v>
          </cell>
        </row>
      </sheetData>
      <sheetData sheetId="1733">
        <row r="7">
          <cell r="E7" t="str">
            <v>PT. DANONE BISCUITS INDONESIA</v>
          </cell>
        </row>
      </sheetData>
      <sheetData sheetId="1734">
        <row r="7">
          <cell r="E7" t="str">
            <v>PT. DANONE BISCUITS INDONESIA</v>
          </cell>
        </row>
      </sheetData>
      <sheetData sheetId="1735">
        <row r="7">
          <cell r="E7" t="str">
            <v>PT. DANONE BISCUITS INDONESIA</v>
          </cell>
        </row>
      </sheetData>
      <sheetData sheetId="1736">
        <row r="7">
          <cell r="E7" t="str">
            <v>PT. DANONE BISCUITS INDONESIA</v>
          </cell>
        </row>
      </sheetData>
      <sheetData sheetId="1737">
        <row r="7">
          <cell r="E7" t="str">
            <v>PT. DANONE BISCUITS INDONESIA</v>
          </cell>
        </row>
      </sheetData>
      <sheetData sheetId="1738">
        <row r="7">
          <cell r="E7" t="str">
            <v>PT. DANONE BISCUITS INDONESIA</v>
          </cell>
        </row>
      </sheetData>
      <sheetData sheetId="1739">
        <row r="7">
          <cell r="E7" t="str">
            <v>PT. DANONE BISCUITS INDONESIA</v>
          </cell>
        </row>
      </sheetData>
      <sheetData sheetId="1740">
        <row r="7">
          <cell r="E7" t="str">
            <v>PT. DANONE BISCUITS INDONESIA</v>
          </cell>
        </row>
      </sheetData>
      <sheetData sheetId="1741">
        <row r="7">
          <cell r="E7" t="str">
            <v>PT. DANONE BISCUITS INDONESIA</v>
          </cell>
        </row>
      </sheetData>
      <sheetData sheetId="1742">
        <row r="7">
          <cell r="E7" t="str">
            <v>PT. DANONE BISCUITS INDONESIA</v>
          </cell>
        </row>
      </sheetData>
      <sheetData sheetId="1743">
        <row r="7">
          <cell r="E7" t="str">
            <v>PT. DANONE BISCUITS INDONESIA</v>
          </cell>
        </row>
      </sheetData>
      <sheetData sheetId="1744">
        <row r="7">
          <cell r="E7" t="str">
            <v>PT. DANONE BISCUITS INDONESIA</v>
          </cell>
        </row>
      </sheetData>
      <sheetData sheetId="1745">
        <row r="7">
          <cell r="E7" t="str">
            <v>PT. DANONE BISCUITS INDONESIA</v>
          </cell>
        </row>
      </sheetData>
      <sheetData sheetId="1746">
        <row r="7">
          <cell r="E7" t="str">
            <v>PT. DANONE BISCUITS INDONESIA</v>
          </cell>
        </row>
      </sheetData>
      <sheetData sheetId="1747">
        <row r="7">
          <cell r="E7" t="str">
            <v>PT. DANONE BISCUITS INDONESIA</v>
          </cell>
        </row>
      </sheetData>
      <sheetData sheetId="1748">
        <row r="7">
          <cell r="E7" t="str">
            <v>PT. DANONE BISCUITS INDONESIA</v>
          </cell>
        </row>
      </sheetData>
      <sheetData sheetId="1749">
        <row r="7">
          <cell r="E7" t="str">
            <v>PT. DANONE BISCUITS INDONESIA</v>
          </cell>
        </row>
      </sheetData>
      <sheetData sheetId="1750">
        <row r="7">
          <cell r="E7" t="str">
            <v>PT. DANONE BISCUITS INDONESIA</v>
          </cell>
        </row>
      </sheetData>
      <sheetData sheetId="1751">
        <row r="7">
          <cell r="E7" t="str">
            <v>PT. DANONE BISCUITS INDONESIA</v>
          </cell>
        </row>
      </sheetData>
      <sheetData sheetId="1752">
        <row r="7">
          <cell r="E7" t="str">
            <v>PT. DANONE BISCUITS INDONESIA</v>
          </cell>
        </row>
      </sheetData>
      <sheetData sheetId="1753">
        <row r="7">
          <cell r="E7" t="str">
            <v>PT. DANONE BISCUITS INDONESIA</v>
          </cell>
        </row>
      </sheetData>
      <sheetData sheetId="1754">
        <row r="7">
          <cell r="E7" t="str">
            <v>PT. DANONE BISCUITS INDONESIA</v>
          </cell>
        </row>
      </sheetData>
      <sheetData sheetId="1755">
        <row r="7">
          <cell r="E7" t="str">
            <v>PT. DANONE BISCUITS INDONESIA</v>
          </cell>
        </row>
      </sheetData>
      <sheetData sheetId="1756">
        <row r="7">
          <cell r="E7" t="str">
            <v>PT. DANONE BISCUITS INDONESIA</v>
          </cell>
        </row>
      </sheetData>
      <sheetData sheetId="1757">
        <row r="7">
          <cell r="E7" t="str">
            <v>PT. DANONE BISCUITS INDONESIA</v>
          </cell>
        </row>
      </sheetData>
      <sheetData sheetId="1758">
        <row r="7">
          <cell r="E7" t="str">
            <v>PT. DANONE BISCUITS INDONESIA</v>
          </cell>
        </row>
      </sheetData>
      <sheetData sheetId="1759">
        <row r="7">
          <cell r="E7" t="str">
            <v>PT. DANONE BISCUITS INDONESIA</v>
          </cell>
        </row>
      </sheetData>
      <sheetData sheetId="1760">
        <row r="7">
          <cell r="E7" t="str">
            <v>PT. DANONE BISCUITS INDONESIA</v>
          </cell>
        </row>
      </sheetData>
      <sheetData sheetId="1761">
        <row r="7">
          <cell r="E7" t="str">
            <v>PT. DANONE BISCUITS INDONESIA</v>
          </cell>
        </row>
      </sheetData>
      <sheetData sheetId="1762">
        <row r="7">
          <cell r="E7" t="str">
            <v>PT. DANONE BISCUITS INDONESIA</v>
          </cell>
        </row>
      </sheetData>
      <sheetData sheetId="1763">
        <row r="7">
          <cell r="E7" t="str">
            <v>PT. DANONE BISCUITS INDONESIA</v>
          </cell>
        </row>
      </sheetData>
      <sheetData sheetId="1764">
        <row r="7">
          <cell r="E7" t="str">
            <v>PT. DANONE BISCUITS INDONESIA</v>
          </cell>
        </row>
      </sheetData>
      <sheetData sheetId="1765">
        <row r="7">
          <cell r="E7" t="str">
            <v>PT. DANONE BISCUITS INDONESIA</v>
          </cell>
        </row>
      </sheetData>
      <sheetData sheetId="1766">
        <row r="7">
          <cell r="E7" t="str">
            <v>PT. DANONE BISCUITS INDONESIA</v>
          </cell>
        </row>
      </sheetData>
      <sheetData sheetId="1767">
        <row r="7">
          <cell r="E7" t="str">
            <v>PT. DANONE BISCUITS INDONESIA</v>
          </cell>
        </row>
      </sheetData>
      <sheetData sheetId="1768">
        <row r="7">
          <cell r="E7" t="str">
            <v>PT. DANONE BISCUITS INDONESIA</v>
          </cell>
        </row>
      </sheetData>
      <sheetData sheetId="1769">
        <row r="7">
          <cell r="E7" t="str">
            <v>PT. DANONE BISCUITS INDONESIA</v>
          </cell>
        </row>
      </sheetData>
      <sheetData sheetId="1770">
        <row r="7">
          <cell r="E7" t="str">
            <v>PT. DANONE BISCUITS INDONESIA</v>
          </cell>
        </row>
      </sheetData>
      <sheetData sheetId="1771">
        <row r="7">
          <cell r="E7" t="str">
            <v>PT. DANONE BISCUITS INDONESIA</v>
          </cell>
        </row>
      </sheetData>
      <sheetData sheetId="1772">
        <row r="7">
          <cell r="E7" t="str">
            <v>PT. DANONE BISCUITS INDONESIA</v>
          </cell>
        </row>
      </sheetData>
      <sheetData sheetId="1773">
        <row r="7">
          <cell r="E7" t="str">
            <v>PT. DANONE BISCUITS INDONESIA</v>
          </cell>
        </row>
      </sheetData>
      <sheetData sheetId="1774">
        <row r="7">
          <cell r="E7" t="str">
            <v>PT. DANONE BISCUITS INDONESIA</v>
          </cell>
        </row>
      </sheetData>
      <sheetData sheetId="1775">
        <row r="7">
          <cell r="E7" t="str">
            <v>PT. DANONE BISCUITS INDONESIA</v>
          </cell>
        </row>
      </sheetData>
      <sheetData sheetId="1776">
        <row r="7">
          <cell r="E7" t="str">
            <v>PT. DANONE BISCUITS INDONESIA</v>
          </cell>
        </row>
      </sheetData>
      <sheetData sheetId="1777">
        <row r="7">
          <cell r="E7" t="str">
            <v>PT. DANONE BISCUITS INDONESIA</v>
          </cell>
        </row>
      </sheetData>
      <sheetData sheetId="1778">
        <row r="7">
          <cell r="E7" t="str">
            <v>PT. DANONE BISCUITS INDONESIA</v>
          </cell>
        </row>
      </sheetData>
      <sheetData sheetId="1779">
        <row r="7">
          <cell r="E7" t="str">
            <v>PT. DANONE BISCUITS INDONESIA</v>
          </cell>
        </row>
      </sheetData>
      <sheetData sheetId="1780">
        <row r="7">
          <cell r="E7" t="str">
            <v>PT. DANONE BISCUITS INDONESIA</v>
          </cell>
        </row>
      </sheetData>
      <sheetData sheetId="1781">
        <row r="7">
          <cell r="E7" t="str">
            <v>PT. DANONE BISCUITS INDONESIA</v>
          </cell>
        </row>
      </sheetData>
      <sheetData sheetId="1782">
        <row r="7">
          <cell r="E7" t="str">
            <v>PT. DANONE BISCUITS INDONESIA</v>
          </cell>
        </row>
      </sheetData>
      <sheetData sheetId="1783">
        <row r="7">
          <cell r="E7" t="str">
            <v>PT. DANONE BISCUITS INDONESIA</v>
          </cell>
        </row>
      </sheetData>
      <sheetData sheetId="1784">
        <row r="7">
          <cell r="E7" t="str">
            <v>PT. DANONE BISCUITS INDONESIA</v>
          </cell>
        </row>
      </sheetData>
      <sheetData sheetId="1785">
        <row r="7">
          <cell r="E7" t="str">
            <v>PT. DANONE BISCUITS INDONESIA</v>
          </cell>
        </row>
      </sheetData>
      <sheetData sheetId="1786">
        <row r="7">
          <cell r="E7" t="str">
            <v>PT. DANONE BISCUITS INDONESIA</v>
          </cell>
        </row>
      </sheetData>
      <sheetData sheetId="1787">
        <row r="7">
          <cell r="E7" t="str">
            <v>PT. DANONE BISCUITS INDONESIA</v>
          </cell>
        </row>
      </sheetData>
      <sheetData sheetId="1788">
        <row r="7">
          <cell r="E7" t="str">
            <v>PT. DANONE BISCUITS INDONESIA</v>
          </cell>
        </row>
      </sheetData>
      <sheetData sheetId="1789">
        <row r="7">
          <cell r="E7" t="str">
            <v>PT. DANONE BISCUITS INDONESIA</v>
          </cell>
        </row>
      </sheetData>
      <sheetData sheetId="1790">
        <row r="7">
          <cell r="E7" t="str">
            <v>PT. DANONE BISCUITS INDONESIA</v>
          </cell>
        </row>
      </sheetData>
      <sheetData sheetId="1791">
        <row r="7">
          <cell r="E7" t="str">
            <v>PT. DANONE BISCUITS INDONESIA</v>
          </cell>
        </row>
      </sheetData>
      <sheetData sheetId="1792">
        <row r="7">
          <cell r="E7" t="str">
            <v>PT. DANONE BISCUITS INDONESIA</v>
          </cell>
        </row>
      </sheetData>
      <sheetData sheetId="1793">
        <row r="7">
          <cell r="E7" t="str">
            <v>PT. DANONE BISCUITS INDONESIA</v>
          </cell>
        </row>
      </sheetData>
      <sheetData sheetId="1794">
        <row r="7">
          <cell r="E7" t="str">
            <v>PT. DANONE BISCUITS INDONESIA</v>
          </cell>
        </row>
      </sheetData>
      <sheetData sheetId="1795">
        <row r="7">
          <cell r="E7" t="str">
            <v>PT. DANONE BISCUITS INDONESIA</v>
          </cell>
        </row>
      </sheetData>
      <sheetData sheetId="1796">
        <row r="7">
          <cell r="E7" t="str">
            <v>PT. DANONE BISCUITS INDONESIA</v>
          </cell>
        </row>
      </sheetData>
      <sheetData sheetId="1797">
        <row r="7">
          <cell r="E7" t="str">
            <v>PT. DANONE BISCUITS INDONESIA</v>
          </cell>
        </row>
      </sheetData>
      <sheetData sheetId="1798">
        <row r="7">
          <cell r="E7" t="str">
            <v>PT. DANONE BISCUITS INDONESIA</v>
          </cell>
        </row>
      </sheetData>
      <sheetData sheetId="1799">
        <row r="7">
          <cell r="E7" t="str">
            <v>PT. DANONE BISCUITS INDONESIA</v>
          </cell>
        </row>
      </sheetData>
      <sheetData sheetId="1800">
        <row r="7">
          <cell r="E7" t="str">
            <v>PT. DANONE BISCUITS INDONESIA</v>
          </cell>
        </row>
      </sheetData>
      <sheetData sheetId="1801">
        <row r="7">
          <cell r="E7" t="str">
            <v>PT. DANONE BISCUITS INDONESIA</v>
          </cell>
        </row>
      </sheetData>
      <sheetData sheetId="1802">
        <row r="7">
          <cell r="E7" t="str">
            <v>PT. DANONE BISCUITS INDONESIA</v>
          </cell>
        </row>
      </sheetData>
      <sheetData sheetId="1803">
        <row r="7">
          <cell r="E7" t="str">
            <v>PT. DANONE BISCUITS INDONESIA</v>
          </cell>
        </row>
      </sheetData>
      <sheetData sheetId="1804">
        <row r="7">
          <cell r="E7" t="str">
            <v>PT. DANONE BISCUITS INDONESIA</v>
          </cell>
        </row>
      </sheetData>
      <sheetData sheetId="1805">
        <row r="7">
          <cell r="E7" t="str">
            <v>PT. DANONE BISCUITS INDONESIA</v>
          </cell>
        </row>
      </sheetData>
      <sheetData sheetId="1806">
        <row r="7">
          <cell r="E7" t="str">
            <v>PT. DANONE BISCUITS INDONESIA</v>
          </cell>
        </row>
      </sheetData>
      <sheetData sheetId="1807">
        <row r="7">
          <cell r="E7" t="str">
            <v>PT. DANONE BISCUITS INDONESIA</v>
          </cell>
        </row>
      </sheetData>
      <sheetData sheetId="1808">
        <row r="7">
          <cell r="E7" t="str">
            <v>PT. DANONE BISCUITS INDONESIA</v>
          </cell>
        </row>
      </sheetData>
      <sheetData sheetId="1809">
        <row r="7">
          <cell r="E7" t="str">
            <v>PT. DANONE BISCUITS INDONESIA</v>
          </cell>
        </row>
      </sheetData>
      <sheetData sheetId="1810">
        <row r="7">
          <cell r="E7" t="str">
            <v>PT. DANONE BISCUITS INDONESIA</v>
          </cell>
        </row>
      </sheetData>
      <sheetData sheetId="1811">
        <row r="7">
          <cell r="E7" t="str">
            <v>PT. DANONE BISCUITS INDONESIA</v>
          </cell>
        </row>
      </sheetData>
      <sheetData sheetId="1812">
        <row r="7">
          <cell r="E7" t="str">
            <v>PT. DANONE BISCUITS INDONESIA</v>
          </cell>
        </row>
      </sheetData>
      <sheetData sheetId="1813">
        <row r="7">
          <cell r="E7" t="str">
            <v>PT. DANONE BISCUITS INDONESIA</v>
          </cell>
        </row>
      </sheetData>
      <sheetData sheetId="1814">
        <row r="7">
          <cell r="E7" t="str">
            <v>PT. DANONE BISCUITS INDONESIA</v>
          </cell>
        </row>
      </sheetData>
      <sheetData sheetId="1815">
        <row r="7">
          <cell r="E7" t="str">
            <v>PT. DANONE BISCUITS INDONESIA</v>
          </cell>
        </row>
      </sheetData>
      <sheetData sheetId="1816">
        <row r="7">
          <cell r="E7" t="str">
            <v>PT. DANONE BISCUITS INDONESIA</v>
          </cell>
        </row>
      </sheetData>
      <sheetData sheetId="1817">
        <row r="7">
          <cell r="E7" t="str">
            <v>PT. DANONE BISCUITS INDONESIA</v>
          </cell>
        </row>
      </sheetData>
      <sheetData sheetId="1818">
        <row r="7">
          <cell r="E7" t="str">
            <v>PT. DANONE BISCUITS INDONESIA</v>
          </cell>
        </row>
      </sheetData>
      <sheetData sheetId="1819">
        <row r="7">
          <cell r="E7" t="str">
            <v>PT. DANONE BISCUITS INDONESIA</v>
          </cell>
        </row>
      </sheetData>
      <sheetData sheetId="1820">
        <row r="7">
          <cell r="E7" t="str">
            <v>PT. DANONE BISCUITS INDONESIA</v>
          </cell>
        </row>
      </sheetData>
      <sheetData sheetId="1821">
        <row r="7">
          <cell r="E7" t="str">
            <v>PT. DANONE BISCUITS INDONESIA</v>
          </cell>
        </row>
      </sheetData>
      <sheetData sheetId="1822">
        <row r="7">
          <cell r="E7" t="str">
            <v>PT. DANONE BISCUITS INDONESIA</v>
          </cell>
        </row>
      </sheetData>
      <sheetData sheetId="1823">
        <row r="7">
          <cell r="E7" t="str">
            <v>PT. DANONE BISCUITS INDONESIA</v>
          </cell>
        </row>
      </sheetData>
      <sheetData sheetId="1824">
        <row r="7">
          <cell r="E7" t="str">
            <v>PT. DANONE BISCUITS INDONESIA</v>
          </cell>
        </row>
      </sheetData>
      <sheetData sheetId="1825">
        <row r="7">
          <cell r="E7" t="str">
            <v>PT. DANONE BISCUITS INDONESIA</v>
          </cell>
        </row>
      </sheetData>
      <sheetData sheetId="1826">
        <row r="7">
          <cell r="E7" t="str">
            <v>PT. DANONE BISCUITS INDONESIA</v>
          </cell>
        </row>
      </sheetData>
      <sheetData sheetId="1827">
        <row r="7">
          <cell r="E7" t="str">
            <v>PT. DANONE BISCUITS INDONESIA</v>
          </cell>
        </row>
      </sheetData>
      <sheetData sheetId="1828">
        <row r="7">
          <cell r="E7" t="str">
            <v>PT. DANONE BISCUITS INDONESIA</v>
          </cell>
        </row>
      </sheetData>
      <sheetData sheetId="1829">
        <row r="7">
          <cell r="E7" t="str">
            <v>PT. DANONE BISCUITS INDONESIA</v>
          </cell>
        </row>
      </sheetData>
      <sheetData sheetId="1830">
        <row r="7">
          <cell r="E7" t="str">
            <v>PT. DANONE BISCUITS INDONESIA</v>
          </cell>
        </row>
      </sheetData>
      <sheetData sheetId="1831">
        <row r="7">
          <cell r="E7" t="str">
            <v>PT. DANONE BISCUITS INDONESIA</v>
          </cell>
        </row>
      </sheetData>
      <sheetData sheetId="1832">
        <row r="7">
          <cell r="E7" t="str">
            <v>PT. DANONE BISCUITS INDONESIA</v>
          </cell>
        </row>
      </sheetData>
      <sheetData sheetId="1833">
        <row r="7">
          <cell r="E7" t="str">
            <v>PT. DANONE BISCUITS INDONESIA</v>
          </cell>
        </row>
      </sheetData>
      <sheetData sheetId="1834">
        <row r="7">
          <cell r="E7" t="str">
            <v>PT. DANONE BISCUITS INDONESIA</v>
          </cell>
        </row>
      </sheetData>
      <sheetData sheetId="1835">
        <row r="7">
          <cell r="E7" t="str">
            <v>PT. DANONE BISCUITS INDONESIA</v>
          </cell>
        </row>
      </sheetData>
      <sheetData sheetId="1836">
        <row r="7">
          <cell r="E7" t="str">
            <v>PT. DANONE BISCUITS INDONESIA</v>
          </cell>
        </row>
      </sheetData>
      <sheetData sheetId="1837">
        <row r="7">
          <cell r="E7" t="str">
            <v>PT. DANONE BISCUITS INDONESIA</v>
          </cell>
        </row>
      </sheetData>
      <sheetData sheetId="1838">
        <row r="7">
          <cell r="E7" t="str">
            <v>PT. DANONE BISCUITS INDONESIA</v>
          </cell>
        </row>
      </sheetData>
      <sheetData sheetId="1839">
        <row r="7">
          <cell r="E7" t="str">
            <v>PT. DANONE BISCUITS INDONESIA</v>
          </cell>
        </row>
      </sheetData>
      <sheetData sheetId="1840">
        <row r="7">
          <cell r="E7" t="str">
            <v>PT. DANONE BISCUITS INDONESIA</v>
          </cell>
        </row>
      </sheetData>
      <sheetData sheetId="1841">
        <row r="7">
          <cell r="E7" t="str">
            <v>PT. DANONE BISCUITS INDONESIA</v>
          </cell>
        </row>
      </sheetData>
      <sheetData sheetId="1842">
        <row r="7">
          <cell r="E7" t="str">
            <v>PT. DANONE BISCUITS INDONESIA</v>
          </cell>
        </row>
      </sheetData>
      <sheetData sheetId="1843">
        <row r="7">
          <cell r="E7" t="str">
            <v>PT. DANONE BISCUITS INDONESIA</v>
          </cell>
        </row>
      </sheetData>
      <sheetData sheetId="1844">
        <row r="7">
          <cell r="E7" t="str">
            <v>PT. DANONE BISCUITS INDONESIA</v>
          </cell>
        </row>
      </sheetData>
      <sheetData sheetId="1845">
        <row r="7">
          <cell r="E7" t="str">
            <v>PT. DANONE BISCUITS INDONESIA</v>
          </cell>
        </row>
      </sheetData>
      <sheetData sheetId="1846">
        <row r="7">
          <cell r="E7" t="str">
            <v>PT. DANONE BISCUITS INDONESIA</v>
          </cell>
        </row>
      </sheetData>
      <sheetData sheetId="1847">
        <row r="7">
          <cell r="E7" t="str">
            <v>PT. DANONE BISCUITS INDONESIA</v>
          </cell>
        </row>
      </sheetData>
      <sheetData sheetId="1848">
        <row r="7">
          <cell r="E7" t="str">
            <v>PT. DANONE BISCUITS INDONESIA</v>
          </cell>
        </row>
      </sheetData>
      <sheetData sheetId="1849">
        <row r="7">
          <cell r="E7" t="str">
            <v>PT. DANONE BISCUITS INDONESIA</v>
          </cell>
        </row>
      </sheetData>
      <sheetData sheetId="1850">
        <row r="7">
          <cell r="E7" t="str">
            <v>PT. DANONE BISCUITS INDONESIA</v>
          </cell>
        </row>
      </sheetData>
      <sheetData sheetId="1851">
        <row r="7">
          <cell r="E7" t="str">
            <v>PT. DANONE BISCUITS INDONESIA</v>
          </cell>
        </row>
      </sheetData>
      <sheetData sheetId="1852">
        <row r="7">
          <cell r="E7" t="str">
            <v>PT. DANONE BISCUITS INDONESIA</v>
          </cell>
        </row>
      </sheetData>
      <sheetData sheetId="1853">
        <row r="7">
          <cell r="E7" t="str">
            <v>PT. DANONE BISCUITS INDONESIA</v>
          </cell>
        </row>
      </sheetData>
      <sheetData sheetId="1854">
        <row r="7">
          <cell r="E7" t="str">
            <v>PT. DANONE BISCUITS INDONESIA</v>
          </cell>
        </row>
      </sheetData>
      <sheetData sheetId="1855">
        <row r="7">
          <cell r="E7" t="str">
            <v>PT. DANONE BISCUITS INDONESIA</v>
          </cell>
        </row>
      </sheetData>
      <sheetData sheetId="1856">
        <row r="7">
          <cell r="E7" t="str">
            <v>PT. DANONE BISCUITS INDONESIA</v>
          </cell>
        </row>
      </sheetData>
      <sheetData sheetId="1857">
        <row r="7">
          <cell r="E7" t="str">
            <v>PT. DANONE BISCUITS INDONESIA</v>
          </cell>
        </row>
      </sheetData>
      <sheetData sheetId="1858">
        <row r="7">
          <cell r="E7" t="str">
            <v>PT. DANONE BISCUITS INDONESIA</v>
          </cell>
        </row>
      </sheetData>
      <sheetData sheetId="1859">
        <row r="7">
          <cell r="E7" t="str">
            <v>PT. DANONE BISCUITS INDONESIA</v>
          </cell>
        </row>
      </sheetData>
      <sheetData sheetId="1860">
        <row r="7">
          <cell r="E7" t="str">
            <v>PT. DANONE BISCUITS INDONESIA</v>
          </cell>
        </row>
      </sheetData>
      <sheetData sheetId="1861">
        <row r="7">
          <cell r="E7" t="str">
            <v>PT. DANONE BISCUITS INDONESIA</v>
          </cell>
        </row>
      </sheetData>
      <sheetData sheetId="1862">
        <row r="7">
          <cell r="E7" t="str">
            <v>PT. DANONE BISCUITS INDONESIA</v>
          </cell>
        </row>
      </sheetData>
      <sheetData sheetId="1863">
        <row r="7">
          <cell r="E7" t="str">
            <v>PT. DANONE BISCUITS INDONESIA</v>
          </cell>
        </row>
      </sheetData>
      <sheetData sheetId="1864">
        <row r="7">
          <cell r="E7" t="str">
            <v>PT. DANONE BISCUITS INDONESIA</v>
          </cell>
        </row>
      </sheetData>
      <sheetData sheetId="1865">
        <row r="7">
          <cell r="E7" t="str">
            <v>PT. DANONE BISCUITS INDONESIA</v>
          </cell>
        </row>
      </sheetData>
      <sheetData sheetId="1866">
        <row r="7">
          <cell r="E7" t="str">
            <v>PT. DANONE BISCUITS INDONESIA</v>
          </cell>
        </row>
      </sheetData>
      <sheetData sheetId="1867">
        <row r="7">
          <cell r="E7" t="str">
            <v>PT. DANONE BISCUITS INDONESIA</v>
          </cell>
        </row>
      </sheetData>
      <sheetData sheetId="1868">
        <row r="7">
          <cell r="E7" t="str">
            <v>PT. DANONE BISCUITS INDONESIA</v>
          </cell>
        </row>
      </sheetData>
      <sheetData sheetId="1869">
        <row r="7">
          <cell r="E7" t="str">
            <v>PT. DANONE BISCUITS INDONESIA</v>
          </cell>
        </row>
      </sheetData>
      <sheetData sheetId="1870">
        <row r="7">
          <cell r="E7" t="str">
            <v>PT. DANONE BISCUITS INDONESIA</v>
          </cell>
        </row>
      </sheetData>
      <sheetData sheetId="1871">
        <row r="7">
          <cell r="E7" t="str">
            <v>PT. DANONE BISCUITS INDONESIA</v>
          </cell>
        </row>
      </sheetData>
      <sheetData sheetId="1872">
        <row r="7">
          <cell r="E7" t="str">
            <v>PT. DANONE BISCUITS INDONESIA</v>
          </cell>
        </row>
      </sheetData>
      <sheetData sheetId="1873">
        <row r="7">
          <cell r="E7" t="str">
            <v>PT. DANONE BISCUITS INDONESIA</v>
          </cell>
        </row>
      </sheetData>
      <sheetData sheetId="1874">
        <row r="7">
          <cell r="E7" t="str">
            <v>PT. DANONE BISCUITS INDONESIA</v>
          </cell>
        </row>
      </sheetData>
      <sheetData sheetId="1875">
        <row r="7">
          <cell r="E7" t="str">
            <v>PT. DANONE BISCUITS INDONESIA</v>
          </cell>
        </row>
      </sheetData>
      <sheetData sheetId="1876">
        <row r="7">
          <cell r="E7" t="str">
            <v>PT. DANONE BISCUITS INDONESIA</v>
          </cell>
        </row>
      </sheetData>
      <sheetData sheetId="1877">
        <row r="7">
          <cell r="E7" t="str">
            <v>PT. DANONE BISCUITS INDONESIA</v>
          </cell>
        </row>
      </sheetData>
      <sheetData sheetId="1878">
        <row r="7">
          <cell r="E7" t="str">
            <v>PT. DANONE BISCUITS INDONESIA</v>
          </cell>
        </row>
      </sheetData>
      <sheetData sheetId="1879">
        <row r="7">
          <cell r="E7" t="str">
            <v>PT. DANONE BISCUITS INDONESIA</v>
          </cell>
        </row>
      </sheetData>
      <sheetData sheetId="1880">
        <row r="7">
          <cell r="E7" t="str">
            <v>PT. DANONE BISCUITS INDONESIA</v>
          </cell>
        </row>
      </sheetData>
      <sheetData sheetId="1881">
        <row r="7">
          <cell r="E7" t="str">
            <v>PT. DANONE BISCUITS INDONESIA</v>
          </cell>
        </row>
      </sheetData>
      <sheetData sheetId="1882">
        <row r="7">
          <cell r="E7" t="str">
            <v>PT. DANONE BISCUITS INDONESIA</v>
          </cell>
        </row>
      </sheetData>
      <sheetData sheetId="1883">
        <row r="7">
          <cell r="E7" t="str">
            <v>PT. DANONE BISCUITS INDONESIA</v>
          </cell>
        </row>
      </sheetData>
      <sheetData sheetId="1884">
        <row r="7">
          <cell r="E7" t="str">
            <v>PT. DANONE BISCUITS INDONESIA</v>
          </cell>
        </row>
      </sheetData>
      <sheetData sheetId="1885">
        <row r="7">
          <cell r="E7" t="str">
            <v>PT. DANONE BISCUITS INDONESIA</v>
          </cell>
        </row>
      </sheetData>
      <sheetData sheetId="1886">
        <row r="7">
          <cell r="E7" t="str">
            <v>PT. DANONE BISCUITS INDONESIA</v>
          </cell>
        </row>
      </sheetData>
      <sheetData sheetId="1887">
        <row r="7">
          <cell r="E7" t="str">
            <v>PT. DANONE BISCUITS INDONESIA</v>
          </cell>
        </row>
      </sheetData>
      <sheetData sheetId="1888">
        <row r="7">
          <cell r="E7" t="str">
            <v>PT. DANONE BISCUITS INDONESIA</v>
          </cell>
        </row>
      </sheetData>
      <sheetData sheetId="1889">
        <row r="7">
          <cell r="E7" t="str">
            <v>PT. DANONE BISCUITS INDONESIA</v>
          </cell>
        </row>
      </sheetData>
      <sheetData sheetId="1890">
        <row r="7">
          <cell r="E7" t="str">
            <v>PT. DANONE BISCUITS INDONESIA</v>
          </cell>
        </row>
      </sheetData>
      <sheetData sheetId="1891">
        <row r="7">
          <cell r="E7" t="str">
            <v>PT. DANONE BISCUITS INDONESIA</v>
          </cell>
        </row>
      </sheetData>
      <sheetData sheetId="1892">
        <row r="7">
          <cell r="E7" t="str">
            <v>PT. DANONE BISCUITS INDONESIA</v>
          </cell>
        </row>
      </sheetData>
      <sheetData sheetId="1893">
        <row r="7">
          <cell r="E7" t="str">
            <v>PT. DANONE BISCUITS INDONESIA</v>
          </cell>
        </row>
      </sheetData>
      <sheetData sheetId="1894">
        <row r="7">
          <cell r="E7" t="str">
            <v>PT. DANONE BISCUITS INDONESIA</v>
          </cell>
        </row>
      </sheetData>
      <sheetData sheetId="1895">
        <row r="7">
          <cell r="E7" t="str">
            <v>PT. DANONE BISCUITS INDONESIA</v>
          </cell>
        </row>
      </sheetData>
      <sheetData sheetId="1896">
        <row r="7">
          <cell r="E7" t="str">
            <v>PT. DANONE BISCUITS INDONESIA</v>
          </cell>
        </row>
      </sheetData>
      <sheetData sheetId="1897">
        <row r="7">
          <cell r="E7" t="str">
            <v>PT. DANONE BISCUITS INDONESIA</v>
          </cell>
        </row>
      </sheetData>
      <sheetData sheetId="1898">
        <row r="7">
          <cell r="E7" t="str">
            <v>PT. DANONE BISCUITS INDONESIA</v>
          </cell>
        </row>
      </sheetData>
      <sheetData sheetId="1899">
        <row r="7">
          <cell r="E7" t="str">
            <v>PT. DANONE BISCUITS INDONESIA</v>
          </cell>
        </row>
      </sheetData>
      <sheetData sheetId="1900">
        <row r="7">
          <cell r="E7" t="str">
            <v>PT. DANONE BISCUITS INDONESIA</v>
          </cell>
        </row>
      </sheetData>
      <sheetData sheetId="1901">
        <row r="7">
          <cell r="E7" t="str">
            <v>PT. DANONE BISCUITS INDONESIA</v>
          </cell>
        </row>
      </sheetData>
      <sheetData sheetId="1902">
        <row r="7">
          <cell r="E7" t="str">
            <v>PT. DANONE BISCUITS INDONESIA</v>
          </cell>
        </row>
      </sheetData>
      <sheetData sheetId="1903">
        <row r="7">
          <cell r="E7" t="str">
            <v>PT. DANONE BISCUITS INDONESIA</v>
          </cell>
        </row>
      </sheetData>
      <sheetData sheetId="1904">
        <row r="7">
          <cell r="E7" t="str">
            <v>PT. DANONE BISCUITS INDONESIA</v>
          </cell>
        </row>
      </sheetData>
      <sheetData sheetId="1905">
        <row r="7">
          <cell r="E7" t="str">
            <v>PT. DANONE BISCUITS INDONESIA</v>
          </cell>
        </row>
      </sheetData>
      <sheetData sheetId="1906">
        <row r="7">
          <cell r="E7" t="str">
            <v>PT. DANONE BISCUITS INDONESIA</v>
          </cell>
        </row>
      </sheetData>
      <sheetData sheetId="1907">
        <row r="7">
          <cell r="E7" t="str">
            <v>PT. DANONE BISCUITS INDONESIA</v>
          </cell>
        </row>
      </sheetData>
      <sheetData sheetId="1908">
        <row r="7">
          <cell r="E7" t="str">
            <v>PT. DANONE BISCUITS INDONESIA</v>
          </cell>
        </row>
      </sheetData>
      <sheetData sheetId="1909">
        <row r="7">
          <cell r="E7" t="str">
            <v>PT. DANONE BISCUITS INDONESIA</v>
          </cell>
        </row>
      </sheetData>
      <sheetData sheetId="1910">
        <row r="7">
          <cell r="E7" t="str">
            <v>PT. DANONE BISCUITS INDONESIA</v>
          </cell>
        </row>
      </sheetData>
      <sheetData sheetId="1911">
        <row r="7">
          <cell r="E7" t="str">
            <v>PT. DANONE BISCUITS INDONESIA</v>
          </cell>
        </row>
      </sheetData>
      <sheetData sheetId="1912">
        <row r="7">
          <cell r="E7" t="str">
            <v>PT. DANONE BISCUITS INDONESIA</v>
          </cell>
        </row>
      </sheetData>
      <sheetData sheetId="1913">
        <row r="7">
          <cell r="E7" t="str">
            <v>PT. DANONE BISCUITS INDONESIA</v>
          </cell>
        </row>
      </sheetData>
      <sheetData sheetId="1914">
        <row r="7">
          <cell r="E7" t="str">
            <v>PT. DANONE BISCUITS INDONESIA</v>
          </cell>
        </row>
      </sheetData>
      <sheetData sheetId="1915">
        <row r="7">
          <cell r="E7" t="str">
            <v>PT. DANONE BISCUITS INDONESIA</v>
          </cell>
        </row>
      </sheetData>
      <sheetData sheetId="1916">
        <row r="7">
          <cell r="E7" t="str">
            <v>PT. DANONE BISCUITS INDONESIA</v>
          </cell>
        </row>
      </sheetData>
      <sheetData sheetId="1917">
        <row r="7">
          <cell r="E7" t="str">
            <v>PT. DANONE BISCUITS INDONESIA</v>
          </cell>
        </row>
      </sheetData>
      <sheetData sheetId="1918">
        <row r="7">
          <cell r="E7" t="str">
            <v>PT. DANONE BISCUITS INDONESIA</v>
          </cell>
        </row>
      </sheetData>
      <sheetData sheetId="1919">
        <row r="7">
          <cell r="E7" t="str">
            <v>PT. DANONE BISCUITS INDONESIA</v>
          </cell>
        </row>
      </sheetData>
      <sheetData sheetId="1920">
        <row r="7">
          <cell r="E7" t="str">
            <v>PT. DANONE BISCUITS INDONESIA</v>
          </cell>
        </row>
      </sheetData>
      <sheetData sheetId="1921">
        <row r="7">
          <cell r="E7" t="str">
            <v>PT. DANONE BISCUITS INDONESIA</v>
          </cell>
        </row>
      </sheetData>
      <sheetData sheetId="1922">
        <row r="7">
          <cell r="E7" t="str">
            <v>PT. DANONE BISCUITS INDONESIA</v>
          </cell>
        </row>
      </sheetData>
      <sheetData sheetId="1923">
        <row r="7">
          <cell r="E7" t="str">
            <v>PT. DANONE BISCUITS INDONESIA</v>
          </cell>
        </row>
      </sheetData>
      <sheetData sheetId="1924">
        <row r="7">
          <cell r="E7" t="str">
            <v>PT. DANONE BISCUITS INDONESIA</v>
          </cell>
        </row>
      </sheetData>
      <sheetData sheetId="1925">
        <row r="7">
          <cell r="E7" t="str">
            <v>PT. DANONE BISCUITS INDONESIA</v>
          </cell>
        </row>
      </sheetData>
      <sheetData sheetId="1926">
        <row r="7">
          <cell r="E7" t="str">
            <v>PT. DANONE BISCUITS INDONESIA</v>
          </cell>
        </row>
      </sheetData>
      <sheetData sheetId="1927">
        <row r="7">
          <cell r="E7" t="str">
            <v>PT. DANONE BISCUITS INDONESIA</v>
          </cell>
        </row>
      </sheetData>
      <sheetData sheetId="1928">
        <row r="7">
          <cell r="E7" t="str">
            <v>PT. DANONE BISCUITS INDONESIA</v>
          </cell>
        </row>
      </sheetData>
      <sheetData sheetId="1929">
        <row r="7">
          <cell r="E7" t="str">
            <v>PT. DANONE BISCUITS INDONESIA</v>
          </cell>
        </row>
      </sheetData>
      <sheetData sheetId="1930">
        <row r="7">
          <cell r="E7" t="str">
            <v>PT. DANONE BISCUITS INDONESIA</v>
          </cell>
        </row>
      </sheetData>
      <sheetData sheetId="1931">
        <row r="7">
          <cell r="E7" t="str">
            <v>PT. DANONE BISCUITS INDONESIA</v>
          </cell>
        </row>
      </sheetData>
      <sheetData sheetId="1932">
        <row r="7">
          <cell r="E7" t="str">
            <v>PT. DANONE BISCUITS INDONESIA</v>
          </cell>
        </row>
      </sheetData>
      <sheetData sheetId="1933">
        <row r="7">
          <cell r="E7" t="str">
            <v>PT. DANONE BISCUITS INDONESIA</v>
          </cell>
        </row>
      </sheetData>
      <sheetData sheetId="1934">
        <row r="7">
          <cell r="E7" t="str">
            <v>PT. DANONE BISCUITS INDONESIA</v>
          </cell>
        </row>
      </sheetData>
      <sheetData sheetId="1935">
        <row r="7">
          <cell r="E7" t="str">
            <v>PT. DANONE BISCUITS INDONESIA</v>
          </cell>
        </row>
      </sheetData>
      <sheetData sheetId="1936">
        <row r="7">
          <cell r="E7" t="str">
            <v>PT. DANONE BISCUITS INDONESIA</v>
          </cell>
        </row>
      </sheetData>
      <sheetData sheetId="1937">
        <row r="7">
          <cell r="E7" t="str">
            <v>PT. DANONE BISCUITS INDONESIA</v>
          </cell>
        </row>
      </sheetData>
      <sheetData sheetId="1938">
        <row r="7">
          <cell r="E7" t="str">
            <v>PT. DANONE BISCUITS INDONESIA</v>
          </cell>
        </row>
      </sheetData>
      <sheetData sheetId="1939">
        <row r="7">
          <cell r="E7" t="str">
            <v>PT. DANONE BISCUITS INDONESIA</v>
          </cell>
        </row>
      </sheetData>
      <sheetData sheetId="1940">
        <row r="7">
          <cell r="E7" t="str">
            <v>PT. DANONE BISCUITS INDONESIA</v>
          </cell>
        </row>
      </sheetData>
      <sheetData sheetId="1941">
        <row r="7">
          <cell r="E7" t="str">
            <v>PT. DANONE BISCUITS INDONESIA</v>
          </cell>
        </row>
      </sheetData>
      <sheetData sheetId="1942">
        <row r="7">
          <cell r="E7" t="str">
            <v>PT. DANONE BISCUITS INDONESIA</v>
          </cell>
        </row>
      </sheetData>
      <sheetData sheetId="1943">
        <row r="7">
          <cell r="E7" t="str">
            <v>PT. DANONE BISCUITS INDONESIA</v>
          </cell>
        </row>
      </sheetData>
      <sheetData sheetId="1944">
        <row r="7">
          <cell r="E7" t="str">
            <v>PT. DANONE BISCUITS INDONESIA</v>
          </cell>
        </row>
      </sheetData>
      <sheetData sheetId="1945">
        <row r="7">
          <cell r="E7" t="str">
            <v>PT. DANONE BISCUITS INDONESIA</v>
          </cell>
        </row>
      </sheetData>
      <sheetData sheetId="1946">
        <row r="7">
          <cell r="E7" t="str">
            <v>PT. DANONE BISCUITS INDONESIA</v>
          </cell>
        </row>
      </sheetData>
      <sheetData sheetId="1947">
        <row r="7">
          <cell r="E7" t="str">
            <v>PT. DANONE BISCUITS INDONESIA</v>
          </cell>
        </row>
      </sheetData>
      <sheetData sheetId="1948">
        <row r="7">
          <cell r="E7" t="str">
            <v>PT. DANONE BISCUITS INDONESIA</v>
          </cell>
        </row>
      </sheetData>
      <sheetData sheetId="1949">
        <row r="7">
          <cell r="E7" t="str">
            <v>PT. DANONE BISCUITS INDONESIA</v>
          </cell>
        </row>
      </sheetData>
      <sheetData sheetId="1950">
        <row r="7">
          <cell r="E7" t="str">
            <v>PT. DANONE BISCUITS INDONESIA</v>
          </cell>
        </row>
      </sheetData>
      <sheetData sheetId="1951">
        <row r="7">
          <cell r="E7" t="str">
            <v>PT. DANONE BISCUITS INDONESIA</v>
          </cell>
        </row>
      </sheetData>
      <sheetData sheetId="1952">
        <row r="7">
          <cell r="E7" t="str">
            <v>PT. DANONE BISCUITS INDONESIA</v>
          </cell>
        </row>
      </sheetData>
      <sheetData sheetId="1953">
        <row r="7">
          <cell r="E7" t="str">
            <v>PT. DANONE BISCUITS INDONESIA</v>
          </cell>
        </row>
      </sheetData>
      <sheetData sheetId="1954">
        <row r="7">
          <cell r="E7" t="str">
            <v>PT. DANONE BISCUITS INDONESIA</v>
          </cell>
        </row>
      </sheetData>
      <sheetData sheetId="1955">
        <row r="7">
          <cell r="E7" t="str">
            <v>PT. DANONE BISCUITS INDONESIA</v>
          </cell>
        </row>
      </sheetData>
      <sheetData sheetId="1956">
        <row r="7">
          <cell r="E7" t="str">
            <v>PT. DANONE BISCUITS INDONESIA</v>
          </cell>
        </row>
      </sheetData>
      <sheetData sheetId="1957">
        <row r="7">
          <cell r="E7" t="str">
            <v>PT. DANONE BISCUITS INDONESIA</v>
          </cell>
        </row>
      </sheetData>
      <sheetData sheetId="1958">
        <row r="7">
          <cell r="E7" t="str">
            <v>PT. DANONE BISCUITS INDONESIA</v>
          </cell>
        </row>
      </sheetData>
      <sheetData sheetId="1959">
        <row r="7">
          <cell r="E7" t="str">
            <v>PT. DANONE BISCUITS INDONESIA</v>
          </cell>
        </row>
      </sheetData>
      <sheetData sheetId="1960">
        <row r="7">
          <cell r="E7" t="str">
            <v>PT. DANONE BISCUITS INDONESIA</v>
          </cell>
        </row>
      </sheetData>
      <sheetData sheetId="1961">
        <row r="7">
          <cell r="E7" t="str">
            <v>PT. DANONE BISCUITS INDONESIA</v>
          </cell>
        </row>
      </sheetData>
      <sheetData sheetId="1962">
        <row r="7">
          <cell r="E7" t="str">
            <v>PT. DANONE BISCUITS INDONESIA</v>
          </cell>
        </row>
      </sheetData>
      <sheetData sheetId="1963">
        <row r="7">
          <cell r="E7" t="str">
            <v>PT. DANONE BISCUITS INDONESIA</v>
          </cell>
        </row>
      </sheetData>
      <sheetData sheetId="1964">
        <row r="7">
          <cell r="E7" t="str">
            <v>PT. DANONE BISCUITS INDONESIA</v>
          </cell>
        </row>
      </sheetData>
      <sheetData sheetId="1965">
        <row r="7">
          <cell r="E7" t="str">
            <v>PT. DANONE BISCUITS INDONESIA</v>
          </cell>
        </row>
      </sheetData>
      <sheetData sheetId="1966">
        <row r="7">
          <cell r="E7" t="str">
            <v>PT. DANONE BISCUITS INDONESIA</v>
          </cell>
        </row>
      </sheetData>
      <sheetData sheetId="1967">
        <row r="7">
          <cell r="E7" t="str">
            <v>PT. DANONE BISCUITS INDONESIA</v>
          </cell>
        </row>
      </sheetData>
      <sheetData sheetId="1968">
        <row r="7">
          <cell r="E7" t="str">
            <v>PT. DANONE BISCUITS INDONESIA</v>
          </cell>
        </row>
      </sheetData>
      <sheetData sheetId="1969">
        <row r="7">
          <cell r="E7" t="str">
            <v>PT. DANONE BISCUITS INDONESIA</v>
          </cell>
        </row>
      </sheetData>
      <sheetData sheetId="1970">
        <row r="7">
          <cell r="E7" t="str">
            <v>PT. DANONE BISCUITS INDONESIA</v>
          </cell>
        </row>
      </sheetData>
      <sheetData sheetId="1971">
        <row r="7">
          <cell r="E7" t="str">
            <v>PT. DANONE BISCUITS INDONESIA</v>
          </cell>
        </row>
      </sheetData>
      <sheetData sheetId="1972">
        <row r="7">
          <cell r="E7" t="str">
            <v>PT. DANONE BISCUITS INDONESIA</v>
          </cell>
        </row>
      </sheetData>
      <sheetData sheetId="1973">
        <row r="7">
          <cell r="E7" t="str">
            <v>PT. DANONE BISCUITS INDONESIA</v>
          </cell>
        </row>
      </sheetData>
      <sheetData sheetId="1974">
        <row r="7">
          <cell r="E7" t="str">
            <v>PT. DANONE BISCUITS INDONESIA</v>
          </cell>
        </row>
      </sheetData>
      <sheetData sheetId="1975">
        <row r="7">
          <cell r="E7" t="str">
            <v>PT. DANONE BISCUITS INDONESIA</v>
          </cell>
        </row>
      </sheetData>
      <sheetData sheetId="1976">
        <row r="7">
          <cell r="E7" t="str">
            <v>PT. DANONE BISCUITS INDONESIA</v>
          </cell>
        </row>
      </sheetData>
      <sheetData sheetId="1977">
        <row r="7">
          <cell r="E7" t="str">
            <v>PT. DANONE BISCUITS INDONESIA</v>
          </cell>
        </row>
      </sheetData>
      <sheetData sheetId="1978">
        <row r="7">
          <cell r="E7" t="str">
            <v>PT. DANONE BISCUITS INDONESIA</v>
          </cell>
        </row>
      </sheetData>
      <sheetData sheetId="1979">
        <row r="7">
          <cell r="E7" t="str">
            <v>PT. DANONE BISCUITS INDONESIA</v>
          </cell>
        </row>
      </sheetData>
      <sheetData sheetId="1980">
        <row r="7">
          <cell r="E7" t="str">
            <v>PT. DANONE BISCUITS INDONESIA</v>
          </cell>
        </row>
      </sheetData>
      <sheetData sheetId="1981">
        <row r="7">
          <cell r="E7" t="str">
            <v>PT. DANONE BISCUITS INDONESIA</v>
          </cell>
        </row>
      </sheetData>
      <sheetData sheetId="1982">
        <row r="7">
          <cell r="E7" t="str">
            <v>PT. DANONE BISCUITS INDONESIA</v>
          </cell>
        </row>
      </sheetData>
      <sheetData sheetId="1983">
        <row r="7">
          <cell r="E7" t="str">
            <v>PT. DANONE BISCUITS INDONESIA</v>
          </cell>
        </row>
      </sheetData>
      <sheetData sheetId="1984">
        <row r="7">
          <cell r="E7" t="str">
            <v>PT. DANONE BISCUITS INDONESIA</v>
          </cell>
        </row>
      </sheetData>
      <sheetData sheetId="1985">
        <row r="7">
          <cell r="E7" t="str">
            <v>PT. DANONE BISCUITS INDONESIA</v>
          </cell>
        </row>
      </sheetData>
      <sheetData sheetId="1986">
        <row r="7">
          <cell r="E7" t="str">
            <v>PT. DANONE BISCUITS INDONESIA</v>
          </cell>
        </row>
      </sheetData>
      <sheetData sheetId="1987">
        <row r="7">
          <cell r="E7" t="str">
            <v>PT. DANONE BISCUITS INDONESIA</v>
          </cell>
        </row>
      </sheetData>
      <sheetData sheetId="1988">
        <row r="7">
          <cell r="E7" t="str">
            <v>PT. DANONE BISCUITS INDONESIA</v>
          </cell>
        </row>
      </sheetData>
      <sheetData sheetId="1989">
        <row r="7">
          <cell r="E7" t="str">
            <v>PT. DANONE BISCUITS INDONESIA</v>
          </cell>
        </row>
      </sheetData>
      <sheetData sheetId="1990">
        <row r="7">
          <cell r="E7" t="str">
            <v>PT. DANONE BISCUITS INDONESIA</v>
          </cell>
        </row>
      </sheetData>
      <sheetData sheetId="1991">
        <row r="7">
          <cell r="E7" t="str">
            <v>PT. DANONE BISCUITS INDONESIA</v>
          </cell>
        </row>
      </sheetData>
      <sheetData sheetId="1992">
        <row r="7">
          <cell r="E7" t="str">
            <v>PT. DANONE BISCUITS INDONESIA</v>
          </cell>
        </row>
      </sheetData>
      <sheetData sheetId="1993">
        <row r="7">
          <cell r="E7" t="str">
            <v>PT. DANONE BISCUITS INDONESIA</v>
          </cell>
        </row>
      </sheetData>
      <sheetData sheetId="1994">
        <row r="7">
          <cell r="E7" t="str">
            <v>PT. DANONE BISCUITS INDONESIA</v>
          </cell>
        </row>
      </sheetData>
      <sheetData sheetId="1995">
        <row r="7">
          <cell r="E7" t="str">
            <v>PT. DANONE BISCUITS INDONESIA</v>
          </cell>
        </row>
      </sheetData>
      <sheetData sheetId="1996">
        <row r="7">
          <cell r="E7" t="str">
            <v>PT. DANONE BISCUITS INDONESIA</v>
          </cell>
        </row>
      </sheetData>
      <sheetData sheetId="1997">
        <row r="7">
          <cell r="E7" t="str">
            <v>PT. DANONE BISCUITS INDONESIA</v>
          </cell>
        </row>
      </sheetData>
      <sheetData sheetId="1998">
        <row r="7">
          <cell r="E7" t="str">
            <v>PT. DANONE BISCUITS INDONESIA</v>
          </cell>
        </row>
      </sheetData>
      <sheetData sheetId="1999">
        <row r="7">
          <cell r="E7" t="str">
            <v>PT. DANONE BISCUITS INDONESIA</v>
          </cell>
        </row>
      </sheetData>
      <sheetData sheetId="2000">
        <row r="7">
          <cell r="E7" t="str">
            <v>PT. DANONE BISCUITS INDONESIA</v>
          </cell>
        </row>
      </sheetData>
      <sheetData sheetId="2001">
        <row r="7">
          <cell r="E7" t="str">
            <v>PT. DANONE BISCUITS INDONESIA</v>
          </cell>
        </row>
      </sheetData>
      <sheetData sheetId="2002">
        <row r="7">
          <cell r="E7" t="str">
            <v>PT. DANONE BISCUITS INDONESIA</v>
          </cell>
        </row>
      </sheetData>
      <sheetData sheetId="2003">
        <row r="7">
          <cell r="E7" t="str">
            <v>PT. DANONE BISCUITS INDONESIA</v>
          </cell>
        </row>
      </sheetData>
      <sheetData sheetId="2004">
        <row r="7">
          <cell r="E7" t="str">
            <v>PT. DANONE BISCUITS INDONESIA</v>
          </cell>
        </row>
      </sheetData>
      <sheetData sheetId="2005">
        <row r="7">
          <cell r="E7" t="str">
            <v>PT. DANONE BISCUITS INDONESIA</v>
          </cell>
        </row>
      </sheetData>
      <sheetData sheetId="2006">
        <row r="7">
          <cell r="E7" t="str">
            <v>PT. DANONE BISCUITS INDONESIA</v>
          </cell>
        </row>
      </sheetData>
      <sheetData sheetId="2007">
        <row r="7">
          <cell r="E7" t="str">
            <v>PT. DANONE BISCUITS INDONESIA</v>
          </cell>
        </row>
      </sheetData>
      <sheetData sheetId="2008">
        <row r="7">
          <cell r="E7" t="str">
            <v>PT. DANONE BISCUITS INDONESIA</v>
          </cell>
        </row>
      </sheetData>
      <sheetData sheetId="2009">
        <row r="7">
          <cell r="E7" t="str">
            <v>PT. DANONE BISCUITS INDONESIA</v>
          </cell>
        </row>
      </sheetData>
      <sheetData sheetId="2010">
        <row r="7">
          <cell r="E7" t="str">
            <v>PT. DANONE BISCUITS INDONESIA</v>
          </cell>
        </row>
      </sheetData>
      <sheetData sheetId="2011">
        <row r="7">
          <cell r="E7" t="str">
            <v>PT. DANONE BISCUITS INDONESIA</v>
          </cell>
        </row>
      </sheetData>
      <sheetData sheetId="2012">
        <row r="7">
          <cell r="E7" t="str">
            <v>PT. DANONE BISCUITS INDONESIA</v>
          </cell>
        </row>
      </sheetData>
      <sheetData sheetId="2013">
        <row r="7">
          <cell r="E7" t="str">
            <v>PT. DANONE BISCUITS INDONESIA</v>
          </cell>
        </row>
      </sheetData>
      <sheetData sheetId="2014">
        <row r="7">
          <cell r="E7" t="str">
            <v>PT. DANONE BISCUITS INDONESIA</v>
          </cell>
        </row>
      </sheetData>
      <sheetData sheetId="2015">
        <row r="7">
          <cell r="E7" t="str">
            <v>PT. DANONE BISCUITS INDONESIA</v>
          </cell>
        </row>
      </sheetData>
      <sheetData sheetId="2016">
        <row r="7">
          <cell r="E7" t="str">
            <v>PT. DANONE BISCUITS INDONESIA</v>
          </cell>
        </row>
      </sheetData>
      <sheetData sheetId="2017">
        <row r="7">
          <cell r="E7" t="str">
            <v>PT. DANONE BISCUITS INDONESIA</v>
          </cell>
        </row>
      </sheetData>
      <sheetData sheetId="2018">
        <row r="7">
          <cell r="E7" t="str">
            <v>PT. DANONE BISCUITS INDONESIA</v>
          </cell>
        </row>
      </sheetData>
      <sheetData sheetId="2019">
        <row r="7">
          <cell r="E7" t="str">
            <v>PT. DANONE BISCUITS INDONESIA</v>
          </cell>
        </row>
      </sheetData>
      <sheetData sheetId="2020">
        <row r="7">
          <cell r="E7" t="str">
            <v>PT. DANONE BISCUITS INDONESIA</v>
          </cell>
        </row>
      </sheetData>
      <sheetData sheetId="2021">
        <row r="7">
          <cell r="E7" t="str">
            <v>PT. DANONE BISCUITS INDONESIA</v>
          </cell>
        </row>
      </sheetData>
      <sheetData sheetId="2022">
        <row r="7">
          <cell r="E7" t="str">
            <v>PT. DANONE BISCUITS INDONESIA</v>
          </cell>
        </row>
      </sheetData>
      <sheetData sheetId="2023">
        <row r="7">
          <cell r="E7" t="str">
            <v>PT. DANONE BISCUITS INDONESIA</v>
          </cell>
        </row>
      </sheetData>
      <sheetData sheetId="2024">
        <row r="7">
          <cell r="E7" t="str">
            <v>PT. DANONE BISCUITS INDONESIA</v>
          </cell>
        </row>
      </sheetData>
      <sheetData sheetId="2025">
        <row r="7">
          <cell r="E7" t="str">
            <v>PT. DANONE BISCUITS INDONESIA</v>
          </cell>
        </row>
      </sheetData>
      <sheetData sheetId="2026">
        <row r="7">
          <cell r="E7" t="str">
            <v>PT. DANONE BISCUITS INDONESIA</v>
          </cell>
        </row>
      </sheetData>
      <sheetData sheetId="2027">
        <row r="7">
          <cell r="E7" t="str">
            <v>PT. DANONE BISCUITS INDONESIA</v>
          </cell>
        </row>
      </sheetData>
      <sheetData sheetId="2028">
        <row r="7">
          <cell r="E7" t="str">
            <v>PT. DANONE BISCUITS INDONESIA</v>
          </cell>
        </row>
      </sheetData>
      <sheetData sheetId="2029">
        <row r="7">
          <cell r="E7" t="str">
            <v>PT. DANONE BISCUITS INDONESIA</v>
          </cell>
        </row>
      </sheetData>
      <sheetData sheetId="2030">
        <row r="7">
          <cell r="E7" t="str">
            <v>PT. DANONE BISCUITS INDONESIA</v>
          </cell>
        </row>
      </sheetData>
      <sheetData sheetId="2031">
        <row r="7">
          <cell r="E7" t="str">
            <v>PT. DANONE BISCUITS INDONESIA</v>
          </cell>
        </row>
      </sheetData>
      <sheetData sheetId="2032">
        <row r="7">
          <cell r="E7" t="str">
            <v>PT. DANONE BISCUITS INDONESIA</v>
          </cell>
        </row>
      </sheetData>
      <sheetData sheetId="2033">
        <row r="7">
          <cell r="E7" t="str">
            <v>PT. DANONE BISCUITS INDONESIA</v>
          </cell>
        </row>
      </sheetData>
      <sheetData sheetId="2034">
        <row r="7">
          <cell r="E7" t="str">
            <v>PT. DANONE BISCUITS INDONESIA</v>
          </cell>
        </row>
      </sheetData>
      <sheetData sheetId="2035">
        <row r="7">
          <cell r="E7" t="str">
            <v>PT. DANONE BISCUITS INDONESIA</v>
          </cell>
        </row>
      </sheetData>
      <sheetData sheetId="2036">
        <row r="7">
          <cell r="E7" t="str">
            <v>PT. DANONE BISCUITS INDONESIA</v>
          </cell>
        </row>
      </sheetData>
      <sheetData sheetId="2037">
        <row r="7">
          <cell r="E7" t="str">
            <v>PT. DANONE BISCUITS INDONESIA</v>
          </cell>
        </row>
      </sheetData>
      <sheetData sheetId="2038">
        <row r="7">
          <cell r="E7" t="str">
            <v>PT. DANONE BISCUITS INDONESIA</v>
          </cell>
        </row>
      </sheetData>
      <sheetData sheetId="2039">
        <row r="7">
          <cell r="E7" t="str">
            <v>PT. DANONE BISCUITS INDONESIA</v>
          </cell>
        </row>
      </sheetData>
      <sheetData sheetId="2040">
        <row r="7">
          <cell r="E7" t="str">
            <v>PT. DANONE BISCUITS INDONESIA</v>
          </cell>
        </row>
      </sheetData>
      <sheetData sheetId="2041">
        <row r="7">
          <cell r="E7" t="str">
            <v>PT. DANONE BISCUITS INDONESIA</v>
          </cell>
        </row>
      </sheetData>
      <sheetData sheetId="2042">
        <row r="7">
          <cell r="E7" t="str">
            <v>PT. DANONE BISCUITS INDONESIA</v>
          </cell>
        </row>
      </sheetData>
      <sheetData sheetId="2043">
        <row r="7">
          <cell r="E7" t="str">
            <v>PT. DANONE BISCUITS INDONESIA</v>
          </cell>
        </row>
      </sheetData>
      <sheetData sheetId="2044">
        <row r="7">
          <cell r="E7" t="str">
            <v>PT. DANONE BISCUITS INDONESIA</v>
          </cell>
        </row>
      </sheetData>
      <sheetData sheetId="2045">
        <row r="7">
          <cell r="E7" t="str">
            <v>PT. DANONE BISCUITS INDONESIA</v>
          </cell>
        </row>
      </sheetData>
      <sheetData sheetId="2046">
        <row r="7">
          <cell r="E7" t="str">
            <v>PT. DANONE BISCUITS INDONESIA</v>
          </cell>
        </row>
      </sheetData>
      <sheetData sheetId="2047">
        <row r="7">
          <cell r="E7" t="str">
            <v>PT. DANONE BISCUITS INDONESIA</v>
          </cell>
        </row>
      </sheetData>
      <sheetData sheetId="2048">
        <row r="7">
          <cell r="E7" t="str">
            <v>PT. DANONE BISCUITS INDONESIA</v>
          </cell>
        </row>
      </sheetData>
      <sheetData sheetId="2049">
        <row r="7">
          <cell r="E7" t="str">
            <v>PT. DANONE BISCUITS INDONESIA</v>
          </cell>
        </row>
      </sheetData>
      <sheetData sheetId="2050">
        <row r="7">
          <cell r="E7" t="str">
            <v>PT. DANONE BISCUITS INDONESIA</v>
          </cell>
        </row>
      </sheetData>
      <sheetData sheetId="2051">
        <row r="7">
          <cell r="E7" t="str">
            <v>PT. DANONE BISCUITS INDONESIA</v>
          </cell>
        </row>
      </sheetData>
      <sheetData sheetId="2052">
        <row r="7">
          <cell r="E7" t="str">
            <v>PT. DANONE BISCUITS INDONESIA</v>
          </cell>
        </row>
      </sheetData>
      <sheetData sheetId="2053">
        <row r="7">
          <cell r="E7" t="str">
            <v>PT. DANONE BISCUITS INDONESIA</v>
          </cell>
        </row>
      </sheetData>
      <sheetData sheetId="2054">
        <row r="7">
          <cell r="E7" t="str">
            <v>PT. DANONE BISCUITS INDONESIA</v>
          </cell>
        </row>
      </sheetData>
      <sheetData sheetId="2055">
        <row r="7">
          <cell r="E7" t="str">
            <v>PT. DANONE BISCUITS INDONESIA</v>
          </cell>
        </row>
      </sheetData>
      <sheetData sheetId="2056">
        <row r="7">
          <cell r="E7" t="str">
            <v>PT. DANONE BISCUITS INDONESIA</v>
          </cell>
        </row>
      </sheetData>
      <sheetData sheetId="2057">
        <row r="7">
          <cell r="E7" t="str">
            <v>PT. DANONE BISCUITS INDONESIA</v>
          </cell>
        </row>
      </sheetData>
      <sheetData sheetId="2058">
        <row r="7">
          <cell r="E7" t="str">
            <v>PT. DANONE BISCUITS INDONESIA</v>
          </cell>
        </row>
      </sheetData>
      <sheetData sheetId="2059">
        <row r="7">
          <cell r="E7" t="str">
            <v>PT. DANONE BISCUITS INDONESIA</v>
          </cell>
        </row>
      </sheetData>
      <sheetData sheetId="2060">
        <row r="7">
          <cell r="E7" t="str">
            <v>PT. DANONE BISCUITS INDONESIA</v>
          </cell>
        </row>
      </sheetData>
      <sheetData sheetId="2061">
        <row r="7">
          <cell r="E7" t="str">
            <v>PT. DANONE BISCUITS INDONESIA</v>
          </cell>
        </row>
      </sheetData>
      <sheetData sheetId="2062">
        <row r="7">
          <cell r="E7" t="str">
            <v>PT. DANONE BISCUITS INDONESIA</v>
          </cell>
        </row>
      </sheetData>
      <sheetData sheetId="2063">
        <row r="7">
          <cell r="E7" t="str">
            <v>PT. DANONE BISCUITS INDONESIA</v>
          </cell>
        </row>
      </sheetData>
      <sheetData sheetId="2064">
        <row r="7">
          <cell r="E7" t="str">
            <v>PT. DANONE BISCUITS INDONESIA</v>
          </cell>
        </row>
      </sheetData>
      <sheetData sheetId="2065">
        <row r="7">
          <cell r="E7" t="str">
            <v>PT. DANONE BISCUITS INDONESIA</v>
          </cell>
        </row>
      </sheetData>
      <sheetData sheetId="2066">
        <row r="7">
          <cell r="E7" t="str">
            <v>PT. DANONE BISCUITS INDONESIA</v>
          </cell>
        </row>
      </sheetData>
      <sheetData sheetId="2067">
        <row r="7">
          <cell r="E7" t="str">
            <v>PT. DANONE BISCUITS INDONESIA</v>
          </cell>
        </row>
      </sheetData>
      <sheetData sheetId="2068">
        <row r="7">
          <cell r="E7" t="str">
            <v>PT. DANONE BISCUITS INDONESIA</v>
          </cell>
        </row>
      </sheetData>
      <sheetData sheetId="2069">
        <row r="7">
          <cell r="E7" t="str">
            <v>PT. DANONE BISCUITS INDONESIA</v>
          </cell>
        </row>
      </sheetData>
      <sheetData sheetId="2070">
        <row r="7">
          <cell r="E7" t="str">
            <v>PT. DANONE BISCUITS INDONESIA</v>
          </cell>
        </row>
      </sheetData>
      <sheetData sheetId="2071">
        <row r="7">
          <cell r="E7" t="str">
            <v>PT. DANONE BISCUITS INDONESIA</v>
          </cell>
        </row>
      </sheetData>
      <sheetData sheetId="2072">
        <row r="7">
          <cell r="E7" t="str">
            <v>PT. DANONE BISCUITS INDONESIA</v>
          </cell>
        </row>
      </sheetData>
      <sheetData sheetId="2073">
        <row r="7">
          <cell r="E7" t="str">
            <v>PT. DANONE BISCUITS INDONESIA</v>
          </cell>
        </row>
      </sheetData>
      <sheetData sheetId="2074">
        <row r="7">
          <cell r="E7" t="str">
            <v>PT. DANONE BISCUITS INDONESIA</v>
          </cell>
        </row>
      </sheetData>
      <sheetData sheetId="2075">
        <row r="7">
          <cell r="E7" t="str">
            <v>PT. DANONE BISCUITS INDONESIA</v>
          </cell>
        </row>
      </sheetData>
      <sheetData sheetId="2076">
        <row r="7">
          <cell r="E7" t="str">
            <v>PT. DANONE BISCUITS INDONESIA</v>
          </cell>
        </row>
      </sheetData>
      <sheetData sheetId="2077">
        <row r="7">
          <cell r="E7" t="str">
            <v>PT. DANONE BISCUITS INDONESIA</v>
          </cell>
        </row>
      </sheetData>
      <sheetData sheetId="2078">
        <row r="7">
          <cell r="E7" t="str">
            <v>PT. DANONE BISCUITS INDONESIA</v>
          </cell>
        </row>
      </sheetData>
      <sheetData sheetId="2079">
        <row r="7">
          <cell r="E7" t="str">
            <v>PT. DANONE BISCUITS INDONESIA</v>
          </cell>
        </row>
      </sheetData>
      <sheetData sheetId="2080">
        <row r="7">
          <cell r="E7" t="str">
            <v>PT. DANONE BISCUITS INDONESIA</v>
          </cell>
        </row>
      </sheetData>
      <sheetData sheetId="2081">
        <row r="7">
          <cell r="E7" t="str">
            <v>PT. DANONE BISCUITS INDONESIA</v>
          </cell>
        </row>
      </sheetData>
      <sheetData sheetId="2082">
        <row r="7">
          <cell r="E7" t="str">
            <v>PT. DANONE BISCUITS INDONESIA</v>
          </cell>
        </row>
      </sheetData>
      <sheetData sheetId="2083">
        <row r="7">
          <cell r="E7" t="str">
            <v>PT. DANONE BISCUITS INDONESIA</v>
          </cell>
        </row>
      </sheetData>
      <sheetData sheetId="2084">
        <row r="7">
          <cell r="E7" t="str">
            <v>PT. DANONE BISCUITS INDONESIA</v>
          </cell>
        </row>
      </sheetData>
      <sheetData sheetId="2085">
        <row r="7">
          <cell r="E7" t="str">
            <v>PT. DANONE BISCUITS INDONESIA</v>
          </cell>
        </row>
      </sheetData>
      <sheetData sheetId="2086">
        <row r="7">
          <cell r="E7" t="str">
            <v>PT. DANONE BISCUITS INDONESIA</v>
          </cell>
        </row>
      </sheetData>
      <sheetData sheetId="2087">
        <row r="7">
          <cell r="E7" t="str">
            <v>PT. DANONE BISCUITS INDONESIA</v>
          </cell>
        </row>
      </sheetData>
      <sheetData sheetId="2088">
        <row r="7">
          <cell r="E7" t="str">
            <v>PT. DANONE BISCUITS INDONESIA</v>
          </cell>
        </row>
      </sheetData>
      <sheetData sheetId="2089">
        <row r="7">
          <cell r="E7" t="str">
            <v>PT. DANONE BISCUITS INDONESIA</v>
          </cell>
        </row>
      </sheetData>
      <sheetData sheetId="2090">
        <row r="7">
          <cell r="E7" t="str">
            <v>PT. DANONE BISCUITS INDONESIA</v>
          </cell>
        </row>
      </sheetData>
      <sheetData sheetId="2091">
        <row r="7">
          <cell r="E7" t="str">
            <v>PT. DANONE BISCUITS INDONESIA</v>
          </cell>
        </row>
      </sheetData>
      <sheetData sheetId="2092">
        <row r="7">
          <cell r="E7" t="str">
            <v>PT. DANONE BISCUITS INDONESIA</v>
          </cell>
        </row>
      </sheetData>
      <sheetData sheetId="2093">
        <row r="7">
          <cell r="E7" t="str">
            <v>PT. DANONE BISCUITS INDONESIA</v>
          </cell>
        </row>
      </sheetData>
      <sheetData sheetId="2094">
        <row r="7">
          <cell r="E7" t="str">
            <v>PT. DANONE BISCUITS INDONESIA</v>
          </cell>
        </row>
      </sheetData>
      <sheetData sheetId="2095">
        <row r="7">
          <cell r="E7" t="str">
            <v>PT. DANONE BISCUITS INDONESIA</v>
          </cell>
        </row>
      </sheetData>
      <sheetData sheetId="2096">
        <row r="7">
          <cell r="E7" t="str">
            <v>PT. DANONE BISCUITS INDONESIA</v>
          </cell>
        </row>
      </sheetData>
      <sheetData sheetId="2097">
        <row r="7">
          <cell r="E7" t="str">
            <v>PT. DANONE BISCUITS INDONESIA</v>
          </cell>
        </row>
      </sheetData>
      <sheetData sheetId="2098">
        <row r="7">
          <cell r="E7" t="str">
            <v>PT. DANONE BISCUITS INDONESIA</v>
          </cell>
        </row>
      </sheetData>
      <sheetData sheetId="2099">
        <row r="7">
          <cell r="E7" t="str">
            <v>PT. DANONE BISCUITS INDONESIA</v>
          </cell>
        </row>
      </sheetData>
      <sheetData sheetId="2100">
        <row r="7">
          <cell r="E7" t="str">
            <v>PT. DANONE BISCUITS INDONESIA</v>
          </cell>
        </row>
      </sheetData>
      <sheetData sheetId="2101">
        <row r="7">
          <cell r="E7" t="str">
            <v>PT. DANONE BISCUITS INDONESIA</v>
          </cell>
        </row>
      </sheetData>
      <sheetData sheetId="2102">
        <row r="7">
          <cell r="E7" t="str">
            <v>PT. DANONE BISCUITS INDONESIA</v>
          </cell>
        </row>
      </sheetData>
      <sheetData sheetId="2103">
        <row r="7">
          <cell r="E7" t="str">
            <v>PT. DANONE BISCUITS INDONESIA</v>
          </cell>
        </row>
      </sheetData>
      <sheetData sheetId="2104">
        <row r="7">
          <cell r="E7" t="str">
            <v>PT. DANONE BISCUITS INDONESIA</v>
          </cell>
        </row>
      </sheetData>
      <sheetData sheetId="2105">
        <row r="7">
          <cell r="E7" t="str">
            <v>PT. DANONE BISCUITS INDONESIA</v>
          </cell>
        </row>
      </sheetData>
      <sheetData sheetId="2106">
        <row r="7">
          <cell r="E7" t="str">
            <v>PT. DANONE BISCUITS INDONESIA</v>
          </cell>
        </row>
      </sheetData>
      <sheetData sheetId="2107">
        <row r="7">
          <cell r="E7" t="str">
            <v>PT. DANONE BISCUITS INDONESIA</v>
          </cell>
        </row>
      </sheetData>
      <sheetData sheetId="2108">
        <row r="7">
          <cell r="E7" t="str">
            <v>PT. DANONE BISCUITS INDONESIA</v>
          </cell>
        </row>
      </sheetData>
      <sheetData sheetId="2109">
        <row r="7">
          <cell r="E7" t="str">
            <v>PT. DANONE BISCUITS INDONESIA</v>
          </cell>
        </row>
      </sheetData>
      <sheetData sheetId="2110">
        <row r="7">
          <cell r="E7" t="str">
            <v>PT. DANONE BISCUITS INDONESIA</v>
          </cell>
        </row>
      </sheetData>
      <sheetData sheetId="2111">
        <row r="7">
          <cell r="E7" t="str">
            <v>PT. DANONE BISCUITS INDONESIA</v>
          </cell>
        </row>
      </sheetData>
      <sheetData sheetId="2112">
        <row r="7">
          <cell r="E7" t="str">
            <v>PT. DANONE BISCUITS INDONESIA</v>
          </cell>
        </row>
      </sheetData>
      <sheetData sheetId="2113">
        <row r="7">
          <cell r="E7" t="str">
            <v>PT. DANONE BISCUITS INDONESIA</v>
          </cell>
        </row>
      </sheetData>
      <sheetData sheetId="2114">
        <row r="7">
          <cell r="E7" t="str">
            <v>PT. DANONE BISCUITS INDONESIA</v>
          </cell>
        </row>
      </sheetData>
      <sheetData sheetId="2115">
        <row r="7">
          <cell r="E7" t="str">
            <v>PT. DANONE BISCUITS INDONESIA</v>
          </cell>
        </row>
      </sheetData>
      <sheetData sheetId="2116">
        <row r="7">
          <cell r="E7" t="str">
            <v>PT. DANONE BISCUITS INDONESIA</v>
          </cell>
        </row>
      </sheetData>
      <sheetData sheetId="2117">
        <row r="7">
          <cell r="E7" t="str">
            <v>PT. DANONE BISCUITS INDONESIA</v>
          </cell>
        </row>
      </sheetData>
      <sheetData sheetId="2118">
        <row r="7">
          <cell r="E7" t="str">
            <v>PT. DANONE BISCUITS INDONESIA</v>
          </cell>
        </row>
      </sheetData>
      <sheetData sheetId="2119">
        <row r="7">
          <cell r="E7" t="str">
            <v>PT. DANONE BISCUITS INDONESIA</v>
          </cell>
        </row>
      </sheetData>
      <sheetData sheetId="2120">
        <row r="7">
          <cell r="E7" t="str">
            <v>PT. DANONE BISCUITS INDONESIA</v>
          </cell>
        </row>
      </sheetData>
      <sheetData sheetId="2121">
        <row r="7">
          <cell r="E7" t="str">
            <v>PT. DANONE BISCUITS INDONESIA</v>
          </cell>
        </row>
      </sheetData>
      <sheetData sheetId="2122">
        <row r="7">
          <cell r="E7" t="str">
            <v>PT. DANONE BISCUITS INDONESIA</v>
          </cell>
        </row>
      </sheetData>
      <sheetData sheetId="2123">
        <row r="7">
          <cell r="E7" t="str">
            <v>PT. DANONE BISCUITS INDONESIA</v>
          </cell>
        </row>
      </sheetData>
      <sheetData sheetId="2124">
        <row r="7">
          <cell r="E7" t="str">
            <v>PT. DANONE BISCUITS INDONESIA</v>
          </cell>
        </row>
      </sheetData>
      <sheetData sheetId="2125">
        <row r="7">
          <cell r="E7" t="str">
            <v>PT. DANONE BISCUITS INDONESIA</v>
          </cell>
        </row>
      </sheetData>
      <sheetData sheetId="2126">
        <row r="7">
          <cell r="E7" t="str">
            <v>PT. DANONE BISCUITS INDONESIA</v>
          </cell>
        </row>
      </sheetData>
      <sheetData sheetId="2127">
        <row r="7">
          <cell r="E7" t="str">
            <v>PT. DANONE BISCUITS INDONESIA</v>
          </cell>
        </row>
      </sheetData>
      <sheetData sheetId="2128">
        <row r="7">
          <cell r="E7" t="str">
            <v>PT. DANONE BISCUITS INDONESIA</v>
          </cell>
        </row>
      </sheetData>
      <sheetData sheetId="2129">
        <row r="7">
          <cell r="E7" t="str">
            <v>PT. DANONE BISCUITS INDONESIA</v>
          </cell>
        </row>
      </sheetData>
      <sheetData sheetId="2130">
        <row r="7">
          <cell r="E7" t="str">
            <v>PT. DANONE BISCUITS INDONESIA</v>
          </cell>
        </row>
      </sheetData>
      <sheetData sheetId="2131">
        <row r="7">
          <cell r="E7" t="str">
            <v>PT. DANONE BISCUITS INDONESIA</v>
          </cell>
        </row>
      </sheetData>
      <sheetData sheetId="2132">
        <row r="7">
          <cell r="E7" t="str">
            <v>PT. DANONE BISCUITS INDONESIA</v>
          </cell>
        </row>
      </sheetData>
      <sheetData sheetId="2133">
        <row r="7">
          <cell r="E7" t="str">
            <v>PT. DANONE BISCUITS INDONESIA</v>
          </cell>
        </row>
      </sheetData>
      <sheetData sheetId="2134">
        <row r="7">
          <cell r="E7" t="str">
            <v>PT. DANONE BISCUITS INDONESIA</v>
          </cell>
        </row>
      </sheetData>
      <sheetData sheetId="2135">
        <row r="7">
          <cell r="E7" t="str">
            <v>PT. DANONE BISCUITS INDONESIA</v>
          </cell>
        </row>
      </sheetData>
      <sheetData sheetId="2136">
        <row r="7">
          <cell r="E7" t="str">
            <v>PT. DANONE BISCUITS INDONESIA</v>
          </cell>
        </row>
      </sheetData>
      <sheetData sheetId="2137">
        <row r="7">
          <cell r="E7" t="str">
            <v>PT. DANONE BISCUITS INDONESIA</v>
          </cell>
        </row>
      </sheetData>
      <sheetData sheetId="2138">
        <row r="7">
          <cell r="E7" t="str">
            <v>PT. DANONE BISCUITS INDONESIA</v>
          </cell>
        </row>
      </sheetData>
      <sheetData sheetId="2139">
        <row r="7">
          <cell r="E7" t="str">
            <v>PT. DANONE BISCUITS INDONESIA</v>
          </cell>
        </row>
      </sheetData>
      <sheetData sheetId="2140">
        <row r="7">
          <cell r="E7" t="str">
            <v>PT. DANONE BISCUITS INDONESIA</v>
          </cell>
        </row>
      </sheetData>
      <sheetData sheetId="2141">
        <row r="7">
          <cell r="E7" t="str">
            <v>PT. DANONE BISCUITS INDONESIA</v>
          </cell>
        </row>
      </sheetData>
      <sheetData sheetId="2142">
        <row r="7">
          <cell r="E7" t="str">
            <v>PT. DANONE BISCUITS INDONESIA</v>
          </cell>
        </row>
      </sheetData>
      <sheetData sheetId="2143">
        <row r="7">
          <cell r="E7" t="str">
            <v>PT. DANONE BISCUITS INDONESIA</v>
          </cell>
        </row>
      </sheetData>
      <sheetData sheetId="2144">
        <row r="7">
          <cell r="E7" t="str">
            <v>PT. DANONE BISCUITS INDONESIA</v>
          </cell>
        </row>
      </sheetData>
      <sheetData sheetId="2145">
        <row r="7">
          <cell r="E7" t="str">
            <v>PT. DANONE BISCUITS INDONESIA</v>
          </cell>
        </row>
      </sheetData>
      <sheetData sheetId="2146">
        <row r="7">
          <cell r="E7" t="str">
            <v>PT. DANONE BISCUITS INDONESIA</v>
          </cell>
        </row>
      </sheetData>
      <sheetData sheetId="2147">
        <row r="7">
          <cell r="E7" t="str">
            <v>PT. DANONE BISCUITS INDONESIA</v>
          </cell>
        </row>
      </sheetData>
      <sheetData sheetId="2148">
        <row r="7">
          <cell r="E7" t="str">
            <v>PT. DANONE BISCUITS INDONESIA</v>
          </cell>
        </row>
      </sheetData>
      <sheetData sheetId="2149">
        <row r="7">
          <cell r="E7" t="str">
            <v>PT. DANONE BISCUITS INDONESIA</v>
          </cell>
        </row>
      </sheetData>
      <sheetData sheetId="2150">
        <row r="7">
          <cell r="E7" t="str">
            <v>PT. DANONE BISCUITS INDONESIA</v>
          </cell>
        </row>
      </sheetData>
      <sheetData sheetId="2151">
        <row r="7">
          <cell r="E7" t="str">
            <v>PT. DANONE BISCUITS INDONESIA</v>
          </cell>
        </row>
      </sheetData>
      <sheetData sheetId="2152">
        <row r="7">
          <cell r="E7" t="str">
            <v>PT. DANONE BISCUITS INDONESIA</v>
          </cell>
        </row>
      </sheetData>
      <sheetData sheetId="2153">
        <row r="7">
          <cell r="E7" t="str">
            <v>PT. DANONE BISCUITS INDONESIA</v>
          </cell>
        </row>
      </sheetData>
      <sheetData sheetId="2154">
        <row r="7">
          <cell r="E7" t="str">
            <v>PT. DANONE BISCUITS INDONESIA</v>
          </cell>
        </row>
      </sheetData>
      <sheetData sheetId="2155">
        <row r="7">
          <cell r="E7" t="str">
            <v>PT. DANONE BISCUITS INDONESIA</v>
          </cell>
        </row>
      </sheetData>
      <sheetData sheetId="2156">
        <row r="7">
          <cell r="E7" t="str">
            <v>PT. DANONE BISCUITS INDONESIA</v>
          </cell>
        </row>
      </sheetData>
      <sheetData sheetId="2157">
        <row r="7">
          <cell r="E7" t="str">
            <v>PT. DANONE BISCUITS INDONESIA</v>
          </cell>
        </row>
      </sheetData>
      <sheetData sheetId="2158">
        <row r="7">
          <cell r="E7" t="str">
            <v>PT. DANONE BISCUITS INDONESIA</v>
          </cell>
        </row>
      </sheetData>
      <sheetData sheetId="2159">
        <row r="7">
          <cell r="E7" t="str">
            <v>PT. DANONE BISCUITS INDONESIA</v>
          </cell>
        </row>
      </sheetData>
      <sheetData sheetId="2160">
        <row r="7">
          <cell r="E7" t="str">
            <v>PT. DANONE BISCUITS INDONESIA</v>
          </cell>
        </row>
      </sheetData>
      <sheetData sheetId="2161">
        <row r="7">
          <cell r="E7" t="str">
            <v>PT. DANONE BISCUITS INDONESIA</v>
          </cell>
        </row>
      </sheetData>
      <sheetData sheetId="2162">
        <row r="7">
          <cell r="E7" t="str">
            <v>PT. DANONE BISCUITS INDONESIA</v>
          </cell>
        </row>
      </sheetData>
      <sheetData sheetId="2163">
        <row r="7">
          <cell r="E7" t="str">
            <v>PT. DANONE BISCUITS INDONESIA</v>
          </cell>
        </row>
      </sheetData>
      <sheetData sheetId="2164">
        <row r="7">
          <cell r="E7" t="str">
            <v>PT. DANONE BISCUITS INDONESIA</v>
          </cell>
        </row>
      </sheetData>
      <sheetData sheetId="2165">
        <row r="7">
          <cell r="E7" t="str">
            <v>PT. DANONE BISCUITS INDONESIA</v>
          </cell>
        </row>
      </sheetData>
      <sheetData sheetId="2166">
        <row r="7">
          <cell r="E7" t="str">
            <v>PT. DANONE BISCUITS INDONESIA</v>
          </cell>
        </row>
      </sheetData>
      <sheetData sheetId="2167">
        <row r="7">
          <cell r="E7" t="str">
            <v>PT. DANONE BISCUITS INDONESIA</v>
          </cell>
        </row>
      </sheetData>
      <sheetData sheetId="2168">
        <row r="7">
          <cell r="E7" t="str">
            <v>PT. DANONE BISCUITS INDONESIA</v>
          </cell>
        </row>
      </sheetData>
      <sheetData sheetId="2169">
        <row r="7">
          <cell r="E7" t="str">
            <v>PT. DANONE BISCUITS INDONESIA</v>
          </cell>
        </row>
      </sheetData>
      <sheetData sheetId="2170">
        <row r="7">
          <cell r="E7" t="str">
            <v>PT. DANONE BISCUITS INDONESIA</v>
          </cell>
        </row>
      </sheetData>
      <sheetData sheetId="2171">
        <row r="7">
          <cell r="E7" t="str">
            <v>PT. DANONE BISCUITS INDONESIA</v>
          </cell>
        </row>
      </sheetData>
      <sheetData sheetId="2172">
        <row r="7">
          <cell r="E7" t="str">
            <v>PT. DANONE BISCUITS INDONESIA</v>
          </cell>
        </row>
      </sheetData>
      <sheetData sheetId="2173">
        <row r="7">
          <cell r="E7" t="str">
            <v>PT. DANONE BISCUITS INDONESIA</v>
          </cell>
        </row>
      </sheetData>
      <sheetData sheetId="2174">
        <row r="7">
          <cell r="E7" t="str">
            <v>PT. DANONE BISCUITS INDONESIA</v>
          </cell>
        </row>
      </sheetData>
      <sheetData sheetId="2175">
        <row r="7">
          <cell r="E7" t="str">
            <v>PT. DANONE BISCUITS INDONESIA</v>
          </cell>
        </row>
      </sheetData>
      <sheetData sheetId="2176">
        <row r="7">
          <cell r="E7" t="str">
            <v>PT. DANONE BISCUITS INDONESIA</v>
          </cell>
        </row>
      </sheetData>
      <sheetData sheetId="2177">
        <row r="7">
          <cell r="E7" t="str">
            <v>PT. DANONE BISCUITS INDONESIA</v>
          </cell>
        </row>
      </sheetData>
      <sheetData sheetId="2178">
        <row r="7">
          <cell r="E7" t="str">
            <v>PT. DANONE BISCUITS INDONESIA</v>
          </cell>
        </row>
      </sheetData>
      <sheetData sheetId="2179">
        <row r="7">
          <cell r="E7" t="str">
            <v>PT. DANONE BISCUITS INDONESIA</v>
          </cell>
        </row>
      </sheetData>
      <sheetData sheetId="2180">
        <row r="7">
          <cell r="E7" t="str">
            <v>PT. DANONE BISCUITS INDONESIA</v>
          </cell>
        </row>
      </sheetData>
      <sheetData sheetId="2181">
        <row r="7">
          <cell r="E7" t="str">
            <v>PT. DANONE BISCUITS INDONESIA</v>
          </cell>
        </row>
      </sheetData>
      <sheetData sheetId="2182">
        <row r="7">
          <cell r="E7" t="str">
            <v>PT. DANONE BISCUITS INDONESIA</v>
          </cell>
        </row>
      </sheetData>
      <sheetData sheetId="2183">
        <row r="7">
          <cell r="E7" t="str">
            <v>PT. DANONE BISCUITS INDONESIA</v>
          </cell>
        </row>
      </sheetData>
      <sheetData sheetId="2184">
        <row r="7">
          <cell r="E7" t="str">
            <v>PT. DANONE BISCUITS INDONESIA</v>
          </cell>
        </row>
      </sheetData>
      <sheetData sheetId="2185">
        <row r="7">
          <cell r="E7" t="str">
            <v>PT. DANONE BISCUITS INDONESIA</v>
          </cell>
        </row>
      </sheetData>
      <sheetData sheetId="2186">
        <row r="7">
          <cell r="E7" t="str">
            <v>PT. DANONE BISCUITS INDONESIA</v>
          </cell>
        </row>
      </sheetData>
      <sheetData sheetId="2187">
        <row r="7">
          <cell r="E7" t="str">
            <v>PT. DANONE BISCUITS INDONESIA</v>
          </cell>
        </row>
      </sheetData>
      <sheetData sheetId="2188">
        <row r="7">
          <cell r="E7" t="str">
            <v>PT. DANONE BISCUITS INDONESIA</v>
          </cell>
        </row>
      </sheetData>
      <sheetData sheetId="2189">
        <row r="7">
          <cell r="E7" t="str">
            <v>PT. DANONE BISCUITS INDONESIA</v>
          </cell>
        </row>
      </sheetData>
      <sheetData sheetId="2190">
        <row r="7">
          <cell r="E7" t="str">
            <v>PT. DANONE BISCUITS INDONESIA</v>
          </cell>
        </row>
      </sheetData>
      <sheetData sheetId="2191">
        <row r="7">
          <cell r="E7" t="str">
            <v>PT. DANONE BISCUITS INDONESIA</v>
          </cell>
        </row>
      </sheetData>
      <sheetData sheetId="2192">
        <row r="7">
          <cell r="E7" t="str">
            <v>PT. DANONE BISCUITS INDONESIA</v>
          </cell>
        </row>
      </sheetData>
      <sheetData sheetId="2193">
        <row r="7">
          <cell r="E7" t="str">
            <v>PT. DANONE BISCUITS INDONESIA</v>
          </cell>
        </row>
      </sheetData>
      <sheetData sheetId="2194">
        <row r="7">
          <cell r="E7" t="str">
            <v>PT. DANONE BISCUITS INDONESIA</v>
          </cell>
        </row>
      </sheetData>
      <sheetData sheetId="2195">
        <row r="7">
          <cell r="E7" t="str">
            <v>PT. DANONE BISCUITS INDONESIA</v>
          </cell>
        </row>
      </sheetData>
      <sheetData sheetId="2196">
        <row r="7">
          <cell r="E7" t="str">
            <v>PT. DANONE BISCUITS INDONESIA</v>
          </cell>
        </row>
      </sheetData>
      <sheetData sheetId="2197">
        <row r="7">
          <cell r="E7" t="str">
            <v>PT. DANONE BISCUITS INDONESIA</v>
          </cell>
        </row>
      </sheetData>
      <sheetData sheetId="2198">
        <row r="7">
          <cell r="E7" t="str">
            <v>PT. DANONE BISCUITS INDONESIA</v>
          </cell>
        </row>
      </sheetData>
      <sheetData sheetId="2199">
        <row r="7">
          <cell r="E7" t="str">
            <v>PT. DANONE BISCUITS INDONESIA</v>
          </cell>
        </row>
      </sheetData>
      <sheetData sheetId="2200">
        <row r="7">
          <cell r="E7" t="str">
            <v>PT. DANONE BISCUITS INDONESIA</v>
          </cell>
        </row>
      </sheetData>
      <sheetData sheetId="2201">
        <row r="7">
          <cell r="E7" t="str">
            <v>PT. DANONE BISCUITS INDONESIA</v>
          </cell>
        </row>
      </sheetData>
      <sheetData sheetId="2202">
        <row r="7">
          <cell r="E7" t="str">
            <v>PT. DANONE BISCUITS INDONESIA</v>
          </cell>
        </row>
      </sheetData>
      <sheetData sheetId="2203">
        <row r="7">
          <cell r="E7" t="str">
            <v>PT. DANONE BISCUITS INDONESIA</v>
          </cell>
        </row>
      </sheetData>
      <sheetData sheetId="2204">
        <row r="7">
          <cell r="E7" t="str">
            <v>PT. DANONE BISCUITS INDONESIA</v>
          </cell>
        </row>
      </sheetData>
      <sheetData sheetId="2205">
        <row r="7">
          <cell r="E7" t="str">
            <v>PT. DANONE BISCUITS INDONESIA</v>
          </cell>
        </row>
      </sheetData>
      <sheetData sheetId="2206">
        <row r="7">
          <cell r="E7" t="str">
            <v>PT. DANONE BISCUITS INDONESIA</v>
          </cell>
        </row>
      </sheetData>
      <sheetData sheetId="2207">
        <row r="7">
          <cell r="E7" t="str">
            <v>PT. DANONE BISCUITS INDONESIA</v>
          </cell>
        </row>
      </sheetData>
      <sheetData sheetId="2208">
        <row r="7">
          <cell r="E7" t="str">
            <v>PT. DANONE BISCUITS INDONESIA</v>
          </cell>
        </row>
      </sheetData>
      <sheetData sheetId="2209">
        <row r="7">
          <cell r="E7" t="str">
            <v>PT. DANONE BISCUITS INDONESIA</v>
          </cell>
        </row>
      </sheetData>
      <sheetData sheetId="2210">
        <row r="7">
          <cell r="E7" t="str">
            <v>PT. DANONE BISCUITS INDONESIA</v>
          </cell>
        </row>
      </sheetData>
      <sheetData sheetId="2211">
        <row r="7">
          <cell r="E7" t="str">
            <v>PT. DANONE BISCUITS INDONESIA</v>
          </cell>
        </row>
      </sheetData>
      <sheetData sheetId="2212">
        <row r="7">
          <cell r="E7" t="str">
            <v>PT. DANONE BISCUITS INDONESIA</v>
          </cell>
        </row>
      </sheetData>
      <sheetData sheetId="2213">
        <row r="7">
          <cell r="E7" t="str">
            <v>PT. DANONE BISCUITS INDONESIA</v>
          </cell>
        </row>
      </sheetData>
      <sheetData sheetId="2214">
        <row r="7">
          <cell r="E7" t="str">
            <v>PT. DANONE BISCUITS INDONESIA</v>
          </cell>
        </row>
      </sheetData>
      <sheetData sheetId="2215">
        <row r="7">
          <cell r="E7" t="str">
            <v>PT. DANONE BISCUITS INDONESIA</v>
          </cell>
        </row>
      </sheetData>
      <sheetData sheetId="2216">
        <row r="7">
          <cell r="E7" t="str">
            <v>PT. DANONE BISCUITS INDONESIA</v>
          </cell>
        </row>
      </sheetData>
      <sheetData sheetId="2217">
        <row r="7">
          <cell r="E7" t="str">
            <v>PT. DANONE BISCUITS INDONESIA</v>
          </cell>
        </row>
      </sheetData>
      <sheetData sheetId="2218">
        <row r="7">
          <cell r="E7" t="str">
            <v>PT. DANONE BISCUITS INDONESIA</v>
          </cell>
        </row>
      </sheetData>
      <sheetData sheetId="2219">
        <row r="7">
          <cell r="E7" t="str">
            <v>PT. DANONE BISCUITS INDONESIA</v>
          </cell>
        </row>
      </sheetData>
      <sheetData sheetId="2220">
        <row r="7">
          <cell r="E7" t="str">
            <v>PT. DANONE BISCUITS INDONESIA</v>
          </cell>
        </row>
      </sheetData>
      <sheetData sheetId="2221">
        <row r="7">
          <cell r="E7" t="str">
            <v>PT. DANONE BISCUITS INDONESIA</v>
          </cell>
        </row>
      </sheetData>
      <sheetData sheetId="2222">
        <row r="7">
          <cell r="E7" t="str">
            <v>PT. DANONE BISCUITS INDONESIA</v>
          </cell>
        </row>
      </sheetData>
      <sheetData sheetId="2223">
        <row r="7">
          <cell r="E7" t="str">
            <v>PT. DANONE BISCUITS INDONESIA</v>
          </cell>
        </row>
      </sheetData>
      <sheetData sheetId="2224">
        <row r="7">
          <cell r="E7" t="str">
            <v>PT. DANONE BISCUITS INDONESIA</v>
          </cell>
        </row>
      </sheetData>
      <sheetData sheetId="2225">
        <row r="7">
          <cell r="E7" t="str">
            <v>PT. DANONE BISCUITS INDONESIA</v>
          </cell>
        </row>
      </sheetData>
      <sheetData sheetId="2226">
        <row r="7">
          <cell r="E7" t="str">
            <v>PT. DANONE BISCUITS INDONESIA</v>
          </cell>
        </row>
      </sheetData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>
        <row r="7">
          <cell r="E7" t="str">
            <v>PT. DANONE BISCUITS INDONESIA</v>
          </cell>
        </row>
      </sheetData>
      <sheetData sheetId="2261">
        <row r="7">
          <cell r="E7" t="str">
            <v>PT. DANONE BISCUITS INDONESIA</v>
          </cell>
        </row>
      </sheetData>
      <sheetData sheetId="2262">
        <row r="7">
          <cell r="E7" t="str">
            <v>PT. DANONE BISCUITS INDONESIA</v>
          </cell>
        </row>
      </sheetData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>
        <row r="7">
          <cell r="E7" t="str">
            <v>PT. DANONE BISCUITS INDONESIA</v>
          </cell>
        </row>
      </sheetData>
      <sheetData sheetId="2272">
        <row r="7">
          <cell r="E7" t="str">
            <v>PT. DANONE BISCUITS INDONESIA</v>
          </cell>
        </row>
      </sheetData>
      <sheetData sheetId="2273">
        <row r="7">
          <cell r="E7" t="str">
            <v>PT. DANONE BISCUITS INDONESIA</v>
          </cell>
        </row>
      </sheetData>
      <sheetData sheetId="2274">
        <row r="7">
          <cell r="E7" t="str">
            <v>PT. DANONE BISCUITS INDONESIA</v>
          </cell>
        </row>
      </sheetData>
      <sheetData sheetId="2275">
        <row r="7">
          <cell r="E7" t="str">
            <v>PT. DANONE BISCUITS INDONESIA</v>
          </cell>
        </row>
      </sheetData>
      <sheetData sheetId="2276">
        <row r="7">
          <cell r="E7" t="str">
            <v>PT. DANONE BISCUITS INDONESIA</v>
          </cell>
        </row>
      </sheetData>
      <sheetData sheetId="2277">
        <row r="7">
          <cell r="E7" t="str">
            <v>PT. DANONE BISCUITS INDONESIA</v>
          </cell>
        </row>
      </sheetData>
      <sheetData sheetId="2278">
        <row r="7">
          <cell r="E7" t="str">
            <v>PT. DANONE BISCUITS INDONESIA</v>
          </cell>
        </row>
      </sheetData>
      <sheetData sheetId="2279">
        <row r="7">
          <cell r="E7" t="str">
            <v>PT. DANONE BISCUITS INDONESIA</v>
          </cell>
        </row>
      </sheetData>
      <sheetData sheetId="2280">
        <row r="7">
          <cell r="E7" t="str">
            <v>PT. DANONE BISCUITS INDONESIA</v>
          </cell>
        </row>
      </sheetData>
      <sheetData sheetId="2281">
        <row r="7">
          <cell r="E7" t="str">
            <v>PT. DANONE BISCUITS INDONESIA</v>
          </cell>
        </row>
      </sheetData>
      <sheetData sheetId="2282">
        <row r="7">
          <cell r="E7" t="str">
            <v>PT. DANONE BISCUITS INDONESIA</v>
          </cell>
        </row>
      </sheetData>
      <sheetData sheetId="2283">
        <row r="7">
          <cell r="E7" t="str">
            <v>PT. DANONE BISCUITS INDONESIA</v>
          </cell>
        </row>
      </sheetData>
      <sheetData sheetId="2284">
        <row r="7">
          <cell r="E7" t="str">
            <v>PT. DANONE BISCUITS INDONESIA</v>
          </cell>
        </row>
      </sheetData>
      <sheetData sheetId="2285">
        <row r="7">
          <cell r="E7" t="str">
            <v>PT. DANONE BISCUITS INDONESIA</v>
          </cell>
        </row>
      </sheetData>
      <sheetData sheetId="2286">
        <row r="7">
          <cell r="E7" t="str">
            <v>PT. DANONE BISCUITS INDONESIA</v>
          </cell>
        </row>
      </sheetData>
      <sheetData sheetId="2287">
        <row r="7">
          <cell r="E7" t="str">
            <v>PT. DANONE BISCUITS INDONESIA</v>
          </cell>
        </row>
      </sheetData>
      <sheetData sheetId="2288">
        <row r="7">
          <cell r="E7" t="str">
            <v>PT. DANONE BISCUITS INDONESIA</v>
          </cell>
        </row>
      </sheetData>
      <sheetData sheetId="2289">
        <row r="7">
          <cell r="E7" t="str">
            <v>PT. DANONE BISCUITS INDONESIA</v>
          </cell>
        </row>
      </sheetData>
      <sheetData sheetId="2290">
        <row r="7">
          <cell r="E7" t="str">
            <v>PT. DANONE BISCUITS INDONESIA</v>
          </cell>
        </row>
      </sheetData>
      <sheetData sheetId="2291">
        <row r="7">
          <cell r="E7" t="str">
            <v>PT. DANONE BISCUITS INDONESIA</v>
          </cell>
        </row>
      </sheetData>
      <sheetData sheetId="2292">
        <row r="7">
          <cell r="E7" t="str">
            <v>PT. DANONE BISCUITS INDONESIA</v>
          </cell>
        </row>
      </sheetData>
      <sheetData sheetId="2293">
        <row r="7">
          <cell r="E7" t="str">
            <v>PT. DANONE BISCUITS INDONESIA</v>
          </cell>
        </row>
      </sheetData>
      <sheetData sheetId="2294">
        <row r="7">
          <cell r="E7" t="str">
            <v>PT. DANONE BISCUITS INDONESIA</v>
          </cell>
        </row>
      </sheetData>
      <sheetData sheetId="2295">
        <row r="7">
          <cell r="E7" t="str">
            <v>PT. DANONE BISCUITS INDONESIA</v>
          </cell>
        </row>
      </sheetData>
      <sheetData sheetId="2296">
        <row r="7">
          <cell r="E7" t="str">
            <v>PT. DANONE BISCUITS INDONESIA</v>
          </cell>
        </row>
      </sheetData>
      <sheetData sheetId="2297">
        <row r="7">
          <cell r="E7" t="str">
            <v>PT. DANONE BISCUITS INDONESIA</v>
          </cell>
        </row>
      </sheetData>
      <sheetData sheetId="2298">
        <row r="7">
          <cell r="E7" t="str">
            <v>PT. DANONE BISCUITS INDONESIA</v>
          </cell>
        </row>
      </sheetData>
      <sheetData sheetId="2299">
        <row r="7">
          <cell r="E7" t="str">
            <v>PT. DANONE BISCUITS INDONESIA</v>
          </cell>
        </row>
      </sheetData>
      <sheetData sheetId="2300">
        <row r="7">
          <cell r="E7" t="str">
            <v>PT. DANONE BISCUITS INDONESIA</v>
          </cell>
        </row>
      </sheetData>
      <sheetData sheetId="2301">
        <row r="7">
          <cell r="E7" t="str">
            <v>PT. DANONE BISCUITS INDONESIA</v>
          </cell>
        </row>
      </sheetData>
      <sheetData sheetId="2302">
        <row r="7">
          <cell r="E7" t="str">
            <v>PT. DANONE BISCUITS INDONESIA</v>
          </cell>
        </row>
      </sheetData>
      <sheetData sheetId="2303">
        <row r="7">
          <cell r="E7" t="str">
            <v>PT. DANONE BISCUITS INDONESIA</v>
          </cell>
        </row>
      </sheetData>
      <sheetData sheetId="2304">
        <row r="7">
          <cell r="E7" t="str">
            <v>PT. DANONE BISCUITS INDONESIA</v>
          </cell>
        </row>
      </sheetData>
      <sheetData sheetId="2305">
        <row r="7">
          <cell r="E7" t="str">
            <v>PT. DANONE BISCUITS INDONESIA</v>
          </cell>
        </row>
      </sheetData>
      <sheetData sheetId="2306">
        <row r="7">
          <cell r="E7" t="str">
            <v>PT. DANONE BISCUITS INDONESIA</v>
          </cell>
        </row>
      </sheetData>
      <sheetData sheetId="2307">
        <row r="7">
          <cell r="E7" t="str">
            <v>PT. DANONE BISCUITS INDONESIA</v>
          </cell>
        </row>
      </sheetData>
      <sheetData sheetId="2308">
        <row r="7">
          <cell r="E7" t="str">
            <v>PT. DANONE BISCUITS INDONESIA</v>
          </cell>
        </row>
      </sheetData>
      <sheetData sheetId="2309">
        <row r="7">
          <cell r="E7" t="str">
            <v>PT. DANONE BISCUITS INDONESIA</v>
          </cell>
        </row>
      </sheetData>
      <sheetData sheetId="2310">
        <row r="7">
          <cell r="E7" t="str">
            <v>PT. DANONE BISCUITS INDONESIA</v>
          </cell>
        </row>
      </sheetData>
      <sheetData sheetId="2311">
        <row r="7">
          <cell r="E7" t="str">
            <v>PT. DANONE BISCUITS INDONESIA</v>
          </cell>
        </row>
      </sheetData>
      <sheetData sheetId="2312">
        <row r="7">
          <cell r="E7" t="str">
            <v>PT. DANONE BISCUITS INDONESIA</v>
          </cell>
        </row>
      </sheetData>
      <sheetData sheetId="2313">
        <row r="7">
          <cell r="E7" t="str">
            <v>PT. DANONE BISCUITS INDONESIA</v>
          </cell>
        </row>
      </sheetData>
      <sheetData sheetId="2314">
        <row r="7">
          <cell r="E7" t="str">
            <v>PT. DANONE BISCUITS INDONESIA</v>
          </cell>
        </row>
      </sheetData>
      <sheetData sheetId="2315">
        <row r="7">
          <cell r="E7" t="str">
            <v>PT. DANONE BISCUITS INDONESIA</v>
          </cell>
        </row>
      </sheetData>
      <sheetData sheetId="2316">
        <row r="7">
          <cell r="E7" t="str">
            <v>PT. DANONE BISCUITS INDONESIA</v>
          </cell>
        </row>
      </sheetData>
      <sheetData sheetId="2317">
        <row r="7">
          <cell r="E7" t="str">
            <v>PT. DANONE BISCUITS INDONESIA</v>
          </cell>
        </row>
      </sheetData>
      <sheetData sheetId="2318">
        <row r="7">
          <cell r="E7" t="str">
            <v>PT. DANONE BISCUITS INDONESIA</v>
          </cell>
        </row>
      </sheetData>
      <sheetData sheetId="2319">
        <row r="7">
          <cell r="E7" t="str">
            <v>PT. DANONE BISCUITS INDONESIA</v>
          </cell>
        </row>
      </sheetData>
      <sheetData sheetId="2320">
        <row r="7">
          <cell r="E7" t="str">
            <v>PT. DANONE BISCUITS INDONESIA</v>
          </cell>
        </row>
      </sheetData>
      <sheetData sheetId="2321">
        <row r="7">
          <cell r="E7" t="str">
            <v>PT. DANONE BISCUITS INDONESIA</v>
          </cell>
        </row>
      </sheetData>
      <sheetData sheetId="2322">
        <row r="7">
          <cell r="E7" t="str">
            <v>PT. DANONE BISCUITS INDONESIA</v>
          </cell>
        </row>
      </sheetData>
      <sheetData sheetId="2323">
        <row r="7">
          <cell r="E7" t="str">
            <v>PT. DANONE BISCUITS INDONESIA</v>
          </cell>
        </row>
      </sheetData>
      <sheetData sheetId="2324">
        <row r="7">
          <cell r="E7" t="str">
            <v>PT. DANONE BISCUITS INDONESIA</v>
          </cell>
        </row>
      </sheetData>
      <sheetData sheetId="2325">
        <row r="7">
          <cell r="E7" t="str">
            <v>PT. DANONE BISCUITS INDONESIA</v>
          </cell>
        </row>
      </sheetData>
      <sheetData sheetId="2326">
        <row r="7">
          <cell r="E7" t="str">
            <v>PT. DANONE BISCUITS INDONESIA</v>
          </cell>
        </row>
      </sheetData>
      <sheetData sheetId="2327">
        <row r="7">
          <cell r="E7" t="str">
            <v>PT. DANONE BISCUITS INDONESIA</v>
          </cell>
        </row>
      </sheetData>
      <sheetData sheetId="2328">
        <row r="7">
          <cell r="E7" t="str">
            <v>PT. DANONE BISCUITS INDONESIA</v>
          </cell>
        </row>
      </sheetData>
      <sheetData sheetId="2329">
        <row r="7">
          <cell r="E7" t="str">
            <v>PT. DANONE BISCUITS INDONESIA</v>
          </cell>
        </row>
      </sheetData>
      <sheetData sheetId="2330">
        <row r="7">
          <cell r="E7" t="str">
            <v>PT. DANONE BISCUITS INDONESIA</v>
          </cell>
        </row>
      </sheetData>
      <sheetData sheetId="2331">
        <row r="7">
          <cell r="E7" t="str">
            <v>PT. DANONE BISCUITS INDONESIA</v>
          </cell>
        </row>
      </sheetData>
      <sheetData sheetId="2332">
        <row r="7">
          <cell r="E7" t="str">
            <v>PT. DANONE BISCUITS INDONESIA</v>
          </cell>
        </row>
      </sheetData>
      <sheetData sheetId="2333">
        <row r="7">
          <cell r="E7" t="str">
            <v>PT. DANONE BISCUITS INDONESIA</v>
          </cell>
        </row>
      </sheetData>
      <sheetData sheetId="2334">
        <row r="7">
          <cell r="E7" t="str">
            <v>PT. DANONE BISCUITS INDONESIA</v>
          </cell>
        </row>
      </sheetData>
      <sheetData sheetId="2335">
        <row r="7">
          <cell r="E7" t="str">
            <v>PT. DANONE BISCUITS INDONESIA</v>
          </cell>
        </row>
      </sheetData>
      <sheetData sheetId="2336">
        <row r="7">
          <cell r="E7" t="str">
            <v>PT. DANONE BISCUITS INDONESIA</v>
          </cell>
        </row>
      </sheetData>
      <sheetData sheetId="2337">
        <row r="7">
          <cell r="E7" t="str">
            <v>PT. DANONE BISCUITS INDONESIA</v>
          </cell>
        </row>
      </sheetData>
      <sheetData sheetId="2338">
        <row r="7">
          <cell r="E7" t="str">
            <v>PT. DANONE BISCUITS INDONESIA</v>
          </cell>
        </row>
      </sheetData>
      <sheetData sheetId="2339">
        <row r="7">
          <cell r="E7" t="str">
            <v>PT. DANONE BISCUITS INDONESIA</v>
          </cell>
        </row>
      </sheetData>
      <sheetData sheetId="2340">
        <row r="7">
          <cell r="E7" t="str">
            <v>PT. DANONE BISCUITS INDONESIA</v>
          </cell>
        </row>
      </sheetData>
      <sheetData sheetId="2341">
        <row r="7">
          <cell r="E7" t="str">
            <v>PT. DANONE BISCUITS INDONESIA</v>
          </cell>
        </row>
      </sheetData>
      <sheetData sheetId="2342">
        <row r="7">
          <cell r="E7" t="str">
            <v>PT. DANONE BISCUITS INDONESIA</v>
          </cell>
        </row>
      </sheetData>
      <sheetData sheetId="2343">
        <row r="7">
          <cell r="E7" t="str">
            <v>PT. DANONE BISCUITS INDONESIA</v>
          </cell>
        </row>
      </sheetData>
      <sheetData sheetId="2344">
        <row r="7">
          <cell r="E7" t="str">
            <v>PT. DANONE BISCUITS INDONESIA</v>
          </cell>
        </row>
      </sheetData>
      <sheetData sheetId="2345">
        <row r="7">
          <cell r="E7" t="str">
            <v>PT. DANONE BISCUITS INDONESIA</v>
          </cell>
        </row>
      </sheetData>
      <sheetData sheetId="2346">
        <row r="7">
          <cell r="E7" t="str">
            <v>PT. DANONE BISCUITS INDONESIA</v>
          </cell>
        </row>
      </sheetData>
      <sheetData sheetId="2347">
        <row r="7">
          <cell r="E7" t="str">
            <v>PT. DANONE BISCUITS INDONESIA</v>
          </cell>
        </row>
      </sheetData>
      <sheetData sheetId="2348">
        <row r="7">
          <cell r="E7" t="str">
            <v>PT. DANONE BISCUITS INDONESIA</v>
          </cell>
        </row>
      </sheetData>
      <sheetData sheetId="2349">
        <row r="7">
          <cell r="E7" t="str">
            <v>PT. DANONE BISCUITS INDONESIA</v>
          </cell>
        </row>
      </sheetData>
      <sheetData sheetId="2350">
        <row r="7">
          <cell r="E7" t="str">
            <v>PT. DANONE BISCUITS INDONESIA</v>
          </cell>
        </row>
      </sheetData>
      <sheetData sheetId="2351">
        <row r="7">
          <cell r="E7" t="str">
            <v>PT. DANONE BISCUITS INDONESIA</v>
          </cell>
        </row>
      </sheetData>
      <sheetData sheetId="2352">
        <row r="7">
          <cell r="E7" t="str">
            <v>PT. DANONE BISCUITS INDONESIA</v>
          </cell>
        </row>
      </sheetData>
      <sheetData sheetId="2353">
        <row r="7">
          <cell r="E7" t="str">
            <v>PT. DANONE BISCUITS INDONESIA</v>
          </cell>
        </row>
      </sheetData>
      <sheetData sheetId="2354">
        <row r="7">
          <cell r="E7" t="str">
            <v>PT. DANONE BISCUITS INDONESIA</v>
          </cell>
        </row>
      </sheetData>
      <sheetData sheetId="2355">
        <row r="7">
          <cell r="E7" t="str">
            <v>PT. DANONE BISCUITS INDONESIA</v>
          </cell>
        </row>
      </sheetData>
      <sheetData sheetId="2356">
        <row r="7">
          <cell r="E7" t="str">
            <v>PT. DANONE BISCUITS INDONESIA</v>
          </cell>
        </row>
      </sheetData>
      <sheetData sheetId="2357">
        <row r="7">
          <cell r="E7" t="str">
            <v>PT. DANONE BISCUITS INDONESIA</v>
          </cell>
        </row>
      </sheetData>
      <sheetData sheetId="2358">
        <row r="7">
          <cell r="E7" t="str">
            <v>PT. DANONE BISCUITS INDONESIA</v>
          </cell>
        </row>
      </sheetData>
      <sheetData sheetId="2359">
        <row r="7">
          <cell r="E7" t="str">
            <v>PT. DANONE BISCUITS INDONESIA</v>
          </cell>
        </row>
      </sheetData>
      <sheetData sheetId="2360">
        <row r="7">
          <cell r="E7" t="str">
            <v>PT. DANONE BISCUITS INDONESIA</v>
          </cell>
        </row>
      </sheetData>
      <sheetData sheetId="2361">
        <row r="7">
          <cell r="E7" t="str">
            <v>PT. DANONE BISCUITS INDONESIA</v>
          </cell>
        </row>
      </sheetData>
      <sheetData sheetId="2362">
        <row r="7">
          <cell r="E7" t="str">
            <v>PT. DANONE BISCUITS INDONESIA</v>
          </cell>
        </row>
      </sheetData>
      <sheetData sheetId="2363">
        <row r="7">
          <cell r="E7" t="str">
            <v>PT. DANONE BISCUITS INDONESIA</v>
          </cell>
        </row>
      </sheetData>
      <sheetData sheetId="2364">
        <row r="7">
          <cell r="E7" t="str">
            <v>PT. DANONE BISCUITS INDONESIA</v>
          </cell>
        </row>
      </sheetData>
      <sheetData sheetId="2365">
        <row r="7">
          <cell r="E7" t="str">
            <v>PT. DANONE BISCUITS INDONESIA</v>
          </cell>
        </row>
      </sheetData>
      <sheetData sheetId="2366">
        <row r="7">
          <cell r="E7" t="str">
            <v>PT. DANONE BISCUITS INDONESIA</v>
          </cell>
        </row>
      </sheetData>
      <sheetData sheetId="2367">
        <row r="7">
          <cell r="E7" t="str">
            <v>PT. DANONE BISCUITS INDONESIA</v>
          </cell>
        </row>
      </sheetData>
      <sheetData sheetId="2368">
        <row r="7">
          <cell r="E7" t="str">
            <v>PT. DANONE BISCUITS INDONESIA</v>
          </cell>
        </row>
      </sheetData>
      <sheetData sheetId="2369">
        <row r="7">
          <cell r="E7" t="str">
            <v>PT. DANONE BISCUITS INDONESIA</v>
          </cell>
        </row>
      </sheetData>
      <sheetData sheetId="2370">
        <row r="7">
          <cell r="E7" t="str">
            <v>PT. DANONE BISCUITS INDONESIA</v>
          </cell>
        </row>
      </sheetData>
      <sheetData sheetId="2371">
        <row r="7">
          <cell r="E7" t="str">
            <v>PT. DANONE BISCUITS INDONESIA</v>
          </cell>
        </row>
      </sheetData>
      <sheetData sheetId="2372">
        <row r="7">
          <cell r="E7" t="str">
            <v>PT. DANONE BISCUITS INDONESIA</v>
          </cell>
        </row>
      </sheetData>
      <sheetData sheetId="2373">
        <row r="7">
          <cell r="E7" t="str">
            <v>PT. DANONE BISCUITS INDONESIA</v>
          </cell>
        </row>
      </sheetData>
      <sheetData sheetId="2374">
        <row r="7">
          <cell r="E7" t="str">
            <v>PT. DANONE BISCUITS INDONESIA</v>
          </cell>
        </row>
      </sheetData>
      <sheetData sheetId="2375">
        <row r="7">
          <cell r="E7" t="str">
            <v>PT. DANONE BISCUITS INDONESIA</v>
          </cell>
        </row>
      </sheetData>
      <sheetData sheetId="2376">
        <row r="7">
          <cell r="E7" t="str">
            <v>PT. DANONE BISCUITS INDONESIA</v>
          </cell>
        </row>
      </sheetData>
      <sheetData sheetId="2377">
        <row r="7">
          <cell r="E7" t="str">
            <v>PT. DANONE BISCUITS INDONESIA</v>
          </cell>
        </row>
      </sheetData>
      <sheetData sheetId="2378">
        <row r="7">
          <cell r="E7" t="str">
            <v>PT. DANONE BISCUITS INDONESIA</v>
          </cell>
        </row>
      </sheetData>
      <sheetData sheetId="2379">
        <row r="7">
          <cell r="E7" t="str">
            <v>PT. DANONE BISCUITS INDONESIA</v>
          </cell>
        </row>
      </sheetData>
      <sheetData sheetId="2380">
        <row r="7">
          <cell r="E7" t="str">
            <v>PT. DANONE BISCUITS INDONESIA</v>
          </cell>
        </row>
      </sheetData>
      <sheetData sheetId="2381">
        <row r="7">
          <cell r="E7" t="str">
            <v>PT. DANONE BISCUITS INDONESIA</v>
          </cell>
        </row>
      </sheetData>
      <sheetData sheetId="2382">
        <row r="7">
          <cell r="E7" t="str">
            <v>PT. DANONE BISCUITS INDONESIA</v>
          </cell>
        </row>
      </sheetData>
      <sheetData sheetId="2383">
        <row r="7">
          <cell r="E7" t="str">
            <v>PT. DANONE BISCUITS INDONESIA</v>
          </cell>
        </row>
      </sheetData>
      <sheetData sheetId="2384">
        <row r="7">
          <cell r="E7" t="str">
            <v>PT. DANONE BISCUITS INDONESIA</v>
          </cell>
        </row>
      </sheetData>
      <sheetData sheetId="2385">
        <row r="7">
          <cell r="E7" t="str">
            <v>PT. DANONE BISCUITS INDONESIA</v>
          </cell>
        </row>
      </sheetData>
      <sheetData sheetId="2386">
        <row r="7">
          <cell r="E7" t="str">
            <v>PT. DANONE BISCUITS INDONESIA</v>
          </cell>
        </row>
      </sheetData>
      <sheetData sheetId="2387">
        <row r="7">
          <cell r="E7" t="str">
            <v>PT. DANONE BISCUITS INDONESIA</v>
          </cell>
        </row>
      </sheetData>
      <sheetData sheetId="2388">
        <row r="7">
          <cell r="E7" t="str">
            <v>PT. DANONE BISCUITS INDONESIA</v>
          </cell>
        </row>
      </sheetData>
      <sheetData sheetId="2389">
        <row r="7">
          <cell r="E7" t="str">
            <v>PT. DANONE BISCUITS INDONESIA</v>
          </cell>
        </row>
      </sheetData>
      <sheetData sheetId="2390">
        <row r="7">
          <cell r="E7" t="str">
            <v>PT. DANONE BISCUITS INDONESIA</v>
          </cell>
        </row>
      </sheetData>
      <sheetData sheetId="2391">
        <row r="7">
          <cell r="E7" t="str">
            <v>PT. DANONE BISCUITS INDONESIA</v>
          </cell>
        </row>
      </sheetData>
      <sheetData sheetId="2392">
        <row r="7">
          <cell r="E7" t="str">
            <v>PT. DANONE BISCUITS INDONESIA</v>
          </cell>
        </row>
      </sheetData>
      <sheetData sheetId="2393">
        <row r="7">
          <cell r="E7" t="str">
            <v>PT. DANONE BISCUITS INDONESIA</v>
          </cell>
        </row>
      </sheetData>
      <sheetData sheetId="2394">
        <row r="7">
          <cell r="E7" t="str">
            <v>PT. DANONE BISCUITS INDONESIA</v>
          </cell>
        </row>
      </sheetData>
      <sheetData sheetId="2395">
        <row r="7">
          <cell r="E7" t="str">
            <v>PT. DANONE BISCUITS INDONESIA</v>
          </cell>
        </row>
      </sheetData>
      <sheetData sheetId="2396">
        <row r="7">
          <cell r="E7" t="str">
            <v>PT. DANONE BISCUITS INDONESIA</v>
          </cell>
        </row>
      </sheetData>
      <sheetData sheetId="2397">
        <row r="7">
          <cell r="E7" t="str">
            <v>PT. DANONE BISCUITS INDONESIA</v>
          </cell>
        </row>
      </sheetData>
      <sheetData sheetId="2398">
        <row r="7">
          <cell r="E7" t="str">
            <v>PT. DANONE BISCUITS INDONESIA</v>
          </cell>
        </row>
      </sheetData>
      <sheetData sheetId="2399">
        <row r="7">
          <cell r="E7" t="str">
            <v>PT. DANONE BISCUITS INDONESIA</v>
          </cell>
        </row>
      </sheetData>
      <sheetData sheetId="2400">
        <row r="7">
          <cell r="E7" t="str">
            <v>PT. DANONE BISCUITS INDONESIA</v>
          </cell>
        </row>
      </sheetData>
      <sheetData sheetId="2401">
        <row r="7">
          <cell r="E7" t="str">
            <v>PT. DANONE BISCUITS INDONESIA</v>
          </cell>
        </row>
      </sheetData>
      <sheetData sheetId="2402">
        <row r="7">
          <cell r="E7" t="str">
            <v>PT. DANONE BISCUITS INDONESIA</v>
          </cell>
        </row>
      </sheetData>
      <sheetData sheetId="2403">
        <row r="7">
          <cell r="E7" t="str">
            <v>PT. DANONE BISCUITS INDONESIA</v>
          </cell>
        </row>
      </sheetData>
      <sheetData sheetId="2404">
        <row r="7">
          <cell r="E7" t="str">
            <v>PT. DANONE BISCUITS INDONESIA</v>
          </cell>
        </row>
      </sheetData>
      <sheetData sheetId="2405">
        <row r="7">
          <cell r="E7" t="str">
            <v>PT. DANONE BISCUITS INDONESIA</v>
          </cell>
        </row>
      </sheetData>
      <sheetData sheetId="2406">
        <row r="7">
          <cell r="E7" t="str">
            <v>PT. DANONE BISCUITS INDONESIA</v>
          </cell>
        </row>
      </sheetData>
      <sheetData sheetId="2407">
        <row r="7">
          <cell r="E7" t="str">
            <v>PT. DANONE BISCUITS INDONESIA</v>
          </cell>
        </row>
      </sheetData>
      <sheetData sheetId="2408">
        <row r="7">
          <cell r="E7" t="str">
            <v>PT. DANONE BISCUITS INDONESIA</v>
          </cell>
        </row>
      </sheetData>
      <sheetData sheetId="2409">
        <row r="7">
          <cell r="E7" t="str">
            <v>PT. DANONE BISCUITS INDONESIA</v>
          </cell>
        </row>
      </sheetData>
      <sheetData sheetId="2410">
        <row r="7">
          <cell r="E7" t="str">
            <v>PT. DANONE BISCUITS INDONESIA</v>
          </cell>
        </row>
      </sheetData>
      <sheetData sheetId="2411">
        <row r="7">
          <cell r="E7" t="str">
            <v>PT. DANONE BISCUITS INDONESIA</v>
          </cell>
        </row>
      </sheetData>
      <sheetData sheetId="2412">
        <row r="7">
          <cell r="E7" t="str">
            <v>PT. DANONE BISCUITS INDONESIA</v>
          </cell>
        </row>
      </sheetData>
      <sheetData sheetId="2413">
        <row r="7">
          <cell r="E7" t="str">
            <v>PT. DANONE BISCUITS INDONESIA</v>
          </cell>
        </row>
      </sheetData>
      <sheetData sheetId="2414">
        <row r="7">
          <cell r="E7" t="str">
            <v>PT. DANONE BISCUITS INDONESIA</v>
          </cell>
        </row>
      </sheetData>
      <sheetData sheetId="2415">
        <row r="7">
          <cell r="E7" t="str">
            <v>PT. DANONE BISCUITS INDONESIA</v>
          </cell>
        </row>
      </sheetData>
      <sheetData sheetId="2416">
        <row r="7">
          <cell r="E7" t="str">
            <v>PT. DANONE BISCUITS INDONESIA</v>
          </cell>
        </row>
      </sheetData>
      <sheetData sheetId="2417">
        <row r="7">
          <cell r="E7" t="str">
            <v>PT. DANONE BISCUITS INDONESIA</v>
          </cell>
        </row>
      </sheetData>
      <sheetData sheetId="2418">
        <row r="7">
          <cell r="E7" t="str">
            <v>PT. DANONE BISCUITS INDONESIA</v>
          </cell>
        </row>
      </sheetData>
      <sheetData sheetId="2419">
        <row r="7">
          <cell r="E7" t="str">
            <v>PT. DANONE BISCUITS INDONESIA</v>
          </cell>
        </row>
      </sheetData>
      <sheetData sheetId="2420">
        <row r="7">
          <cell r="E7" t="str">
            <v>PT. DANONE BISCUITS INDONESIA</v>
          </cell>
        </row>
      </sheetData>
      <sheetData sheetId="2421">
        <row r="7">
          <cell r="E7" t="str">
            <v>PT. DANONE BISCUITS INDONESIA</v>
          </cell>
        </row>
      </sheetData>
      <sheetData sheetId="2422">
        <row r="7">
          <cell r="E7" t="str">
            <v>PT. DANONE BISCUITS INDONESIA</v>
          </cell>
        </row>
      </sheetData>
      <sheetData sheetId="2423">
        <row r="7">
          <cell r="E7" t="str">
            <v>PT. DANONE BISCUITS INDONESIA</v>
          </cell>
        </row>
      </sheetData>
      <sheetData sheetId="2424">
        <row r="7">
          <cell r="E7" t="str">
            <v>PT. DANONE BISCUITS INDONESIA</v>
          </cell>
        </row>
      </sheetData>
      <sheetData sheetId="2425">
        <row r="7">
          <cell r="E7" t="str">
            <v>PT. DANONE BISCUITS INDONESIA</v>
          </cell>
        </row>
      </sheetData>
      <sheetData sheetId="2426">
        <row r="7">
          <cell r="E7" t="str">
            <v>PT. DANONE BISCUITS INDONESIA</v>
          </cell>
        </row>
      </sheetData>
      <sheetData sheetId="2427">
        <row r="7">
          <cell r="E7" t="str">
            <v>PT. DANONE BISCUITS INDONESIA</v>
          </cell>
        </row>
      </sheetData>
      <sheetData sheetId="2428">
        <row r="7">
          <cell r="E7" t="str">
            <v>PT. DANONE BISCUITS INDONESIA</v>
          </cell>
        </row>
      </sheetData>
      <sheetData sheetId="2429">
        <row r="7">
          <cell r="E7" t="str">
            <v>PT. DANONE BISCUITS INDONESIA</v>
          </cell>
        </row>
      </sheetData>
      <sheetData sheetId="2430">
        <row r="7">
          <cell r="E7" t="str">
            <v>PT. DANONE BISCUITS INDONESIA</v>
          </cell>
        </row>
      </sheetData>
      <sheetData sheetId="2431">
        <row r="7">
          <cell r="E7" t="str">
            <v>PT. DANONE BISCUITS INDONESIA</v>
          </cell>
        </row>
      </sheetData>
      <sheetData sheetId="2432">
        <row r="7">
          <cell r="E7" t="str">
            <v>PT. DANONE BISCUITS INDONESIA</v>
          </cell>
        </row>
      </sheetData>
      <sheetData sheetId="2433">
        <row r="7">
          <cell r="E7" t="str">
            <v>PT. DANONE BISCUITS INDONESIA</v>
          </cell>
        </row>
      </sheetData>
      <sheetData sheetId="2434">
        <row r="7">
          <cell r="E7" t="str">
            <v>PT. DANONE BISCUITS INDONESIA</v>
          </cell>
        </row>
      </sheetData>
      <sheetData sheetId="2435">
        <row r="7">
          <cell r="E7" t="str">
            <v>PT. DANONE BISCUITS INDONESIA</v>
          </cell>
        </row>
      </sheetData>
      <sheetData sheetId="2436">
        <row r="7">
          <cell r="E7" t="str">
            <v>PT. DANONE BISCUITS INDONESIA</v>
          </cell>
        </row>
      </sheetData>
      <sheetData sheetId="2437">
        <row r="7">
          <cell r="E7" t="str">
            <v>PT. DANONE BISCUITS INDONESIA</v>
          </cell>
        </row>
      </sheetData>
      <sheetData sheetId="2438">
        <row r="7">
          <cell r="E7" t="str">
            <v>PT. DANONE BISCUITS INDONESIA</v>
          </cell>
        </row>
      </sheetData>
      <sheetData sheetId="2439">
        <row r="7">
          <cell r="E7" t="str">
            <v>PT. DANONE BISCUITS INDONESIA</v>
          </cell>
        </row>
      </sheetData>
      <sheetData sheetId="2440">
        <row r="7">
          <cell r="E7" t="str">
            <v>PT. DANONE BISCUITS INDONESIA</v>
          </cell>
        </row>
      </sheetData>
      <sheetData sheetId="2441">
        <row r="7">
          <cell r="E7" t="str">
            <v>PT. DANONE BISCUITS INDONESIA</v>
          </cell>
        </row>
      </sheetData>
      <sheetData sheetId="2442">
        <row r="7">
          <cell r="E7" t="str">
            <v>PT. DANONE BISCUITS INDONESIA</v>
          </cell>
        </row>
      </sheetData>
      <sheetData sheetId="2443">
        <row r="7">
          <cell r="E7" t="str">
            <v>PT. DANONE BISCUITS INDONESIA</v>
          </cell>
        </row>
      </sheetData>
      <sheetData sheetId="2444">
        <row r="7">
          <cell r="E7" t="str">
            <v>PT. DANONE BISCUITS INDONESIA</v>
          </cell>
        </row>
      </sheetData>
      <sheetData sheetId="2445">
        <row r="7">
          <cell r="E7" t="str">
            <v>PT. DANONE BISCUITS INDONESIA</v>
          </cell>
        </row>
      </sheetData>
      <sheetData sheetId="2446">
        <row r="7">
          <cell r="E7" t="str">
            <v>PT. DANONE BISCUITS INDONESIA</v>
          </cell>
        </row>
      </sheetData>
      <sheetData sheetId="2447">
        <row r="7">
          <cell r="E7" t="str">
            <v>PT. DANONE BISCUITS INDONESIA</v>
          </cell>
        </row>
      </sheetData>
      <sheetData sheetId="2448">
        <row r="7">
          <cell r="E7" t="str">
            <v>PT. DANONE BISCUITS INDONESIA</v>
          </cell>
        </row>
      </sheetData>
      <sheetData sheetId="2449">
        <row r="7">
          <cell r="E7" t="str">
            <v>PT. DANONE BISCUITS INDONESIA</v>
          </cell>
        </row>
      </sheetData>
      <sheetData sheetId="2450">
        <row r="7">
          <cell r="E7" t="str">
            <v>PT. DANONE BISCUITS INDONESIA</v>
          </cell>
        </row>
      </sheetData>
      <sheetData sheetId="2451">
        <row r="7">
          <cell r="E7" t="str">
            <v>PT. DANONE BISCUITS INDONESIA</v>
          </cell>
        </row>
      </sheetData>
      <sheetData sheetId="2452">
        <row r="7">
          <cell r="E7" t="str">
            <v>PT. DANONE BISCUITS INDONESIA</v>
          </cell>
        </row>
      </sheetData>
      <sheetData sheetId="2453">
        <row r="7">
          <cell r="E7" t="str">
            <v>PT. DANONE BISCUITS INDONESIA</v>
          </cell>
        </row>
      </sheetData>
      <sheetData sheetId="2454">
        <row r="7">
          <cell r="E7" t="str">
            <v>PT. DANONE BISCUITS INDONESIA</v>
          </cell>
        </row>
      </sheetData>
      <sheetData sheetId="2455">
        <row r="7">
          <cell r="E7" t="str">
            <v>PT. DANONE BISCUITS INDONESIA</v>
          </cell>
        </row>
      </sheetData>
      <sheetData sheetId="2456">
        <row r="7">
          <cell r="E7" t="str">
            <v>PT. DANONE BISCUITS INDONESIA</v>
          </cell>
        </row>
      </sheetData>
      <sheetData sheetId="2457">
        <row r="7">
          <cell r="E7" t="str">
            <v>PT. DANONE BISCUITS INDONESIA</v>
          </cell>
        </row>
      </sheetData>
      <sheetData sheetId="2458">
        <row r="7">
          <cell r="E7" t="str">
            <v>PT. DANONE BISCUITS INDONESIA</v>
          </cell>
        </row>
      </sheetData>
      <sheetData sheetId="2459">
        <row r="7">
          <cell r="E7" t="str">
            <v>PT. DANONE BISCUITS INDONESIA</v>
          </cell>
        </row>
      </sheetData>
      <sheetData sheetId="2460">
        <row r="7">
          <cell r="E7" t="str">
            <v>PT. DANONE BISCUITS INDONESIA</v>
          </cell>
        </row>
      </sheetData>
      <sheetData sheetId="2461">
        <row r="7">
          <cell r="E7" t="str">
            <v>PT. DANONE BISCUITS INDONESIA</v>
          </cell>
        </row>
      </sheetData>
      <sheetData sheetId="2462">
        <row r="7">
          <cell r="E7" t="str">
            <v>PT. DANONE BISCUITS INDONESIA</v>
          </cell>
        </row>
      </sheetData>
      <sheetData sheetId="2463">
        <row r="7">
          <cell r="E7" t="str">
            <v>PT. DANONE BISCUITS INDONESIA</v>
          </cell>
        </row>
      </sheetData>
      <sheetData sheetId="2464">
        <row r="7">
          <cell r="E7" t="str">
            <v>PT. DANONE BISCUITS INDONESIA</v>
          </cell>
        </row>
      </sheetData>
      <sheetData sheetId="2465">
        <row r="7">
          <cell r="E7" t="str">
            <v>PT. DANONE BISCUITS INDONESIA</v>
          </cell>
        </row>
      </sheetData>
      <sheetData sheetId="2466">
        <row r="7">
          <cell r="E7" t="str">
            <v>PT. DANONE BISCUITS INDONESIA</v>
          </cell>
        </row>
      </sheetData>
      <sheetData sheetId="2467">
        <row r="7">
          <cell r="E7" t="str">
            <v>PT. DANONE BISCUITS INDONESIA</v>
          </cell>
        </row>
      </sheetData>
      <sheetData sheetId="2468">
        <row r="7">
          <cell r="E7" t="str">
            <v>PT. DANONE BISCUITS INDONESIA</v>
          </cell>
        </row>
      </sheetData>
      <sheetData sheetId="2469">
        <row r="7">
          <cell r="E7" t="str">
            <v>PT. DANONE BISCUITS INDONESIA</v>
          </cell>
        </row>
      </sheetData>
      <sheetData sheetId="2470">
        <row r="7">
          <cell r="E7" t="str">
            <v>PT. DANONE BISCUITS INDONESIA</v>
          </cell>
        </row>
      </sheetData>
      <sheetData sheetId="2471">
        <row r="7">
          <cell r="E7" t="str">
            <v>PT. DANONE BISCUITS INDONESIA</v>
          </cell>
        </row>
      </sheetData>
      <sheetData sheetId="2472">
        <row r="7">
          <cell r="E7" t="str">
            <v>PT. DANONE BISCUITS INDONESIA</v>
          </cell>
        </row>
      </sheetData>
      <sheetData sheetId="2473">
        <row r="7">
          <cell r="E7" t="str">
            <v>PT. DANONE BISCUITS INDONESIA</v>
          </cell>
        </row>
      </sheetData>
      <sheetData sheetId="2474">
        <row r="7">
          <cell r="E7" t="str">
            <v>PT. DANONE BISCUITS INDONESIA</v>
          </cell>
        </row>
      </sheetData>
      <sheetData sheetId="2475">
        <row r="7">
          <cell r="E7" t="str">
            <v>PT. DANONE BISCUITS INDONESIA</v>
          </cell>
        </row>
      </sheetData>
      <sheetData sheetId="2476">
        <row r="7">
          <cell r="E7" t="str">
            <v>PT. DANONE BISCUITS INDONESIA</v>
          </cell>
        </row>
      </sheetData>
      <sheetData sheetId="2477">
        <row r="7">
          <cell r="E7" t="str">
            <v>PT. DANONE BISCUITS INDONESIA</v>
          </cell>
        </row>
      </sheetData>
      <sheetData sheetId="2478">
        <row r="7">
          <cell r="E7" t="str">
            <v>PT. DANONE BISCUITS INDONESIA</v>
          </cell>
        </row>
      </sheetData>
      <sheetData sheetId="2479">
        <row r="7">
          <cell r="E7" t="str">
            <v>PT. DANONE BISCUITS INDONESIA</v>
          </cell>
        </row>
      </sheetData>
      <sheetData sheetId="2480">
        <row r="7">
          <cell r="E7" t="str">
            <v>PT. DANONE BISCUITS INDONESIA</v>
          </cell>
        </row>
      </sheetData>
      <sheetData sheetId="2481">
        <row r="7">
          <cell r="E7" t="str">
            <v>PT. DANONE BISCUITS INDONESIA</v>
          </cell>
        </row>
      </sheetData>
      <sheetData sheetId="2482">
        <row r="7">
          <cell r="E7" t="str">
            <v>PT. DANONE BISCUITS INDONESIA</v>
          </cell>
        </row>
      </sheetData>
      <sheetData sheetId="2483">
        <row r="7">
          <cell r="E7" t="str">
            <v>PT. DANONE BISCUITS INDONESIA</v>
          </cell>
        </row>
      </sheetData>
      <sheetData sheetId="2484">
        <row r="7">
          <cell r="E7" t="str">
            <v>PT. DANONE BISCUITS INDONESIA</v>
          </cell>
        </row>
      </sheetData>
      <sheetData sheetId="2485">
        <row r="7">
          <cell r="E7" t="str">
            <v>PT. DANONE BISCUITS INDONESIA</v>
          </cell>
        </row>
      </sheetData>
      <sheetData sheetId="2486">
        <row r="7">
          <cell r="E7" t="str">
            <v>PT. DANONE BISCUITS INDONESIA</v>
          </cell>
        </row>
      </sheetData>
      <sheetData sheetId="2487">
        <row r="7">
          <cell r="E7" t="str">
            <v>PT. DANONE BISCUITS INDONESIA</v>
          </cell>
        </row>
      </sheetData>
      <sheetData sheetId="2488">
        <row r="7">
          <cell r="E7" t="str">
            <v>PT. DANONE BISCUITS INDONESIA</v>
          </cell>
        </row>
      </sheetData>
      <sheetData sheetId="2489">
        <row r="7">
          <cell r="E7" t="str">
            <v>PT. DANONE BISCUITS INDONESIA</v>
          </cell>
        </row>
      </sheetData>
      <sheetData sheetId="2490">
        <row r="7">
          <cell r="E7" t="str">
            <v>PT. DANONE BISCUITS INDONESIA</v>
          </cell>
        </row>
      </sheetData>
      <sheetData sheetId="2491">
        <row r="7">
          <cell r="E7" t="str">
            <v>PT. DANONE BISCUITS INDONESIA</v>
          </cell>
        </row>
      </sheetData>
      <sheetData sheetId="2492">
        <row r="7">
          <cell r="E7" t="str">
            <v>PT. DANONE BISCUITS INDONESIA</v>
          </cell>
        </row>
      </sheetData>
      <sheetData sheetId="2493">
        <row r="7">
          <cell r="E7" t="str">
            <v>PT. DANONE BISCUITS INDONESIA</v>
          </cell>
        </row>
      </sheetData>
      <sheetData sheetId="2494">
        <row r="7">
          <cell r="E7" t="str">
            <v>PT. DANONE BISCUITS INDONESIA</v>
          </cell>
        </row>
      </sheetData>
      <sheetData sheetId="2495">
        <row r="7">
          <cell r="E7" t="str">
            <v>PT. DANONE BISCUITS INDONESIA</v>
          </cell>
        </row>
      </sheetData>
      <sheetData sheetId="2496">
        <row r="7">
          <cell r="E7" t="str">
            <v>PT. DANONE BISCUITS INDONESIA</v>
          </cell>
        </row>
      </sheetData>
      <sheetData sheetId="2497">
        <row r="7">
          <cell r="E7" t="str">
            <v>PT. DANONE BISCUITS INDONESIA</v>
          </cell>
        </row>
      </sheetData>
      <sheetData sheetId="2498">
        <row r="7">
          <cell r="E7" t="str">
            <v>PT. DANONE BISCUITS INDONESIA</v>
          </cell>
        </row>
      </sheetData>
      <sheetData sheetId="2499">
        <row r="7">
          <cell r="E7" t="str">
            <v>PT. DANONE BISCUITS INDONESIA</v>
          </cell>
        </row>
      </sheetData>
      <sheetData sheetId="2500">
        <row r="7">
          <cell r="E7" t="str">
            <v>PT. DANONE BISCUITS INDONESIA</v>
          </cell>
        </row>
      </sheetData>
      <sheetData sheetId="2501">
        <row r="7">
          <cell r="E7" t="str">
            <v>PT. DANONE BISCUITS INDONESIA</v>
          </cell>
        </row>
      </sheetData>
      <sheetData sheetId="2502">
        <row r="7">
          <cell r="E7" t="str">
            <v>PT. DANONE BISCUITS INDONESIA</v>
          </cell>
        </row>
      </sheetData>
      <sheetData sheetId="2503">
        <row r="7">
          <cell r="E7" t="str">
            <v>PT. DANONE BISCUITS INDONESIA</v>
          </cell>
        </row>
      </sheetData>
      <sheetData sheetId="2504">
        <row r="7">
          <cell r="E7" t="str">
            <v>PT. DANONE BISCUITS INDONESIA</v>
          </cell>
        </row>
      </sheetData>
      <sheetData sheetId="2505">
        <row r="7">
          <cell r="E7" t="str">
            <v>PT. DANONE BISCUITS INDONESIA</v>
          </cell>
        </row>
      </sheetData>
      <sheetData sheetId="2506">
        <row r="7">
          <cell r="E7" t="str">
            <v>PT. DANONE BISCUITS INDONESIA</v>
          </cell>
        </row>
      </sheetData>
      <sheetData sheetId="2507">
        <row r="7">
          <cell r="E7" t="str">
            <v>PT. DANONE BISCUITS INDONESIA</v>
          </cell>
        </row>
      </sheetData>
      <sheetData sheetId="2508">
        <row r="7">
          <cell r="E7" t="str">
            <v>PT. DANONE BISCUITS INDONESIA</v>
          </cell>
        </row>
      </sheetData>
      <sheetData sheetId="2509">
        <row r="7">
          <cell r="E7" t="str">
            <v>PT. DANONE BISCUITS INDONESIA</v>
          </cell>
        </row>
      </sheetData>
      <sheetData sheetId="2510">
        <row r="7">
          <cell r="E7" t="str">
            <v>PT. DANONE BISCUITS INDONESIA</v>
          </cell>
        </row>
      </sheetData>
      <sheetData sheetId="2511">
        <row r="7">
          <cell r="E7" t="str">
            <v>PT. DANONE BISCUITS INDONESIA</v>
          </cell>
        </row>
      </sheetData>
      <sheetData sheetId="2512">
        <row r="7">
          <cell r="E7" t="str">
            <v>PT. DANONE BISCUITS INDONESIA</v>
          </cell>
        </row>
      </sheetData>
      <sheetData sheetId="2513">
        <row r="7">
          <cell r="E7" t="str">
            <v>PT. DANONE BISCUITS INDONESIA</v>
          </cell>
        </row>
      </sheetData>
      <sheetData sheetId="2514">
        <row r="7">
          <cell r="E7" t="str">
            <v>PT. DANONE BISCUITS INDONESIA</v>
          </cell>
        </row>
      </sheetData>
      <sheetData sheetId="2515">
        <row r="7">
          <cell r="E7" t="str">
            <v>PT. DANONE BISCUITS INDONESIA</v>
          </cell>
        </row>
      </sheetData>
      <sheetData sheetId="2516">
        <row r="7">
          <cell r="E7" t="str">
            <v>PT. DANONE BISCUITS INDONESIA</v>
          </cell>
        </row>
      </sheetData>
      <sheetData sheetId="2517">
        <row r="7">
          <cell r="E7" t="str">
            <v>PT. DANONE BISCUITS INDONESIA</v>
          </cell>
        </row>
      </sheetData>
      <sheetData sheetId="2518">
        <row r="7">
          <cell r="E7" t="str">
            <v>PT. DANONE BISCUITS INDONESIA</v>
          </cell>
        </row>
      </sheetData>
      <sheetData sheetId="2519">
        <row r="7">
          <cell r="E7" t="str">
            <v>PT. DANONE BISCUITS INDONESIA</v>
          </cell>
        </row>
      </sheetData>
      <sheetData sheetId="2520">
        <row r="7">
          <cell r="E7" t="str">
            <v>PT. DANONE BISCUITS INDONESIA</v>
          </cell>
        </row>
      </sheetData>
      <sheetData sheetId="2521">
        <row r="7">
          <cell r="E7" t="str">
            <v>PT. DANONE BISCUITS INDONESIA</v>
          </cell>
        </row>
      </sheetData>
      <sheetData sheetId="2522">
        <row r="7">
          <cell r="E7" t="str">
            <v>PT. DANONE BISCUITS INDONESIA</v>
          </cell>
        </row>
      </sheetData>
      <sheetData sheetId="2523">
        <row r="7">
          <cell r="E7" t="str">
            <v>PT. DANONE BISCUITS INDONESIA</v>
          </cell>
        </row>
      </sheetData>
      <sheetData sheetId="2524">
        <row r="7">
          <cell r="E7" t="str">
            <v>PT. DANONE BISCUITS INDONESIA</v>
          </cell>
        </row>
      </sheetData>
      <sheetData sheetId="2525">
        <row r="7">
          <cell r="E7" t="str">
            <v>PT. DANONE BISCUITS INDONESIA</v>
          </cell>
        </row>
      </sheetData>
      <sheetData sheetId="2526">
        <row r="7">
          <cell r="E7" t="str">
            <v>PT. DANONE BISCUITS INDONESIA</v>
          </cell>
        </row>
      </sheetData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>
        <row r="7">
          <cell r="E7" t="str">
            <v>PT. DANONE BISCUITS INDONESIA</v>
          </cell>
        </row>
      </sheetData>
      <sheetData sheetId="2661">
        <row r="7">
          <cell r="E7" t="str">
            <v>PT. DANONE BISCUITS INDONESIA</v>
          </cell>
        </row>
      </sheetData>
      <sheetData sheetId="2662">
        <row r="7">
          <cell r="E7" t="str">
            <v>PT. DANONE BISCUITS INDONESIA</v>
          </cell>
        </row>
      </sheetData>
      <sheetData sheetId="2663">
        <row r="7">
          <cell r="E7" t="str">
            <v>PT. DANONE BISCUITS INDONESIA</v>
          </cell>
        </row>
      </sheetData>
      <sheetData sheetId="2664">
        <row r="7">
          <cell r="E7" t="str">
            <v>PT. DANONE BISCUITS INDONESIA</v>
          </cell>
        </row>
      </sheetData>
      <sheetData sheetId="2665">
        <row r="7">
          <cell r="E7" t="str">
            <v>PT. DANONE BISCUITS INDONESIA</v>
          </cell>
        </row>
      </sheetData>
      <sheetData sheetId="2666">
        <row r="7">
          <cell r="E7" t="str">
            <v>PT. DANONE BISCUITS INDONESIA</v>
          </cell>
        </row>
      </sheetData>
      <sheetData sheetId="2667">
        <row r="7">
          <cell r="E7" t="str">
            <v>PT. DANONE BISCUITS INDONESIA</v>
          </cell>
        </row>
      </sheetData>
      <sheetData sheetId="2668">
        <row r="7">
          <cell r="E7" t="str">
            <v>PT. DANONE BISCUITS INDONESIA</v>
          </cell>
        </row>
      </sheetData>
      <sheetData sheetId="2669">
        <row r="7">
          <cell r="E7" t="str">
            <v>PT. DANONE BISCUITS INDONESIA</v>
          </cell>
        </row>
      </sheetData>
      <sheetData sheetId="2670">
        <row r="7">
          <cell r="E7" t="str">
            <v>PT. DANONE BISCUITS INDONESIA</v>
          </cell>
        </row>
      </sheetData>
      <sheetData sheetId="2671">
        <row r="7">
          <cell r="E7" t="str">
            <v>PT. DANONE BISCUITS INDONESIA</v>
          </cell>
        </row>
      </sheetData>
      <sheetData sheetId="2672">
        <row r="7">
          <cell r="E7" t="str">
            <v>PT. DANONE BISCUITS INDONESIA</v>
          </cell>
        </row>
      </sheetData>
      <sheetData sheetId="2673">
        <row r="7">
          <cell r="E7" t="str">
            <v>PT. DANONE BISCUITS INDONESIA</v>
          </cell>
        </row>
      </sheetData>
      <sheetData sheetId="2674">
        <row r="7">
          <cell r="E7" t="str">
            <v>PT. DANONE BISCUITS INDONESIA</v>
          </cell>
        </row>
      </sheetData>
      <sheetData sheetId="2675">
        <row r="7">
          <cell r="E7" t="str">
            <v>PT. DANONE BISCUITS INDONESIA</v>
          </cell>
        </row>
      </sheetData>
      <sheetData sheetId="2676">
        <row r="7">
          <cell r="E7" t="str">
            <v>PT. DANONE BISCUITS INDONESIA</v>
          </cell>
        </row>
      </sheetData>
      <sheetData sheetId="2677">
        <row r="7">
          <cell r="E7" t="str">
            <v>PT. DANONE BISCUITS INDONESIA</v>
          </cell>
        </row>
      </sheetData>
      <sheetData sheetId="2678">
        <row r="7">
          <cell r="E7" t="str">
            <v>PT. DANONE BISCUITS INDONESIA</v>
          </cell>
        </row>
      </sheetData>
      <sheetData sheetId="2679">
        <row r="7">
          <cell r="E7" t="str">
            <v>PT. DANONE BISCUITS INDONESIA</v>
          </cell>
        </row>
      </sheetData>
      <sheetData sheetId="2680">
        <row r="7">
          <cell r="E7" t="str">
            <v>PT. DANONE BISCUITS INDONESIA</v>
          </cell>
        </row>
      </sheetData>
      <sheetData sheetId="2681">
        <row r="7">
          <cell r="E7" t="str">
            <v>PT. DANONE BISCUITS INDONESIA</v>
          </cell>
        </row>
      </sheetData>
      <sheetData sheetId="2682">
        <row r="7">
          <cell r="E7" t="str">
            <v>PT. DANONE BISCUITS INDONESIA</v>
          </cell>
        </row>
      </sheetData>
      <sheetData sheetId="2683">
        <row r="7">
          <cell r="E7" t="str">
            <v>PT. DANONE BISCUITS INDONESIA</v>
          </cell>
        </row>
      </sheetData>
      <sheetData sheetId="2684">
        <row r="7">
          <cell r="E7" t="str">
            <v>PT. DANONE BISCUITS INDONESIA</v>
          </cell>
        </row>
      </sheetData>
      <sheetData sheetId="2685">
        <row r="7">
          <cell r="E7" t="str">
            <v>PT. DANONE BISCUITS INDONESIA</v>
          </cell>
        </row>
      </sheetData>
      <sheetData sheetId="2686">
        <row r="7">
          <cell r="E7" t="str">
            <v>PT. DANONE BISCUITS INDONESIA</v>
          </cell>
        </row>
      </sheetData>
      <sheetData sheetId="2687">
        <row r="7">
          <cell r="E7" t="str">
            <v>PT. DANONE BISCUITS INDONESIA</v>
          </cell>
        </row>
      </sheetData>
      <sheetData sheetId="2688">
        <row r="7">
          <cell r="E7" t="str">
            <v>PT. DANONE BISCUITS INDONESIA</v>
          </cell>
        </row>
      </sheetData>
      <sheetData sheetId="2689">
        <row r="7">
          <cell r="E7" t="str">
            <v>PT. DANONE BISCUITS INDONESIA</v>
          </cell>
        </row>
      </sheetData>
      <sheetData sheetId="2690">
        <row r="7">
          <cell r="E7" t="str">
            <v>PT. DANONE BISCUITS INDONESIA</v>
          </cell>
        </row>
      </sheetData>
      <sheetData sheetId="2691">
        <row r="7">
          <cell r="E7" t="str">
            <v>PT. DANONE BISCUITS INDONESIA</v>
          </cell>
        </row>
      </sheetData>
      <sheetData sheetId="2692">
        <row r="7">
          <cell r="E7" t="str">
            <v>PT. DANONE BISCUITS INDONESIA</v>
          </cell>
        </row>
      </sheetData>
      <sheetData sheetId="2693">
        <row r="7">
          <cell r="E7" t="str">
            <v>PT. DANONE BISCUITS INDONESIA</v>
          </cell>
        </row>
      </sheetData>
      <sheetData sheetId="2694">
        <row r="7">
          <cell r="E7" t="str">
            <v>PT. DANONE BISCUITS INDONESIA</v>
          </cell>
        </row>
      </sheetData>
      <sheetData sheetId="2695">
        <row r="7">
          <cell r="E7" t="str">
            <v>PT. DANONE BISCUITS INDONESIA</v>
          </cell>
        </row>
      </sheetData>
      <sheetData sheetId="2696">
        <row r="7">
          <cell r="E7" t="str">
            <v>PT. DANONE BISCUITS INDONESIA</v>
          </cell>
        </row>
      </sheetData>
      <sheetData sheetId="2697">
        <row r="7">
          <cell r="E7" t="str">
            <v>PT. DANONE BISCUITS INDONESIA</v>
          </cell>
        </row>
      </sheetData>
      <sheetData sheetId="2698">
        <row r="7">
          <cell r="E7" t="str">
            <v>PT. DANONE BISCUITS INDONESIA</v>
          </cell>
        </row>
      </sheetData>
      <sheetData sheetId="2699">
        <row r="7">
          <cell r="E7" t="str">
            <v>PT. DANONE BISCUITS INDONESIA</v>
          </cell>
        </row>
      </sheetData>
      <sheetData sheetId="2700">
        <row r="7">
          <cell r="E7" t="str">
            <v>PT. DANONE BISCUITS INDONESIA</v>
          </cell>
        </row>
      </sheetData>
      <sheetData sheetId="2701">
        <row r="7">
          <cell r="E7" t="str">
            <v>PT. DANONE BISCUITS INDONESIA</v>
          </cell>
        </row>
      </sheetData>
      <sheetData sheetId="2702">
        <row r="7">
          <cell r="E7" t="str">
            <v>PT. DANONE BISCUITS INDONESIA</v>
          </cell>
        </row>
      </sheetData>
      <sheetData sheetId="2703">
        <row r="7">
          <cell r="E7" t="str">
            <v>PT. DANONE BISCUITS INDONESIA</v>
          </cell>
        </row>
      </sheetData>
      <sheetData sheetId="2704">
        <row r="7">
          <cell r="E7" t="str">
            <v>PT. DANONE BISCUITS INDONESIA</v>
          </cell>
        </row>
      </sheetData>
      <sheetData sheetId="2705">
        <row r="7">
          <cell r="E7" t="str">
            <v>PT. DANONE BISCUITS INDONESIA</v>
          </cell>
        </row>
      </sheetData>
      <sheetData sheetId="2706">
        <row r="7">
          <cell r="E7" t="str">
            <v>PT. DANONE BISCUITS INDONESIA</v>
          </cell>
        </row>
      </sheetData>
      <sheetData sheetId="2707">
        <row r="7">
          <cell r="E7" t="str">
            <v>PT. DANONE BISCUITS INDONESIA</v>
          </cell>
        </row>
      </sheetData>
      <sheetData sheetId="2708">
        <row r="7">
          <cell r="E7" t="str">
            <v>PT. DANONE BISCUITS INDONESIA</v>
          </cell>
        </row>
      </sheetData>
      <sheetData sheetId="2709">
        <row r="7">
          <cell r="E7" t="str">
            <v>PT. DANONE BISCUITS INDONESIA</v>
          </cell>
        </row>
      </sheetData>
      <sheetData sheetId="2710">
        <row r="7">
          <cell r="E7" t="str">
            <v>PT. DANONE BISCUITS INDONESIA</v>
          </cell>
        </row>
      </sheetData>
      <sheetData sheetId="2711">
        <row r="7">
          <cell r="E7" t="str">
            <v>PT. DANONE BISCUITS INDONESIA</v>
          </cell>
        </row>
      </sheetData>
      <sheetData sheetId="2712">
        <row r="7">
          <cell r="E7" t="str">
            <v>PT. DANONE BISCUITS INDONESIA</v>
          </cell>
        </row>
      </sheetData>
      <sheetData sheetId="2713">
        <row r="7">
          <cell r="E7" t="str">
            <v>PT. DANONE BISCUITS INDONESIA</v>
          </cell>
        </row>
      </sheetData>
      <sheetData sheetId="2714">
        <row r="7">
          <cell r="E7" t="str">
            <v>PT. DANONE BISCUITS INDONESIA</v>
          </cell>
        </row>
      </sheetData>
      <sheetData sheetId="2715">
        <row r="7">
          <cell r="E7" t="str">
            <v>PT. DANONE BISCUITS INDONESIA</v>
          </cell>
        </row>
      </sheetData>
      <sheetData sheetId="2716">
        <row r="7">
          <cell r="E7" t="str">
            <v>PT. DANONE BISCUITS INDONESIA</v>
          </cell>
        </row>
      </sheetData>
      <sheetData sheetId="2717">
        <row r="7">
          <cell r="E7" t="str">
            <v>PT. DANONE BISCUITS INDONESIA</v>
          </cell>
        </row>
      </sheetData>
      <sheetData sheetId="2718">
        <row r="7">
          <cell r="E7" t="str">
            <v>PT. DANONE BISCUITS INDONESIA</v>
          </cell>
        </row>
      </sheetData>
      <sheetData sheetId="2719">
        <row r="7">
          <cell r="E7" t="str">
            <v>PT. DANONE BISCUITS INDONESIA</v>
          </cell>
        </row>
      </sheetData>
      <sheetData sheetId="2720">
        <row r="7">
          <cell r="E7" t="str">
            <v>PT. DANONE BISCUITS INDONESIA</v>
          </cell>
        </row>
      </sheetData>
      <sheetData sheetId="2721">
        <row r="7">
          <cell r="E7" t="str">
            <v>PT. DANONE BISCUITS INDONESIA</v>
          </cell>
        </row>
      </sheetData>
      <sheetData sheetId="2722">
        <row r="7">
          <cell r="E7" t="str">
            <v>PT. DANONE BISCUITS INDONESIA</v>
          </cell>
        </row>
      </sheetData>
      <sheetData sheetId="2723">
        <row r="7">
          <cell r="E7" t="str">
            <v>PT. DANONE BISCUITS INDONESIA</v>
          </cell>
        </row>
      </sheetData>
      <sheetData sheetId="2724">
        <row r="7">
          <cell r="E7" t="str">
            <v>PT. DANONE BISCUITS INDONESIA</v>
          </cell>
        </row>
      </sheetData>
      <sheetData sheetId="2725">
        <row r="7">
          <cell r="E7" t="str">
            <v>PT. DANONE BISCUITS INDONESIA</v>
          </cell>
        </row>
      </sheetData>
      <sheetData sheetId="2726">
        <row r="7">
          <cell r="E7" t="str">
            <v>PT. DANONE BISCUITS INDONESIA</v>
          </cell>
        </row>
      </sheetData>
      <sheetData sheetId="2727">
        <row r="7">
          <cell r="E7" t="str">
            <v>PT. DANONE BISCUITS INDONESIA</v>
          </cell>
        </row>
      </sheetData>
      <sheetData sheetId="2728">
        <row r="7">
          <cell r="E7" t="str">
            <v>PT. DANONE BISCUITS INDONESIA</v>
          </cell>
        </row>
      </sheetData>
      <sheetData sheetId="2729">
        <row r="7">
          <cell r="E7" t="str">
            <v>PT. DANONE BISCUITS INDONESIA</v>
          </cell>
        </row>
      </sheetData>
      <sheetData sheetId="2730">
        <row r="7">
          <cell r="E7" t="str">
            <v>PT. DANONE BISCUITS INDONESIA</v>
          </cell>
        </row>
      </sheetData>
      <sheetData sheetId="2731">
        <row r="7">
          <cell r="E7" t="str">
            <v>PT. DANONE BISCUITS INDONESIA</v>
          </cell>
        </row>
      </sheetData>
      <sheetData sheetId="2732">
        <row r="7">
          <cell r="E7" t="str">
            <v>PT. DANONE BISCUITS INDONESIA</v>
          </cell>
        </row>
      </sheetData>
      <sheetData sheetId="2733">
        <row r="7">
          <cell r="E7" t="str">
            <v>PT. DANONE BISCUITS INDONESIA</v>
          </cell>
        </row>
      </sheetData>
      <sheetData sheetId="2734">
        <row r="7">
          <cell r="E7" t="str">
            <v>PT. DANONE BISCUITS INDONESIA</v>
          </cell>
        </row>
      </sheetData>
      <sheetData sheetId="2735">
        <row r="7">
          <cell r="E7" t="str">
            <v>PT. DANONE BISCUITS INDONESIA</v>
          </cell>
        </row>
      </sheetData>
      <sheetData sheetId="2736">
        <row r="7">
          <cell r="E7" t="str">
            <v>PT. DANONE BISCUITS INDONESIA</v>
          </cell>
        </row>
      </sheetData>
      <sheetData sheetId="2737">
        <row r="7">
          <cell r="E7" t="str">
            <v>PT. DANONE BISCUITS INDONESIA</v>
          </cell>
        </row>
      </sheetData>
      <sheetData sheetId="2738">
        <row r="7">
          <cell r="E7" t="str">
            <v>PT. DANONE BISCUITS INDONESIA</v>
          </cell>
        </row>
      </sheetData>
      <sheetData sheetId="2739">
        <row r="7">
          <cell r="E7" t="str">
            <v>PT. DANONE BISCUITS INDONESIA</v>
          </cell>
        </row>
      </sheetData>
      <sheetData sheetId="2740">
        <row r="7">
          <cell r="E7" t="str">
            <v>PT. DANONE BISCUITS INDONESIA</v>
          </cell>
        </row>
      </sheetData>
      <sheetData sheetId="2741">
        <row r="7">
          <cell r="E7" t="str">
            <v>PT. DANONE BISCUITS INDONESIA</v>
          </cell>
        </row>
      </sheetData>
      <sheetData sheetId="2742">
        <row r="7">
          <cell r="E7" t="str">
            <v>PT. DANONE BISCUITS INDONESIA</v>
          </cell>
        </row>
      </sheetData>
      <sheetData sheetId="2743">
        <row r="7">
          <cell r="E7" t="str">
            <v>PT. DANONE BISCUITS INDONESIA</v>
          </cell>
        </row>
      </sheetData>
      <sheetData sheetId="2744">
        <row r="7">
          <cell r="E7" t="str">
            <v>PT. DANONE BISCUITS INDONESIA</v>
          </cell>
        </row>
      </sheetData>
      <sheetData sheetId="2745">
        <row r="7">
          <cell r="E7" t="str">
            <v>PT. DANONE BISCUITS INDONESIA</v>
          </cell>
        </row>
      </sheetData>
      <sheetData sheetId="2746">
        <row r="7">
          <cell r="E7" t="str">
            <v>PT. DANONE BISCUITS INDONESIA</v>
          </cell>
        </row>
      </sheetData>
      <sheetData sheetId="2747">
        <row r="7">
          <cell r="E7" t="str">
            <v>PT. DANONE BISCUITS INDONESIA</v>
          </cell>
        </row>
      </sheetData>
      <sheetData sheetId="2748">
        <row r="7">
          <cell r="E7" t="str">
            <v>PT. DANONE BISCUITS INDONESIA</v>
          </cell>
        </row>
      </sheetData>
      <sheetData sheetId="2749">
        <row r="7">
          <cell r="E7" t="str">
            <v>PT. DANONE BISCUITS INDONESIA</v>
          </cell>
        </row>
      </sheetData>
      <sheetData sheetId="2750">
        <row r="7">
          <cell r="E7" t="str">
            <v>PT. DANONE BISCUITS INDONESIA</v>
          </cell>
        </row>
      </sheetData>
      <sheetData sheetId="2751">
        <row r="7">
          <cell r="E7" t="str">
            <v>PT. DANONE BISCUITS INDONESIA</v>
          </cell>
        </row>
      </sheetData>
      <sheetData sheetId="2752">
        <row r="7">
          <cell r="E7" t="str">
            <v>PT. DANONE BISCUITS INDONESIA</v>
          </cell>
        </row>
      </sheetData>
      <sheetData sheetId="2753">
        <row r="7">
          <cell r="E7" t="str">
            <v>PT. DANONE BISCUITS INDONESIA</v>
          </cell>
        </row>
      </sheetData>
      <sheetData sheetId="2754">
        <row r="7">
          <cell r="E7" t="str">
            <v>PT. DANONE BISCUITS INDONESIA</v>
          </cell>
        </row>
      </sheetData>
      <sheetData sheetId="2755">
        <row r="7">
          <cell r="E7" t="str">
            <v>PT. DANONE BISCUITS INDONESIA</v>
          </cell>
        </row>
      </sheetData>
      <sheetData sheetId="2756">
        <row r="7">
          <cell r="E7" t="str">
            <v>PT. DANONE BISCUITS INDONESIA</v>
          </cell>
        </row>
      </sheetData>
      <sheetData sheetId="2757">
        <row r="7">
          <cell r="E7" t="str">
            <v>PT. DANONE BISCUITS INDONESIA</v>
          </cell>
        </row>
      </sheetData>
      <sheetData sheetId="2758">
        <row r="7">
          <cell r="E7" t="str">
            <v>PT. DANONE BISCUITS INDONESIA</v>
          </cell>
        </row>
      </sheetData>
      <sheetData sheetId="2759">
        <row r="7">
          <cell r="E7" t="str">
            <v>PT. DANONE BISCUITS INDONESIA</v>
          </cell>
        </row>
      </sheetData>
      <sheetData sheetId="2760">
        <row r="7">
          <cell r="E7" t="str">
            <v>PT. DANONE BISCUITS INDONESIA</v>
          </cell>
        </row>
      </sheetData>
      <sheetData sheetId="2761">
        <row r="7">
          <cell r="E7" t="str">
            <v>PT. DANONE BISCUITS INDONESIA</v>
          </cell>
        </row>
      </sheetData>
      <sheetData sheetId="2762">
        <row r="7">
          <cell r="E7" t="str">
            <v>PT. DANONE BISCUITS INDONESIA</v>
          </cell>
        </row>
      </sheetData>
      <sheetData sheetId="2763">
        <row r="7">
          <cell r="E7" t="str">
            <v>PT. DANONE BISCUITS INDONESIA</v>
          </cell>
        </row>
      </sheetData>
      <sheetData sheetId="2764">
        <row r="7">
          <cell r="E7" t="str">
            <v>PT. DANONE BISCUITS INDONESIA</v>
          </cell>
        </row>
      </sheetData>
      <sheetData sheetId="2765">
        <row r="7">
          <cell r="E7" t="str">
            <v>PT. DANONE BISCUITS INDONESIA</v>
          </cell>
        </row>
      </sheetData>
      <sheetData sheetId="2766">
        <row r="7">
          <cell r="E7" t="str">
            <v>PT. DANONE BISCUITS INDONESIA</v>
          </cell>
        </row>
      </sheetData>
      <sheetData sheetId="2767">
        <row r="7">
          <cell r="E7" t="str">
            <v>PT. DANONE BISCUITS INDONESIA</v>
          </cell>
        </row>
      </sheetData>
      <sheetData sheetId="2768">
        <row r="7">
          <cell r="E7" t="str">
            <v>PT. DANONE BISCUITS INDONESIA</v>
          </cell>
        </row>
      </sheetData>
      <sheetData sheetId="2769">
        <row r="7">
          <cell r="E7" t="str">
            <v>PT. DANONE BISCUITS INDONESIA</v>
          </cell>
        </row>
      </sheetData>
      <sheetData sheetId="2770">
        <row r="7">
          <cell r="E7" t="str">
            <v>PT. DANONE BISCUITS INDONESIA</v>
          </cell>
        </row>
      </sheetData>
      <sheetData sheetId="2771">
        <row r="7">
          <cell r="E7" t="str">
            <v>PT. DANONE BISCUITS INDONESIA</v>
          </cell>
        </row>
      </sheetData>
      <sheetData sheetId="2772">
        <row r="7">
          <cell r="E7" t="str">
            <v>PT. DANONE BISCUITS INDONESIA</v>
          </cell>
        </row>
      </sheetData>
      <sheetData sheetId="2773">
        <row r="7">
          <cell r="E7" t="str">
            <v>PT. DANONE BISCUITS INDONESIA</v>
          </cell>
        </row>
      </sheetData>
      <sheetData sheetId="2774">
        <row r="7">
          <cell r="E7" t="str">
            <v>PT. DANONE BISCUITS INDONESIA</v>
          </cell>
        </row>
      </sheetData>
      <sheetData sheetId="2775">
        <row r="7">
          <cell r="E7" t="str">
            <v>PT. DANONE BISCUITS INDONESIA</v>
          </cell>
        </row>
      </sheetData>
      <sheetData sheetId="2776">
        <row r="7">
          <cell r="E7" t="str">
            <v>PT. DANONE BISCUITS INDONESIA</v>
          </cell>
        </row>
      </sheetData>
      <sheetData sheetId="2777">
        <row r="7">
          <cell r="E7" t="str">
            <v>PT. DANONE BISCUITS INDONESIA</v>
          </cell>
        </row>
      </sheetData>
      <sheetData sheetId="2778">
        <row r="7">
          <cell r="E7" t="str">
            <v>PT. DANONE BISCUITS INDONESIA</v>
          </cell>
        </row>
      </sheetData>
      <sheetData sheetId="2779">
        <row r="7">
          <cell r="E7" t="str">
            <v>PT. DANONE BISCUITS INDONESIA</v>
          </cell>
        </row>
      </sheetData>
      <sheetData sheetId="2780">
        <row r="7">
          <cell r="E7" t="str">
            <v>PT. DANONE BISCUITS INDONESIA</v>
          </cell>
        </row>
      </sheetData>
      <sheetData sheetId="2781">
        <row r="7">
          <cell r="E7" t="str">
            <v>PT. DANONE BISCUITS INDONESIA</v>
          </cell>
        </row>
      </sheetData>
      <sheetData sheetId="2782">
        <row r="7">
          <cell r="E7" t="str">
            <v>PT. DANONE BISCUITS INDONESIA</v>
          </cell>
        </row>
      </sheetData>
      <sheetData sheetId="2783">
        <row r="7">
          <cell r="E7" t="str">
            <v>PT. DANONE BISCUITS INDONESIA</v>
          </cell>
        </row>
      </sheetData>
      <sheetData sheetId="2784">
        <row r="7">
          <cell r="E7" t="str">
            <v>PT. DANONE BISCUITS INDONESIA</v>
          </cell>
        </row>
      </sheetData>
      <sheetData sheetId="2785">
        <row r="7">
          <cell r="E7" t="str">
            <v>PT. DANONE BISCUITS INDONESIA</v>
          </cell>
        </row>
      </sheetData>
      <sheetData sheetId="2786">
        <row r="7">
          <cell r="E7" t="str">
            <v>PT. DANONE BISCUITS INDONESIA</v>
          </cell>
        </row>
      </sheetData>
      <sheetData sheetId="2787">
        <row r="7">
          <cell r="E7" t="str">
            <v>PT. DANONE BISCUITS INDONESIA</v>
          </cell>
        </row>
      </sheetData>
      <sheetData sheetId="2788">
        <row r="7">
          <cell r="E7" t="str">
            <v>PT. DANONE BISCUITS INDONESIA</v>
          </cell>
        </row>
      </sheetData>
      <sheetData sheetId="2789">
        <row r="7">
          <cell r="E7" t="str">
            <v>PT. DANONE BISCUITS INDONESIA</v>
          </cell>
        </row>
      </sheetData>
      <sheetData sheetId="2790">
        <row r="7">
          <cell r="E7" t="str">
            <v>PT. DANONE BISCUITS INDONESIA</v>
          </cell>
        </row>
      </sheetData>
      <sheetData sheetId="2791">
        <row r="7">
          <cell r="E7" t="str">
            <v>PT. DANONE BISCUITS INDONESIA</v>
          </cell>
        </row>
      </sheetData>
      <sheetData sheetId="2792">
        <row r="7">
          <cell r="E7" t="str">
            <v>PT. DANONE BISCUITS INDONESIA</v>
          </cell>
        </row>
      </sheetData>
      <sheetData sheetId="2793">
        <row r="7">
          <cell r="E7" t="str">
            <v>PT. DANONE BISCUITS INDONESIA</v>
          </cell>
        </row>
      </sheetData>
      <sheetData sheetId="2794">
        <row r="7">
          <cell r="E7" t="str">
            <v>PT. DANONE BISCUITS INDONESIA</v>
          </cell>
        </row>
      </sheetData>
      <sheetData sheetId="2795">
        <row r="7">
          <cell r="E7" t="str">
            <v>PT. DANONE BISCUITS INDONESIA</v>
          </cell>
        </row>
      </sheetData>
      <sheetData sheetId="2796">
        <row r="7">
          <cell r="E7" t="str">
            <v>PT. DANONE BISCUITS INDONESIA</v>
          </cell>
        </row>
      </sheetData>
      <sheetData sheetId="2797">
        <row r="7">
          <cell r="E7" t="str">
            <v>PT. DANONE BISCUITS INDONESIA</v>
          </cell>
        </row>
      </sheetData>
      <sheetData sheetId="2798">
        <row r="7">
          <cell r="E7" t="str">
            <v>PT. DANONE BISCUITS INDONESIA</v>
          </cell>
        </row>
      </sheetData>
      <sheetData sheetId="2799">
        <row r="7">
          <cell r="E7" t="str">
            <v>PT. DANONE BISCUITS INDONESIA</v>
          </cell>
        </row>
      </sheetData>
      <sheetData sheetId="2800">
        <row r="7">
          <cell r="E7" t="str">
            <v>PT. DANONE BISCUITS INDONESIA</v>
          </cell>
        </row>
      </sheetData>
      <sheetData sheetId="2801">
        <row r="7">
          <cell r="E7" t="str">
            <v>PT. DANONE BISCUITS INDONESIA</v>
          </cell>
        </row>
      </sheetData>
      <sheetData sheetId="2802">
        <row r="7">
          <cell r="E7" t="str">
            <v>PT. DANONE BISCUITS INDONESIA</v>
          </cell>
        </row>
      </sheetData>
      <sheetData sheetId="2803">
        <row r="7">
          <cell r="E7" t="str">
            <v>PT. DANONE BISCUITS INDONESIA</v>
          </cell>
        </row>
      </sheetData>
      <sheetData sheetId="2804">
        <row r="7">
          <cell r="E7" t="str">
            <v>PT. DANONE BISCUITS INDONESIA</v>
          </cell>
        </row>
      </sheetData>
      <sheetData sheetId="2805">
        <row r="7">
          <cell r="E7" t="str">
            <v>PT. DANONE BISCUITS INDONESIA</v>
          </cell>
        </row>
      </sheetData>
      <sheetData sheetId="2806">
        <row r="7">
          <cell r="E7" t="str">
            <v>PT. DANONE BISCUITS INDONESIA</v>
          </cell>
        </row>
      </sheetData>
      <sheetData sheetId="2807">
        <row r="7">
          <cell r="E7" t="str">
            <v>PT. DANONE BISCUITS INDONESIA</v>
          </cell>
        </row>
      </sheetData>
      <sheetData sheetId="2808">
        <row r="7">
          <cell r="E7" t="str">
            <v>PT. DANONE BISCUITS INDONESIA</v>
          </cell>
        </row>
      </sheetData>
      <sheetData sheetId="2809">
        <row r="7">
          <cell r="E7" t="str">
            <v>PT. DANONE BISCUITS INDONESIA</v>
          </cell>
        </row>
      </sheetData>
      <sheetData sheetId="2810">
        <row r="7">
          <cell r="E7" t="str">
            <v>PT. DANONE BISCUITS INDONESIA</v>
          </cell>
        </row>
      </sheetData>
      <sheetData sheetId="2811">
        <row r="7">
          <cell r="E7" t="str">
            <v>PT. DANONE BISCUITS INDONESIA</v>
          </cell>
        </row>
      </sheetData>
      <sheetData sheetId="2812">
        <row r="7">
          <cell r="E7" t="str">
            <v>PT. DANONE BISCUITS INDONESIA</v>
          </cell>
        </row>
      </sheetData>
      <sheetData sheetId="2813">
        <row r="7">
          <cell r="E7" t="str">
            <v>PT. DANONE BISCUITS INDONESIA</v>
          </cell>
        </row>
      </sheetData>
      <sheetData sheetId="2814">
        <row r="7">
          <cell r="E7" t="str">
            <v>PT. DANONE BISCUITS INDONESIA</v>
          </cell>
        </row>
      </sheetData>
      <sheetData sheetId="2815">
        <row r="7">
          <cell r="E7" t="str">
            <v>PT. DANONE BISCUITS INDONESIA</v>
          </cell>
        </row>
      </sheetData>
      <sheetData sheetId="2816">
        <row r="7">
          <cell r="E7" t="str">
            <v>PT. DANONE BISCUITS INDONESIA</v>
          </cell>
        </row>
      </sheetData>
      <sheetData sheetId="2817">
        <row r="7">
          <cell r="E7" t="str">
            <v>PT. DANONE BISCUITS INDONESIA</v>
          </cell>
        </row>
      </sheetData>
      <sheetData sheetId="2818">
        <row r="7">
          <cell r="E7" t="str">
            <v>PT. DANONE BISCUITS INDONESIA</v>
          </cell>
        </row>
      </sheetData>
      <sheetData sheetId="2819">
        <row r="7">
          <cell r="E7" t="str">
            <v>PT. DANONE BISCUITS INDONESIA</v>
          </cell>
        </row>
      </sheetData>
      <sheetData sheetId="2820">
        <row r="7">
          <cell r="E7" t="str">
            <v>PT. DANONE BISCUITS INDONESIA</v>
          </cell>
        </row>
      </sheetData>
      <sheetData sheetId="2821">
        <row r="7">
          <cell r="E7" t="str">
            <v>PT. DANONE BISCUITS INDONESIA</v>
          </cell>
        </row>
      </sheetData>
      <sheetData sheetId="2822">
        <row r="7">
          <cell r="E7" t="str">
            <v>PT. DANONE BISCUITS INDONESIA</v>
          </cell>
        </row>
      </sheetData>
      <sheetData sheetId="2823">
        <row r="7">
          <cell r="E7" t="str">
            <v>PT. DANONE BISCUITS INDONESIA</v>
          </cell>
        </row>
      </sheetData>
      <sheetData sheetId="2824">
        <row r="7">
          <cell r="E7" t="str">
            <v>PT. DANONE BISCUITS INDONESIA</v>
          </cell>
        </row>
      </sheetData>
      <sheetData sheetId="2825">
        <row r="7">
          <cell r="E7" t="str">
            <v>PT. DANONE BISCUITS INDONESIA</v>
          </cell>
        </row>
      </sheetData>
      <sheetData sheetId="2826">
        <row r="7">
          <cell r="E7" t="str">
            <v>PT. DANONE BISCUITS INDONESIA</v>
          </cell>
        </row>
      </sheetData>
      <sheetData sheetId="2827">
        <row r="7">
          <cell r="E7" t="str">
            <v>PT. DANONE BISCUITS INDONESIA</v>
          </cell>
        </row>
      </sheetData>
      <sheetData sheetId="2828">
        <row r="7">
          <cell r="E7" t="str">
            <v>PT. DANONE BISCUITS INDONESIA</v>
          </cell>
        </row>
      </sheetData>
      <sheetData sheetId="2829">
        <row r="7">
          <cell r="E7" t="str">
            <v>PT. DANONE BISCUITS INDONESIA</v>
          </cell>
        </row>
      </sheetData>
      <sheetData sheetId="2830">
        <row r="7">
          <cell r="E7" t="str">
            <v>PT. DANONE BISCUITS INDONESIA</v>
          </cell>
        </row>
      </sheetData>
      <sheetData sheetId="2831">
        <row r="7">
          <cell r="E7" t="str">
            <v>PT. DANONE BISCUITS INDONESIA</v>
          </cell>
        </row>
      </sheetData>
      <sheetData sheetId="2832">
        <row r="7">
          <cell r="E7" t="str">
            <v>PT. DANONE BISCUITS INDONESIA</v>
          </cell>
        </row>
      </sheetData>
      <sheetData sheetId="2833">
        <row r="7">
          <cell r="E7" t="str">
            <v>PT. DANONE BISCUITS INDONESIA</v>
          </cell>
        </row>
      </sheetData>
      <sheetData sheetId="2834">
        <row r="7">
          <cell r="E7" t="str">
            <v>PT. DANONE BISCUITS INDONESIA</v>
          </cell>
        </row>
      </sheetData>
      <sheetData sheetId="2835">
        <row r="7">
          <cell r="E7" t="str">
            <v>PT. DANONE BISCUITS INDONESIA</v>
          </cell>
        </row>
      </sheetData>
      <sheetData sheetId="2836">
        <row r="7">
          <cell r="E7" t="str">
            <v>PT. DANONE BISCUITS INDONESIA</v>
          </cell>
        </row>
      </sheetData>
      <sheetData sheetId="2837">
        <row r="7">
          <cell r="E7" t="str">
            <v>PT. DANONE BISCUITS INDONESIA</v>
          </cell>
        </row>
      </sheetData>
      <sheetData sheetId="2838">
        <row r="7">
          <cell r="E7" t="str">
            <v>PT. DANONE BISCUITS INDONESIA</v>
          </cell>
        </row>
      </sheetData>
      <sheetData sheetId="2839">
        <row r="7">
          <cell r="E7" t="str">
            <v>PT. DANONE BISCUITS INDONESIA</v>
          </cell>
        </row>
      </sheetData>
      <sheetData sheetId="2840">
        <row r="7">
          <cell r="E7" t="str">
            <v>PT. DANONE BISCUITS INDONESIA</v>
          </cell>
        </row>
      </sheetData>
      <sheetData sheetId="2841">
        <row r="7">
          <cell r="E7" t="str">
            <v>PT. DANONE BISCUITS INDONESIA</v>
          </cell>
        </row>
      </sheetData>
      <sheetData sheetId="2842">
        <row r="7">
          <cell r="E7" t="str">
            <v>PT. DANONE BISCUITS INDONESIA</v>
          </cell>
        </row>
      </sheetData>
      <sheetData sheetId="2843">
        <row r="7">
          <cell r="E7" t="str">
            <v>PT. DANONE BISCUITS INDONESIA</v>
          </cell>
        </row>
      </sheetData>
      <sheetData sheetId="2844">
        <row r="7">
          <cell r="E7" t="str">
            <v>PT. DANONE BISCUITS INDONESIA</v>
          </cell>
        </row>
      </sheetData>
      <sheetData sheetId="2845">
        <row r="7">
          <cell r="E7" t="str">
            <v>PT. DANONE BISCUITS INDONESIA</v>
          </cell>
        </row>
      </sheetData>
      <sheetData sheetId="2846">
        <row r="7">
          <cell r="E7" t="str">
            <v>PT. DANONE BISCUITS INDONESIA</v>
          </cell>
        </row>
      </sheetData>
      <sheetData sheetId="2847">
        <row r="7">
          <cell r="E7" t="str">
            <v>PT. DANONE BISCUITS INDONESIA</v>
          </cell>
        </row>
      </sheetData>
      <sheetData sheetId="2848">
        <row r="7">
          <cell r="E7" t="str">
            <v>PT. DANONE BISCUITS INDONESIA</v>
          </cell>
        </row>
      </sheetData>
      <sheetData sheetId="2849">
        <row r="7">
          <cell r="E7" t="str">
            <v>PT. DANONE BISCUITS INDONESIA</v>
          </cell>
        </row>
      </sheetData>
      <sheetData sheetId="2850">
        <row r="7">
          <cell r="E7" t="str">
            <v>PT. DANONE BISCUITS INDONESIA</v>
          </cell>
        </row>
      </sheetData>
      <sheetData sheetId="2851">
        <row r="7">
          <cell r="E7" t="str">
            <v>PT. DANONE BISCUITS INDONESIA</v>
          </cell>
        </row>
      </sheetData>
      <sheetData sheetId="2852">
        <row r="7">
          <cell r="E7" t="str">
            <v>PT. DANONE BISCUITS INDONESIA</v>
          </cell>
        </row>
      </sheetData>
      <sheetData sheetId="2853">
        <row r="7">
          <cell r="E7" t="str">
            <v>PT. DANONE BISCUITS INDONESIA</v>
          </cell>
        </row>
      </sheetData>
      <sheetData sheetId="2854">
        <row r="7">
          <cell r="E7" t="str">
            <v>PT. DANONE BISCUITS INDONESIA</v>
          </cell>
        </row>
      </sheetData>
      <sheetData sheetId="2855">
        <row r="7">
          <cell r="E7" t="str">
            <v>PT. DANONE BISCUITS INDONESIA</v>
          </cell>
        </row>
      </sheetData>
      <sheetData sheetId="2856">
        <row r="7">
          <cell r="E7" t="str">
            <v>PT. DANONE BISCUITS INDONESIA</v>
          </cell>
        </row>
      </sheetData>
      <sheetData sheetId="2857">
        <row r="7">
          <cell r="E7" t="str">
            <v>PT. DANONE BISCUITS INDONESIA</v>
          </cell>
        </row>
      </sheetData>
      <sheetData sheetId="2858">
        <row r="7">
          <cell r="E7" t="str">
            <v>PT. DANONE BISCUITS INDONESIA</v>
          </cell>
        </row>
      </sheetData>
      <sheetData sheetId="2859">
        <row r="7">
          <cell r="E7" t="str">
            <v>PT. DANONE BISCUITS INDONESIA</v>
          </cell>
        </row>
      </sheetData>
      <sheetData sheetId="2860">
        <row r="7">
          <cell r="E7" t="str">
            <v>PT. DANONE BISCUITS INDONESIA</v>
          </cell>
        </row>
      </sheetData>
      <sheetData sheetId="2861">
        <row r="7">
          <cell r="E7" t="str">
            <v>PT. DANONE BISCUITS INDONESIA</v>
          </cell>
        </row>
      </sheetData>
      <sheetData sheetId="2862">
        <row r="7">
          <cell r="E7" t="str">
            <v>PT. DANONE BISCUITS INDONESIA</v>
          </cell>
        </row>
      </sheetData>
      <sheetData sheetId="2863">
        <row r="7">
          <cell r="E7" t="str">
            <v>PT. DANONE BISCUITS INDONESIA</v>
          </cell>
        </row>
      </sheetData>
      <sheetData sheetId="2864">
        <row r="7">
          <cell r="E7" t="str">
            <v>PT. DANONE BISCUITS INDONESIA</v>
          </cell>
        </row>
      </sheetData>
      <sheetData sheetId="2865">
        <row r="7">
          <cell r="E7" t="str">
            <v>PT. DANONE BISCUITS INDONESIA</v>
          </cell>
        </row>
      </sheetData>
      <sheetData sheetId="2866">
        <row r="7">
          <cell r="E7" t="str">
            <v>PT. DANONE BISCUITS INDONESIA</v>
          </cell>
        </row>
      </sheetData>
      <sheetData sheetId="2867">
        <row r="7">
          <cell r="E7" t="str">
            <v>PT. DANONE BISCUITS INDONESIA</v>
          </cell>
        </row>
      </sheetData>
      <sheetData sheetId="2868">
        <row r="7">
          <cell r="E7" t="str">
            <v>PT. DANONE BISCUITS INDONESIA</v>
          </cell>
        </row>
      </sheetData>
      <sheetData sheetId="2869">
        <row r="7">
          <cell r="E7" t="str">
            <v>PT. DANONE BISCUITS INDONESIA</v>
          </cell>
        </row>
      </sheetData>
      <sheetData sheetId="2870">
        <row r="7">
          <cell r="E7" t="str">
            <v>PT. DANONE BISCUITS INDONESIA</v>
          </cell>
        </row>
      </sheetData>
      <sheetData sheetId="2871">
        <row r="7">
          <cell r="E7" t="str">
            <v>PT. DANONE BISCUITS INDONESIA</v>
          </cell>
        </row>
      </sheetData>
      <sheetData sheetId="2872">
        <row r="7">
          <cell r="E7" t="str">
            <v>PT. DANONE BISCUITS INDONESIA</v>
          </cell>
        </row>
      </sheetData>
      <sheetData sheetId="2873">
        <row r="7">
          <cell r="E7" t="str">
            <v>PT. DANONE BISCUITS INDONESIA</v>
          </cell>
        </row>
      </sheetData>
      <sheetData sheetId="2874">
        <row r="7">
          <cell r="E7" t="str">
            <v>PT. DANONE BISCUITS INDONESIA</v>
          </cell>
        </row>
      </sheetData>
      <sheetData sheetId="2875">
        <row r="7">
          <cell r="E7" t="str">
            <v>PT. DANONE BISCUITS INDONESIA</v>
          </cell>
        </row>
      </sheetData>
      <sheetData sheetId="2876">
        <row r="7">
          <cell r="E7" t="str">
            <v>PT. DANONE BISCUITS INDONESIA</v>
          </cell>
        </row>
      </sheetData>
      <sheetData sheetId="2877">
        <row r="7">
          <cell r="E7" t="str">
            <v>PT. DANONE BISCUITS INDONESIA</v>
          </cell>
        </row>
      </sheetData>
      <sheetData sheetId="2878">
        <row r="7">
          <cell r="E7" t="str">
            <v>PT. DANONE BISCUITS INDONESIA</v>
          </cell>
        </row>
      </sheetData>
      <sheetData sheetId="2879">
        <row r="7">
          <cell r="E7" t="str">
            <v>PT. DANONE BISCUITS INDONESIA</v>
          </cell>
        </row>
      </sheetData>
      <sheetData sheetId="2880">
        <row r="7">
          <cell r="E7" t="str">
            <v>PT. DANONE BISCUITS INDONESIA</v>
          </cell>
        </row>
      </sheetData>
      <sheetData sheetId="2881">
        <row r="7">
          <cell r="E7" t="str">
            <v>PT. DANONE BISCUITS INDONESIA</v>
          </cell>
        </row>
      </sheetData>
      <sheetData sheetId="2882">
        <row r="7">
          <cell r="E7" t="str">
            <v>PT. DANONE BISCUITS INDONESIA</v>
          </cell>
        </row>
      </sheetData>
      <sheetData sheetId="2883">
        <row r="7">
          <cell r="E7" t="str">
            <v>PT. DANONE BISCUITS INDONESIA</v>
          </cell>
        </row>
      </sheetData>
      <sheetData sheetId="2884">
        <row r="7">
          <cell r="E7" t="str">
            <v>PT. DANONE BISCUITS INDONESIA</v>
          </cell>
        </row>
      </sheetData>
      <sheetData sheetId="2885">
        <row r="7">
          <cell r="E7" t="str">
            <v>PT. DANONE BISCUITS INDONESIA</v>
          </cell>
        </row>
      </sheetData>
      <sheetData sheetId="2886">
        <row r="7">
          <cell r="E7" t="str">
            <v>PT. DANONE BISCUITS INDONESIA</v>
          </cell>
        </row>
      </sheetData>
      <sheetData sheetId="2887">
        <row r="7">
          <cell r="E7" t="str">
            <v>PT. DANONE BISCUITS INDONESIA</v>
          </cell>
        </row>
      </sheetData>
      <sheetData sheetId="2888">
        <row r="7">
          <cell r="E7" t="str">
            <v>PT. DANONE BISCUITS INDONESIA</v>
          </cell>
        </row>
      </sheetData>
      <sheetData sheetId="2889">
        <row r="7">
          <cell r="E7" t="str">
            <v>PT. DANONE BISCUITS INDONESIA</v>
          </cell>
        </row>
      </sheetData>
      <sheetData sheetId="2890">
        <row r="7">
          <cell r="E7" t="str">
            <v>PT. DANONE BISCUITS INDONESIA</v>
          </cell>
        </row>
      </sheetData>
      <sheetData sheetId="2891">
        <row r="7">
          <cell r="E7" t="str">
            <v>PT. DANONE BISCUITS INDONESIA</v>
          </cell>
        </row>
      </sheetData>
      <sheetData sheetId="2892">
        <row r="7">
          <cell r="E7" t="str">
            <v>PT. DANONE BISCUITS INDONESIA</v>
          </cell>
        </row>
      </sheetData>
      <sheetData sheetId="2893">
        <row r="7">
          <cell r="E7" t="str">
            <v>PT. DANONE BISCUITS INDONESIA</v>
          </cell>
        </row>
      </sheetData>
      <sheetData sheetId="2894">
        <row r="7">
          <cell r="E7" t="str">
            <v>PT. DANONE BISCUITS INDONESIA</v>
          </cell>
        </row>
      </sheetData>
      <sheetData sheetId="2895">
        <row r="7">
          <cell r="E7" t="str">
            <v>PT. DANONE BISCUITS INDONESIA</v>
          </cell>
        </row>
      </sheetData>
      <sheetData sheetId="2896">
        <row r="7">
          <cell r="E7" t="str">
            <v>PT. DANONE BISCUITS INDONESIA</v>
          </cell>
        </row>
      </sheetData>
      <sheetData sheetId="2897">
        <row r="7">
          <cell r="E7" t="str">
            <v>PT. DANONE BISCUITS INDONESIA</v>
          </cell>
        </row>
      </sheetData>
      <sheetData sheetId="2898">
        <row r="7">
          <cell r="E7" t="str">
            <v>PT. DANONE BISCUITS INDONESIA</v>
          </cell>
        </row>
      </sheetData>
      <sheetData sheetId="2899">
        <row r="7">
          <cell r="E7" t="str">
            <v>PT. DANONE BISCUITS INDONESIA</v>
          </cell>
        </row>
      </sheetData>
      <sheetData sheetId="2900">
        <row r="7">
          <cell r="E7" t="str">
            <v>PT. DANONE BISCUITS INDONESIA</v>
          </cell>
        </row>
      </sheetData>
      <sheetData sheetId="2901">
        <row r="7">
          <cell r="E7" t="str">
            <v>PT. DANONE BISCUITS INDONESIA</v>
          </cell>
        </row>
      </sheetData>
      <sheetData sheetId="2902">
        <row r="7">
          <cell r="E7" t="str">
            <v>PT. DANONE BISCUITS INDONESIA</v>
          </cell>
        </row>
      </sheetData>
      <sheetData sheetId="2903">
        <row r="7">
          <cell r="E7" t="str">
            <v>PT. DANONE BISCUITS INDONESIA</v>
          </cell>
        </row>
      </sheetData>
      <sheetData sheetId="2904">
        <row r="7">
          <cell r="E7" t="str">
            <v>PT. DANONE BISCUITS INDONESIA</v>
          </cell>
        </row>
      </sheetData>
      <sheetData sheetId="2905">
        <row r="7">
          <cell r="E7" t="str">
            <v>PT. DANONE BISCUITS INDONESIA</v>
          </cell>
        </row>
      </sheetData>
      <sheetData sheetId="2906">
        <row r="7">
          <cell r="E7" t="str">
            <v>PT. DANONE BISCUITS INDONESIA</v>
          </cell>
        </row>
      </sheetData>
      <sheetData sheetId="2907">
        <row r="7">
          <cell r="E7" t="str">
            <v>PT. DANONE BISCUITS INDONESIA</v>
          </cell>
        </row>
      </sheetData>
      <sheetData sheetId="2908">
        <row r="7">
          <cell r="E7" t="str">
            <v>PT. DANONE BISCUITS INDONESIA</v>
          </cell>
        </row>
      </sheetData>
      <sheetData sheetId="2909">
        <row r="7">
          <cell r="E7" t="str">
            <v>PT. DANONE BISCUITS INDONESIA</v>
          </cell>
        </row>
      </sheetData>
      <sheetData sheetId="2910">
        <row r="7">
          <cell r="E7" t="str">
            <v>PT. DANONE BISCUITS INDONESIA</v>
          </cell>
        </row>
      </sheetData>
      <sheetData sheetId="2911">
        <row r="7">
          <cell r="E7" t="str">
            <v>PT. DANONE BISCUITS INDONESIA</v>
          </cell>
        </row>
      </sheetData>
      <sheetData sheetId="2912">
        <row r="7">
          <cell r="E7" t="str">
            <v>PT. DANONE BISCUITS INDONESIA</v>
          </cell>
        </row>
      </sheetData>
      <sheetData sheetId="2913">
        <row r="7">
          <cell r="E7" t="str">
            <v>PT. DANONE BISCUITS INDONESIA</v>
          </cell>
        </row>
      </sheetData>
      <sheetData sheetId="2914">
        <row r="7">
          <cell r="E7" t="str">
            <v>PT. DANONE BISCUITS INDONESIA</v>
          </cell>
        </row>
      </sheetData>
      <sheetData sheetId="2915">
        <row r="7">
          <cell r="E7" t="str">
            <v>PT. DANONE BISCUITS INDONESIA</v>
          </cell>
        </row>
      </sheetData>
      <sheetData sheetId="2916">
        <row r="7">
          <cell r="E7" t="str">
            <v>PT. DANONE BISCUITS INDONESIA</v>
          </cell>
        </row>
      </sheetData>
      <sheetData sheetId="2917">
        <row r="7">
          <cell r="E7" t="str">
            <v>PT. DANONE BISCUITS INDONESIA</v>
          </cell>
        </row>
      </sheetData>
      <sheetData sheetId="2918">
        <row r="7">
          <cell r="E7" t="str">
            <v>PT. DANONE BISCUITS INDONESIA</v>
          </cell>
        </row>
      </sheetData>
      <sheetData sheetId="2919">
        <row r="7">
          <cell r="E7" t="str">
            <v>PT. DANONE BISCUITS INDONESIA</v>
          </cell>
        </row>
      </sheetData>
      <sheetData sheetId="2920">
        <row r="7">
          <cell r="E7" t="str">
            <v>PT. DANONE BISCUITS INDONESIA</v>
          </cell>
        </row>
      </sheetData>
      <sheetData sheetId="2921">
        <row r="7">
          <cell r="E7" t="str">
            <v>PT. DANONE BISCUITS INDONESIA</v>
          </cell>
        </row>
      </sheetData>
      <sheetData sheetId="2922">
        <row r="7">
          <cell r="E7" t="str">
            <v>PT. DANONE BISCUITS INDONESIA</v>
          </cell>
        </row>
      </sheetData>
      <sheetData sheetId="2923">
        <row r="7">
          <cell r="E7" t="str">
            <v>PT. DANONE BISCUITS INDONESIA</v>
          </cell>
        </row>
      </sheetData>
      <sheetData sheetId="2924">
        <row r="7">
          <cell r="E7" t="str">
            <v>PT. DANONE BISCUITS INDONESIA</v>
          </cell>
        </row>
      </sheetData>
      <sheetData sheetId="2925">
        <row r="7">
          <cell r="E7" t="str">
            <v>PT. DANONE BISCUITS INDONESIA</v>
          </cell>
        </row>
      </sheetData>
      <sheetData sheetId="2926">
        <row r="7">
          <cell r="E7" t="str">
            <v>PT. DANONE BISCUITS INDONESIA</v>
          </cell>
        </row>
      </sheetData>
      <sheetData sheetId="2927">
        <row r="7">
          <cell r="E7" t="str">
            <v>PT. DANONE BISCUITS INDONESIA</v>
          </cell>
        </row>
      </sheetData>
      <sheetData sheetId="2928">
        <row r="7">
          <cell r="E7" t="str">
            <v>PT. DANONE BISCUITS INDONESIA</v>
          </cell>
        </row>
      </sheetData>
      <sheetData sheetId="2929">
        <row r="7">
          <cell r="E7" t="str">
            <v>PT. DANONE BISCUITS INDONESIA</v>
          </cell>
        </row>
      </sheetData>
      <sheetData sheetId="2930">
        <row r="7">
          <cell r="E7" t="str">
            <v>PT. DANONE BISCUITS INDONESIA</v>
          </cell>
        </row>
      </sheetData>
      <sheetData sheetId="2931">
        <row r="7">
          <cell r="E7" t="str">
            <v>PT. DANONE BISCUITS INDONESIA</v>
          </cell>
        </row>
      </sheetData>
      <sheetData sheetId="2932">
        <row r="7">
          <cell r="E7" t="str">
            <v>PT. DANONE BISCUITS INDONESIA</v>
          </cell>
        </row>
      </sheetData>
      <sheetData sheetId="2933">
        <row r="7">
          <cell r="E7" t="str">
            <v>PT. DANONE BISCUITS INDONESIA</v>
          </cell>
        </row>
      </sheetData>
      <sheetData sheetId="2934">
        <row r="7">
          <cell r="E7" t="str">
            <v>PT. DANONE BISCUITS INDONESIA</v>
          </cell>
        </row>
      </sheetData>
      <sheetData sheetId="2935">
        <row r="7">
          <cell r="E7" t="str">
            <v>PT. DANONE BISCUITS INDONESIA</v>
          </cell>
        </row>
      </sheetData>
      <sheetData sheetId="2936">
        <row r="7">
          <cell r="E7" t="str">
            <v>PT. DANONE BISCUITS INDONESIA</v>
          </cell>
        </row>
      </sheetData>
      <sheetData sheetId="2937">
        <row r="7">
          <cell r="E7" t="str">
            <v>PT. DANONE BISCUITS INDONESIA</v>
          </cell>
        </row>
      </sheetData>
      <sheetData sheetId="2938">
        <row r="7">
          <cell r="E7" t="str">
            <v>PT. DANONE BISCUITS INDONESIA</v>
          </cell>
        </row>
      </sheetData>
      <sheetData sheetId="2939">
        <row r="7">
          <cell r="E7" t="str">
            <v>PT. DANONE BISCUITS INDONESIA</v>
          </cell>
        </row>
      </sheetData>
      <sheetData sheetId="2940">
        <row r="7">
          <cell r="E7" t="str">
            <v>PT. DANONE BISCUITS INDONESIA</v>
          </cell>
        </row>
      </sheetData>
      <sheetData sheetId="2941">
        <row r="7">
          <cell r="E7" t="str">
            <v>PT. DANONE BISCUITS INDONESIA</v>
          </cell>
        </row>
      </sheetData>
      <sheetData sheetId="2942">
        <row r="7">
          <cell r="E7" t="str">
            <v>PT. DANONE BISCUITS INDONESIA</v>
          </cell>
        </row>
      </sheetData>
      <sheetData sheetId="2943">
        <row r="7">
          <cell r="E7" t="str">
            <v>PT. DANONE BISCUITS INDONESIA</v>
          </cell>
        </row>
      </sheetData>
      <sheetData sheetId="2944">
        <row r="7">
          <cell r="E7" t="str">
            <v>PT. DANONE BISCUITS INDONESIA</v>
          </cell>
        </row>
      </sheetData>
      <sheetData sheetId="2945">
        <row r="7">
          <cell r="E7" t="str">
            <v>PT. DANONE BISCUITS INDONESIA</v>
          </cell>
        </row>
      </sheetData>
      <sheetData sheetId="2946">
        <row r="7">
          <cell r="E7" t="str">
            <v>PT. DANONE BISCUITS INDONESIA</v>
          </cell>
        </row>
      </sheetData>
      <sheetData sheetId="2947">
        <row r="7">
          <cell r="E7" t="str">
            <v>PT. DANONE BISCUITS INDONESIA</v>
          </cell>
        </row>
      </sheetData>
      <sheetData sheetId="2948">
        <row r="7">
          <cell r="E7" t="str">
            <v>PT. DANONE BISCUITS INDONESIA</v>
          </cell>
        </row>
      </sheetData>
      <sheetData sheetId="2949">
        <row r="7">
          <cell r="E7" t="str">
            <v>PT. DANONE BISCUITS INDONESIA</v>
          </cell>
        </row>
      </sheetData>
      <sheetData sheetId="2950">
        <row r="7">
          <cell r="E7" t="str">
            <v>PT. DANONE BISCUITS INDONESIA</v>
          </cell>
        </row>
      </sheetData>
      <sheetData sheetId="2951">
        <row r="7">
          <cell r="E7" t="str">
            <v>PT. DANONE BISCUITS INDONESIA</v>
          </cell>
        </row>
      </sheetData>
      <sheetData sheetId="2952">
        <row r="7">
          <cell r="E7" t="str">
            <v>PT. DANONE BISCUITS INDONESIA</v>
          </cell>
        </row>
      </sheetData>
      <sheetData sheetId="2953">
        <row r="7">
          <cell r="E7" t="str">
            <v>PT. DANONE BISCUITS INDONESIA</v>
          </cell>
        </row>
      </sheetData>
      <sheetData sheetId="2954">
        <row r="7">
          <cell r="E7" t="str">
            <v>PT. DANONE BISCUITS INDONESIA</v>
          </cell>
        </row>
      </sheetData>
      <sheetData sheetId="2955">
        <row r="7">
          <cell r="E7" t="str">
            <v>PT. DANONE BISCUITS INDONESIA</v>
          </cell>
        </row>
      </sheetData>
      <sheetData sheetId="2956">
        <row r="7">
          <cell r="E7" t="str">
            <v>PT. DANONE BISCUITS INDONESIA</v>
          </cell>
        </row>
      </sheetData>
      <sheetData sheetId="2957">
        <row r="7">
          <cell r="E7" t="str">
            <v>PT. DANONE BISCUITS INDONESIA</v>
          </cell>
        </row>
      </sheetData>
      <sheetData sheetId="2958">
        <row r="7">
          <cell r="E7" t="str">
            <v>PT. DANONE BISCUITS INDONESIA</v>
          </cell>
        </row>
      </sheetData>
      <sheetData sheetId="2959">
        <row r="7">
          <cell r="E7" t="str">
            <v>PT. DANONE BISCUITS INDONESIA</v>
          </cell>
        </row>
      </sheetData>
      <sheetData sheetId="2960">
        <row r="7">
          <cell r="E7" t="str">
            <v>PT. DANONE BISCUITS INDONESIA</v>
          </cell>
        </row>
      </sheetData>
      <sheetData sheetId="2961">
        <row r="7">
          <cell r="E7" t="str">
            <v>PT. DANONE BISCUITS INDONESIA</v>
          </cell>
        </row>
      </sheetData>
      <sheetData sheetId="2962">
        <row r="7">
          <cell r="E7" t="str">
            <v>PT. DANONE BISCUITS INDONESIA</v>
          </cell>
        </row>
      </sheetData>
      <sheetData sheetId="2963">
        <row r="7">
          <cell r="E7" t="str">
            <v>PT. DANONE BISCUITS INDONESIA</v>
          </cell>
        </row>
      </sheetData>
      <sheetData sheetId="2964">
        <row r="7">
          <cell r="E7" t="str">
            <v>PT. DANONE BISCUITS INDONESIA</v>
          </cell>
        </row>
      </sheetData>
      <sheetData sheetId="2965">
        <row r="7">
          <cell r="E7" t="str">
            <v>PT. DANONE BISCUITS INDONESIA</v>
          </cell>
        </row>
      </sheetData>
      <sheetData sheetId="2966">
        <row r="7">
          <cell r="E7" t="str">
            <v>PT. DANONE BISCUITS INDONESIA</v>
          </cell>
        </row>
      </sheetData>
      <sheetData sheetId="2967">
        <row r="7">
          <cell r="E7" t="str">
            <v>PT. DANONE BISCUITS INDONESIA</v>
          </cell>
        </row>
      </sheetData>
      <sheetData sheetId="2968">
        <row r="7">
          <cell r="E7" t="str">
            <v>PT. DANONE BISCUITS INDONESIA</v>
          </cell>
        </row>
      </sheetData>
      <sheetData sheetId="2969">
        <row r="7">
          <cell r="E7" t="str">
            <v>PT. DANONE BISCUITS INDONESIA</v>
          </cell>
        </row>
      </sheetData>
      <sheetData sheetId="2970">
        <row r="7">
          <cell r="E7" t="str">
            <v>PT. DANONE BISCUITS INDONESIA</v>
          </cell>
        </row>
      </sheetData>
      <sheetData sheetId="2971">
        <row r="7">
          <cell r="E7" t="str">
            <v>PT. DANONE BISCUITS INDONESIA</v>
          </cell>
        </row>
      </sheetData>
      <sheetData sheetId="2972">
        <row r="7">
          <cell r="E7" t="str">
            <v>PT. DANONE BISCUITS INDONESIA</v>
          </cell>
        </row>
      </sheetData>
      <sheetData sheetId="2973">
        <row r="7">
          <cell r="E7" t="str">
            <v>PT. DANONE BISCUITS INDONESIA</v>
          </cell>
        </row>
      </sheetData>
      <sheetData sheetId="2974">
        <row r="7">
          <cell r="E7" t="str">
            <v>PT. DANONE BISCUITS INDONESIA</v>
          </cell>
        </row>
      </sheetData>
      <sheetData sheetId="2975">
        <row r="7">
          <cell r="E7" t="str">
            <v>PT. DANONE BISCUITS INDONESIA</v>
          </cell>
        </row>
      </sheetData>
      <sheetData sheetId="2976">
        <row r="7">
          <cell r="E7" t="str">
            <v>PT. DANONE BISCUITS INDONESIA</v>
          </cell>
        </row>
      </sheetData>
      <sheetData sheetId="2977">
        <row r="7">
          <cell r="E7" t="str">
            <v>PT. DANONE BISCUITS INDONESIA</v>
          </cell>
        </row>
      </sheetData>
      <sheetData sheetId="2978">
        <row r="7">
          <cell r="E7" t="str">
            <v>PT. DANONE BISCUITS INDONESIA</v>
          </cell>
        </row>
      </sheetData>
      <sheetData sheetId="2979">
        <row r="7">
          <cell r="E7" t="str">
            <v>PT. DANONE BISCUITS INDONESIA</v>
          </cell>
        </row>
      </sheetData>
      <sheetData sheetId="2980">
        <row r="7">
          <cell r="E7" t="str">
            <v>PT. DANONE BISCUITS INDONESIA</v>
          </cell>
        </row>
      </sheetData>
      <sheetData sheetId="2981">
        <row r="7">
          <cell r="E7" t="str">
            <v>PT. DANONE BISCUITS INDONESIA</v>
          </cell>
        </row>
      </sheetData>
      <sheetData sheetId="2982">
        <row r="7">
          <cell r="E7" t="str">
            <v>PT. DANONE BISCUITS INDONESIA</v>
          </cell>
        </row>
      </sheetData>
      <sheetData sheetId="2983">
        <row r="7">
          <cell r="E7" t="str">
            <v>PT. DANONE BISCUITS INDONESIA</v>
          </cell>
        </row>
      </sheetData>
      <sheetData sheetId="2984">
        <row r="7">
          <cell r="E7" t="str">
            <v>PT. DANONE BISCUITS INDONESIA</v>
          </cell>
        </row>
      </sheetData>
      <sheetData sheetId="2985">
        <row r="7">
          <cell r="E7" t="str">
            <v>PT. DANONE BISCUITS INDONESIA</v>
          </cell>
        </row>
      </sheetData>
      <sheetData sheetId="2986">
        <row r="7">
          <cell r="E7" t="str">
            <v>PT. DANONE BISCUITS INDONESIA</v>
          </cell>
        </row>
      </sheetData>
      <sheetData sheetId="2987">
        <row r="7">
          <cell r="E7" t="str">
            <v>PT. DANONE BISCUITS INDONESIA</v>
          </cell>
        </row>
      </sheetData>
      <sheetData sheetId="2988">
        <row r="7">
          <cell r="E7" t="str">
            <v>PT. DANONE BISCUITS INDONESIA</v>
          </cell>
        </row>
      </sheetData>
      <sheetData sheetId="2989">
        <row r="7">
          <cell r="E7" t="str">
            <v>PT. DANONE BISCUITS INDONESIA</v>
          </cell>
        </row>
      </sheetData>
      <sheetData sheetId="2990">
        <row r="7">
          <cell r="E7" t="str">
            <v>PT. DANONE BISCUITS INDONESIA</v>
          </cell>
        </row>
      </sheetData>
      <sheetData sheetId="2991">
        <row r="7">
          <cell r="E7" t="str">
            <v>PT. DANONE BISCUITS INDONESIA</v>
          </cell>
        </row>
      </sheetData>
      <sheetData sheetId="2992">
        <row r="7">
          <cell r="E7" t="str">
            <v>PT. DANONE BISCUITS INDONESIA</v>
          </cell>
        </row>
      </sheetData>
      <sheetData sheetId="2993">
        <row r="7">
          <cell r="E7" t="str">
            <v>PT. DANONE BISCUITS INDONESIA</v>
          </cell>
        </row>
      </sheetData>
      <sheetData sheetId="2994">
        <row r="7">
          <cell r="E7" t="str">
            <v>PT. DANONE BISCUITS INDONESIA</v>
          </cell>
        </row>
      </sheetData>
      <sheetData sheetId="2995">
        <row r="7">
          <cell r="E7" t="str">
            <v>PT. DANONE BISCUITS INDONESIA</v>
          </cell>
        </row>
      </sheetData>
      <sheetData sheetId="2996">
        <row r="7">
          <cell r="E7" t="str">
            <v>PT. DANONE BISCUITS INDONESIA</v>
          </cell>
        </row>
      </sheetData>
      <sheetData sheetId="2997">
        <row r="7">
          <cell r="E7" t="str">
            <v>PT. DANONE BISCUITS INDONESIA</v>
          </cell>
        </row>
      </sheetData>
      <sheetData sheetId="2998">
        <row r="7">
          <cell r="E7" t="str">
            <v>PT. DANONE BISCUITS INDONESIA</v>
          </cell>
        </row>
      </sheetData>
      <sheetData sheetId="2999">
        <row r="7">
          <cell r="E7" t="str">
            <v>PT. DANONE BISCUITS INDONESIA</v>
          </cell>
        </row>
      </sheetData>
      <sheetData sheetId="3000">
        <row r="7">
          <cell r="E7" t="str">
            <v>PT. DANONE BISCUITS INDONESIA</v>
          </cell>
        </row>
      </sheetData>
      <sheetData sheetId="3001">
        <row r="7">
          <cell r="E7" t="str">
            <v>PT. DANONE BISCUITS INDONESIA</v>
          </cell>
        </row>
      </sheetData>
      <sheetData sheetId="3002">
        <row r="7">
          <cell r="E7" t="str">
            <v>PT. DANONE BISCUITS INDONESIA</v>
          </cell>
        </row>
      </sheetData>
      <sheetData sheetId="3003">
        <row r="7">
          <cell r="E7" t="str">
            <v>PT. DANONE BISCUITS INDONESIA</v>
          </cell>
        </row>
      </sheetData>
      <sheetData sheetId="3004">
        <row r="7">
          <cell r="E7" t="str">
            <v>PT. DANONE BISCUITS INDONESIA</v>
          </cell>
        </row>
      </sheetData>
      <sheetData sheetId="3005">
        <row r="7">
          <cell r="E7" t="str">
            <v>PT. DANONE BISCUITS INDONESIA</v>
          </cell>
        </row>
      </sheetData>
      <sheetData sheetId="3006">
        <row r="7">
          <cell r="E7" t="str">
            <v>PT. DANONE BISCUITS INDONESIA</v>
          </cell>
        </row>
      </sheetData>
      <sheetData sheetId="3007">
        <row r="7">
          <cell r="E7" t="str">
            <v>PT. DANONE BISCUITS INDONESIA</v>
          </cell>
        </row>
      </sheetData>
      <sheetData sheetId="3008">
        <row r="7">
          <cell r="E7" t="str">
            <v>PT. DANONE BISCUITS INDONESIA</v>
          </cell>
        </row>
      </sheetData>
      <sheetData sheetId="3009">
        <row r="7">
          <cell r="E7" t="str">
            <v>PT. DANONE BISCUITS INDONESIA</v>
          </cell>
        </row>
      </sheetData>
      <sheetData sheetId="3010">
        <row r="7">
          <cell r="E7" t="str">
            <v>PT. DANONE BISCUITS INDONESIA</v>
          </cell>
        </row>
      </sheetData>
      <sheetData sheetId="3011">
        <row r="7">
          <cell r="E7" t="str">
            <v>PT. DANONE BISCUITS INDONESIA</v>
          </cell>
        </row>
      </sheetData>
      <sheetData sheetId="3012">
        <row r="7">
          <cell r="E7" t="str">
            <v>PT. DANONE BISCUITS INDONESIA</v>
          </cell>
        </row>
      </sheetData>
      <sheetData sheetId="3013">
        <row r="7">
          <cell r="E7" t="str">
            <v>PT. DANONE BISCUITS INDONESIA</v>
          </cell>
        </row>
      </sheetData>
      <sheetData sheetId="3014">
        <row r="7">
          <cell r="E7" t="str">
            <v>PT. DANONE BISCUITS INDONESIA</v>
          </cell>
        </row>
      </sheetData>
      <sheetData sheetId="3015">
        <row r="7">
          <cell r="E7" t="str">
            <v>PT. DANONE BISCUITS INDONESIA</v>
          </cell>
        </row>
      </sheetData>
      <sheetData sheetId="3016">
        <row r="7">
          <cell r="E7" t="str">
            <v>PT. DANONE BISCUITS INDONESIA</v>
          </cell>
        </row>
      </sheetData>
      <sheetData sheetId="3017">
        <row r="7">
          <cell r="E7" t="str">
            <v>PT. DANONE BISCUITS INDONESIA</v>
          </cell>
        </row>
      </sheetData>
      <sheetData sheetId="3018">
        <row r="7">
          <cell r="E7" t="str">
            <v>PT. DANONE BISCUITS INDONESIA</v>
          </cell>
        </row>
      </sheetData>
      <sheetData sheetId="3019">
        <row r="7">
          <cell r="E7" t="str">
            <v>PT. DANONE BISCUITS INDONESIA</v>
          </cell>
        </row>
      </sheetData>
      <sheetData sheetId="3020">
        <row r="7">
          <cell r="E7" t="str">
            <v>PT. DANONE BISCUITS INDONESIA</v>
          </cell>
        </row>
      </sheetData>
      <sheetData sheetId="3021">
        <row r="7">
          <cell r="E7" t="str">
            <v>PT. DANONE BISCUITS INDONESIA</v>
          </cell>
        </row>
      </sheetData>
      <sheetData sheetId="3022">
        <row r="7">
          <cell r="E7" t="str">
            <v>PT. DANONE BISCUITS INDONESIA</v>
          </cell>
        </row>
      </sheetData>
      <sheetData sheetId="3023">
        <row r="7">
          <cell r="E7" t="str">
            <v>PT. DANONE BISCUITS INDONESIA</v>
          </cell>
        </row>
      </sheetData>
      <sheetData sheetId="3024">
        <row r="7">
          <cell r="E7" t="str">
            <v>PT. DANONE BISCUITS INDONESIA</v>
          </cell>
        </row>
      </sheetData>
      <sheetData sheetId="3025">
        <row r="7">
          <cell r="E7" t="str">
            <v>PT. DANONE BISCUITS INDONESIA</v>
          </cell>
        </row>
      </sheetData>
      <sheetData sheetId="3026">
        <row r="7">
          <cell r="E7" t="str">
            <v>PT. DANONE BISCUITS INDONESIA</v>
          </cell>
        </row>
      </sheetData>
      <sheetData sheetId="3027">
        <row r="7">
          <cell r="E7" t="str">
            <v>PT. DANONE BISCUITS INDONESIA</v>
          </cell>
        </row>
      </sheetData>
      <sheetData sheetId="3028">
        <row r="7">
          <cell r="E7" t="str">
            <v>PT. DANONE BISCUITS INDONESIA</v>
          </cell>
        </row>
      </sheetData>
      <sheetData sheetId="3029">
        <row r="7">
          <cell r="E7" t="str">
            <v>PT. DANONE BISCUITS INDONESIA</v>
          </cell>
        </row>
      </sheetData>
      <sheetData sheetId="3030">
        <row r="7">
          <cell r="E7" t="str">
            <v>PT. DANONE BISCUITS INDONESIA</v>
          </cell>
        </row>
      </sheetData>
      <sheetData sheetId="3031">
        <row r="7">
          <cell r="E7" t="str">
            <v>PT. DANONE BISCUITS INDONESIA</v>
          </cell>
        </row>
      </sheetData>
      <sheetData sheetId="3032">
        <row r="7">
          <cell r="E7" t="str">
            <v>PT. DANONE BISCUITS INDONESIA</v>
          </cell>
        </row>
      </sheetData>
      <sheetData sheetId="3033">
        <row r="7">
          <cell r="E7" t="str">
            <v>PT. DANONE BISCUITS INDONESIA</v>
          </cell>
        </row>
      </sheetData>
      <sheetData sheetId="3034">
        <row r="7">
          <cell r="E7" t="str">
            <v>PT. DANONE BISCUITS INDONESIA</v>
          </cell>
        </row>
      </sheetData>
      <sheetData sheetId="3035">
        <row r="7">
          <cell r="E7" t="str">
            <v>PT. DANONE BISCUITS INDONESIA</v>
          </cell>
        </row>
      </sheetData>
      <sheetData sheetId="3036">
        <row r="7">
          <cell r="E7" t="str">
            <v>PT. DANONE BISCUITS INDONESIA</v>
          </cell>
        </row>
      </sheetData>
      <sheetData sheetId="3037">
        <row r="7">
          <cell r="E7" t="str">
            <v>PT. DANONE BISCUITS INDONESIA</v>
          </cell>
        </row>
      </sheetData>
      <sheetData sheetId="3038">
        <row r="7">
          <cell r="E7" t="str">
            <v>PT. DANONE BISCUITS INDONESIA</v>
          </cell>
        </row>
      </sheetData>
      <sheetData sheetId="3039">
        <row r="7">
          <cell r="E7" t="str">
            <v>PT. DANONE BISCUITS INDONESIA</v>
          </cell>
        </row>
      </sheetData>
      <sheetData sheetId="3040">
        <row r="7">
          <cell r="E7" t="str">
            <v>PT. DANONE BISCUITS INDONESIA</v>
          </cell>
        </row>
      </sheetData>
      <sheetData sheetId="3041">
        <row r="7">
          <cell r="E7" t="str">
            <v>PT. DANONE BISCUITS INDONESIA</v>
          </cell>
        </row>
      </sheetData>
      <sheetData sheetId="3042">
        <row r="7">
          <cell r="E7" t="str">
            <v>PT. DANONE BISCUITS INDONESIA</v>
          </cell>
        </row>
      </sheetData>
      <sheetData sheetId="3043">
        <row r="7">
          <cell r="E7" t="str">
            <v>PT. DANONE BISCUITS INDONESIA</v>
          </cell>
        </row>
      </sheetData>
      <sheetData sheetId="3044">
        <row r="7">
          <cell r="E7" t="str">
            <v>PT. DANONE BISCUITS INDONESIA</v>
          </cell>
        </row>
      </sheetData>
      <sheetData sheetId="3045">
        <row r="7">
          <cell r="E7" t="str">
            <v>PT. DANONE BISCUITS INDONESIA</v>
          </cell>
        </row>
      </sheetData>
      <sheetData sheetId="3046">
        <row r="7">
          <cell r="E7" t="str">
            <v>PT. DANONE BISCUITS INDONESIA</v>
          </cell>
        </row>
      </sheetData>
      <sheetData sheetId="3047">
        <row r="7">
          <cell r="E7" t="str">
            <v>PT. DANONE BISCUITS INDONESIA</v>
          </cell>
        </row>
      </sheetData>
      <sheetData sheetId="3048">
        <row r="7">
          <cell r="E7" t="str">
            <v>PT. DANONE BISCUITS INDONESIA</v>
          </cell>
        </row>
      </sheetData>
      <sheetData sheetId="3049">
        <row r="7">
          <cell r="E7" t="str">
            <v>PT. DANONE BISCUITS INDONESIA</v>
          </cell>
        </row>
      </sheetData>
      <sheetData sheetId="3050">
        <row r="7">
          <cell r="E7" t="str">
            <v>PT. DANONE BISCUITS INDONESIA</v>
          </cell>
        </row>
      </sheetData>
      <sheetData sheetId="3051">
        <row r="7">
          <cell r="E7" t="str">
            <v>PT. DANONE BISCUITS INDONESIA</v>
          </cell>
        </row>
      </sheetData>
      <sheetData sheetId="3052">
        <row r="7">
          <cell r="E7" t="str">
            <v>PT. DANONE BISCUITS INDONESIA</v>
          </cell>
        </row>
      </sheetData>
      <sheetData sheetId="3053">
        <row r="7">
          <cell r="E7" t="str">
            <v>PT. DANONE BISCUITS INDONESIA</v>
          </cell>
        </row>
      </sheetData>
      <sheetData sheetId="3054">
        <row r="7">
          <cell r="E7" t="str">
            <v>PT. DANONE BISCUITS INDONESIA</v>
          </cell>
        </row>
      </sheetData>
      <sheetData sheetId="3055">
        <row r="7">
          <cell r="E7" t="str">
            <v>PT. DANONE BISCUITS INDONESIA</v>
          </cell>
        </row>
      </sheetData>
      <sheetData sheetId="3056">
        <row r="7">
          <cell r="E7" t="str">
            <v>PT. DANONE BISCUITS INDONESIA</v>
          </cell>
        </row>
      </sheetData>
      <sheetData sheetId="3057">
        <row r="7">
          <cell r="E7" t="str">
            <v>PT. DANONE BISCUITS INDONESIA</v>
          </cell>
        </row>
      </sheetData>
      <sheetData sheetId="3058">
        <row r="7">
          <cell r="E7" t="str">
            <v>PT. DANONE BISCUITS INDONESIA</v>
          </cell>
        </row>
      </sheetData>
      <sheetData sheetId="3059">
        <row r="7">
          <cell r="E7" t="str">
            <v>PT. DANONE BISCUITS INDONESIA</v>
          </cell>
        </row>
      </sheetData>
      <sheetData sheetId="3060">
        <row r="7">
          <cell r="E7" t="str">
            <v>PT. DANONE BISCUITS INDONESIA</v>
          </cell>
        </row>
      </sheetData>
      <sheetData sheetId="3061">
        <row r="7">
          <cell r="E7" t="str">
            <v>PT. DANONE BISCUITS INDONESIA</v>
          </cell>
        </row>
      </sheetData>
      <sheetData sheetId="3062">
        <row r="7">
          <cell r="E7" t="str">
            <v>PT. DANONE BISCUITS INDONESIA</v>
          </cell>
        </row>
      </sheetData>
      <sheetData sheetId="3063">
        <row r="7">
          <cell r="E7" t="str">
            <v>PT. DANONE BISCUITS INDONESIA</v>
          </cell>
        </row>
      </sheetData>
      <sheetData sheetId="3064">
        <row r="7">
          <cell r="E7" t="str">
            <v>PT. DANONE BISCUITS INDONESIA</v>
          </cell>
        </row>
      </sheetData>
      <sheetData sheetId="3065">
        <row r="7">
          <cell r="E7" t="str">
            <v>PT. DANONE BISCUITS INDONESIA</v>
          </cell>
        </row>
      </sheetData>
      <sheetData sheetId="3066">
        <row r="7">
          <cell r="E7" t="str">
            <v>PT. DANONE BISCUITS INDONESIA</v>
          </cell>
        </row>
      </sheetData>
      <sheetData sheetId="3067">
        <row r="7">
          <cell r="E7" t="str">
            <v>PT. DANONE BISCUITS INDONESIA</v>
          </cell>
        </row>
      </sheetData>
      <sheetData sheetId="3068">
        <row r="7">
          <cell r="E7" t="str">
            <v>PT. DANONE BISCUITS INDONESIA</v>
          </cell>
        </row>
      </sheetData>
      <sheetData sheetId="3069">
        <row r="7">
          <cell r="E7" t="str">
            <v>PT. DANONE BISCUITS INDONESIA</v>
          </cell>
        </row>
      </sheetData>
      <sheetData sheetId="3070">
        <row r="7">
          <cell r="E7" t="str">
            <v>PT. DANONE BISCUITS INDONESIA</v>
          </cell>
        </row>
      </sheetData>
      <sheetData sheetId="3071">
        <row r="7">
          <cell r="E7" t="str">
            <v>PT. DANONE BISCUITS INDONESIA</v>
          </cell>
        </row>
      </sheetData>
      <sheetData sheetId="3072">
        <row r="7">
          <cell r="E7" t="str">
            <v>PT. DANONE BISCUITS INDONESIA</v>
          </cell>
        </row>
      </sheetData>
      <sheetData sheetId="3073">
        <row r="7">
          <cell r="E7" t="str">
            <v>PT. DANONE BISCUITS INDONESIA</v>
          </cell>
        </row>
      </sheetData>
      <sheetData sheetId="3074">
        <row r="7">
          <cell r="E7" t="str">
            <v>PT. DANONE BISCUITS INDONESIA</v>
          </cell>
        </row>
      </sheetData>
      <sheetData sheetId="3075">
        <row r="7">
          <cell r="E7" t="str">
            <v>PT. DANONE BISCUITS INDONESIA</v>
          </cell>
        </row>
      </sheetData>
      <sheetData sheetId="3076">
        <row r="7">
          <cell r="E7" t="str">
            <v>PT. DANONE BISCUITS INDONESIA</v>
          </cell>
        </row>
      </sheetData>
      <sheetData sheetId="3077">
        <row r="7">
          <cell r="E7" t="str">
            <v>PT. DANONE BISCUITS INDONESIA</v>
          </cell>
        </row>
      </sheetData>
      <sheetData sheetId="3078">
        <row r="7">
          <cell r="E7" t="str">
            <v>PT. DANONE BISCUITS INDONESIA</v>
          </cell>
        </row>
      </sheetData>
      <sheetData sheetId="3079">
        <row r="7">
          <cell r="E7" t="str">
            <v>PT. DANONE BISCUITS INDONESIA</v>
          </cell>
        </row>
      </sheetData>
      <sheetData sheetId="3080">
        <row r="7">
          <cell r="E7" t="str">
            <v>PT. DANONE BISCUITS INDONESIA</v>
          </cell>
        </row>
      </sheetData>
      <sheetData sheetId="3081">
        <row r="7">
          <cell r="E7" t="str">
            <v>PT. DANONE BISCUITS INDONESIA</v>
          </cell>
        </row>
      </sheetData>
      <sheetData sheetId="3082">
        <row r="7">
          <cell r="E7" t="str">
            <v>PT. DANONE BISCUITS INDONESIA</v>
          </cell>
        </row>
      </sheetData>
      <sheetData sheetId="3083">
        <row r="7">
          <cell r="E7" t="str">
            <v>PT. DANONE BISCUITS INDONESIA</v>
          </cell>
        </row>
      </sheetData>
      <sheetData sheetId="3084">
        <row r="7">
          <cell r="E7" t="str">
            <v>PT. DANONE BISCUITS INDONESIA</v>
          </cell>
        </row>
      </sheetData>
      <sheetData sheetId="3085">
        <row r="7">
          <cell r="E7" t="str">
            <v>PT. DANONE BISCUITS INDONESIA</v>
          </cell>
        </row>
      </sheetData>
      <sheetData sheetId="3086">
        <row r="7">
          <cell r="E7" t="str">
            <v>PT. DANONE BISCUITS INDONESIA</v>
          </cell>
        </row>
      </sheetData>
      <sheetData sheetId="3087">
        <row r="7">
          <cell r="E7" t="str">
            <v>PT. DANONE BISCUITS INDONESIA</v>
          </cell>
        </row>
      </sheetData>
      <sheetData sheetId="3088">
        <row r="7">
          <cell r="E7" t="str">
            <v>PT. DANONE BISCUITS INDONESIA</v>
          </cell>
        </row>
      </sheetData>
      <sheetData sheetId="3089">
        <row r="7">
          <cell r="E7" t="str">
            <v>PT. DANONE BISCUITS INDONESIA</v>
          </cell>
        </row>
      </sheetData>
      <sheetData sheetId="3090">
        <row r="7">
          <cell r="E7" t="str">
            <v>PT. DANONE BISCUITS INDONESIA</v>
          </cell>
        </row>
      </sheetData>
      <sheetData sheetId="3091">
        <row r="7">
          <cell r="E7" t="str">
            <v>PT. DANONE BISCUITS INDONESIA</v>
          </cell>
        </row>
      </sheetData>
      <sheetData sheetId="3092">
        <row r="7">
          <cell r="E7" t="str">
            <v>PT. DANONE BISCUITS INDONESIA</v>
          </cell>
        </row>
      </sheetData>
      <sheetData sheetId="3093">
        <row r="7">
          <cell r="E7" t="str">
            <v>PT. DANONE BISCUITS INDONESIA</v>
          </cell>
        </row>
      </sheetData>
      <sheetData sheetId="3094">
        <row r="7">
          <cell r="E7" t="str">
            <v>PT. DANONE BISCUITS INDONESIA</v>
          </cell>
        </row>
      </sheetData>
      <sheetData sheetId="3095">
        <row r="7">
          <cell r="E7" t="str">
            <v>PT. DANONE BISCUITS INDONESIA</v>
          </cell>
        </row>
      </sheetData>
      <sheetData sheetId="3096">
        <row r="7">
          <cell r="E7" t="str">
            <v>PT. DANONE BISCUITS INDONESIA</v>
          </cell>
        </row>
      </sheetData>
      <sheetData sheetId="3097">
        <row r="7">
          <cell r="E7" t="str">
            <v>PT. DANONE BISCUITS INDONESIA</v>
          </cell>
        </row>
      </sheetData>
      <sheetData sheetId="3098">
        <row r="7">
          <cell r="E7" t="str">
            <v>PT. DANONE BISCUITS INDONESIA</v>
          </cell>
        </row>
      </sheetData>
      <sheetData sheetId="3099">
        <row r="7">
          <cell r="E7" t="str">
            <v>PT. DANONE BISCUITS INDONESIA</v>
          </cell>
        </row>
      </sheetData>
      <sheetData sheetId="3100">
        <row r="7">
          <cell r="E7" t="str">
            <v>PT. DANONE BISCUITS INDONESIA</v>
          </cell>
        </row>
      </sheetData>
      <sheetData sheetId="3101">
        <row r="7">
          <cell r="E7" t="str">
            <v>PT. DANONE BISCUITS INDONESIA</v>
          </cell>
        </row>
      </sheetData>
      <sheetData sheetId="3102">
        <row r="7">
          <cell r="E7" t="str">
            <v>PT. DANONE BISCUITS INDONESIA</v>
          </cell>
        </row>
      </sheetData>
      <sheetData sheetId="3103">
        <row r="7">
          <cell r="E7" t="str">
            <v>PT. DANONE BISCUITS INDONESIA</v>
          </cell>
        </row>
      </sheetData>
      <sheetData sheetId="3104">
        <row r="7">
          <cell r="E7" t="str">
            <v>PT. DANONE BISCUITS INDONESIA</v>
          </cell>
        </row>
      </sheetData>
      <sheetData sheetId="3105">
        <row r="7">
          <cell r="E7" t="str">
            <v>PT. DANONE BISCUITS INDONESIA</v>
          </cell>
        </row>
      </sheetData>
      <sheetData sheetId="3106">
        <row r="7">
          <cell r="E7" t="str">
            <v>PT. DANONE BISCUITS INDONESIA</v>
          </cell>
        </row>
      </sheetData>
      <sheetData sheetId="3107">
        <row r="7">
          <cell r="E7" t="str">
            <v>PT. DANONE BISCUITS INDONESIA</v>
          </cell>
        </row>
      </sheetData>
      <sheetData sheetId="3108">
        <row r="7">
          <cell r="E7" t="str">
            <v>PT. DANONE BISCUITS INDONESIA</v>
          </cell>
        </row>
      </sheetData>
      <sheetData sheetId="3109">
        <row r="7">
          <cell r="E7" t="str">
            <v>PT. DANONE BISCUITS INDONESIA</v>
          </cell>
        </row>
      </sheetData>
      <sheetData sheetId="3110">
        <row r="7">
          <cell r="E7" t="str">
            <v>PT. DANONE BISCUITS INDONESIA</v>
          </cell>
        </row>
      </sheetData>
      <sheetData sheetId="3111">
        <row r="7">
          <cell r="E7" t="str">
            <v>PT. DANONE BISCUITS INDONESIA</v>
          </cell>
        </row>
      </sheetData>
      <sheetData sheetId="3112">
        <row r="7">
          <cell r="E7" t="str">
            <v>PT. DANONE BISCUITS INDONESIA</v>
          </cell>
        </row>
      </sheetData>
      <sheetData sheetId="3113">
        <row r="7">
          <cell r="E7" t="str">
            <v>PT. DANONE BISCUITS INDONESIA</v>
          </cell>
        </row>
      </sheetData>
      <sheetData sheetId="3114">
        <row r="7">
          <cell r="E7" t="str">
            <v>PT. DANONE BISCUITS INDONESIA</v>
          </cell>
        </row>
      </sheetData>
      <sheetData sheetId="3115">
        <row r="7">
          <cell r="E7" t="str">
            <v>PT. DANONE BISCUITS INDONESIA</v>
          </cell>
        </row>
      </sheetData>
      <sheetData sheetId="3116">
        <row r="7">
          <cell r="E7" t="str">
            <v>PT. DANONE BISCUITS INDONESIA</v>
          </cell>
        </row>
      </sheetData>
      <sheetData sheetId="3117">
        <row r="7">
          <cell r="E7" t="str">
            <v>PT. DANONE BISCUITS INDONESIA</v>
          </cell>
        </row>
      </sheetData>
      <sheetData sheetId="3118">
        <row r="7">
          <cell r="E7" t="str">
            <v>PT. DANONE BISCUITS INDONESIA</v>
          </cell>
        </row>
      </sheetData>
      <sheetData sheetId="3119">
        <row r="7">
          <cell r="E7" t="str">
            <v>PT. DANONE BISCUITS INDONESIA</v>
          </cell>
        </row>
      </sheetData>
      <sheetData sheetId="3120">
        <row r="7">
          <cell r="E7" t="str">
            <v>PT. DANONE BISCUITS INDONESIA</v>
          </cell>
        </row>
      </sheetData>
      <sheetData sheetId="3121">
        <row r="7">
          <cell r="E7" t="str">
            <v>PT. DANONE BISCUITS INDONESIA</v>
          </cell>
        </row>
      </sheetData>
      <sheetData sheetId="3122">
        <row r="7">
          <cell r="E7" t="str">
            <v>PT. DANONE BISCUITS INDONESIA</v>
          </cell>
        </row>
      </sheetData>
      <sheetData sheetId="3123">
        <row r="7">
          <cell r="E7" t="str">
            <v>PT. DANONE BISCUITS INDONESIA</v>
          </cell>
        </row>
      </sheetData>
      <sheetData sheetId="3124">
        <row r="7">
          <cell r="E7" t="str">
            <v>PT. DANONE BISCUITS INDONESIA</v>
          </cell>
        </row>
      </sheetData>
      <sheetData sheetId="3125">
        <row r="7">
          <cell r="E7" t="str">
            <v>PT. DANONE BISCUITS INDONESIA</v>
          </cell>
        </row>
      </sheetData>
      <sheetData sheetId="3126">
        <row r="7">
          <cell r="E7" t="str">
            <v>PT. DANONE BISCUITS INDONESIA</v>
          </cell>
        </row>
      </sheetData>
      <sheetData sheetId="3127">
        <row r="7">
          <cell r="E7" t="str">
            <v>PT. DANONE BISCUITS INDONESIA</v>
          </cell>
        </row>
      </sheetData>
      <sheetData sheetId="3128">
        <row r="7">
          <cell r="E7" t="str">
            <v>PT. DANONE BISCUITS INDONESIA</v>
          </cell>
        </row>
      </sheetData>
      <sheetData sheetId="3129">
        <row r="7">
          <cell r="E7" t="str">
            <v>PT. DANONE BISCUITS INDONESIA</v>
          </cell>
        </row>
      </sheetData>
      <sheetData sheetId="3130">
        <row r="7">
          <cell r="E7" t="str">
            <v>PT. DANONE BISCUITS INDONESIA</v>
          </cell>
        </row>
      </sheetData>
      <sheetData sheetId="3131">
        <row r="7">
          <cell r="E7" t="str">
            <v>PT. DANONE BISCUITS INDONESIA</v>
          </cell>
        </row>
      </sheetData>
      <sheetData sheetId="3132">
        <row r="7">
          <cell r="E7" t="str">
            <v>PT. DANONE BISCUITS INDONESIA</v>
          </cell>
        </row>
      </sheetData>
      <sheetData sheetId="3133">
        <row r="7">
          <cell r="E7" t="str">
            <v>PT. DANONE BISCUITS INDONESIA</v>
          </cell>
        </row>
      </sheetData>
      <sheetData sheetId="3134">
        <row r="7">
          <cell r="E7" t="str">
            <v>PT. DANONE BISCUITS INDONESIA</v>
          </cell>
        </row>
      </sheetData>
      <sheetData sheetId="3135">
        <row r="7">
          <cell r="E7" t="str">
            <v>PT. DANONE BISCUITS INDONESIA</v>
          </cell>
        </row>
      </sheetData>
      <sheetData sheetId="3136">
        <row r="7">
          <cell r="E7" t="str">
            <v>PT. DANONE BISCUITS INDONESIA</v>
          </cell>
        </row>
      </sheetData>
      <sheetData sheetId="3137">
        <row r="7">
          <cell r="E7" t="str">
            <v>PT. DANONE BISCUITS INDONESIA</v>
          </cell>
        </row>
      </sheetData>
      <sheetData sheetId="3138">
        <row r="7">
          <cell r="E7" t="str">
            <v>PT. DANONE BISCUITS INDONESIA</v>
          </cell>
        </row>
      </sheetData>
      <sheetData sheetId="3139">
        <row r="7">
          <cell r="E7" t="str">
            <v>PT. DANONE BISCUITS INDONESIA</v>
          </cell>
        </row>
      </sheetData>
      <sheetData sheetId="3140">
        <row r="7">
          <cell r="E7" t="str">
            <v>PT. DANONE BISCUITS INDONESIA</v>
          </cell>
        </row>
      </sheetData>
      <sheetData sheetId="3141">
        <row r="7">
          <cell r="E7" t="str">
            <v>PT. DANONE BISCUITS INDONESIA</v>
          </cell>
        </row>
      </sheetData>
      <sheetData sheetId="3142">
        <row r="7">
          <cell r="E7" t="str">
            <v>PT. DANONE BISCUITS INDONESIA</v>
          </cell>
        </row>
      </sheetData>
      <sheetData sheetId="3143">
        <row r="7">
          <cell r="E7" t="str">
            <v>PT. DANONE BISCUITS INDONESIA</v>
          </cell>
        </row>
      </sheetData>
      <sheetData sheetId="3144">
        <row r="7">
          <cell r="E7" t="str">
            <v>PT. DANONE BISCUITS INDONESIA</v>
          </cell>
        </row>
      </sheetData>
      <sheetData sheetId="3145">
        <row r="7">
          <cell r="E7" t="str">
            <v>PT. DANONE BISCUITS INDONESIA</v>
          </cell>
        </row>
      </sheetData>
      <sheetData sheetId="3146">
        <row r="7">
          <cell r="E7" t="str">
            <v>PT. DANONE BISCUITS INDONESIA</v>
          </cell>
        </row>
      </sheetData>
      <sheetData sheetId="3147">
        <row r="7">
          <cell r="E7" t="str">
            <v>PT. DANONE BISCUITS INDONESIA</v>
          </cell>
        </row>
      </sheetData>
      <sheetData sheetId="3148">
        <row r="7">
          <cell r="E7" t="str">
            <v>PT. DANONE BISCUITS INDONESIA</v>
          </cell>
        </row>
      </sheetData>
      <sheetData sheetId="3149">
        <row r="7">
          <cell r="E7" t="str">
            <v>PT. DANONE BISCUITS INDONESIA</v>
          </cell>
        </row>
      </sheetData>
      <sheetData sheetId="3150">
        <row r="7">
          <cell r="E7" t="str">
            <v>PT. DANONE BISCUITS INDONESIA</v>
          </cell>
        </row>
      </sheetData>
      <sheetData sheetId="3151">
        <row r="7">
          <cell r="E7" t="str">
            <v>PT. DANONE BISCUITS INDONESIA</v>
          </cell>
        </row>
      </sheetData>
      <sheetData sheetId="3152">
        <row r="7">
          <cell r="E7" t="str">
            <v>PT. DANONE BISCUITS INDONESIA</v>
          </cell>
        </row>
      </sheetData>
      <sheetData sheetId="3153">
        <row r="7">
          <cell r="E7" t="str">
            <v>PT. DANONE BISCUITS INDONESIA</v>
          </cell>
        </row>
      </sheetData>
      <sheetData sheetId="3154">
        <row r="7">
          <cell r="E7" t="str">
            <v>PT. DANONE BISCUITS INDONESIA</v>
          </cell>
        </row>
      </sheetData>
      <sheetData sheetId="3155">
        <row r="7">
          <cell r="E7" t="str">
            <v>PT. DANONE BISCUITS INDONESIA</v>
          </cell>
        </row>
      </sheetData>
      <sheetData sheetId="3156">
        <row r="7">
          <cell r="E7" t="str">
            <v>PT. DANONE BISCUITS INDONESIA</v>
          </cell>
        </row>
      </sheetData>
      <sheetData sheetId="3157">
        <row r="7">
          <cell r="E7" t="str">
            <v>PT. DANONE BISCUITS INDONESIA</v>
          </cell>
        </row>
      </sheetData>
      <sheetData sheetId="3158">
        <row r="7">
          <cell r="E7" t="str">
            <v>PT. DANONE BISCUITS INDONESIA</v>
          </cell>
        </row>
      </sheetData>
      <sheetData sheetId="3159">
        <row r="7">
          <cell r="E7" t="str">
            <v>PT. DANONE BISCUITS INDONESIA</v>
          </cell>
        </row>
      </sheetData>
      <sheetData sheetId="3160">
        <row r="7">
          <cell r="E7" t="str">
            <v>PT. DANONE BISCUITS INDONESIA</v>
          </cell>
        </row>
      </sheetData>
      <sheetData sheetId="3161">
        <row r="7">
          <cell r="E7" t="str">
            <v>PT. DANONE BISCUITS INDONESIA</v>
          </cell>
        </row>
      </sheetData>
      <sheetData sheetId="3162">
        <row r="7">
          <cell r="E7" t="str">
            <v>PT. DANONE BISCUITS INDONESIA</v>
          </cell>
        </row>
      </sheetData>
      <sheetData sheetId="3163">
        <row r="7">
          <cell r="E7" t="str">
            <v>PT. DANONE BISCUITS INDONESIA</v>
          </cell>
        </row>
      </sheetData>
      <sheetData sheetId="3164">
        <row r="7">
          <cell r="E7" t="str">
            <v>PT. DANONE BISCUITS INDONESIA</v>
          </cell>
        </row>
      </sheetData>
      <sheetData sheetId="3165">
        <row r="7">
          <cell r="E7" t="str">
            <v>PT. DANONE BISCUITS INDONESIA</v>
          </cell>
        </row>
      </sheetData>
      <sheetData sheetId="3166">
        <row r="7">
          <cell r="E7" t="str">
            <v>PT. DANONE BISCUITS INDONESIA</v>
          </cell>
        </row>
      </sheetData>
      <sheetData sheetId="3167">
        <row r="7">
          <cell r="E7" t="str">
            <v>PT. DANONE BISCUITS INDONESIA</v>
          </cell>
        </row>
      </sheetData>
      <sheetData sheetId="3168">
        <row r="7">
          <cell r="E7" t="str">
            <v>PT. DANONE BISCUITS INDONESIA</v>
          </cell>
        </row>
      </sheetData>
      <sheetData sheetId="3169">
        <row r="7">
          <cell r="E7" t="str">
            <v>PT. DANONE BISCUITS INDONESIA</v>
          </cell>
        </row>
      </sheetData>
      <sheetData sheetId="3170">
        <row r="7">
          <cell r="E7" t="str">
            <v>PT. DANONE BISCUITS INDONESIA</v>
          </cell>
        </row>
      </sheetData>
      <sheetData sheetId="3171">
        <row r="7">
          <cell r="E7" t="str">
            <v>PT. DANONE BISCUITS INDONESIA</v>
          </cell>
        </row>
      </sheetData>
      <sheetData sheetId="3172">
        <row r="7">
          <cell r="E7" t="str">
            <v>PT. DANONE BISCUITS INDONESIA</v>
          </cell>
        </row>
      </sheetData>
      <sheetData sheetId="3173">
        <row r="7">
          <cell r="E7" t="str">
            <v>PT. DANONE BISCUITS INDONESIA</v>
          </cell>
        </row>
      </sheetData>
      <sheetData sheetId="3174">
        <row r="7">
          <cell r="E7" t="str">
            <v>PT. DANONE BISCUITS INDONESIA</v>
          </cell>
        </row>
      </sheetData>
      <sheetData sheetId="3175">
        <row r="7">
          <cell r="E7" t="str">
            <v>PT. DANONE BISCUITS INDONESIA</v>
          </cell>
        </row>
      </sheetData>
      <sheetData sheetId="3176">
        <row r="7">
          <cell r="E7" t="str">
            <v>PT. DANONE BISCUITS INDONESIA</v>
          </cell>
        </row>
      </sheetData>
      <sheetData sheetId="3177">
        <row r="7">
          <cell r="E7" t="str">
            <v>PT. DANONE BISCUITS INDONESIA</v>
          </cell>
        </row>
      </sheetData>
      <sheetData sheetId="3178">
        <row r="7">
          <cell r="E7" t="str">
            <v>PT. DANONE BISCUITS INDONESIA</v>
          </cell>
        </row>
      </sheetData>
      <sheetData sheetId="3179">
        <row r="7">
          <cell r="E7" t="str">
            <v>PT. DANONE BISCUITS INDONESIA</v>
          </cell>
        </row>
      </sheetData>
      <sheetData sheetId="3180">
        <row r="7">
          <cell r="E7" t="str">
            <v>PT. DANONE BISCUITS INDONESIA</v>
          </cell>
        </row>
      </sheetData>
      <sheetData sheetId="3181">
        <row r="7">
          <cell r="E7" t="str">
            <v>PT. DANONE BISCUITS INDONESIA</v>
          </cell>
        </row>
      </sheetData>
      <sheetData sheetId="3182">
        <row r="7">
          <cell r="E7" t="str">
            <v>PT. DANONE BISCUITS INDONESIA</v>
          </cell>
        </row>
      </sheetData>
      <sheetData sheetId="3183">
        <row r="7">
          <cell r="E7" t="str">
            <v>PT. DANONE BISCUITS INDONESIA</v>
          </cell>
        </row>
      </sheetData>
      <sheetData sheetId="3184">
        <row r="7">
          <cell r="E7" t="str">
            <v>PT. DANONE BISCUITS INDONESIA</v>
          </cell>
        </row>
      </sheetData>
      <sheetData sheetId="3185">
        <row r="7">
          <cell r="E7" t="str">
            <v>PT. DANONE BISCUITS INDONESIA</v>
          </cell>
        </row>
      </sheetData>
      <sheetData sheetId="3186">
        <row r="7">
          <cell r="E7" t="str">
            <v>PT. DANONE BISCUITS INDONESIA</v>
          </cell>
        </row>
      </sheetData>
      <sheetData sheetId="3187">
        <row r="7">
          <cell r="E7" t="str">
            <v>PT. DANONE BISCUITS INDONESIA</v>
          </cell>
        </row>
      </sheetData>
      <sheetData sheetId="3188">
        <row r="7">
          <cell r="E7" t="str">
            <v>PT. DANONE BISCUITS INDONESIA</v>
          </cell>
        </row>
      </sheetData>
      <sheetData sheetId="3189">
        <row r="7">
          <cell r="E7" t="str">
            <v>PT. DANONE BISCUITS INDONESIA</v>
          </cell>
        </row>
      </sheetData>
      <sheetData sheetId="3190">
        <row r="7">
          <cell r="E7" t="str">
            <v>PT. DANONE BISCUITS INDONESIA</v>
          </cell>
        </row>
      </sheetData>
      <sheetData sheetId="3191">
        <row r="7">
          <cell r="E7" t="str">
            <v>PT. DANONE BISCUITS INDONESIA</v>
          </cell>
        </row>
      </sheetData>
      <sheetData sheetId="3192">
        <row r="7">
          <cell r="E7" t="str">
            <v>PT. DANONE BISCUITS INDONESIA</v>
          </cell>
        </row>
      </sheetData>
      <sheetData sheetId="3193">
        <row r="7">
          <cell r="E7" t="str">
            <v>PT. DANONE BISCUITS INDONESIA</v>
          </cell>
        </row>
      </sheetData>
      <sheetData sheetId="3194">
        <row r="7">
          <cell r="E7" t="str">
            <v>PT. DANONE BISCUITS INDONESIA</v>
          </cell>
        </row>
      </sheetData>
      <sheetData sheetId="3195">
        <row r="7">
          <cell r="E7" t="str">
            <v>PT. DANONE BISCUITS INDONESIA</v>
          </cell>
        </row>
      </sheetData>
      <sheetData sheetId="3196">
        <row r="7">
          <cell r="E7" t="str">
            <v>PT. DANONE BISCUITS INDONESIA</v>
          </cell>
        </row>
      </sheetData>
      <sheetData sheetId="3197">
        <row r="7">
          <cell r="E7" t="str">
            <v>PT. DANONE BISCUITS INDONESIA</v>
          </cell>
        </row>
      </sheetData>
      <sheetData sheetId="3198">
        <row r="7">
          <cell r="E7" t="str">
            <v>PT. DANONE BISCUITS INDONESIA</v>
          </cell>
        </row>
      </sheetData>
      <sheetData sheetId="3199">
        <row r="7">
          <cell r="E7" t="str">
            <v>PT. DANONE BISCUITS INDONESIA</v>
          </cell>
        </row>
      </sheetData>
      <sheetData sheetId="3200">
        <row r="7">
          <cell r="E7" t="str">
            <v>PT. DANONE BISCUITS INDONESIA</v>
          </cell>
        </row>
      </sheetData>
      <sheetData sheetId="3201">
        <row r="7">
          <cell r="E7" t="str">
            <v>PT. DANONE BISCUITS INDONESIA</v>
          </cell>
        </row>
      </sheetData>
      <sheetData sheetId="3202">
        <row r="7">
          <cell r="E7" t="str">
            <v>PT. DANONE BISCUITS INDONESIA</v>
          </cell>
        </row>
      </sheetData>
      <sheetData sheetId="3203">
        <row r="7">
          <cell r="E7" t="str">
            <v>PT. DANONE BISCUITS INDONESIA</v>
          </cell>
        </row>
      </sheetData>
      <sheetData sheetId="3204">
        <row r="7">
          <cell r="E7" t="str">
            <v>PT. DANONE BISCUITS INDONESIA</v>
          </cell>
        </row>
      </sheetData>
      <sheetData sheetId="3205">
        <row r="7">
          <cell r="E7" t="str">
            <v>PT. DANONE BISCUITS INDONESIA</v>
          </cell>
        </row>
      </sheetData>
      <sheetData sheetId="3206">
        <row r="7">
          <cell r="E7" t="str">
            <v>PT. DANONE BISCUITS INDONESIA</v>
          </cell>
        </row>
      </sheetData>
      <sheetData sheetId="3207">
        <row r="7">
          <cell r="E7" t="str">
            <v>PT. DANONE BISCUITS INDONESIA</v>
          </cell>
        </row>
      </sheetData>
      <sheetData sheetId="3208">
        <row r="7">
          <cell r="E7" t="str">
            <v>PT. DANONE BISCUITS INDONESIA</v>
          </cell>
        </row>
      </sheetData>
      <sheetData sheetId="3209">
        <row r="7">
          <cell r="E7" t="str">
            <v>PT. DANONE BISCUITS INDONESIA</v>
          </cell>
        </row>
      </sheetData>
      <sheetData sheetId="3210">
        <row r="7">
          <cell r="E7" t="str">
            <v>PT. DANONE BISCUITS INDONESIA</v>
          </cell>
        </row>
      </sheetData>
      <sheetData sheetId="3211">
        <row r="7">
          <cell r="E7" t="str">
            <v>PT. DANONE BISCUITS INDONESIA</v>
          </cell>
        </row>
      </sheetData>
      <sheetData sheetId="3212">
        <row r="7">
          <cell r="E7" t="str">
            <v>PT. DANONE BISCUITS INDONESIA</v>
          </cell>
        </row>
      </sheetData>
      <sheetData sheetId="3213">
        <row r="7">
          <cell r="E7" t="str">
            <v>PT. DANONE BISCUITS INDONESIA</v>
          </cell>
        </row>
      </sheetData>
      <sheetData sheetId="3214">
        <row r="7">
          <cell r="E7" t="str">
            <v>PT. DANONE BISCUITS INDONESIA</v>
          </cell>
        </row>
      </sheetData>
      <sheetData sheetId="3215">
        <row r="7">
          <cell r="E7" t="str">
            <v>PT. DANONE BISCUITS INDONESIA</v>
          </cell>
        </row>
      </sheetData>
      <sheetData sheetId="3216">
        <row r="7">
          <cell r="E7" t="str">
            <v>PT. DANONE BISCUITS INDONESIA</v>
          </cell>
        </row>
      </sheetData>
      <sheetData sheetId="3217">
        <row r="7">
          <cell r="E7" t="str">
            <v>PT. DANONE BISCUITS INDONESIA</v>
          </cell>
        </row>
      </sheetData>
      <sheetData sheetId="3218">
        <row r="7">
          <cell r="E7" t="str">
            <v>PT. DANONE BISCUITS INDONESIA</v>
          </cell>
        </row>
      </sheetData>
      <sheetData sheetId="3219">
        <row r="7">
          <cell r="E7" t="str">
            <v>PT. DANONE BISCUITS INDONESIA</v>
          </cell>
        </row>
      </sheetData>
      <sheetData sheetId="3220">
        <row r="7">
          <cell r="E7" t="str">
            <v>PT. DANONE BISCUITS INDONESIA</v>
          </cell>
        </row>
      </sheetData>
      <sheetData sheetId="3221">
        <row r="7">
          <cell r="E7" t="str">
            <v>PT. DANONE BISCUITS INDONESIA</v>
          </cell>
        </row>
      </sheetData>
      <sheetData sheetId="3222">
        <row r="7">
          <cell r="E7" t="str">
            <v>PT. DANONE BISCUITS INDONESIA</v>
          </cell>
        </row>
      </sheetData>
      <sheetData sheetId="3223">
        <row r="7">
          <cell r="E7" t="str">
            <v>PT. DANONE BISCUITS INDONESIA</v>
          </cell>
        </row>
      </sheetData>
      <sheetData sheetId="3224">
        <row r="7">
          <cell r="E7" t="str">
            <v>PT. DANONE BISCUITS INDONESIA</v>
          </cell>
        </row>
      </sheetData>
      <sheetData sheetId="3225">
        <row r="7">
          <cell r="E7" t="str">
            <v>PT. DANONE BISCUITS INDONESIA</v>
          </cell>
        </row>
      </sheetData>
      <sheetData sheetId="3226">
        <row r="7">
          <cell r="E7" t="str">
            <v>PT. DANONE BISCUITS INDONESIA</v>
          </cell>
        </row>
      </sheetData>
      <sheetData sheetId="3227">
        <row r="7">
          <cell r="E7" t="str">
            <v>PT. DANONE BISCUITS INDONESIA</v>
          </cell>
        </row>
      </sheetData>
      <sheetData sheetId="3228">
        <row r="7">
          <cell r="E7" t="str">
            <v>PT. DANONE BISCUITS INDONESIA</v>
          </cell>
        </row>
      </sheetData>
      <sheetData sheetId="3229">
        <row r="7">
          <cell r="E7" t="str">
            <v>PT. DANONE BISCUITS INDONESIA</v>
          </cell>
        </row>
      </sheetData>
      <sheetData sheetId="3230">
        <row r="7">
          <cell r="E7" t="str">
            <v>PT. DANONE BISCUITS INDONESIA</v>
          </cell>
        </row>
      </sheetData>
      <sheetData sheetId="3231">
        <row r="7">
          <cell r="E7" t="str">
            <v>PT. DANONE BISCUITS INDONESIA</v>
          </cell>
        </row>
      </sheetData>
      <sheetData sheetId="3232">
        <row r="7">
          <cell r="E7" t="str">
            <v>PT. DANONE BISCUITS INDONESIA</v>
          </cell>
        </row>
      </sheetData>
      <sheetData sheetId="3233">
        <row r="7">
          <cell r="E7" t="str">
            <v>PT. DANONE BISCUITS INDONESIA</v>
          </cell>
        </row>
      </sheetData>
      <sheetData sheetId="3234">
        <row r="7">
          <cell r="E7" t="str">
            <v>PT. DANONE BISCUITS INDONESIA</v>
          </cell>
        </row>
      </sheetData>
      <sheetData sheetId="3235">
        <row r="7">
          <cell r="E7" t="str">
            <v>PT. DANONE BISCUITS INDONESIA</v>
          </cell>
        </row>
      </sheetData>
      <sheetData sheetId="3236">
        <row r="7">
          <cell r="E7" t="str">
            <v>PT. DANONE BISCUITS INDONESIA</v>
          </cell>
        </row>
      </sheetData>
      <sheetData sheetId="3237">
        <row r="7">
          <cell r="E7" t="str">
            <v>PT. DANONE BISCUITS INDONESIA</v>
          </cell>
        </row>
      </sheetData>
      <sheetData sheetId="3238">
        <row r="7">
          <cell r="E7" t="str">
            <v>PT. DANONE BISCUITS INDONESIA</v>
          </cell>
        </row>
      </sheetData>
      <sheetData sheetId="3239">
        <row r="7">
          <cell r="E7" t="str">
            <v>PT. DANONE BISCUITS INDONESIA</v>
          </cell>
        </row>
      </sheetData>
      <sheetData sheetId="3240">
        <row r="7">
          <cell r="E7" t="str">
            <v>PT. DANONE BISCUITS INDONESIA</v>
          </cell>
        </row>
      </sheetData>
      <sheetData sheetId="3241">
        <row r="7">
          <cell r="E7" t="str">
            <v>PT. DANONE BISCUITS INDONESIA</v>
          </cell>
        </row>
      </sheetData>
      <sheetData sheetId="3242">
        <row r="7">
          <cell r="E7" t="str">
            <v>PT. DANONE BISCUITS INDONESIA</v>
          </cell>
        </row>
      </sheetData>
      <sheetData sheetId="3243">
        <row r="7">
          <cell r="E7" t="str">
            <v>PT. DANONE BISCUITS INDONESIA</v>
          </cell>
        </row>
      </sheetData>
      <sheetData sheetId="3244">
        <row r="7">
          <cell r="E7" t="str">
            <v>PT. DANONE BISCUITS INDONESIA</v>
          </cell>
        </row>
      </sheetData>
      <sheetData sheetId="3245">
        <row r="7">
          <cell r="E7" t="str">
            <v>PT. DANONE BISCUITS INDONESIA</v>
          </cell>
        </row>
      </sheetData>
      <sheetData sheetId="3246">
        <row r="7">
          <cell r="E7" t="str">
            <v>PT. DANONE BISCUITS INDONESIA</v>
          </cell>
        </row>
      </sheetData>
      <sheetData sheetId="3247">
        <row r="7">
          <cell r="E7" t="str">
            <v>PT. DANONE BISCUITS INDONESIA</v>
          </cell>
        </row>
      </sheetData>
      <sheetData sheetId="3248">
        <row r="7">
          <cell r="E7" t="str">
            <v>PT. DANONE BISCUITS INDONESIA</v>
          </cell>
        </row>
      </sheetData>
      <sheetData sheetId="3249">
        <row r="7">
          <cell r="E7" t="str">
            <v>PT. DANONE BISCUITS INDONESIA</v>
          </cell>
        </row>
      </sheetData>
      <sheetData sheetId="3250">
        <row r="7">
          <cell r="E7" t="str">
            <v>PT. DANONE BISCUITS INDONESIA</v>
          </cell>
        </row>
      </sheetData>
      <sheetData sheetId="3251">
        <row r="7">
          <cell r="E7" t="str">
            <v>PT. DANONE BISCUITS INDONESIA</v>
          </cell>
        </row>
      </sheetData>
      <sheetData sheetId="3252">
        <row r="7">
          <cell r="E7" t="str">
            <v>PT. DANONE BISCUITS INDONESIA</v>
          </cell>
        </row>
      </sheetData>
      <sheetData sheetId="3253">
        <row r="7">
          <cell r="E7" t="str">
            <v>PT. DANONE BISCUITS INDONESIA</v>
          </cell>
        </row>
      </sheetData>
      <sheetData sheetId="3254">
        <row r="7">
          <cell r="E7" t="str">
            <v>PT. DANONE BISCUITS INDONESIA</v>
          </cell>
        </row>
      </sheetData>
      <sheetData sheetId="3255">
        <row r="7">
          <cell r="E7" t="str">
            <v>PT. DANONE BISCUITS INDONESIA</v>
          </cell>
        </row>
      </sheetData>
      <sheetData sheetId="3256">
        <row r="7">
          <cell r="E7" t="str">
            <v>PT. DANONE BISCUITS INDONESIA</v>
          </cell>
        </row>
      </sheetData>
      <sheetData sheetId="3257">
        <row r="7">
          <cell r="E7" t="str">
            <v>PT. DANONE BISCUITS INDONESIA</v>
          </cell>
        </row>
      </sheetData>
      <sheetData sheetId="3258">
        <row r="7">
          <cell r="E7" t="str">
            <v>PT. DANONE BISCUITS INDONESIA</v>
          </cell>
        </row>
      </sheetData>
      <sheetData sheetId="3259">
        <row r="7">
          <cell r="E7" t="str">
            <v>PT. DANONE BISCUITS INDONESIA</v>
          </cell>
        </row>
      </sheetData>
      <sheetData sheetId="3260">
        <row r="7">
          <cell r="E7" t="str">
            <v>PT. DANONE BISCUITS INDONESIA</v>
          </cell>
        </row>
      </sheetData>
      <sheetData sheetId="3261">
        <row r="7">
          <cell r="E7" t="str">
            <v>PT. DANONE BISCUITS INDONESIA</v>
          </cell>
        </row>
      </sheetData>
      <sheetData sheetId="3262">
        <row r="7">
          <cell r="E7" t="str">
            <v>PT. DANONE BISCUITS INDONESIA</v>
          </cell>
        </row>
      </sheetData>
      <sheetData sheetId="3263">
        <row r="7">
          <cell r="E7" t="str">
            <v>PT. DANONE BISCUITS INDONESIA</v>
          </cell>
        </row>
      </sheetData>
      <sheetData sheetId="3264">
        <row r="7">
          <cell r="E7" t="str">
            <v>PT. DANONE BISCUITS INDONESIA</v>
          </cell>
        </row>
      </sheetData>
      <sheetData sheetId="3265">
        <row r="7">
          <cell r="E7" t="str">
            <v>PT. DANONE BISCUITS INDONESIA</v>
          </cell>
        </row>
      </sheetData>
      <sheetData sheetId="3266">
        <row r="7">
          <cell r="E7" t="str">
            <v>PT. DANONE BISCUITS INDONESIA</v>
          </cell>
        </row>
      </sheetData>
      <sheetData sheetId="3267">
        <row r="7">
          <cell r="E7" t="str">
            <v>PT. DANONE BISCUITS INDONESIA</v>
          </cell>
        </row>
      </sheetData>
      <sheetData sheetId="3268">
        <row r="7">
          <cell r="E7" t="str">
            <v>PT. DANONE BISCUITS INDONESIA</v>
          </cell>
        </row>
      </sheetData>
      <sheetData sheetId="3269">
        <row r="7">
          <cell r="E7" t="str">
            <v>PT. DANONE BISCUITS INDONESIA</v>
          </cell>
        </row>
      </sheetData>
      <sheetData sheetId="3270">
        <row r="7">
          <cell r="E7" t="str">
            <v>PT. DANONE BISCUITS INDONESIA</v>
          </cell>
        </row>
      </sheetData>
      <sheetData sheetId="3271">
        <row r="7">
          <cell r="E7" t="str">
            <v>PT. DANONE BISCUITS INDONESIA</v>
          </cell>
        </row>
      </sheetData>
      <sheetData sheetId="3272">
        <row r="7">
          <cell r="E7" t="str">
            <v>PT. DANONE BISCUITS INDONESIA</v>
          </cell>
        </row>
      </sheetData>
      <sheetData sheetId="3273">
        <row r="7">
          <cell r="E7" t="str">
            <v>PT. DANONE BISCUITS INDONESIA</v>
          </cell>
        </row>
      </sheetData>
      <sheetData sheetId="3274">
        <row r="7">
          <cell r="E7" t="str">
            <v>PT. DANONE BISCUITS INDONESIA</v>
          </cell>
        </row>
      </sheetData>
      <sheetData sheetId="3275">
        <row r="7">
          <cell r="E7" t="str">
            <v>PT. DANONE BISCUITS INDONESIA</v>
          </cell>
        </row>
      </sheetData>
      <sheetData sheetId="3276">
        <row r="7">
          <cell r="E7" t="str">
            <v>PT. DANONE BISCUITS INDONESIA</v>
          </cell>
        </row>
      </sheetData>
      <sheetData sheetId="3277">
        <row r="7">
          <cell r="E7" t="str">
            <v>PT. DANONE BISCUITS INDONESIA</v>
          </cell>
        </row>
      </sheetData>
      <sheetData sheetId="3278">
        <row r="7">
          <cell r="E7" t="str">
            <v>PT. DANONE BISCUITS INDONESIA</v>
          </cell>
        </row>
      </sheetData>
      <sheetData sheetId="3279">
        <row r="7">
          <cell r="E7" t="str">
            <v>PT. DANONE BISCUITS INDONESIA</v>
          </cell>
        </row>
      </sheetData>
      <sheetData sheetId="3280">
        <row r="7">
          <cell r="E7" t="str">
            <v>PT. DANONE BISCUITS INDONESIA</v>
          </cell>
        </row>
      </sheetData>
      <sheetData sheetId="3281">
        <row r="7">
          <cell r="E7" t="str">
            <v>PT. DANONE BISCUITS INDONESIA</v>
          </cell>
        </row>
      </sheetData>
      <sheetData sheetId="3282">
        <row r="7">
          <cell r="E7" t="str">
            <v>PT. DANONE BISCUITS INDONESIA</v>
          </cell>
        </row>
      </sheetData>
      <sheetData sheetId="3283">
        <row r="7">
          <cell r="E7" t="str">
            <v>PT. DANONE BISCUITS INDONESIA</v>
          </cell>
        </row>
      </sheetData>
      <sheetData sheetId="3284">
        <row r="7">
          <cell r="E7" t="str">
            <v>PT. DANONE BISCUITS INDONESIA</v>
          </cell>
        </row>
      </sheetData>
      <sheetData sheetId="3285">
        <row r="7">
          <cell r="E7" t="str">
            <v>PT. DANONE BISCUITS INDONESIA</v>
          </cell>
        </row>
      </sheetData>
      <sheetData sheetId="3286">
        <row r="7">
          <cell r="E7" t="str">
            <v>PT. DANONE BISCUITS INDONESIA</v>
          </cell>
        </row>
      </sheetData>
      <sheetData sheetId="3287">
        <row r="7">
          <cell r="E7" t="str">
            <v>PT. DANONE BISCUITS INDONESIA</v>
          </cell>
        </row>
      </sheetData>
      <sheetData sheetId="3288">
        <row r="7">
          <cell r="E7" t="str">
            <v>PT. DANONE BISCUITS INDONESIA</v>
          </cell>
        </row>
      </sheetData>
      <sheetData sheetId="3289">
        <row r="7">
          <cell r="E7" t="str">
            <v>PT. DANONE BISCUITS INDONESIA</v>
          </cell>
        </row>
      </sheetData>
      <sheetData sheetId="3290">
        <row r="7">
          <cell r="E7" t="str">
            <v>PT. DANONE BISCUITS INDONESIA</v>
          </cell>
        </row>
      </sheetData>
      <sheetData sheetId="3291">
        <row r="7">
          <cell r="E7" t="str">
            <v>PT. DANONE BISCUITS INDONESIA</v>
          </cell>
        </row>
      </sheetData>
      <sheetData sheetId="3292">
        <row r="7">
          <cell r="E7" t="str">
            <v>PT. DANONE BISCUITS INDONESIA</v>
          </cell>
        </row>
      </sheetData>
      <sheetData sheetId="3293">
        <row r="7">
          <cell r="E7" t="str">
            <v>PT. DANONE BISCUITS INDONESIA</v>
          </cell>
        </row>
      </sheetData>
      <sheetData sheetId="3294">
        <row r="7">
          <cell r="E7" t="str">
            <v>PT. DANONE BISCUITS INDONESIA</v>
          </cell>
        </row>
      </sheetData>
      <sheetData sheetId="3295">
        <row r="7">
          <cell r="E7" t="str">
            <v>PT. DANONE BISCUITS INDONESIA</v>
          </cell>
        </row>
      </sheetData>
      <sheetData sheetId="3296">
        <row r="7">
          <cell r="E7" t="str">
            <v>PT. DANONE BISCUITS INDONESIA</v>
          </cell>
        </row>
      </sheetData>
      <sheetData sheetId="3297">
        <row r="7">
          <cell r="E7" t="str">
            <v>PT. DANONE BISCUITS INDONESIA</v>
          </cell>
        </row>
      </sheetData>
      <sheetData sheetId="3298">
        <row r="7">
          <cell r="E7" t="str">
            <v>PT. DANONE BISCUITS INDONESIA</v>
          </cell>
        </row>
      </sheetData>
      <sheetData sheetId="3299">
        <row r="7">
          <cell r="E7" t="str">
            <v>PT. DANONE BISCUITS INDONESIA</v>
          </cell>
        </row>
      </sheetData>
      <sheetData sheetId="3300">
        <row r="7">
          <cell r="E7" t="str">
            <v>PT. DANONE BISCUITS INDONESIA</v>
          </cell>
        </row>
      </sheetData>
      <sheetData sheetId="3301">
        <row r="7">
          <cell r="E7" t="str">
            <v>PT. DANONE BISCUITS INDONESIA</v>
          </cell>
        </row>
      </sheetData>
      <sheetData sheetId="3302">
        <row r="7">
          <cell r="E7" t="str">
            <v>PT. DANONE BISCUITS INDONESIA</v>
          </cell>
        </row>
      </sheetData>
      <sheetData sheetId="3303">
        <row r="7">
          <cell r="E7" t="str">
            <v>PT. DANONE BISCUITS INDONESIA</v>
          </cell>
        </row>
      </sheetData>
      <sheetData sheetId="3304">
        <row r="7">
          <cell r="E7" t="str">
            <v>PT. DANONE BISCUITS INDONESIA</v>
          </cell>
        </row>
      </sheetData>
      <sheetData sheetId="3305">
        <row r="7">
          <cell r="E7" t="str">
            <v>PT. DANONE BISCUITS INDONESIA</v>
          </cell>
        </row>
      </sheetData>
      <sheetData sheetId="3306">
        <row r="7">
          <cell r="E7" t="str">
            <v>PT. DANONE BISCUITS INDONESIA</v>
          </cell>
        </row>
      </sheetData>
      <sheetData sheetId="3307">
        <row r="7">
          <cell r="E7" t="str">
            <v>PT. DANONE BISCUITS INDONESIA</v>
          </cell>
        </row>
      </sheetData>
      <sheetData sheetId="3308">
        <row r="7">
          <cell r="E7" t="str">
            <v>PT. DANONE BISCUITS INDONESIA</v>
          </cell>
        </row>
      </sheetData>
      <sheetData sheetId="3309">
        <row r="7">
          <cell r="E7" t="str">
            <v>PT. DANONE BISCUITS INDONESIA</v>
          </cell>
        </row>
      </sheetData>
      <sheetData sheetId="3310">
        <row r="7">
          <cell r="E7" t="str">
            <v>PT. DANONE BISCUITS INDONESIA</v>
          </cell>
        </row>
      </sheetData>
      <sheetData sheetId="3311">
        <row r="7">
          <cell r="E7" t="str">
            <v>PT. DANONE BISCUITS INDONESIA</v>
          </cell>
        </row>
      </sheetData>
      <sheetData sheetId="3312">
        <row r="7">
          <cell r="E7" t="str">
            <v>PT. DANONE BISCUITS INDONESIA</v>
          </cell>
        </row>
      </sheetData>
      <sheetData sheetId="3313">
        <row r="7">
          <cell r="E7" t="str">
            <v>PT. DANONE BISCUITS INDONESIA</v>
          </cell>
        </row>
      </sheetData>
      <sheetData sheetId="3314">
        <row r="7">
          <cell r="E7" t="str">
            <v>PT. DANONE BISCUITS INDONESIA</v>
          </cell>
        </row>
      </sheetData>
      <sheetData sheetId="3315">
        <row r="7">
          <cell r="E7" t="str">
            <v>PT. DANONE BISCUITS INDONESIA</v>
          </cell>
        </row>
      </sheetData>
      <sheetData sheetId="3316">
        <row r="7">
          <cell r="E7" t="str">
            <v>PT. DANONE BISCUITS INDONESIA</v>
          </cell>
        </row>
      </sheetData>
      <sheetData sheetId="3317">
        <row r="7">
          <cell r="E7" t="str">
            <v>PT. DANONE BISCUITS INDONESIA</v>
          </cell>
        </row>
      </sheetData>
      <sheetData sheetId="3318">
        <row r="7">
          <cell r="E7" t="str">
            <v>PT. DANONE BISCUITS INDONESIA</v>
          </cell>
        </row>
      </sheetData>
      <sheetData sheetId="3319">
        <row r="7">
          <cell r="E7" t="str">
            <v>PT. DANONE BISCUITS INDONESIA</v>
          </cell>
        </row>
      </sheetData>
      <sheetData sheetId="3320">
        <row r="7">
          <cell r="E7" t="str">
            <v>PT. DANONE BISCUITS INDONESIA</v>
          </cell>
        </row>
      </sheetData>
      <sheetData sheetId="3321">
        <row r="7">
          <cell r="E7" t="str">
            <v>PT. DANONE BISCUITS INDONESIA</v>
          </cell>
        </row>
      </sheetData>
      <sheetData sheetId="3322">
        <row r="7">
          <cell r="E7" t="str">
            <v>PT. DANONE BISCUITS INDONESIA</v>
          </cell>
        </row>
      </sheetData>
      <sheetData sheetId="3323">
        <row r="7">
          <cell r="E7" t="str">
            <v>PT. DANONE BISCUITS INDONESIA</v>
          </cell>
        </row>
      </sheetData>
      <sheetData sheetId="3324">
        <row r="7">
          <cell r="E7" t="str">
            <v>PT. DANONE BISCUITS INDONESIA</v>
          </cell>
        </row>
      </sheetData>
      <sheetData sheetId="3325">
        <row r="7">
          <cell r="E7" t="str">
            <v>PT. DANONE BISCUITS INDONESIA</v>
          </cell>
        </row>
      </sheetData>
      <sheetData sheetId="3326">
        <row r="7">
          <cell r="E7" t="str">
            <v>PT. DANONE BISCUITS INDONESIA</v>
          </cell>
        </row>
      </sheetData>
      <sheetData sheetId="3327">
        <row r="7">
          <cell r="E7" t="str">
            <v>PT. DANONE BISCUITS INDONESIA</v>
          </cell>
        </row>
      </sheetData>
      <sheetData sheetId="3328">
        <row r="7">
          <cell r="E7" t="str">
            <v>PT. DANONE BISCUITS INDONESIA</v>
          </cell>
        </row>
      </sheetData>
      <sheetData sheetId="3329">
        <row r="7">
          <cell r="E7" t="str">
            <v>PT. DANONE BISCUITS INDONESIA</v>
          </cell>
        </row>
      </sheetData>
      <sheetData sheetId="3330">
        <row r="7">
          <cell r="E7" t="str">
            <v>PT. DANONE BISCUITS INDONESIA</v>
          </cell>
        </row>
      </sheetData>
      <sheetData sheetId="3331">
        <row r="7">
          <cell r="E7" t="str">
            <v>PT. DANONE BISCUITS INDONESIA</v>
          </cell>
        </row>
      </sheetData>
      <sheetData sheetId="3332">
        <row r="7">
          <cell r="E7" t="str">
            <v>PT. DANONE BISCUITS INDONESIA</v>
          </cell>
        </row>
      </sheetData>
      <sheetData sheetId="3333">
        <row r="7">
          <cell r="E7" t="str">
            <v>PT. DANONE BISCUITS INDONESIA</v>
          </cell>
        </row>
      </sheetData>
      <sheetData sheetId="3334">
        <row r="7">
          <cell r="E7" t="str">
            <v>PT. DANONE BISCUITS INDONESIA</v>
          </cell>
        </row>
      </sheetData>
      <sheetData sheetId="3335">
        <row r="7">
          <cell r="E7" t="str">
            <v>PT. DANONE BISCUITS INDONESIA</v>
          </cell>
        </row>
      </sheetData>
      <sheetData sheetId="3336">
        <row r="7">
          <cell r="E7" t="str">
            <v>PT. DANONE BISCUITS INDONESIA</v>
          </cell>
        </row>
      </sheetData>
      <sheetData sheetId="3337">
        <row r="7">
          <cell r="E7" t="str">
            <v>PT. DANONE BISCUITS INDONESIA</v>
          </cell>
        </row>
      </sheetData>
      <sheetData sheetId="3338">
        <row r="7">
          <cell r="E7" t="str">
            <v>PT. DANONE BISCUITS INDONESIA</v>
          </cell>
        </row>
      </sheetData>
      <sheetData sheetId="3339">
        <row r="7">
          <cell r="E7" t="str">
            <v>PT. DANONE BISCUITS INDONESIA</v>
          </cell>
        </row>
      </sheetData>
      <sheetData sheetId="3340">
        <row r="7">
          <cell r="E7" t="str">
            <v>PT. DANONE BISCUITS INDONESIA</v>
          </cell>
        </row>
      </sheetData>
      <sheetData sheetId="3341">
        <row r="7">
          <cell r="E7" t="str">
            <v>PT. DANONE BISCUITS INDONESIA</v>
          </cell>
        </row>
      </sheetData>
      <sheetData sheetId="3342">
        <row r="7">
          <cell r="E7" t="str">
            <v>PT. DANONE BISCUITS INDONESIA</v>
          </cell>
        </row>
      </sheetData>
      <sheetData sheetId="3343">
        <row r="7">
          <cell r="E7" t="str">
            <v>PT. DANONE BISCUITS INDONESIA</v>
          </cell>
        </row>
      </sheetData>
      <sheetData sheetId="3344">
        <row r="7">
          <cell r="E7" t="str">
            <v>PT. DANONE BISCUITS INDONESIA</v>
          </cell>
        </row>
      </sheetData>
      <sheetData sheetId="3345">
        <row r="7">
          <cell r="E7" t="str">
            <v>PT. DANONE BISCUITS INDONESIA</v>
          </cell>
        </row>
      </sheetData>
      <sheetData sheetId="3346">
        <row r="7">
          <cell r="E7" t="str">
            <v>PT. DANONE BISCUITS INDONESIA</v>
          </cell>
        </row>
      </sheetData>
      <sheetData sheetId="3347">
        <row r="7">
          <cell r="E7" t="str">
            <v>PT. DANONE BISCUITS INDONESIA</v>
          </cell>
        </row>
      </sheetData>
      <sheetData sheetId="3348">
        <row r="7">
          <cell r="E7" t="str">
            <v>PT. DANONE BISCUITS INDONESIA</v>
          </cell>
        </row>
      </sheetData>
      <sheetData sheetId="3349">
        <row r="7">
          <cell r="E7" t="str">
            <v>PT. DANONE BISCUITS INDONESIA</v>
          </cell>
        </row>
      </sheetData>
      <sheetData sheetId="3350">
        <row r="7">
          <cell r="E7" t="str">
            <v>PT. DANONE BISCUITS INDONESIA</v>
          </cell>
        </row>
      </sheetData>
      <sheetData sheetId="3351">
        <row r="7">
          <cell r="E7" t="str">
            <v>PT. DANONE BISCUITS INDONESIA</v>
          </cell>
        </row>
      </sheetData>
      <sheetData sheetId="3352">
        <row r="7">
          <cell r="E7" t="str">
            <v>PT. DANONE BISCUITS INDONESIA</v>
          </cell>
        </row>
      </sheetData>
      <sheetData sheetId="3353">
        <row r="7">
          <cell r="E7" t="str">
            <v>PT. DANONE BISCUITS INDONESIA</v>
          </cell>
        </row>
      </sheetData>
      <sheetData sheetId="3354">
        <row r="7">
          <cell r="E7" t="str">
            <v>PT. DANONE BISCUITS INDONESIA</v>
          </cell>
        </row>
      </sheetData>
      <sheetData sheetId="3355">
        <row r="7">
          <cell r="E7" t="str">
            <v>PT. DANONE BISCUITS INDONESIA</v>
          </cell>
        </row>
      </sheetData>
      <sheetData sheetId="3356">
        <row r="7">
          <cell r="E7" t="str">
            <v>PT. DANONE BISCUITS INDONESIA</v>
          </cell>
        </row>
      </sheetData>
      <sheetData sheetId="3357">
        <row r="7">
          <cell r="E7" t="str">
            <v>PT. DANONE BISCUITS INDONESIA</v>
          </cell>
        </row>
      </sheetData>
      <sheetData sheetId="3358">
        <row r="7">
          <cell r="E7" t="str">
            <v>PT. DANONE BISCUITS INDONESIA</v>
          </cell>
        </row>
      </sheetData>
      <sheetData sheetId="3359">
        <row r="7">
          <cell r="E7" t="str">
            <v>PT. DANONE BISCUITS INDONESIA</v>
          </cell>
        </row>
      </sheetData>
      <sheetData sheetId="3360">
        <row r="7">
          <cell r="E7" t="str">
            <v>PT. DANONE BISCUITS INDONESIA</v>
          </cell>
        </row>
      </sheetData>
      <sheetData sheetId="3361">
        <row r="7">
          <cell r="E7" t="str">
            <v>PT. DANONE BISCUITS INDONESIA</v>
          </cell>
        </row>
      </sheetData>
      <sheetData sheetId="3362">
        <row r="7">
          <cell r="E7" t="str">
            <v>PT. DANONE BISCUITS INDONESIA</v>
          </cell>
        </row>
      </sheetData>
      <sheetData sheetId="3363">
        <row r="7">
          <cell r="E7" t="str">
            <v>PT. DANONE BISCUITS INDONESIA</v>
          </cell>
        </row>
      </sheetData>
      <sheetData sheetId="3364">
        <row r="7">
          <cell r="E7" t="str">
            <v>PT. DANONE BISCUITS INDONESIA</v>
          </cell>
        </row>
      </sheetData>
      <sheetData sheetId="3365">
        <row r="7">
          <cell r="E7" t="str">
            <v>PT. DANONE BISCUITS INDONESIA</v>
          </cell>
        </row>
      </sheetData>
      <sheetData sheetId="3366">
        <row r="7">
          <cell r="E7" t="str">
            <v>PT. DANONE BISCUITS INDONESIA</v>
          </cell>
        </row>
      </sheetData>
      <sheetData sheetId="3367">
        <row r="7">
          <cell r="E7" t="str">
            <v>PT. DANONE BISCUITS INDONESIA</v>
          </cell>
        </row>
      </sheetData>
      <sheetData sheetId="3368">
        <row r="7">
          <cell r="E7" t="str">
            <v>PT. DANONE BISCUITS INDONESIA</v>
          </cell>
        </row>
      </sheetData>
      <sheetData sheetId="3369">
        <row r="7">
          <cell r="E7" t="str">
            <v>PT. DANONE BISCUITS INDONESIA</v>
          </cell>
        </row>
      </sheetData>
      <sheetData sheetId="3370">
        <row r="7">
          <cell r="E7" t="str">
            <v>PT. DANONE BISCUITS INDONESIA</v>
          </cell>
        </row>
      </sheetData>
      <sheetData sheetId="3371">
        <row r="7">
          <cell r="E7" t="str">
            <v>PT. DANONE BISCUITS INDONESIA</v>
          </cell>
        </row>
      </sheetData>
      <sheetData sheetId="3372">
        <row r="7">
          <cell r="E7" t="str">
            <v>PT. DANONE BISCUITS INDONESIA</v>
          </cell>
        </row>
      </sheetData>
      <sheetData sheetId="3373">
        <row r="7">
          <cell r="E7" t="str">
            <v>PT. DANONE BISCUITS INDONESIA</v>
          </cell>
        </row>
      </sheetData>
      <sheetData sheetId="3374">
        <row r="7">
          <cell r="E7" t="str">
            <v>PT. DANONE BISCUITS INDONESIA</v>
          </cell>
        </row>
      </sheetData>
      <sheetData sheetId="3375">
        <row r="7">
          <cell r="E7" t="str">
            <v>PT. DANONE BISCUITS INDONESIA</v>
          </cell>
        </row>
      </sheetData>
      <sheetData sheetId="3376">
        <row r="7">
          <cell r="E7" t="str">
            <v>PT. DANONE BISCUITS INDONESIA</v>
          </cell>
        </row>
      </sheetData>
      <sheetData sheetId="3377">
        <row r="7">
          <cell r="E7" t="str">
            <v>PT. DANONE BISCUITS INDONESIA</v>
          </cell>
        </row>
      </sheetData>
      <sheetData sheetId="3378">
        <row r="7">
          <cell r="E7" t="str">
            <v>PT. DANONE BISCUITS INDONESIA</v>
          </cell>
        </row>
      </sheetData>
      <sheetData sheetId="3379">
        <row r="7">
          <cell r="E7" t="str">
            <v>PT. DANONE BISCUITS INDONESIA</v>
          </cell>
        </row>
      </sheetData>
      <sheetData sheetId="3380">
        <row r="7">
          <cell r="E7" t="str">
            <v>PT. DANONE BISCUITS INDONESIA</v>
          </cell>
        </row>
      </sheetData>
      <sheetData sheetId="3381">
        <row r="7">
          <cell r="E7" t="str">
            <v>PT. DANONE BISCUITS INDONESIA</v>
          </cell>
        </row>
      </sheetData>
      <sheetData sheetId="3382">
        <row r="7">
          <cell r="E7" t="str">
            <v>PT. DANONE BISCUITS INDONESIA</v>
          </cell>
        </row>
      </sheetData>
      <sheetData sheetId="3383">
        <row r="7">
          <cell r="E7" t="str">
            <v>PT. DANONE BISCUITS INDONESIA</v>
          </cell>
        </row>
      </sheetData>
      <sheetData sheetId="3384">
        <row r="7">
          <cell r="E7" t="str">
            <v>PT. DANONE BISCUITS INDONESIA</v>
          </cell>
        </row>
      </sheetData>
      <sheetData sheetId="3385">
        <row r="7">
          <cell r="E7" t="str">
            <v>PT. DANONE BISCUITS INDONESIA</v>
          </cell>
        </row>
      </sheetData>
      <sheetData sheetId="3386">
        <row r="7">
          <cell r="E7" t="str">
            <v>PT. DANONE BISCUITS INDONESIA</v>
          </cell>
        </row>
      </sheetData>
      <sheetData sheetId="3387">
        <row r="7">
          <cell r="E7" t="str">
            <v>PT. DANONE BISCUITS INDONESIA</v>
          </cell>
        </row>
      </sheetData>
      <sheetData sheetId="3388">
        <row r="7">
          <cell r="E7" t="str">
            <v>PT. DANONE BISCUITS INDONESIA</v>
          </cell>
        </row>
      </sheetData>
      <sheetData sheetId="3389">
        <row r="7">
          <cell r="E7" t="str">
            <v>PT. DANONE BISCUITS INDONESIA</v>
          </cell>
        </row>
      </sheetData>
      <sheetData sheetId="3390">
        <row r="7">
          <cell r="E7" t="str">
            <v>PT. DANONE BISCUITS INDONESIA</v>
          </cell>
        </row>
      </sheetData>
      <sheetData sheetId="3391">
        <row r="7">
          <cell r="E7" t="str">
            <v>PT. DANONE BISCUITS INDONESIA</v>
          </cell>
        </row>
      </sheetData>
      <sheetData sheetId="3392">
        <row r="7">
          <cell r="E7" t="str">
            <v>PT. DANONE BISCUITS INDONESIA</v>
          </cell>
        </row>
      </sheetData>
      <sheetData sheetId="3393">
        <row r="7">
          <cell r="E7" t="str">
            <v>PT. DANONE BISCUITS INDONESIA</v>
          </cell>
        </row>
      </sheetData>
      <sheetData sheetId="3394">
        <row r="7">
          <cell r="E7" t="str">
            <v>PT. DANONE BISCUITS INDONESIA</v>
          </cell>
        </row>
      </sheetData>
      <sheetData sheetId="3395">
        <row r="7">
          <cell r="E7" t="str">
            <v>PT. DANONE BISCUITS INDONESIA</v>
          </cell>
        </row>
      </sheetData>
      <sheetData sheetId="3396">
        <row r="7">
          <cell r="E7" t="str">
            <v>PT. DANONE BISCUITS INDONESIA</v>
          </cell>
        </row>
      </sheetData>
      <sheetData sheetId="3397">
        <row r="7">
          <cell r="E7" t="str">
            <v>PT. DANONE BISCUITS INDONESIA</v>
          </cell>
        </row>
      </sheetData>
      <sheetData sheetId="3398">
        <row r="7">
          <cell r="E7" t="str">
            <v>PT. DANONE BISCUITS INDONESIA</v>
          </cell>
        </row>
      </sheetData>
      <sheetData sheetId="3399">
        <row r="7">
          <cell r="E7" t="str">
            <v>PT. DANONE BISCUITS INDONESIA</v>
          </cell>
        </row>
      </sheetData>
      <sheetData sheetId="3400">
        <row r="7">
          <cell r="E7" t="str">
            <v>PT. DANONE BISCUITS INDONESIA</v>
          </cell>
        </row>
      </sheetData>
      <sheetData sheetId="3401">
        <row r="7">
          <cell r="E7" t="str">
            <v>PT. DANONE BISCUITS INDONESIA</v>
          </cell>
        </row>
      </sheetData>
      <sheetData sheetId="3402">
        <row r="7">
          <cell r="E7" t="str">
            <v>PT. DANONE BISCUITS INDONESIA</v>
          </cell>
        </row>
      </sheetData>
      <sheetData sheetId="3403">
        <row r="7">
          <cell r="E7" t="str">
            <v>PT. DANONE BISCUITS INDONESIA</v>
          </cell>
        </row>
      </sheetData>
      <sheetData sheetId="3404">
        <row r="7">
          <cell r="E7" t="str">
            <v>PT. DANONE BISCUITS INDONESIA</v>
          </cell>
        </row>
      </sheetData>
      <sheetData sheetId="3405">
        <row r="7">
          <cell r="E7" t="str">
            <v>PT. DANONE BISCUITS INDONESIA</v>
          </cell>
        </row>
      </sheetData>
      <sheetData sheetId="3406">
        <row r="7">
          <cell r="E7" t="str">
            <v>PT. DANONE BISCUITS INDONESIA</v>
          </cell>
        </row>
      </sheetData>
      <sheetData sheetId="3407">
        <row r="7">
          <cell r="E7" t="str">
            <v>PT. DANONE BISCUITS INDONESIA</v>
          </cell>
        </row>
      </sheetData>
      <sheetData sheetId="3408">
        <row r="7">
          <cell r="E7" t="str">
            <v>PT. DANONE BISCUITS INDONESIA</v>
          </cell>
        </row>
      </sheetData>
      <sheetData sheetId="3409">
        <row r="7">
          <cell r="E7" t="str">
            <v>PT. DANONE BISCUITS INDONESIA</v>
          </cell>
        </row>
      </sheetData>
      <sheetData sheetId="3410">
        <row r="7">
          <cell r="E7" t="str">
            <v>PT. DANONE BISCUITS INDONESIA</v>
          </cell>
        </row>
      </sheetData>
      <sheetData sheetId="3411">
        <row r="7">
          <cell r="E7" t="str">
            <v>PT. DANONE BISCUITS INDONESIA</v>
          </cell>
        </row>
      </sheetData>
      <sheetData sheetId="3412">
        <row r="7">
          <cell r="E7" t="str">
            <v>PT. DANONE BISCUITS INDONESIA</v>
          </cell>
        </row>
      </sheetData>
      <sheetData sheetId="3413">
        <row r="7">
          <cell r="E7" t="str">
            <v>PT. DANONE BISCUITS INDONESIA</v>
          </cell>
        </row>
      </sheetData>
      <sheetData sheetId="3414">
        <row r="7">
          <cell r="E7" t="str">
            <v>PT. DANONE BISCUITS INDONESIA</v>
          </cell>
        </row>
      </sheetData>
      <sheetData sheetId="3415">
        <row r="7">
          <cell r="E7" t="str">
            <v>PT. DANONE BISCUITS INDONESIA</v>
          </cell>
        </row>
      </sheetData>
      <sheetData sheetId="3416">
        <row r="7">
          <cell r="E7" t="str">
            <v>PT. DANONE BISCUITS INDONESIA</v>
          </cell>
        </row>
      </sheetData>
      <sheetData sheetId="3417">
        <row r="7">
          <cell r="E7" t="str">
            <v>PT. DANONE BISCUITS INDONESIA</v>
          </cell>
        </row>
      </sheetData>
      <sheetData sheetId="3418">
        <row r="7">
          <cell r="E7" t="str">
            <v>PT. DANONE BISCUITS INDONESIA</v>
          </cell>
        </row>
      </sheetData>
      <sheetData sheetId="3419">
        <row r="7">
          <cell r="E7" t="str">
            <v>PT. DANONE BISCUITS INDONESIA</v>
          </cell>
        </row>
      </sheetData>
      <sheetData sheetId="3420">
        <row r="7">
          <cell r="E7" t="str">
            <v>PT. DANONE BISCUITS INDONESIA</v>
          </cell>
        </row>
      </sheetData>
      <sheetData sheetId="3421">
        <row r="7">
          <cell r="E7" t="str">
            <v>PT. DANONE BISCUITS INDONESIA</v>
          </cell>
        </row>
      </sheetData>
      <sheetData sheetId="3422">
        <row r="7">
          <cell r="E7" t="str">
            <v>PT. DANONE BISCUITS INDONESIA</v>
          </cell>
        </row>
      </sheetData>
      <sheetData sheetId="3423">
        <row r="7">
          <cell r="E7" t="str">
            <v>PT. DANONE BISCUITS INDONESIA</v>
          </cell>
        </row>
      </sheetData>
      <sheetData sheetId="3424">
        <row r="7">
          <cell r="E7" t="str">
            <v>PT. DANONE BISCUITS INDONESIA</v>
          </cell>
        </row>
      </sheetData>
      <sheetData sheetId="3425">
        <row r="7">
          <cell r="E7" t="str">
            <v>PT. DANONE BISCUITS INDONESIA</v>
          </cell>
        </row>
      </sheetData>
      <sheetData sheetId="3426">
        <row r="7">
          <cell r="E7" t="str">
            <v>PT. DANONE BISCUITS INDONESIA</v>
          </cell>
        </row>
      </sheetData>
      <sheetData sheetId="3427">
        <row r="7">
          <cell r="E7" t="str">
            <v>PT. DANONE BISCUITS INDONESIA</v>
          </cell>
        </row>
      </sheetData>
      <sheetData sheetId="3428">
        <row r="7">
          <cell r="E7" t="str">
            <v>PT. DANONE BISCUITS INDONESIA</v>
          </cell>
        </row>
      </sheetData>
      <sheetData sheetId="3429">
        <row r="7">
          <cell r="E7" t="str">
            <v>PT. DANONE BISCUITS INDONESIA</v>
          </cell>
        </row>
      </sheetData>
      <sheetData sheetId="3430">
        <row r="7">
          <cell r="E7" t="str">
            <v>PT. DANONE BISCUITS INDONESIA</v>
          </cell>
        </row>
      </sheetData>
      <sheetData sheetId="3431">
        <row r="7">
          <cell r="E7" t="str">
            <v>PT. DANONE BISCUITS INDONESIA</v>
          </cell>
        </row>
      </sheetData>
      <sheetData sheetId="3432">
        <row r="7">
          <cell r="E7" t="str">
            <v>PT. DANONE BISCUITS INDONESIA</v>
          </cell>
        </row>
      </sheetData>
      <sheetData sheetId="3433">
        <row r="7">
          <cell r="E7" t="str">
            <v>PT. DANONE BISCUITS INDONESIA</v>
          </cell>
        </row>
      </sheetData>
      <sheetData sheetId="3434">
        <row r="7">
          <cell r="E7" t="str">
            <v>PT. DANONE BISCUITS INDONESIA</v>
          </cell>
        </row>
      </sheetData>
      <sheetData sheetId="3435">
        <row r="7">
          <cell r="E7" t="str">
            <v>PT. DANONE BISCUITS INDONESIA</v>
          </cell>
        </row>
      </sheetData>
      <sheetData sheetId="3436">
        <row r="7">
          <cell r="E7" t="str">
            <v>PT. DANONE BISCUITS INDONESIA</v>
          </cell>
        </row>
      </sheetData>
      <sheetData sheetId="3437">
        <row r="7">
          <cell r="E7" t="str">
            <v>PT. DANONE BISCUITS INDONESIA</v>
          </cell>
        </row>
      </sheetData>
      <sheetData sheetId="3438">
        <row r="7">
          <cell r="E7" t="str">
            <v>PT. DANONE BISCUITS INDONESIA</v>
          </cell>
        </row>
      </sheetData>
      <sheetData sheetId="3439">
        <row r="7">
          <cell r="E7" t="str">
            <v>PT. DANONE BISCUITS INDONESIA</v>
          </cell>
        </row>
      </sheetData>
      <sheetData sheetId="3440">
        <row r="7">
          <cell r="E7" t="str">
            <v>PT. DANONE BISCUITS INDONESIA</v>
          </cell>
        </row>
      </sheetData>
      <sheetData sheetId="3441">
        <row r="7">
          <cell r="E7" t="str">
            <v>PT. DANONE BISCUITS INDONESIA</v>
          </cell>
        </row>
      </sheetData>
      <sheetData sheetId="3442">
        <row r="7">
          <cell r="E7" t="str">
            <v>PT. DANONE BISCUITS INDONESIA</v>
          </cell>
        </row>
      </sheetData>
      <sheetData sheetId="3443">
        <row r="7">
          <cell r="E7" t="str">
            <v>PT. DANONE BISCUITS INDONESIA</v>
          </cell>
        </row>
      </sheetData>
      <sheetData sheetId="3444">
        <row r="7">
          <cell r="E7" t="str">
            <v>PT. DANONE BISCUITS INDONESIA</v>
          </cell>
        </row>
      </sheetData>
      <sheetData sheetId="3445">
        <row r="7">
          <cell r="E7" t="str">
            <v>PT. DANONE BISCUITS INDONESIA</v>
          </cell>
        </row>
      </sheetData>
      <sheetData sheetId="3446">
        <row r="7">
          <cell r="E7" t="str">
            <v>PT. DANONE BISCUITS INDONESIA</v>
          </cell>
        </row>
      </sheetData>
      <sheetData sheetId="3447">
        <row r="7">
          <cell r="E7" t="str">
            <v>PT. DANONE BISCUITS INDONESIA</v>
          </cell>
        </row>
      </sheetData>
      <sheetData sheetId="3448">
        <row r="7">
          <cell r="E7" t="str">
            <v>PT. DANONE BISCUITS INDONESIA</v>
          </cell>
        </row>
      </sheetData>
      <sheetData sheetId="3449">
        <row r="7">
          <cell r="E7" t="str">
            <v>PT. DANONE BISCUITS INDONESIA</v>
          </cell>
        </row>
      </sheetData>
      <sheetData sheetId="3450">
        <row r="7">
          <cell r="E7" t="str">
            <v>PT. DANONE BISCUITS INDONESIA</v>
          </cell>
        </row>
      </sheetData>
      <sheetData sheetId="3451">
        <row r="7">
          <cell r="E7" t="str">
            <v>PT. DANONE BISCUITS INDONESIA</v>
          </cell>
        </row>
      </sheetData>
      <sheetData sheetId="3452">
        <row r="7">
          <cell r="E7" t="str">
            <v>PT. DANONE BISCUITS INDONESIA</v>
          </cell>
        </row>
      </sheetData>
      <sheetData sheetId="3453">
        <row r="7">
          <cell r="E7" t="str">
            <v>PT. DANONE BISCUITS INDONESIA</v>
          </cell>
        </row>
      </sheetData>
      <sheetData sheetId="3454">
        <row r="7">
          <cell r="E7" t="str">
            <v>PT. DANONE BISCUITS INDONESIA</v>
          </cell>
        </row>
      </sheetData>
      <sheetData sheetId="3455">
        <row r="7">
          <cell r="E7" t="str">
            <v>PT. DANONE BISCUITS INDONESIA</v>
          </cell>
        </row>
      </sheetData>
      <sheetData sheetId="3456">
        <row r="7">
          <cell r="E7" t="str">
            <v>PT. DANONE BISCUITS INDONESIA</v>
          </cell>
        </row>
      </sheetData>
      <sheetData sheetId="3457">
        <row r="7">
          <cell r="E7" t="str">
            <v>PT. DANONE BISCUITS INDONESIA</v>
          </cell>
        </row>
      </sheetData>
      <sheetData sheetId="3458">
        <row r="7">
          <cell r="E7" t="str">
            <v>PT. DANONE BISCUITS INDONESIA</v>
          </cell>
        </row>
      </sheetData>
      <sheetData sheetId="3459">
        <row r="7">
          <cell r="E7" t="str">
            <v>PT. DANONE BISCUITS INDONESIA</v>
          </cell>
        </row>
      </sheetData>
      <sheetData sheetId="3460">
        <row r="7">
          <cell r="E7" t="str">
            <v>PT. DANONE BISCUITS INDONESIA</v>
          </cell>
        </row>
      </sheetData>
      <sheetData sheetId="3461">
        <row r="7">
          <cell r="E7" t="str">
            <v>PT. DANONE BISCUITS INDONESIA</v>
          </cell>
        </row>
      </sheetData>
      <sheetData sheetId="3462">
        <row r="7">
          <cell r="E7" t="str">
            <v>PT. DANONE BISCUITS INDONESIA</v>
          </cell>
        </row>
      </sheetData>
      <sheetData sheetId="3463">
        <row r="7">
          <cell r="E7" t="str">
            <v>PT. DANONE BISCUITS INDONESIA</v>
          </cell>
        </row>
      </sheetData>
      <sheetData sheetId="3464">
        <row r="7">
          <cell r="E7" t="str">
            <v>PT. DANONE BISCUITS INDONESIA</v>
          </cell>
        </row>
      </sheetData>
      <sheetData sheetId="3465">
        <row r="7">
          <cell r="E7" t="str">
            <v>PT. DANONE BISCUITS INDONESIA</v>
          </cell>
        </row>
      </sheetData>
      <sheetData sheetId="3466">
        <row r="7">
          <cell r="E7" t="str">
            <v>PT. DANONE BISCUITS INDONESIA</v>
          </cell>
        </row>
      </sheetData>
      <sheetData sheetId="3467">
        <row r="7">
          <cell r="E7" t="str">
            <v>PT. DANONE BISCUITS INDONESIA</v>
          </cell>
        </row>
      </sheetData>
      <sheetData sheetId="3468">
        <row r="7">
          <cell r="E7" t="str">
            <v>PT. DANONE BISCUITS INDONESIA</v>
          </cell>
        </row>
      </sheetData>
      <sheetData sheetId="3469">
        <row r="7">
          <cell r="E7" t="str">
            <v>PT. DANONE BISCUITS INDONESIA</v>
          </cell>
        </row>
      </sheetData>
      <sheetData sheetId="3470">
        <row r="7">
          <cell r="E7" t="str">
            <v>PT. DANONE BISCUITS INDONESIA</v>
          </cell>
        </row>
      </sheetData>
      <sheetData sheetId="3471">
        <row r="7">
          <cell r="E7" t="str">
            <v>PT. DANONE BISCUITS INDONESIA</v>
          </cell>
        </row>
      </sheetData>
      <sheetData sheetId="3472">
        <row r="7">
          <cell r="E7" t="str">
            <v>PT. DANONE BISCUITS INDONESIA</v>
          </cell>
        </row>
      </sheetData>
      <sheetData sheetId="3473">
        <row r="7">
          <cell r="E7" t="str">
            <v>PT. DANONE BISCUITS INDONESIA</v>
          </cell>
        </row>
      </sheetData>
      <sheetData sheetId="3474">
        <row r="7">
          <cell r="E7" t="str">
            <v>PT. DANONE BISCUITS INDONESIA</v>
          </cell>
        </row>
      </sheetData>
      <sheetData sheetId="3475">
        <row r="7">
          <cell r="E7" t="str">
            <v>PT. DANONE BISCUITS INDONESIA</v>
          </cell>
        </row>
      </sheetData>
      <sheetData sheetId="3476">
        <row r="7">
          <cell r="E7" t="str">
            <v>PT. DANONE BISCUITS INDONESIA</v>
          </cell>
        </row>
      </sheetData>
      <sheetData sheetId="3477">
        <row r="7">
          <cell r="E7" t="str">
            <v>PT. DANONE BISCUITS INDONESIA</v>
          </cell>
        </row>
      </sheetData>
      <sheetData sheetId="3478">
        <row r="7">
          <cell r="E7" t="str">
            <v>PT. DANONE BISCUITS INDONESIA</v>
          </cell>
        </row>
      </sheetData>
      <sheetData sheetId="3479">
        <row r="7">
          <cell r="E7" t="str">
            <v>PT. DANONE BISCUITS INDONESIA</v>
          </cell>
        </row>
      </sheetData>
      <sheetData sheetId="3480">
        <row r="7">
          <cell r="E7" t="str">
            <v>PT. DANONE BISCUITS INDONESIA</v>
          </cell>
        </row>
      </sheetData>
      <sheetData sheetId="3481">
        <row r="7">
          <cell r="E7" t="str">
            <v>PT. DANONE BISCUITS INDONESIA</v>
          </cell>
        </row>
      </sheetData>
      <sheetData sheetId="3482">
        <row r="7">
          <cell r="E7" t="str">
            <v>PT. DANONE BISCUITS INDONESIA</v>
          </cell>
        </row>
      </sheetData>
      <sheetData sheetId="3483">
        <row r="7">
          <cell r="E7" t="str">
            <v>PT. DANONE BISCUITS INDONESIA</v>
          </cell>
        </row>
      </sheetData>
      <sheetData sheetId="3484">
        <row r="7">
          <cell r="E7" t="str">
            <v>PT. DANONE BISCUITS INDONESIA</v>
          </cell>
        </row>
      </sheetData>
      <sheetData sheetId="3485">
        <row r="7">
          <cell r="E7" t="str">
            <v>PT. DANONE BISCUITS INDONESIA</v>
          </cell>
        </row>
      </sheetData>
      <sheetData sheetId="3486">
        <row r="7">
          <cell r="E7" t="str">
            <v>PT. DANONE BISCUITS INDONESIA</v>
          </cell>
        </row>
      </sheetData>
      <sheetData sheetId="3487">
        <row r="7">
          <cell r="E7" t="str">
            <v>PT. DANONE BISCUITS INDONESIA</v>
          </cell>
        </row>
      </sheetData>
      <sheetData sheetId="3488">
        <row r="7">
          <cell r="E7" t="str">
            <v>PT. DANONE BISCUITS INDONESIA</v>
          </cell>
        </row>
      </sheetData>
      <sheetData sheetId="3489">
        <row r="7">
          <cell r="E7" t="str">
            <v>PT. DANONE BISCUITS INDONESIA</v>
          </cell>
        </row>
      </sheetData>
      <sheetData sheetId="3490">
        <row r="7">
          <cell r="E7" t="str">
            <v>PT. DANONE BISCUITS INDONESIA</v>
          </cell>
        </row>
      </sheetData>
      <sheetData sheetId="3491">
        <row r="7">
          <cell r="E7" t="str">
            <v>PT. DANONE BISCUITS INDONESIA</v>
          </cell>
        </row>
      </sheetData>
      <sheetData sheetId="3492">
        <row r="7">
          <cell r="E7" t="str">
            <v>PT. DANONE BISCUITS INDONESIA</v>
          </cell>
        </row>
      </sheetData>
      <sheetData sheetId="3493">
        <row r="7">
          <cell r="E7" t="str">
            <v>PT. DANONE BISCUITS INDONESIA</v>
          </cell>
        </row>
      </sheetData>
      <sheetData sheetId="3494">
        <row r="7">
          <cell r="E7" t="str">
            <v>PT. DANONE BISCUITS INDONESIA</v>
          </cell>
        </row>
      </sheetData>
      <sheetData sheetId="3495">
        <row r="7">
          <cell r="E7" t="str">
            <v>PT. DANONE BISCUITS INDONESIA</v>
          </cell>
        </row>
      </sheetData>
      <sheetData sheetId="3496">
        <row r="7">
          <cell r="E7" t="str">
            <v>PT. DANONE BISCUITS INDONESIA</v>
          </cell>
        </row>
      </sheetData>
      <sheetData sheetId="3497">
        <row r="7">
          <cell r="E7" t="str">
            <v>PT. DANONE BISCUITS INDONESIA</v>
          </cell>
        </row>
      </sheetData>
      <sheetData sheetId="3498">
        <row r="7">
          <cell r="E7" t="str">
            <v>PT. DANONE BISCUITS INDONESIA</v>
          </cell>
        </row>
      </sheetData>
      <sheetData sheetId="3499">
        <row r="7">
          <cell r="E7" t="str">
            <v>PT. DANONE BISCUITS INDONESIA</v>
          </cell>
        </row>
      </sheetData>
      <sheetData sheetId="3500">
        <row r="7">
          <cell r="E7" t="str">
            <v>PT. DANONE BISCUITS INDONESIA</v>
          </cell>
        </row>
      </sheetData>
      <sheetData sheetId="3501">
        <row r="7">
          <cell r="E7" t="str">
            <v>PT. DANONE BISCUITS INDONESIA</v>
          </cell>
        </row>
      </sheetData>
      <sheetData sheetId="3502">
        <row r="7">
          <cell r="E7" t="str">
            <v>PT. DANONE BISCUITS INDONESIA</v>
          </cell>
        </row>
      </sheetData>
      <sheetData sheetId="3503">
        <row r="7">
          <cell r="E7" t="str">
            <v>PT. DANONE BISCUITS INDONESIA</v>
          </cell>
        </row>
      </sheetData>
      <sheetData sheetId="3504">
        <row r="7">
          <cell r="E7" t="str">
            <v>PT. DANONE BISCUITS INDONESIA</v>
          </cell>
        </row>
      </sheetData>
      <sheetData sheetId="3505">
        <row r="7">
          <cell r="E7" t="str">
            <v>PT. DANONE BISCUITS INDONESIA</v>
          </cell>
        </row>
      </sheetData>
      <sheetData sheetId="3506">
        <row r="7">
          <cell r="E7" t="str">
            <v>PT. DANONE BISCUITS INDONESIA</v>
          </cell>
        </row>
      </sheetData>
      <sheetData sheetId="3507">
        <row r="7">
          <cell r="E7" t="str">
            <v>PT. DANONE BISCUITS INDONESIA</v>
          </cell>
        </row>
      </sheetData>
      <sheetData sheetId="3508">
        <row r="7">
          <cell r="E7" t="str">
            <v>PT. DANONE BISCUITS INDONESIA</v>
          </cell>
        </row>
      </sheetData>
      <sheetData sheetId="3509">
        <row r="7">
          <cell r="E7" t="str">
            <v>PT. DANONE BISCUITS INDONESIA</v>
          </cell>
        </row>
      </sheetData>
      <sheetData sheetId="3510">
        <row r="7">
          <cell r="E7" t="str">
            <v>PT. DANONE BISCUITS INDONESIA</v>
          </cell>
        </row>
      </sheetData>
      <sheetData sheetId="3511">
        <row r="7">
          <cell r="E7" t="str">
            <v>PT. DANONE BISCUITS INDONESIA</v>
          </cell>
        </row>
      </sheetData>
      <sheetData sheetId="3512">
        <row r="7">
          <cell r="E7" t="str">
            <v>PT. DANONE BISCUITS INDONESIA</v>
          </cell>
        </row>
      </sheetData>
      <sheetData sheetId="3513">
        <row r="7">
          <cell r="E7" t="str">
            <v>PT. DANONE BISCUITS INDONESIA</v>
          </cell>
        </row>
      </sheetData>
      <sheetData sheetId="3514">
        <row r="7">
          <cell r="E7" t="str">
            <v>PT. DANONE BISCUITS INDONESIA</v>
          </cell>
        </row>
      </sheetData>
      <sheetData sheetId="3515">
        <row r="7">
          <cell r="E7" t="str">
            <v>PT. DANONE BISCUITS INDONESIA</v>
          </cell>
        </row>
      </sheetData>
      <sheetData sheetId="3516">
        <row r="7">
          <cell r="E7" t="str">
            <v>PT. DANONE BISCUITS INDONESIA</v>
          </cell>
        </row>
      </sheetData>
      <sheetData sheetId="3517">
        <row r="7">
          <cell r="E7" t="str">
            <v>PT. DANONE BISCUITS INDONESIA</v>
          </cell>
        </row>
      </sheetData>
      <sheetData sheetId="3518">
        <row r="7">
          <cell r="E7" t="str">
            <v>PT. DANONE BISCUITS INDONESIA</v>
          </cell>
        </row>
      </sheetData>
      <sheetData sheetId="3519">
        <row r="7">
          <cell r="E7" t="str">
            <v>PT. DANONE BISCUITS INDONESIA</v>
          </cell>
        </row>
      </sheetData>
      <sheetData sheetId="3520">
        <row r="7">
          <cell r="E7" t="str">
            <v>PT. DANONE BISCUITS INDONESIA</v>
          </cell>
        </row>
      </sheetData>
      <sheetData sheetId="3521">
        <row r="7">
          <cell r="E7" t="str">
            <v>PT. DANONE BISCUITS INDONESIA</v>
          </cell>
        </row>
      </sheetData>
      <sheetData sheetId="3522">
        <row r="7">
          <cell r="E7" t="str">
            <v>PT. DANONE BISCUITS INDONESIA</v>
          </cell>
        </row>
      </sheetData>
      <sheetData sheetId="3523">
        <row r="7">
          <cell r="E7" t="str">
            <v>PT. DANONE BISCUITS INDONESIA</v>
          </cell>
        </row>
      </sheetData>
      <sheetData sheetId="3524">
        <row r="7">
          <cell r="E7" t="str">
            <v>PT. DANONE BISCUITS INDONESIA</v>
          </cell>
        </row>
      </sheetData>
      <sheetData sheetId="3525">
        <row r="7">
          <cell r="E7" t="str">
            <v>PT. DANONE BISCUITS INDONESIA</v>
          </cell>
        </row>
      </sheetData>
      <sheetData sheetId="3526">
        <row r="7">
          <cell r="E7" t="str">
            <v>PT. DANONE BISCUITS INDONESIA</v>
          </cell>
        </row>
      </sheetData>
      <sheetData sheetId="3527">
        <row r="7">
          <cell r="E7" t="str">
            <v>PT. DANONE BISCUITS INDONESIA</v>
          </cell>
        </row>
      </sheetData>
      <sheetData sheetId="3528">
        <row r="7">
          <cell r="E7" t="str">
            <v>PT. DANONE BISCUITS INDONESIA</v>
          </cell>
        </row>
      </sheetData>
      <sheetData sheetId="3529">
        <row r="7">
          <cell r="E7" t="str">
            <v>PT. DANONE BISCUITS INDONESIA</v>
          </cell>
        </row>
      </sheetData>
      <sheetData sheetId="3530">
        <row r="7">
          <cell r="E7" t="str">
            <v>PT. DANONE BISCUITS INDONESIA</v>
          </cell>
        </row>
      </sheetData>
      <sheetData sheetId="3531">
        <row r="7">
          <cell r="E7" t="str">
            <v>PT. DANONE BISCUITS INDONESIA</v>
          </cell>
        </row>
      </sheetData>
      <sheetData sheetId="3532">
        <row r="7">
          <cell r="E7" t="str">
            <v>PT. DANONE BISCUITS INDONESIA</v>
          </cell>
        </row>
      </sheetData>
      <sheetData sheetId="3533">
        <row r="7">
          <cell r="E7" t="str">
            <v>PT. DANONE BISCUITS INDONESIA</v>
          </cell>
        </row>
      </sheetData>
      <sheetData sheetId="3534">
        <row r="7">
          <cell r="E7" t="str">
            <v>PT. DANONE BISCUITS INDONESIA</v>
          </cell>
        </row>
      </sheetData>
      <sheetData sheetId="3535">
        <row r="7">
          <cell r="E7" t="str">
            <v>PT. DANONE BISCUITS INDONESIA</v>
          </cell>
        </row>
      </sheetData>
      <sheetData sheetId="3536">
        <row r="7">
          <cell r="E7" t="str">
            <v>PT. DANONE BISCUITS INDONESIA</v>
          </cell>
        </row>
      </sheetData>
      <sheetData sheetId="3537">
        <row r="7">
          <cell r="E7" t="str">
            <v>PT. DANONE BISCUITS INDONESIA</v>
          </cell>
        </row>
      </sheetData>
      <sheetData sheetId="3538">
        <row r="7">
          <cell r="E7" t="str">
            <v>PT. DANONE BISCUITS INDONESIA</v>
          </cell>
        </row>
      </sheetData>
      <sheetData sheetId="3539">
        <row r="7">
          <cell r="E7" t="str">
            <v>PT. DANONE BISCUITS INDONESIA</v>
          </cell>
        </row>
      </sheetData>
      <sheetData sheetId="3540">
        <row r="7">
          <cell r="E7" t="str">
            <v>PT. DANONE BISCUITS INDONESIA</v>
          </cell>
        </row>
      </sheetData>
      <sheetData sheetId="3541">
        <row r="7">
          <cell r="E7" t="str">
            <v>PT. DANONE BISCUITS INDONESIA</v>
          </cell>
        </row>
      </sheetData>
      <sheetData sheetId="3542">
        <row r="7">
          <cell r="E7" t="str">
            <v>PT. DANONE BISCUITS INDONESIA</v>
          </cell>
        </row>
      </sheetData>
      <sheetData sheetId="3543">
        <row r="7">
          <cell r="E7" t="str">
            <v>PT. DANONE BISCUITS INDONESIA</v>
          </cell>
        </row>
      </sheetData>
      <sheetData sheetId="3544">
        <row r="7">
          <cell r="E7" t="str">
            <v>PT. DANONE BISCUITS INDONESIA</v>
          </cell>
        </row>
      </sheetData>
      <sheetData sheetId="3545">
        <row r="7">
          <cell r="E7" t="str">
            <v>PT. DANONE BISCUITS INDONESIA</v>
          </cell>
        </row>
      </sheetData>
      <sheetData sheetId="3546">
        <row r="7">
          <cell r="E7" t="str">
            <v>PT. DANONE BISCUITS INDONESIA</v>
          </cell>
        </row>
      </sheetData>
      <sheetData sheetId="3547">
        <row r="7">
          <cell r="E7" t="str">
            <v>PT. DANONE BISCUITS INDONESIA</v>
          </cell>
        </row>
      </sheetData>
      <sheetData sheetId="3548">
        <row r="7">
          <cell r="E7" t="str">
            <v>PT. DANONE BISCUITS INDONESIA</v>
          </cell>
        </row>
      </sheetData>
      <sheetData sheetId="3549">
        <row r="7">
          <cell r="E7" t="str">
            <v>PT. DANONE BISCUITS INDONESIA</v>
          </cell>
        </row>
      </sheetData>
      <sheetData sheetId="3550">
        <row r="7">
          <cell r="E7" t="str">
            <v>PT. DANONE BISCUITS INDONESIA</v>
          </cell>
        </row>
      </sheetData>
      <sheetData sheetId="3551">
        <row r="7">
          <cell r="E7" t="str">
            <v>PT. DANONE BISCUITS INDONESIA</v>
          </cell>
        </row>
      </sheetData>
      <sheetData sheetId="3552">
        <row r="7">
          <cell r="E7" t="str">
            <v>PT. DANONE BISCUITS INDONESIA</v>
          </cell>
        </row>
      </sheetData>
      <sheetData sheetId="3553">
        <row r="7">
          <cell r="E7" t="str">
            <v>PT. DANONE BISCUITS INDONESIA</v>
          </cell>
        </row>
      </sheetData>
      <sheetData sheetId="3554">
        <row r="7">
          <cell r="E7" t="str">
            <v>PT. DANONE BISCUITS INDONESIA</v>
          </cell>
        </row>
      </sheetData>
      <sheetData sheetId="3555">
        <row r="7">
          <cell r="E7" t="str">
            <v>PT. DANONE BISCUITS INDONESIA</v>
          </cell>
        </row>
      </sheetData>
      <sheetData sheetId="3556">
        <row r="7">
          <cell r="E7" t="str">
            <v>PT. DANONE BISCUITS INDONESIA</v>
          </cell>
        </row>
      </sheetData>
      <sheetData sheetId="3557">
        <row r="7">
          <cell r="E7" t="str">
            <v>PT. DANONE BISCUITS INDONESIA</v>
          </cell>
        </row>
      </sheetData>
      <sheetData sheetId="3558">
        <row r="7">
          <cell r="E7" t="str">
            <v>PT. DANONE BISCUITS INDONESIA</v>
          </cell>
        </row>
      </sheetData>
      <sheetData sheetId="3559">
        <row r="7">
          <cell r="E7" t="str">
            <v>PT. DANONE BISCUITS INDONESIA</v>
          </cell>
        </row>
      </sheetData>
      <sheetData sheetId="3560">
        <row r="7">
          <cell r="E7" t="str">
            <v>PT. DANONE BISCUITS INDONESIA</v>
          </cell>
        </row>
      </sheetData>
      <sheetData sheetId="3561">
        <row r="7">
          <cell r="E7" t="str">
            <v>PT. DANONE BISCUITS INDONESIA</v>
          </cell>
        </row>
      </sheetData>
      <sheetData sheetId="3562">
        <row r="7">
          <cell r="E7" t="str">
            <v>PT. DANONE BISCUITS INDONESIA</v>
          </cell>
        </row>
      </sheetData>
      <sheetData sheetId="3563">
        <row r="7">
          <cell r="E7" t="str">
            <v>PT. DANONE BISCUITS INDONESIA</v>
          </cell>
        </row>
      </sheetData>
      <sheetData sheetId="3564">
        <row r="7">
          <cell r="E7" t="str">
            <v>PT. DANONE BISCUITS INDONESIA</v>
          </cell>
        </row>
      </sheetData>
      <sheetData sheetId="3565">
        <row r="7">
          <cell r="E7" t="str">
            <v>PT. DANONE BISCUITS INDONESIA</v>
          </cell>
        </row>
      </sheetData>
      <sheetData sheetId="3566">
        <row r="7">
          <cell r="E7" t="str">
            <v>PT. DANONE BISCUITS INDONESIA</v>
          </cell>
        </row>
      </sheetData>
      <sheetData sheetId="3567">
        <row r="7">
          <cell r="E7" t="str">
            <v>PT. DANONE BISCUITS INDONESIA</v>
          </cell>
        </row>
      </sheetData>
      <sheetData sheetId="3568">
        <row r="7">
          <cell r="E7" t="str">
            <v>PT. DANONE BISCUITS INDONESIA</v>
          </cell>
        </row>
      </sheetData>
      <sheetData sheetId="3569">
        <row r="7">
          <cell r="E7" t="str">
            <v>PT. DANONE BISCUITS INDONESIA</v>
          </cell>
        </row>
      </sheetData>
      <sheetData sheetId="3570">
        <row r="7">
          <cell r="E7" t="str">
            <v>PT. DANONE BISCUITS INDONESIA</v>
          </cell>
        </row>
      </sheetData>
      <sheetData sheetId="3571">
        <row r="7">
          <cell r="E7" t="str">
            <v>PT. DANONE BISCUITS INDONESIA</v>
          </cell>
        </row>
      </sheetData>
      <sheetData sheetId="3572">
        <row r="7">
          <cell r="E7" t="str">
            <v>PT. DANONE BISCUITS INDONESIA</v>
          </cell>
        </row>
      </sheetData>
      <sheetData sheetId="3573">
        <row r="7">
          <cell r="E7" t="str">
            <v>PT. DANONE BISCUITS INDONESIA</v>
          </cell>
        </row>
      </sheetData>
      <sheetData sheetId="3574">
        <row r="7">
          <cell r="E7" t="str">
            <v>PT. DANONE BISCUITS INDONESIA</v>
          </cell>
        </row>
      </sheetData>
      <sheetData sheetId="3575">
        <row r="7">
          <cell r="E7" t="str">
            <v>PT. DANONE BISCUITS INDONESIA</v>
          </cell>
        </row>
      </sheetData>
      <sheetData sheetId="3576">
        <row r="7">
          <cell r="E7" t="str">
            <v>PT. DANONE BISCUITS INDONESIA</v>
          </cell>
        </row>
      </sheetData>
      <sheetData sheetId="3577">
        <row r="7">
          <cell r="E7" t="str">
            <v>PT. DANONE BISCUITS INDONESIA</v>
          </cell>
        </row>
      </sheetData>
      <sheetData sheetId="3578">
        <row r="7">
          <cell r="E7" t="str">
            <v>PT. DANONE BISCUITS INDONESIA</v>
          </cell>
        </row>
      </sheetData>
      <sheetData sheetId="3579">
        <row r="7">
          <cell r="E7" t="str">
            <v>PT. DANONE BISCUITS INDONESIA</v>
          </cell>
        </row>
      </sheetData>
      <sheetData sheetId="3580">
        <row r="7">
          <cell r="E7" t="str">
            <v>PT. DANONE BISCUITS INDONESIA</v>
          </cell>
        </row>
      </sheetData>
      <sheetData sheetId="3581">
        <row r="7">
          <cell r="E7" t="str">
            <v>PT. DANONE BISCUITS INDONESIA</v>
          </cell>
        </row>
      </sheetData>
      <sheetData sheetId="3582">
        <row r="7">
          <cell r="E7" t="str">
            <v>PT. DANONE BISCUITS INDONESIA</v>
          </cell>
        </row>
      </sheetData>
      <sheetData sheetId="3583">
        <row r="7">
          <cell r="E7" t="str">
            <v>PT. DANONE BISCUITS INDONESIA</v>
          </cell>
        </row>
      </sheetData>
      <sheetData sheetId="3584">
        <row r="7">
          <cell r="E7" t="str">
            <v>PT. DANONE BISCUITS INDONESIA</v>
          </cell>
        </row>
      </sheetData>
      <sheetData sheetId="3585">
        <row r="7">
          <cell r="E7" t="str">
            <v>PT. DANONE BISCUITS INDONESIA</v>
          </cell>
        </row>
      </sheetData>
      <sheetData sheetId="3586">
        <row r="7">
          <cell r="E7" t="str">
            <v>PT. DANONE BISCUITS INDONESIA</v>
          </cell>
        </row>
      </sheetData>
      <sheetData sheetId="3587">
        <row r="7">
          <cell r="E7" t="str">
            <v>PT. DANONE BISCUITS INDONESIA</v>
          </cell>
        </row>
      </sheetData>
      <sheetData sheetId="3588">
        <row r="7">
          <cell r="E7" t="str">
            <v>PT. DANONE BISCUITS INDONESIA</v>
          </cell>
        </row>
      </sheetData>
      <sheetData sheetId="3589">
        <row r="7">
          <cell r="E7" t="str">
            <v>PT. DANONE BISCUITS INDONESIA</v>
          </cell>
        </row>
      </sheetData>
      <sheetData sheetId="3590">
        <row r="7">
          <cell r="E7" t="str">
            <v>PT. DANONE BISCUITS INDONESIA</v>
          </cell>
        </row>
      </sheetData>
      <sheetData sheetId="3591">
        <row r="7">
          <cell r="E7" t="str">
            <v>PT. DANONE BISCUITS INDONESIA</v>
          </cell>
        </row>
      </sheetData>
      <sheetData sheetId="3592">
        <row r="7">
          <cell r="E7" t="str">
            <v>PT. DANONE BISCUITS INDONESIA</v>
          </cell>
        </row>
      </sheetData>
      <sheetData sheetId="3593">
        <row r="7">
          <cell r="E7" t="str">
            <v>PT. DANONE BISCUITS INDONESIA</v>
          </cell>
        </row>
      </sheetData>
      <sheetData sheetId="3594">
        <row r="7">
          <cell r="E7" t="str">
            <v>PT. DANONE BISCUITS INDONESIA</v>
          </cell>
        </row>
      </sheetData>
      <sheetData sheetId="3595">
        <row r="7">
          <cell r="E7" t="str">
            <v>PT. DANONE BISCUITS INDONESIA</v>
          </cell>
        </row>
      </sheetData>
      <sheetData sheetId="3596">
        <row r="7">
          <cell r="E7" t="str">
            <v>PT. DANONE BISCUITS INDONESIA</v>
          </cell>
        </row>
      </sheetData>
      <sheetData sheetId="3597">
        <row r="7">
          <cell r="E7" t="str">
            <v>PT. DANONE BISCUITS INDONESIA</v>
          </cell>
        </row>
      </sheetData>
      <sheetData sheetId="3598">
        <row r="7">
          <cell r="E7" t="str">
            <v>PT. DANONE BISCUITS INDONESIA</v>
          </cell>
        </row>
      </sheetData>
      <sheetData sheetId="3599">
        <row r="7">
          <cell r="E7" t="str">
            <v>PT. DANONE BISCUITS INDONESIA</v>
          </cell>
        </row>
      </sheetData>
      <sheetData sheetId="3600">
        <row r="7">
          <cell r="E7" t="str">
            <v>PT. DANONE BISCUITS INDONESIA</v>
          </cell>
        </row>
      </sheetData>
      <sheetData sheetId="3601">
        <row r="7">
          <cell r="E7" t="str">
            <v>PT. DANONE BISCUITS INDONESIA</v>
          </cell>
        </row>
      </sheetData>
      <sheetData sheetId="3602">
        <row r="7">
          <cell r="E7" t="str">
            <v>PT. DANONE BISCUITS INDONESIA</v>
          </cell>
        </row>
      </sheetData>
      <sheetData sheetId="3603">
        <row r="7">
          <cell r="E7" t="str">
            <v>PT. DANONE BISCUITS INDONESIA</v>
          </cell>
        </row>
      </sheetData>
      <sheetData sheetId="3604">
        <row r="7">
          <cell r="E7" t="str">
            <v>PT. DANONE BISCUITS INDONESIA</v>
          </cell>
        </row>
      </sheetData>
      <sheetData sheetId="3605">
        <row r="7">
          <cell r="E7" t="str">
            <v>PT. DANONE BISCUITS INDONESIA</v>
          </cell>
        </row>
      </sheetData>
      <sheetData sheetId="3606">
        <row r="7">
          <cell r="E7" t="str">
            <v>PT. DANONE BISCUITS INDONESIA</v>
          </cell>
        </row>
      </sheetData>
      <sheetData sheetId="3607">
        <row r="7">
          <cell r="E7" t="str">
            <v>PT. DANONE BISCUITS INDONESIA</v>
          </cell>
        </row>
      </sheetData>
      <sheetData sheetId="3608">
        <row r="7">
          <cell r="E7" t="str">
            <v>PT. DANONE BISCUITS INDONESIA</v>
          </cell>
        </row>
      </sheetData>
      <sheetData sheetId="3609">
        <row r="7">
          <cell r="E7" t="str">
            <v>PT. DANONE BISCUITS INDONESIA</v>
          </cell>
        </row>
      </sheetData>
      <sheetData sheetId="3610">
        <row r="7">
          <cell r="E7" t="str">
            <v>PT. DANONE BISCUITS INDONESIA</v>
          </cell>
        </row>
      </sheetData>
      <sheetData sheetId="3611">
        <row r="7">
          <cell r="E7" t="str">
            <v>PT. DANONE BISCUITS INDONESIA</v>
          </cell>
        </row>
      </sheetData>
      <sheetData sheetId="3612">
        <row r="7">
          <cell r="E7" t="str">
            <v>PT. DANONE BISCUITS INDONESIA</v>
          </cell>
        </row>
      </sheetData>
      <sheetData sheetId="3613">
        <row r="7">
          <cell r="E7" t="str">
            <v>PT. DANONE BISCUITS INDONESIA</v>
          </cell>
        </row>
      </sheetData>
      <sheetData sheetId="3614">
        <row r="7">
          <cell r="E7" t="str">
            <v>PT. DANONE BISCUITS INDONESIA</v>
          </cell>
        </row>
      </sheetData>
      <sheetData sheetId="3615">
        <row r="7">
          <cell r="E7" t="str">
            <v>PT. DANONE BISCUITS INDONESIA</v>
          </cell>
        </row>
      </sheetData>
      <sheetData sheetId="3616">
        <row r="7">
          <cell r="E7" t="str">
            <v>PT. DANONE BISCUITS INDONESIA</v>
          </cell>
        </row>
      </sheetData>
      <sheetData sheetId="3617">
        <row r="7">
          <cell r="E7" t="str">
            <v>PT. DANONE BISCUITS INDONESIA</v>
          </cell>
        </row>
      </sheetData>
      <sheetData sheetId="3618">
        <row r="7">
          <cell r="E7" t="str">
            <v>PT. DANONE BISCUITS INDONESIA</v>
          </cell>
        </row>
      </sheetData>
      <sheetData sheetId="3619">
        <row r="7">
          <cell r="E7" t="str">
            <v>PT. DANONE BISCUITS INDONESIA</v>
          </cell>
        </row>
      </sheetData>
      <sheetData sheetId="3620">
        <row r="7">
          <cell r="E7" t="str">
            <v>PT. DANONE BISCUITS INDONESIA</v>
          </cell>
        </row>
      </sheetData>
      <sheetData sheetId="3621">
        <row r="7">
          <cell r="E7" t="str">
            <v>PT. DANONE BISCUITS INDONESIA</v>
          </cell>
        </row>
      </sheetData>
      <sheetData sheetId="3622">
        <row r="7">
          <cell r="E7" t="str">
            <v>PT. DANONE BISCUITS INDONESIA</v>
          </cell>
        </row>
      </sheetData>
      <sheetData sheetId="3623">
        <row r="7">
          <cell r="E7" t="str">
            <v>PT. DANONE BISCUITS INDONESIA</v>
          </cell>
        </row>
      </sheetData>
      <sheetData sheetId="3624">
        <row r="7">
          <cell r="E7" t="str">
            <v>PT. DANONE BISCUITS INDONESIA</v>
          </cell>
        </row>
      </sheetData>
      <sheetData sheetId="3625">
        <row r="7">
          <cell r="E7" t="str">
            <v>PT. DANONE BISCUITS INDONESIA</v>
          </cell>
        </row>
      </sheetData>
      <sheetData sheetId="3626">
        <row r="7">
          <cell r="E7" t="str">
            <v>PT. DANONE BISCUITS INDONESIA</v>
          </cell>
        </row>
      </sheetData>
      <sheetData sheetId="3627">
        <row r="7">
          <cell r="E7" t="str">
            <v>PT. DANONE BISCUITS INDONESIA</v>
          </cell>
        </row>
      </sheetData>
      <sheetData sheetId="3628">
        <row r="7">
          <cell r="E7" t="str">
            <v>PT. DANONE BISCUITS INDONESIA</v>
          </cell>
        </row>
      </sheetData>
      <sheetData sheetId="3629">
        <row r="7">
          <cell r="E7" t="str">
            <v>PT. DANONE BISCUITS INDONESIA</v>
          </cell>
        </row>
      </sheetData>
      <sheetData sheetId="3630">
        <row r="7">
          <cell r="E7" t="str">
            <v>PT. DANONE BISCUITS INDONESIA</v>
          </cell>
        </row>
      </sheetData>
      <sheetData sheetId="3631">
        <row r="7">
          <cell r="E7" t="str">
            <v>PT. DANONE BISCUITS INDONESIA</v>
          </cell>
        </row>
      </sheetData>
      <sheetData sheetId="3632">
        <row r="7">
          <cell r="E7" t="str">
            <v>PT. DANONE BISCUITS INDONESIA</v>
          </cell>
        </row>
      </sheetData>
      <sheetData sheetId="3633">
        <row r="7">
          <cell r="E7" t="str">
            <v>PT. DANONE BISCUITS INDONESIA</v>
          </cell>
        </row>
      </sheetData>
      <sheetData sheetId="3634">
        <row r="7">
          <cell r="E7" t="str">
            <v>PT. DANONE BISCUITS INDONESIA</v>
          </cell>
        </row>
      </sheetData>
      <sheetData sheetId="3635">
        <row r="7">
          <cell r="E7" t="str">
            <v>PT. DANONE BISCUITS INDONESIA</v>
          </cell>
        </row>
      </sheetData>
      <sheetData sheetId="3636">
        <row r="7">
          <cell r="E7" t="str">
            <v>PT. DANONE BISCUITS INDONESIA</v>
          </cell>
        </row>
      </sheetData>
      <sheetData sheetId="3637">
        <row r="7">
          <cell r="E7" t="str">
            <v>PT. DANONE BISCUITS INDONESIA</v>
          </cell>
        </row>
      </sheetData>
      <sheetData sheetId="3638">
        <row r="7">
          <cell r="E7" t="str">
            <v>PT. DANONE BISCUITS INDONESIA</v>
          </cell>
        </row>
      </sheetData>
      <sheetData sheetId="3639">
        <row r="7">
          <cell r="E7" t="str">
            <v>PT. DANONE BISCUITS INDONESIA</v>
          </cell>
        </row>
      </sheetData>
      <sheetData sheetId="3640">
        <row r="7">
          <cell r="E7" t="str">
            <v>PT. DANONE BISCUITS INDONESIA</v>
          </cell>
        </row>
      </sheetData>
      <sheetData sheetId="3641">
        <row r="7">
          <cell r="E7" t="str">
            <v>PT. DANONE BISCUITS INDONESIA</v>
          </cell>
        </row>
      </sheetData>
      <sheetData sheetId="3642">
        <row r="7">
          <cell r="E7" t="str">
            <v>PT. DANONE BISCUITS INDONESIA</v>
          </cell>
        </row>
      </sheetData>
      <sheetData sheetId="3643">
        <row r="7">
          <cell r="E7" t="str">
            <v>PT. DANONE BISCUITS INDONESIA</v>
          </cell>
        </row>
      </sheetData>
      <sheetData sheetId="3644">
        <row r="7">
          <cell r="E7" t="str">
            <v>PT. DANONE BISCUITS INDONESIA</v>
          </cell>
        </row>
      </sheetData>
      <sheetData sheetId="3645">
        <row r="7">
          <cell r="E7" t="str">
            <v>PT. DANONE BISCUITS INDONESIA</v>
          </cell>
        </row>
      </sheetData>
      <sheetData sheetId="3646">
        <row r="7">
          <cell r="E7" t="str">
            <v>PT. DANONE BISCUITS INDONESIA</v>
          </cell>
        </row>
      </sheetData>
      <sheetData sheetId="3647">
        <row r="7">
          <cell r="E7" t="str">
            <v>PT. DANONE BISCUITS INDONESIA</v>
          </cell>
        </row>
      </sheetData>
      <sheetData sheetId="3648">
        <row r="7">
          <cell r="E7" t="str">
            <v>PT. DANONE BISCUITS INDONESIA</v>
          </cell>
        </row>
      </sheetData>
      <sheetData sheetId="3649">
        <row r="7">
          <cell r="E7" t="str">
            <v>PT. DANONE BISCUITS INDONESIA</v>
          </cell>
        </row>
      </sheetData>
      <sheetData sheetId="3650">
        <row r="7">
          <cell r="E7" t="str">
            <v>PT. DANONE BISCUITS INDONESIA</v>
          </cell>
        </row>
      </sheetData>
      <sheetData sheetId="3651">
        <row r="7">
          <cell r="E7" t="str">
            <v>PT. DANONE BISCUITS INDONESIA</v>
          </cell>
        </row>
      </sheetData>
      <sheetData sheetId="3652">
        <row r="7">
          <cell r="E7" t="str">
            <v>PT. DANONE BISCUITS INDONESIA</v>
          </cell>
        </row>
      </sheetData>
      <sheetData sheetId="3653">
        <row r="7">
          <cell r="E7" t="str">
            <v>PT. DANONE BISCUITS INDONESIA</v>
          </cell>
        </row>
      </sheetData>
      <sheetData sheetId="3654">
        <row r="7">
          <cell r="E7" t="str">
            <v>PT. DANONE BISCUITS INDONESIA</v>
          </cell>
        </row>
      </sheetData>
      <sheetData sheetId="3655">
        <row r="7">
          <cell r="E7" t="str">
            <v>PT. DANONE BISCUITS INDONESIA</v>
          </cell>
        </row>
      </sheetData>
      <sheetData sheetId="3656">
        <row r="7">
          <cell r="E7" t="str">
            <v>PT. DANONE BISCUITS INDONESIA</v>
          </cell>
        </row>
      </sheetData>
      <sheetData sheetId="3657">
        <row r="7">
          <cell r="E7" t="str">
            <v>PT. DANONE BISCUITS INDONESIA</v>
          </cell>
        </row>
      </sheetData>
      <sheetData sheetId="3658">
        <row r="7">
          <cell r="E7" t="str">
            <v>PT. DANONE BISCUITS INDONESIA</v>
          </cell>
        </row>
      </sheetData>
      <sheetData sheetId="3659">
        <row r="7">
          <cell r="E7" t="str">
            <v>PT. DANONE BISCUITS INDONESIA</v>
          </cell>
        </row>
      </sheetData>
      <sheetData sheetId="3660">
        <row r="7">
          <cell r="E7" t="str">
            <v>PT. DANONE BISCUITS INDONESIA</v>
          </cell>
        </row>
      </sheetData>
      <sheetData sheetId="3661">
        <row r="7">
          <cell r="E7" t="str">
            <v>PT. DANONE BISCUITS INDONESIA</v>
          </cell>
        </row>
      </sheetData>
      <sheetData sheetId="3662">
        <row r="7">
          <cell r="E7" t="str">
            <v>PT. DANONE BISCUITS INDONESIA</v>
          </cell>
        </row>
      </sheetData>
      <sheetData sheetId="3663">
        <row r="7">
          <cell r="E7" t="str">
            <v>PT. DANONE BISCUITS INDONESIA</v>
          </cell>
        </row>
      </sheetData>
      <sheetData sheetId="3664">
        <row r="7">
          <cell r="E7" t="str">
            <v>PT. DANONE BISCUITS INDONESIA</v>
          </cell>
        </row>
      </sheetData>
      <sheetData sheetId="3665">
        <row r="7">
          <cell r="E7" t="str">
            <v>PT. DANONE BISCUITS INDONESIA</v>
          </cell>
        </row>
      </sheetData>
      <sheetData sheetId="3666">
        <row r="7">
          <cell r="E7" t="str">
            <v>PT. DANONE BISCUITS INDONESIA</v>
          </cell>
        </row>
      </sheetData>
      <sheetData sheetId="3667">
        <row r="7">
          <cell r="E7" t="str">
            <v>PT. DANONE BISCUITS INDONESIA</v>
          </cell>
        </row>
      </sheetData>
      <sheetData sheetId="3668">
        <row r="7">
          <cell r="E7" t="str">
            <v>PT. DANONE BISCUITS INDONESIA</v>
          </cell>
        </row>
      </sheetData>
      <sheetData sheetId="3669">
        <row r="7">
          <cell r="E7" t="str">
            <v>PT. DANONE BISCUITS INDONESIA</v>
          </cell>
        </row>
      </sheetData>
      <sheetData sheetId="3670">
        <row r="7">
          <cell r="E7" t="str">
            <v>PT. DANONE BISCUITS INDONESIA</v>
          </cell>
        </row>
      </sheetData>
      <sheetData sheetId="3671">
        <row r="7">
          <cell r="E7" t="str">
            <v>PT. DANONE BISCUITS INDONESIA</v>
          </cell>
        </row>
      </sheetData>
      <sheetData sheetId="3672">
        <row r="7">
          <cell r="E7" t="str">
            <v>PT. DANONE BISCUITS INDONESIA</v>
          </cell>
        </row>
      </sheetData>
      <sheetData sheetId="3673">
        <row r="7">
          <cell r="E7" t="str">
            <v>PT. DANONE BISCUITS INDONESIA</v>
          </cell>
        </row>
      </sheetData>
      <sheetData sheetId="3674">
        <row r="7">
          <cell r="E7" t="str">
            <v>PT. DANONE BISCUITS INDONESIA</v>
          </cell>
        </row>
      </sheetData>
      <sheetData sheetId="3675">
        <row r="7">
          <cell r="E7" t="str">
            <v>PT. DANONE BISCUITS INDONESIA</v>
          </cell>
        </row>
      </sheetData>
      <sheetData sheetId="3676">
        <row r="7">
          <cell r="E7" t="str">
            <v>PT. DANONE BISCUITS INDONESIA</v>
          </cell>
        </row>
      </sheetData>
      <sheetData sheetId="3677">
        <row r="7">
          <cell r="E7" t="str">
            <v>PT. DANONE BISCUITS INDONESIA</v>
          </cell>
        </row>
      </sheetData>
      <sheetData sheetId="3678">
        <row r="7">
          <cell r="E7" t="str">
            <v>PT. DANONE BISCUITS INDONESIA</v>
          </cell>
        </row>
      </sheetData>
      <sheetData sheetId="3679">
        <row r="7">
          <cell r="E7" t="str">
            <v>PT. DANONE BISCUITS INDONESIA</v>
          </cell>
        </row>
      </sheetData>
      <sheetData sheetId="3680">
        <row r="7">
          <cell r="E7" t="str">
            <v>PT. DANONE BISCUITS INDONESIA</v>
          </cell>
        </row>
      </sheetData>
      <sheetData sheetId="3681">
        <row r="7">
          <cell r="E7" t="str">
            <v>PT. DANONE BISCUITS INDONESIA</v>
          </cell>
        </row>
      </sheetData>
      <sheetData sheetId="3682">
        <row r="7">
          <cell r="E7" t="str">
            <v>PT. DANONE BISCUITS INDONESIA</v>
          </cell>
        </row>
      </sheetData>
      <sheetData sheetId="3683">
        <row r="7">
          <cell r="E7" t="str">
            <v>PT. DANONE BISCUITS INDONESIA</v>
          </cell>
        </row>
      </sheetData>
      <sheetData sheetId="3684">
        <row r="7">
          <cell r="E7" t="str">
            <v>PT. DANONE BISCUITS INDONESIA</v>
          </cell>
        </row>
      </sheetData>
      <sheetData sheetId="3685">
        <row r="7">
          <cell r="E7" t="str">
            <v>PT. DANONE BISCUITS INDONESIA</v>
          </cell>
        </row>
      </sheetData>
      <sheetData sheetId="3686">
        <row r="7">
          <cell r="E7" t="str">
            <v>PT. DANONE BISCUITS INDONESIA</v>
          </cell>
        </row>
      </sheetData>
      <sheetData sheetId="3687">
        <row r="7">
          <cell r="E7" t="str">
            <v>PT. DANONE BISCUITS INDONESIA</v>
          </cell>
        </row>
      </sheetData>
      <sheetData sheetId="3688">
        <row r="7">
          <cell r="E7" t="str">
            <v>PT. DANONE BISCUITS INDONESIA</v>
          </cell>
        </row>
      </sheetData>
      <sheetData sheetId="3689">
        <row r="7">
          <cell r="E7" t="str">
            <v>PT. DANONE BISCUITS INDONESIA</v>
          </cell>
        </row>
      </sheetData>
      <sheetData sheetId="3690">
        <row r="7">
          <cell r="E7" t="str">
            <v>PT. DANONE BISCUITS INDONESIA</v>
          </cell>
        </row>
      </sheetData>
      <sheetData sheetId="3691">
        <row r="7">
          <cell r="E7" t="str">
            <v>PT. DANONE BISCUITS INDONESIA</v>
          </cell>
        </row>
      </sheetData>
      <sheetData sheetId="3692">
        <row r="7">
          <cell r="E7" t="str">
            <v>PT. DANONE BISCUITS INDONESIA</v>
          </cell>
        </row>
      </sheetData>
      <sheetData sheetId="3693">
        <row r="7">
          <cell r="E7" t="str">
            <v>PT. DANONE BISCUITS INDONESIA</v>
          </cell>
        </row>
      </sheetData>
      <sheetData sheetId="3694">
        <row r="7">
          <cell r="E7" t="str">
            <v>PT. DANONE BISCUITS INDONESIA</v>
          </cell>
        </row>
      </sheetData>
      <sheetData sheetId="3695">
        <row r="7">
          <cell r="E7" t="str">
            <v>PT. DANONE BISCUITS INDONESIA</v>
          </cell>
        </row>
      </sheetData>
      <sheetData sheetId="3696">
        <row r="7">
          <cell r="E7" t="str">
            <v>PT. DANONE BISCUITS INDONESIA</v>
          </cell>
        </row>
      </sheetData>
      <sheetData sheetId="3697">
        <row r="7">
          <cell r="E7" t="str">
            <v>PT. DANONE BISCUITS INDONESIA</v>
          </cell>
        </row>
      </sheetData>
      <sheetData sheetId="3698">
        <row r="7">
          <cell r="E7" t="str">
            <v>PT. DANONE BISCUITS INDONESIA</v>
          </cell>
        </row>
      </sheetData>
      <sheetData sheetId="3699">
        <row r="7">
          <cell r="E7" t="str">
            <v>PT. DANONE BISCUITS INDONESIA</v>
          </cell>
        </row>
      </sheetData>
      <sheetData sheetId="3700">
        <row r="7">
          <cell r="E7" t="str">
            <v>PT. DANONE BISCUITS INDONESIA</v>
          </cell>
        </row>
      </sheetData>
      <sheetData sheetId="3701">
        <row r="7">
          <cell r="E7" t="str">
            <v>PT. DANONE BISCUITS INDONESIA</v>
          </cell>
        </row>
      </sheetData>
      <sheetData sheetId="3702">
        <row r="7">
          <cell r="E7" t="str">
            <v>PT. DANONE BISCUITS INDONESIA</v>
          </cell>
        </row>
      </sheetData>
      <sheetData sheetId="3703">
        <row r="7">
          <cell r="E7" t="str">
            <v>PT. DANONE BISCUITS INDONESIA</v>
          </cell>
        </row>
      </sheetData>
      <sheetData sheetId="3704">
        <row r="7">
          <cell r="E7" t="str">
            <v>PT. DANONE BISCUITS INDONESIA</v>
          </cell>
        </row>
      </sheetData>
      <sheetData sheetId="3705">
        <row r="7">
          <cell r="E7" t="str">
            <v>PT. DANONE BISCUITS INDONESIA</v>
          </cell>
        </row>
      </sheetData>
      <sheetData sheetId="3706">
        <row r="7">
          <cell r="E7" t="str">
            <v>PT. DANONE BISCUITS INDONESIA</v>
          </cell>
        </row>
      </sheetData>
      <sheetData sheetId="3707">
        <row r="7">
          <cell r="E7" t="str">
            <v>PT. DANONE BISCUITS INDONESIA</v>
          </cell>
        </row>
      </sheetData>
      <sheetData sheetId="3708">
        <row r="7">
          <cell r="E7" t="str">
            <v>PT. DANONE BISCUITS INDONESIA</v>
          </cell>
        </row>
      </sheetData>
      <sheetData sheetId="3709">
        <row r="7">
          <cell r="E7" t="str">
            <v>PT. DANONE BISCUITS INDONESIA</v>
          </cell>
        </row>
      </sheetData>
      <sheetData sheetId="3710">
        <row r="7">
          <cell r="E7" t="str">
            <v>PT. DANONE BISCUITS INDONESIA</v>
          </cell>
        </row>
      </sheetData>
      <sheetData sheetId="3711">
        <row r="7">
          <cell r="E7" t="str">
            <v>PT. DANONE BISCUITS INDONESIA</v>
          </cell>
        </row>
      </sheetData>
      <sheetData sheetId="3712">
        <row r="7">
          <cell r="E7" t="str">
            <v>PT. DANONE BISCUITS INDONESIA</v>
          </cell>
        </row>
      </sheetData>
      <sheetData sheetId="3713">
        <row r="7">
          <cell r="E7" t="str">
            <v>PT. DANONE BISCUITS INDONESIA</v>
          </cell>
        </row>
      </sheetData>
      <sheetData sheetId="3714">
        <row r="7">
          <cell r="E7" t="str">
            <v>PT. DANONE BISCUITS INDONESIA</v>
          </cell>
        </row>
      </sheetData>
      <sheetData sheetId="3715">
        <row r="7">
          <cell r="E7" t="str">
            <v>PT. DANONE BISCUITS INDONESIA</v>
          </cell>
        </row>
      </sheetData>
      <sheetData sheetId="3716">
        <row r="7">
          <cell r="E7" t="str">
            <v>PT. DANONE BISCUITS INDONESIA</v>
          </cell>
        </row>
      </sheetData>
      <sheetData sheetId="3717">
        <row r="7">
          <cell r="E7" t="str">
            <v>PT. DANONE BISCUITS INDONESIA</v>
          </cell>
        </row>
      </sheetData>
      <sheetData sheetId="3718">
        <row r="7">
          <cell r="E7" t="str">
            <v>PT. DANONE BISCUITS INDONESIA</v>
          </cell>
        </row>
      </sheetData>
      <sheetData sheetId="3719">
        <row r="7">
          <cell r="E7" t="str">
            <v>PT. DANONE BISCUITS INDONESIA</v>
          </cell>
        </row>
      </sheetData>
      <sheetData sheetId="3720">
        <row r="7">
          <cell r="E7" t="str">
            <v>PT. DANONE BISCUITS INDONESIA</v>
          </cell>
        </row>
      </sheetData>
      <sheetData sheetId="3721">
        <row r="7">
          <cell r="E7" t="str">
            <v>PT. DANONE BISCUITS INDONESIA</v>
          </cell>
        </row>
      </sheetData>
      <sheetData sheetId="3722">
        <row r="7">
          <cell r="E7" t="str">
            <v>PT. DANONE BISCUITS INDONESIA</v>
          </cell>
        </row>
      </sheetData>
      <sheetData sheetId="3723">
        <row r="7">
          <cell r="E7" t="str">
            <v>PT. DANONE BISCUITS INDONESIA</v>
          </cell>
        </row>
      </sheetData>
      <sheetData sheetId="3724">
        <row r="7">
          <cell r="E7" t="str">
            <v>PT. DANONE BISCUITS INDONESIA</v>
          </cell>
        </row>
      </sheetData>
      <sheetData sheetId="3725">
        <row r="7">
          <cell r="E7" t="str">
            <v>PT. DANONE BISCUITS INDONESIA</v>
          </cell>
        </row>
      </sheetData>
      <sheetData sheetId="3726">
        <row r="7">
          <cell r="E7" t="str">
            <v>PT. DANONE BISCUITS INDONESIA</v>
          </cell>
        </row>
      </sheetData>
      <sheetData sheetId="3727">
        <row r="7">
          <cell r="E7" t="str">
            <v>PT. DANONE BISCUITS INDONESIA</v>
          </cell>
        </row>
      </sheetData>
      <sheetData sheetId="3728">
        <row r="7">
          <cell r="E7" t="str">
            <v>PT. DANONE BISCUITS INDONESIA</v>
          </cell>
        </row>
      </sheetData>
      <sheetData sheetId="3729">
        <row r="7">
          <cell r="E7" t="str">
            <v>PT. DANONE BISCUITS INDONESIA</v>
          </cell>
        </row>
      </sheetData>
      <sheetData sheetId="3730">
        <row r="7">
          <cell r="E7" t="str">
            <v>PT. DANONE BISCUITS INDONESIA</v>
          </cell>
        </row>
      </sheetData>
      <sheetData sheetId="3731">
        <row r="7">
          <cell r="E7" t="str">
            <v>PT. DANONE BISCUITS INDONESIA</v>
          </cell>
        </row>
      </sheetData>
      <sheetData sheetId="3732">
        <row r="7">
          <cell r="E7" t="str">
            <v>PT. DANONE BISCUITS INDONESIA</v>
          </cell>
        </row>
      </sheetData>
      <sheetData sheetId="3733">
        <row r="7">
          <cell r="E7" t="str">
            <v>PT. DANONE BISCUITS INDONESIA</v>
          </cell>
        </row>
      </sheetData>
      <sheetData sheetId="3734">
        <row r="7">
          <cell r="E7" t="str">
            <v>PT. DANONE BISCUITS INDONESIA</v>
          </cell>
        </row>
      </sheetData>
      <sheetData sheetId="3735">
        <row r="7">
          <cell r="E7" t="str">
            <v>PT. DANONE BISCUITS INDONESIA</v>
          </cell>
        </row>
      </sheetData>
      <sheetData sheetId="3736">
        <row r="7">
          <cell r="E7" t="str">
            <v>PT. DANONE BISCUITS INDONESIA</v>
          </cell>
        </row>
      </sheetData>
      <sheetData sheetId="3737">
        <row r="7">
          <cell r="E7" t="str">
            <v>PT. DANONE BISCUITS INDONESIA</v>
          </cell>
        </row>
      </sheetData>
      <sheetData sheetId="3738">
        <row r="7">
          <cell r="E7" t="str">
            <v>PT. DANONE BISCUITS INDONESIA</v>
          </cell>
        </row>
      </sheetData>
      <sheetData sheetId="3739">
        <row r="7">
          <cell r="E7" t="str">
            <v>PT. DANONE BISCUITS INDONESIA</v>
          </cell>
        </row>
      </sheetData>
      <sheetData sheetId="3740">
        <row r="7">
          <cell r="E7" t="str">
            <v>PT. DANONE BISCUITS INDONESIA</v>
          </cell>
        </row>
      </sheetData>
      <sheetData sheetId="3741">
        <row r="7">
          <cell r="E7" t="str">
            <v>PT. DANONE BISCUITS INDONESIA</v>
          </cell>
        </row>
      </sheetData>
      <sheetData sheetId="3742">
        <row r="7">
          <cell r="E7" t="str">
            <v>PT. DANONE BISCUITS INDONESIA</v>
          </cell>
        </row>
      </sheetData>
      <sheetData sheetId="3743">
        <row r="7">
          <cell r="E7" t="str">
            <v>PT. DANONE BISCUITS INDONESIA</v>
          </cell>
        </row>
      </sheetData>
      <sheetData sheetId="3744">
        <row r="7">
          <cell r="E7" t="str">
            <v>PT. DANONE BISCUITS INDONESIA</v>
          </cell>
        </row>
      </sheetData>
      <sheetData sheetId="3745">
        <row r="7">
          <cell r="E7" t="str">
            <v>PT. DANONE BISCUITS INDONESIA</v>
          </cell>
        </row>
      </sheetData>
      <sheetData sheetId="3746">
        <row r="7">
          <cell r="E7" t="str">
            <v>PT. DANONE BISCUITS INDONESIA</v>
          </cell>
        </row>
      </sheetData>
      <sheetData sheetId="3747">
        <row r="7">
          <cell r="E7" t="str">
            <v>PT. DANONE BISCUITS INDONESIA</v>
          </cell>
        </row>
      </sheetData>
      <sheetData sheetId="3748">
        <row r="7">
          <cell r="E7" t="str">
            <v>PT. DANONE BISCUITS INDONESIA</v>
          </cell>
        </row>
      </sheetData>
      <sheetData sheetId="3749">
        <row r="7">
          <cell r="E7" t="str">
            <v>PT. DANONE BISCUITS INDONESIA</v>
          </cell>
        </row>
      </sheetData>
      <sheetData sheetId="3750">
        <row r="7">
          <cell r="E7" t="str">
            <v>PT. DANONE BISCUITS INDONESIA</v>
          </cell>
        </row>
      </sheetData>
      <sheetData sheetId="3751">
        <row r="7">
          <cell r="E7" t="str">
            <v>PT. DANONE BISCUITS INDONESIA</v>
          </cell>
        </row>
      </sheetData>
      <sheetData sheetId="3752">
        <row r="7">
          <cell r="E7" t="str">
            <v>PT. DANONE BISCUITS INDONESIA</v>
          </cell>
        </row>
      </sheetData>
      <sheetData sheetId="3753">
        <row r="7">
          <cell r="E7" t="str">
            <v>PT. DANONE BISCUITS INDONESIA</v>
          </cell>
        </row>
      </sheetData>
      <sheetData sheetId="3754">
        <row r="7">
          <cell r="E7" t="str">
            <v>PT. DANONE BISCUITS INDONESIA</v>
          </cell>
        </row>
      </sheetData>
      <sheetData sheetId="3755">
        <row r="7">
          <cell r="E7" t="str">
            <v>PT. DANONE BISCUITS INDONESIA</v>
          </cell>
        </row>
      </sheetData>
      <sheetData sheetId="3756">
        <row r="7">
          <cell r="E7" t="str">
            <v>PT. DANONE BISCUITS INDONESIA</v>
          </cell>
        </row>
      </sheetData>
      <sheetData sheetId="3757">
        <row r="7">
          <cell r="E7" t="str">
            <v>PT. DANONE BISCUITS INDONESIA</v>
          </cell>
        </row>
      </sheetData>
      <sheetData sheetId="3758">
        <row r="7">
          <cell r="E7" t="str">
            <v>PT. DANONE BISCUITS INDONESIA</v>
          </cell>
        </row>
      </sheetData>
      <sheetData sheetId="3759">
        <row r="7">
          <cell r="E7" t="str">
            <v>PT. DANONE BISCUITS INDONESIA</v>
          </cell>
        </row>
      </sheetData>
      <sheetData sheetId="3760">
        <row r="7">
          <cell r="E7" t="str">
            <v>PT. DANONE BISCUITS INDONESIA</v>
          </cell>
        </row>
      </sheetData>
      <sheetData sheetId="3761">
        <row r="7">
          <cell r="E7" t="str">
            <v>PT. DANONE BISCUITS INDONESIA</v>
          </cell>
        </row>
      </sheetData>
      <sheetData sheetId="3762">
        <row r="7">
          <cell r="E7" t="str">
            <v>PT. DANONE BISCUITS INDONESIA</v>
          </cell>
        </row>
      </sheetData>
      <sheetData sheetId="3763">
        <row r="7">
          <cell r="E7" t="str">
            <v>PT. DANONE BISCUITS INDONESIA</v>
          </cell>
        </row>
      </sheetData>
      <sheetData sheetId="3764">
        <row r="7">
          <cell r="E7" t="str">
            <v>PT. DANONE BISCUITS INDONESIA</v>
          </cell>
        </row>
      </sheetData>
      <sheetData sheetId="3765">
        <row r="7">
          <cell r="E7" t="str">
            <v>PT. DANONE BISCUITS INDONESIA</v>
          </cell>
        </row>
      </sheetData>
      <sheetData sheetId="3766">
        <row r="7">
          <cell r="E7" t="str">
            <v>PT. DANONE BISCUITS INDONESIA</v>
          </cell>
        </row>
      </sheetData>
      <sheetData sheetId="3767">
        <row r="7">
          <cell r="E7" t="str">
            <v>PT. DANONE BISCUITS INDONESIA</v>
          </cell>
        </row>
      </sheetData>
      <sheetData sheetId="3768">
        <row r="7">
          <cell r="E7" t="str">
            <v>PT. DANONE BISCUITS INDONESIA</v>
          </cell>
        </row>
      </sheetData>
      <sheetData sheetId="3769">
        <row r="7">
          <cell r="E7" t="str">
            <v>PT. DANONE BISCUITS INDONESIA</v>
          </cell>
        </row>
      </sheetData>
      <sheetData sheetId="3770">
        <row r="7">
          <cell r="E7" t="str">
            <v>PT. DANONE BISCUITS INDONESIA</v>
          </cell>
        </row>
      </sheetData>
      <sheetData sheetId="3771">
        <row r="7">
          <cell r="E7" t="str">
            <v>PT. DANONE BISCUITS INDONESIA</v>
          </cell>
        </row>
      </sheetData>
      <sheetData sheetId="3772">
        <row r="7">
          <cell r="E7" t="str">
            <v>PT. DANONE BISCUITS INDONESIA</v>
          </cell>
        </row>
      </sheetData>
      <sheetData sheetId="3773">
        <row r="7">
          <cell r="E7" t="str">
            <v>PT. DANONE BISCUITS INDONESIA</v>
          </cell>
        </row>
      </sheetData>
      <sheetData sheetId="3774">
        <row r="7">
          <cell r="E7" t="str">
            <v>PT. DANONE BISCUITS INDONESIA</v>
          </cell>
        </row>
      </sheetData>
      <sheetData sheetId="3775">
        <row r="7">
          <cell r="E7" t="str">
            <v>PT. DANONE BISCUITS INDONESIA</v>
          </cell>
        </row>
      </sheetData>
      <sheetData sheetId="3776">
        <row r="7">
          <cell r="E7" t="str">
            <v>PT. DANONE BISCUITS INDONESIA</v>
          </cell>
        </row>
      </sheetData>
      <sheetData sheetId="3777">
        <row r="7">
          <cell r="E7" t="str">
            <v>PT. DANONE BISCUITS INDONESIA</v>
          </cell>
        </row>
      </sheetData>
      <sheetData sheetId="3778">
        <row r="7">
          <cell r="E7" t="str">
            <v>PT. DANONE BISCUITS INDONESIA</v>
          </cell>
        </row>
      </sheetData>
      <sheetData sheetId="3779">
        <row r="7">
          <cell r="E7" t="str">
            <v>PT. DANONE BISCUITS INDONESIA</v>
          </cell>
        </row>
      </sheetData>
      <sheetData sheetId="3780">
        <row r="7">
          <cell r="E7" t="str">
            <v>PT. DANONE BISCUITS INDONESIA</v>
          </cell>
        </row>
      </sheetData>
      <sheetData sheetId="3781">
        <row r="7">
          <cell r="E7" t="str">
            <v>PT. DANONE BISCUITS INDONESIA</v>
          </cell>
        </row>
      </sheetData>
      <sheetData sheetId="3782">
        <row r="7">
          <cell r="E7" t="str">
            <v>PT. DANONE BISCUITS INDONESIA</v>
          </cell>
        </row>
      </sheetData>
      <sheetData sheetId="3783">
        <row r="7">
          <cell r="E7" t="str">
            <v>PT. DANONE BISCUITS INDONESIA</v>
          </cell>
        </row>
      </sheetData>
      <sheetData sheetId="3784">
        <row r="7">
          <cell r="E7" t="str">
            <v>PT. DANONE BISCUITS INDONESIA</v>
          </cell>
        </row>
      </sheetData>
      <sheetData sheetId="3785">
        <row r="7">
          <cell r="E7" t="str">
            <v>PT. DANONE BISCUITS INDONESIA</v>
          </cell>
        </row>
      </sheetData>
      <sheetData sheetId="3786">
        <row r="7">
          <cell r="E7" t="str">
            <v>PT. DANONE BISCUITS INDONESIA</v>
          </cell>
        </row>
      </sheetData>
      <sheetData sheetId="3787">
        <row r="7">
          <cell r="E7" t="str">
            <v>PT. DANONE BISCUITS INDONESIA</v>
          </cell>
        </row>
      </sheetData>
      <sheetData sheetId="3788">
        <row r="7">
          <cell r="E7" t="str">
            <v>PT. DANONE BISCUITS INDONESIA</v>
          </cell>
        </row>
      </sheetData>
      <sheetData sheetId="3789">
        <row r="7">
          <cell r="E7" t="str">
            <v>PT. DANONE BISCUITS INDONESIA</v>
          </cell>
        </row>
      </sheetData>
      <sheetData sheetId="3790">
        <row r="7">
          <cell r="E7" t="str">
            <v>PT. DANONE BISCUITS INDONESIA</v>
          </cell>
        </row>
      </sheetData>
      <sheetData sheetId="3791">
        <row r="7">
          <cell r="E7" t="str">
            <v>PT. DANONE BISCUITS INDONESIA</v>
          </cell>
        </row>
      </sheetData>
      <sheetData sheetId="3792">
        <row r="7">
          <cell r="E7" t="str">
            <v>PT. DANONE BISCUITS INDONESIA</v>
          </cell>
        </row>
      </sheetData>
      <sheetData sheetId="3793">
        <row r="7">
          <cell r="E7" t="str">
            <v>PT. DANONE BISCUITS INDONESIA</v>
          </cell>
        </row>
      </sheetData>
      <sheetData sheetId="3794">
        <row r="7">
          <cell r="E7" t="str">
            <v>PT. DANONE BISCUITS INDONESIA</v>
          </cell>
        </row>
      </sheetData>
      <sheetData sheetId="3795">
        <row r="7">
          <cell r="E7" t="str">
            <v>PT. DANONE BISCUITS INDONESIA</v>
          </cell>
        </row>
      </sheetData>
      <sheetData sheetId="3796">
        <row r="7">
          <cell r="E7" t="str">
            <v>PT. DANONE BISCUITS INDONESIA</v>
          </cell>
        </row>
      </sheetData>
      <sheetData sheetId="3797">
        <row r="7">
          <cell r="E7" t="str">
            <v>PT. DANONE BISCUITS INDONESIA</v>
          </cell>
        </row>
      </sheetData>
      <sheetData sheetId="3798">
        <row r="7">
          <cell r="E7" t="str">
            <v>PT. DANONE BISCUITS INDONESIA</v>
          </cell>
        </row>
      </sheetData>
      <sheetData sheetId="3799">
        <row r="7">
          <cell r="E7" t="str">
            <v>PT. DANONE BISCUITS INDONESIA</v>
          </cell>
        </row>
      </sheetData>
      <sheetData sheetId="3800">
        <row r="7">
          <cell r="E7" t="str">
            <v>PT. DANONE BISCUITS INDONESIA</v>
          </cell>
        </row>
      </sheetData>
      <sheetData sheetId="3801">
        <row r="7">
          <cell r="E7" t="str">
            <v>PT. DANONE BISCUITS INDONESIA</v>
          </cell>
        </row>
      </sheetData>
      <sheetData sheetId="3802">
        <row r="7">
          <cell r="E7" t="str">
            <v>PT. DANONE BISCUITS INDONESIA</v>
          </cell>
        </row>
      </sheetData>
      <sheetData sheetId="3803">
        <row r="7">
          <cell r="E7" t="str">
            <v>PT. DANONE BISCUITS INDONESIA</v>
          </cell>
        </row>
      </sheetData>
      <sheetData sheetId="3804">
        <row r="7">
          <cell r="E7" t="str">
            <v>PT. DANONE BISCUITS INDONESIA</v>
          </cell>
        </row>
      </sheetData>
      <sheetData sheetId="3805">
        <row r="7">
          <cell r="E7" t="str">
            <v>PT. DANONE BISCUITS INDONESIA</v>
          </cell>
        </row>
      </sheetData>
      <sheetData sheetId="3806">
        <row r="7">
          <cell r="E7" t="str">
            <v>PT. DANONE BISCUITS INDONESIA</v>
          </cell>
        </row>
      </sheetData>
      <sheetData sheetId="3807">
        <row r="7">
          <cell r="E7" t="str">
            <v>PT. DANONE BISCUITS INDONESIA</v>
          </cell>
        </row>
      </sheetData>
      <sheetData sheetId="3808">
        <row r="7">
          <cell r="E7" t="str">
            <v>PT. DANONE BISCUITS INDONESIA</v>
          </cell>
        </row>
      </sheetData>
      <sheetData sheetId="3809">
        <row r="7">
          <cell r="E7" t="str">
            <v>PT. DANONE BISCUITS INDONESIA</v>
          </cell>
        </row>
      </sheetData>
      <sheetData sheetId="3810">
        <row r="7">
          <cell r="E7" t="str">
            <v>PT. DANONE BISCUITS INDONESIA</v>
          </cell>
        </row>
      </sheetData>
      <sheetData sheetId="3811">
        <row r="7">
          <cell r="E7" t="str">
            <v>PT. DANONE BISCUITS INDONESIA</v>
          </cell>
        </row>
      </sheetData>
      <sheetData sheetId="3812">
        <row r="7">
          <cell r="E7" t="str">
            <v>PT. DANONE BISCUITS INDONESIA</v>
          </cell>
        </row>
      </sheetData>
      <sheetData sheetId="3813">
        <row r="7">
          <cell r="E7" t="str">
            <v>PT. DANONE BISCUITS INDONESIA</v>
          </cell>
        </row>
      </sheetData>
      <sheetData sheetId="3814">
        <row r="7">
          <cell r="E7" t="str">
            <v>PT. DANONE BISCUITS INDONESIA</v>
          </cell>
        </row>
      </sheetData>
      <sheetData sheetId="3815">
        <row r="7">
          <cell r="E7" t="str">
            <v>PT. DANONE BISCUITS INDONESIA</v>
          </cell>
        </row>
      </sheetData>
      <sheetData sheetId="3816">
        <row r="7">
          <cell r="E7" t="str">
            <v>PT. DANONE BISCUITS INDONESIA</v>
          </cell>
        </row>
      </sheetData>
      <sheetData sheetId="3817">
        <row r="7">
          <cell r="E7" t="str">
            <v>PT. DANONE BISCUITS INDONESIA</v>
          </cell>
        </row>
      </sheetData>
      <sheetData sheetId="3818">
        <row r="7">
          <cell r="E7" t="str">
            <v>PT. DANONE BISCUITS INDONESIA</v>
          </cell>
        </row>
      </sheetData>
      <sheetData sheetId="3819">
        <row r="7">
          <cell r="E7" t="str">
            <v>PT. DANONE BISCUITS INDONESIA</v>
          </cell>
        </row>
      </sheetData>
      <sheetData sheetId="3820">
        <row r="7">
          <cell r="E7" t="str">
            <v>PT. DANONE BISCUITS INDONESIA</v>
          </cell>
        </row>
      </sheetData>
      <sheetData sheetId="3821">
        <row r="7">
          <cell r="E7" t="str">
            <v>PT. DANONE BISCUITS INDONESIA</v>
          </cell>
        </row>
      </sheetData>
      <sheetData sheetId="3822">
        <row r="7">
          <cell r="E7" t="str">
            <v>PT. DANONE BISCUITS INDONESIA</v>
          </cell>
        </row>
      </sheetData>
      <sheetData sheetId="3823">
        <row r="7">
          <cell r="E7" t="str">
            <v>PT. DANONE BISCUITS INDONESIA</v>
          </cell>
        </row>
      </sheetData>
      <sheetData sheetId="3824">
        <row r="7">
          <cell r="E7" t="str">
            <v>PT. DANONE BISCUITS INDONESIA</v>
          </cell>
        </row>
      </sheetData>
      <sheetData sheetId="3825">
        <row r="7">
          <cell r="E7" t="str">
            <v>PT. DANONE BISCUITS INDONESIA</v>
          </cell>
        </row>
      </sheetData>
      <sheetData sheetId="3826">
        <row r="7">
          <cell r="E7" t="str">
            <v>PT. DANONE BISCUITS INDONESIA</v>
          </cell>
        </row>
      </sheetData>
      <sheetData sheetId="3827">
        <row r="7">
          <cell r="E7" t="str">
            <v>PT. DANONE BISCUITS INDONESIA</v>
          </cell>
        </row>
      </sheetData>
      <sheetData sheetId="3828">
        <row r="7">
          <cell r="E7" t="str">
            <v>PT. DANONE BISCUITS INDONESIA</v>
          </cell>
        </row>
      </sheetData>
      <sheetData sheetId="3829">
        <row r="7">
          <cell r="E7" t="str">
            <v>PT. DANONE BISCUITS INDONESIA</v>
          </cell>
        </row>
      </sheetData>
      <sheetData sheetId="3830">
        <row r="7">
          <cell r="E7" t="str">
            <v>PT. DANONE BISCUITS INDONESIA</v>
          </cell>
        </row>
      </sheetData>
      <sheetData sheetId="3831">
        <row r="7">
          <cell r="E7" t="str">
            <v>PT. DANONE BISCUITS INDONESIA</v>
          </cell>
        </row>
      </sheetData>
      <sheetData sheetId="3832">
        <row r="7">
          <cell r="E7" t="str">
            <v>PT. DANONE BISCUITS INDONESIA</v>
          </cell>
        </row>
      </sheetData>
      <sheetData sheetId="3833">
        <row r="7">
          <cell r="E7" t="str">
            <v>PT. DANONE BISCUITS INDONESIA</v>
          </cell>
        </row>
      </sheetData>
      <sheetData sheetId="3834">
        <row r="7">
          <cell r="E7" t="str">
            <v>PT. DANONE BISCUITS INDONESIA</v>
          </cell>
        </row>
      </sheetData>
      <sheetData sheetId="3835">
        <row r="7">
          <cell r="E7" t="str">
            <v>PT. DANONE BISCUITS INDONESIA</v>
          </cell>
        </row>
      </sheetData>
      <sheetData sheetId="3836">
        <row r="7">
          <cell r="E7" t="str">
            <v>PT. DANONE BISCUITS INDONESIA</v>
          </cell>
        </row>
      </sheetData>
      <sheetData sheetId="3837">
        <row r="7">
          <cell r="E7" t="str">
            <v>PT. DANONE BISCUITS INDONESIA</v>
          </cell>
        </row>
      </sheetData>
      <sheetData sheetId="3838">
        <row r="7">
          <cell r="E7" t="str">
            <v>PT. DANONE BISCUITS INDONESIA</v>
          </cell>
        </row>
      </sheetData>
      <sheetData sheetId="3839">
        <row r="7">
          <cell r="E7" t="str">
            <v>PT. DANONE BISCUITS INDONESIA</v>
          </cell>
        </row>
      </sheetData>
      <sheetData sheetId="3840">
        <row r="7">
          <cell r="E7" t="str">
            <v>PT. DANONE BISCUITS INDONESIA</v>
          </cell>
        </row>
      </sheetData>
      <sheetData sheetId="3841">
        <row r="7">
          <cell r="E7" t="str">
            <v>PT. DANONE BISCUITS INDONESIA</v>
          </cell>
        </row>
      </sheetData>
      <sheetData sheetId="3842">
        <row r="7">
          <cell r="E7" t="str">
            <v>PT. DANONE BISCUITS INDONESIA</v>
          </cell>
        </row>
      </sheetData>
      <sheetData sheetId="3843">
        <row r="7">
          <cell r="E7" t="str">
            <v>PT. DANONE BISCUITS INDONESIA</v>
          </cell>
        </row>
      </sheetData>
      <sheetData sheetId="3844">
        <row r="7">
          <cell r="E7" t="str">
            <v>PT. DANONE BISCUITS INDONESIA</v>
          </cell>
        </row>
      </sheetData>
      <sheetData sheetId="3845">
        <row r="7">
          <cell r="E7" t="str">
            <v>PT. DANONE BISCUITS INDONESIA</v>
          </cell>
        </row>
      </sheetData>
      <sheetData sheetId="3846">
        <row r="7">
          <cell r="E7" t="str">
            <v>PT. DANONE BISCUITS INDONESIA</v>
          </cell>
        </row>
      </sheetData>
      <sheetData sheetId="3847">
        <row r="7">
          <cell r="E7" t="str">
            <v>PT. DANONE BISCUITS INDONESIA</v>
          </cell>
        </row>
      </sheetData>
      <sheetData sheetId="3848">
        <row r="7">
          <cell r="E7" t="str">
            <v>PT. DANONE BISCUITS INDONESIA</v>
          </cell>
        </row>
      </sheetData>
      <sheetData sheetId="3849">
        <row r="7">
          <cell r="E7" t="str">
            <v>PT. DANONE BISCUITS INDONESIA</v>
          </cell>
        </row>
      </sheetData>
      <sheetData sheetId="3850">
        <row r="7">
          <cell r="E7" t="str">
            <v>PT. DANONE BISCUITS INDONESIA</v>
          </cell>
        </row>
      </sheetData>
      <sheetData sheetId="3851">
        <row r="7">
          <cell r="E7" t="str">
            <v>PT. DANONE BISCUITS INDONESIA</v>
          </cell>
        </row>
      </sheetData>
      <sheetData sheetId="3852">
        <row r="7">
          <cell r="E7" t="str">
            <v>PT. DANONE BISCUITS INDONESIA</v>
          </cell>
        </row>
      </sheetData>
      <sheetData sheetId="3853">
        <row r="7">
          <cell r="E7" t="str">
            <v>PT. DANONE BISCUITS INDONESIA</v>
          </cell>
        </row>
      </sheetData>
      <sheetData sheetId="3854">
        <row r="7">
          <cell r="E7" t="str">
            <v>PT. DANONE BISCUITS INDONESIA</v>
          </cell>
        </row>
      </sheetData>
      <sheetData sheetId="3855">
        <row r="7">
          <cell r="E7" t="str">
            <v>PT. DANONE BISCUITS INDONESIA</v>
          </cell>
        </row>
      </sheetData>
      <sheetData sheetId="3856">
        <row r="7">
          <cell r="E7" t="str">
            <v>PT. DANONE BISCUITS INDONESIA</v>
          </cell>
        </row>
      </sheetData>
      <sheetData sheetId="3857">
        <row r="7">
          <cell r="E7" t="str">
            <v>PT. DANONE BISCUITS INDONESIA</v>
          </cell>
        </row>
      </sheetData>
      <sheetData sheetId="3858">
        <row r="7">
          <cell r="E7" t="str">
            <v>PT. DANONE BISCUITS INDONESIA</v>
          </cell>
        </row>
      </sheetData>
      <sheetData sheetId="3859">
        <row r="7">
          <cell r="E7" t="str">
            <v>PT. DANONE BISCUITS INDONESIA</v>
          </cell>
        </row>
      </sheetData>
      <sheetData sheetId="3860">
        <row r="7">
          <cell r="E7" t="str">
            <v>PT. DANONE BISCUITS INDONESIA</v>
          </cell>
        </row>
      </sheetData>
      <sheetData sheetId="3861">
        <row r="7">
          <cell r="E7" t="str">
            <v>PT. DANONE BISCUITS INDONESIA</v>
          </cell>
        </row>
      </sheetData>
      <sheetData sheetId="3862">
        <row r="7">
          <cell r="E7" t="str">
            <v>PT. DANONE BISCUITS INDONESIA</v>
          </cell>
        </row>
      </sheetData>
      <sheetData sheetId="3863">
        <row r="7">
          <cell r="E7" t="str">
            <v>PT. DANONE BISCUITS INDONESIA</v>
          </cell>
        </row>
      </sheetData>
      <sheetData sheetId="3864">
        <row r="7">
          <cell r="E7" t="str">
            <v>PT. DANONE BISCUITS INDONESIA</v>
          </cell>
        </row>
      </sheetData>
      <sheetData sheetId="3865">
        <row r="7">
          <cell r="E7" t="str">
            <v>PT. DANONE BISCUITS INDONESIA</v>
          </cell>
        </row>
      </sheetData>
      <sheetData sheetId="3866">
        <row r="7">
          <cell r="E7" t="str">
            <v>PT. DANONE BISCUITS INDONESIA</v>
          </cell>
        </row>
      </sheetData>
      <sheetData sheetId="3867">
        <row r="7">
          <cell r="E7" t="str">
            <v>PT. DANONE BISCUITS INDONESIA</v>
          </cell>
        </row>
      </sheetData>
      <sheetData sheetId="3868">
        <row r="7">
          <cell r="E7" t="str">
            <v>PT. DANONE BISCUITS INDONESIA</v>
          </cell>
        </row>
      </sheetData>
      <sheetData sheetId="3869">
        <row r="7">
          <cell r="E7" t="str">
            <v>PT. DANONE BISCUITS INDONESIA</v>
          </cell>
        </row>
      </sheetData>
      <sheetData sheetId="3870">
        <row r="7">
          <cell r="E7" t="str">
            <v>PT. DANONE BISCUITS INDONESIA</v>
          </cell>
        </row>
      </sheetData>
      <sheetData sheetId="3871">
        <row r="7">
          <cell r="E7" t="str">
            <v>PT. DANONE BISCUITS INDONESIA</v>
          </cell>
        </row>
      </sheetData>
      <sheetData sheetId="3872">
        <row r="7">
          <cell r="E7" t="str">
            <v>PT. DANONE BISCUITS INDONESIA</v>
          </cell>
        </row>
      </sheetData>
      <sheetData sheetId="3873">
        <row r="7">
          <cell r="E7" t="str">
            <v>PT. DANONE BISCUITS INDONESIA</v>
          </cell>
        </row>
      </sheetData>
      <sheetData sheetId="3874">
        <row r="7">
          <cell r="E7" t="str">
            <v>PT. DANONE BISCUITS INDONESIA</v>
          </cell>
        </row>
      </sheetData>
      <sheetData sheetId="3875">
        <row r="7">
          <cell r="E7" t="str">
            <v>PT. DANONE BISCUITS INDONESIA</v>
          </cell>
        </row>
      </sheetData>
      <sheetData sheetId="3876">
        <row r="7">
          <cell r="E7" t="str">
            <v>PT. DANONE BISCUITS INDONESIA</v>
          </cell>
        </row>
      </sheetData>
      <sheetData sheetId="3877">
        <row r="7">
          <cell r="E7" t="str">
            <v>PT. DANONE BISCUITS INDONESIA</v>
          </cell>
        </row>
      </sheetData>
      <sheetData sheetId="3878">
        <row r="7">
          <cell r="E7" t="str">
            <v>PT. DANONE BISCUITS INDONESIA</v>
          </cell>
        </row>
      </sheetData>
      <sheetData sheetId="3879">
        <row r="7">
          <cell r="E7" t="str">
            <v>PT. DANONE BISCUITS INDONESIA</v>
          </cell>
        </row>
      </sheetData>
      <sheetData sheetId="3880">
        <row r="7">
          <cell r="E7" t="str">
            <v>PT. DANONE BISCUITS INDONESIA</v>
          </cell>
        </row>
      </sheetData>
      <sheetData sheetId="3881">
        <row r="7">
          <cell r="E7" t="str">
            <v>PT. DANONE BISCUITS INDONESIA</v>
          </cell>
        </row>
      </sheetData>
      <sheetData sheetId="3882">
        <row r="7">
          <cell r="E7" t="str">
            <v>PT. DANONE BISCUITS INDONESIA</v>
          </cell>
        </row>
      </sheetData>
      <sheetData sheetId="3883">
        <row r="7">
          <cell r="E7" t="str">
            <v>PT. DANONE BISCUITS INDONESIA</v>
          </cell>
        </row>
      </sheetData>
      <sheetData sheetId="3884">
        <row r="7">
          <cell r="E7" t="str">
            <v>PT. DANONE BISCUITS INDONESIA</v>
          </cell>
        </row>
      </sheetData>
      <sheetData sheetId="3885">
        <row r="7">
          <cell r="E7" t="str">
            <v>PT. DANONE BISCUITS INDONESIA</v>
          </cell>
        </row>
      </sheetData>
      <sheetData sheetId="3886">
        <row r="7">
          <cell r="E7" t="str">
            <v>PT. DANONE BISCUITS INDONESIA</v>
          </cell>
        </row>
      </sheetData>
      <sheetData sheetId="3887">
        <row r="7">
          <cell r="E7" t="str">
            <v>PT. DANONE BISCUITS INDONESIA</v>
          </cell>
        </row>
      </sheetData>
      <sheetData sheetId="3888">
        <row r="7">
          <cell r="E7" t="str">
            <v>PT. DANONE BISCUITS INDONESIA</v>
          </cell>
        </row>
      </sheetData>
      <sheetData sheetId="3889">
        <row r="7">
          <cell r="E7" t="str">
            <v>PT. DANONE BISCUITS INDONESIA</v>
          </cell>
        </row>
      </sheetData>
      <sheetData sheetId="3890">
        <row r="7">
          <cell r="E7" t="str">
            <v>PT. DANONE BISCUITS INDONESIA</v>
          </cell>
        </row>
      </sheetData>
      <sheetData sheetId="3891">
        <row r="7">
          <cell r="E7" t="str">
            <v>PT. DANONE BISCUITS INDONESIA</v>
          </cell>
        </row>
      </sheetData>
      <sheetData sheetId="3892">
        <row r="7">
          <cell r="E7" t="str">
            <v>PT. DANONE BISCUITS INDONESIA</v>
          </cell>
        </row>
      </sheetData>
      <sheetData sheetId="3893">
        <row r="7">
          <cell r="E7" t="str">
            <v>PT. DANONE BISCUITS INDONESIA</v>
          </cell>
        </row>
      </sheetData>
      <sheetData sheetId="3894">
        <row r="7">
          <cell r="E7" t="str">
            <v>PT. DANONE BISCUITS INDONESIA</v>
          </cell>
        </row>
      </sheetData>
      <sheetData sheetId="3895">
        <row r="7">
          <cell r="E7" t="str">
            <v>PT. DANONE BISCUITS INDONESIA</v>
          </cell>
        </row>
      </sheetData>
      <sheetData sheetId="3896">
        <row r="7">
          <cell r="E7" t="str">
            <v>PT. DANONE BISCUITS INDONESIA</v>
          </cell>
        </row>
      </sheetData>
      <sheetData sheetId="3897">
        <row r="7">
          <cell r="E7" t="str">
            <v>PT. DANONE BISCUITS INDONESIA</v>
          </cell>
        </row>
      </sheetData>
      <sheetData sheetId="3898">
        <row r="7">
          <cell r="E7" t="str">
            <v>PT. DANONE BISCUITS INDONESIA</v>
          </cell>
        </row>
      </sheetData>
      <sheetData sheetId="3899">
        <row r="7">
          <cell r="E7" t="str">
            <v>PT. DANONE BISCUITS INDONESIA</v>
          </cell>
        </row>
      </sheetData>
      <sheetData sheetId="3900">
        <row r="7">
          <cell r="E7" t="str">
            <v>PT. DANONE BISCUITS INDONESIA</v>
          </cell>
        </row>
      </sheetData>
      <sheetData sheetId="3901">
        <row r="7">
          <cell r="E7" t="str">
            <v>PT. DANONE BISCUITS INDONESIA</v>
          </cell>
        </row>
      </sheetData>
      <sheetData sheetId="3902">
        <row r="7">
          <cell r="E7" t="str">
            <v>PT. DANONE BISCUITS INDONESIA</v>
          </cell>
        </row>
      </sheetData>
      <sheetData sheetId="3903">
        <row r="7">
          <cell r="E7" t="str">
            <v>PT. DANONE BISCUITS INDONESIA</v>
          </cell>
        </row>
      </sheetData>
      <sheetData sheetId="3904">
        <row r="7">
          <cell r="E7" t="str">
            <v>PT. DANONE BISCUITS INDONESIA</v>
          </cell>
        </row>
      </sheetData>
      <sheetData sheetId="3905">
        <row r="7">
          <cell r="E7" t="str">
            <v>PT. DANONE BISCUITS INDONESIA</v>
          </cell>
        </row>
      </sheetData>
      <sheetData sheetId="3906">
        <row r="7">
          <cell r="E7" t="str">
            <v>PT. DANONE BISCUITS INDONESIA</v>
          </cell>
        </row>
      </sheetData>
      <sheetData sheetId="3907">
        <row r="7">
          <cell r="E7" t="str">
            <v>PT. DANONE BISCUITS INDONESIA</v>
          </cell>
        </row>
      </sheetData>
      <sheetData sheetId="3908">
        <row r="7">
          <cell r="E7" t="str">
            <v>PT. DANONE BISCUITS INDONESIA</v>
          </cell>
        </row>
      </sheetData>
      <sheetData sheetId="3909">
        <row r="7">
          <cell r="E7" t="str">
            <v>PT. DANONE BISCUITS INDONESIA</v>
          </cell>
        </row>
      </sheetData>
      <sheetData sheetId="3910">
        <row r="7">
          <cell r="E7" t="str">
            <v>PT. DANONE BISCUITS INDONESIA</v>
          </cell>
        </row>
      </sheetData>
      <sheetData sheetId="3911">
        <row r="7">
          <cell r="E7" t="str">
            <v>PT. DANONE BISCUITS INDONESIA</v>
          </cell>
        </row>
      </sheetData>
      <sheetData sheetId="3912">
        <row r="7">
          <cell r="E7" t="str">
            <v>PT. DANONE BISCUITS INDONESIA</v>
          </cell>
        </row>
      </sheetData>
      <sheetData sheetId="3913">
        <row r="7">
          <cell r="E7" t="str">
            <v>PT. DANONE BISCUITS INDONESIA</v>
          </cell>
        </row>
      </sheetData>
      <sheetData sheetId="3914">
        <row r="7">
          <cell r="E7" t="str">
            <v>PT. DANONE BISCUITS INDONESIA</v>
          </cell>
        </row>
      </sheetData>
      <sheetData sheetId="3915">
        <row r="7">
          <cell r="E7" t="str">
            <v>PT. DANONE BISCUITS INDONESIA</v>
          </cell>
        </row>
      </sheetData>
      <sheetData sheetId="3916">
        <row r="7">
          <cell r="E7" t="str">
            <v>PT. DANONE BISCUITS INDONESIA</v>
          </cell>
        </row>
      </sheetData>
      <sheetData sheetId="3917">
        <row r="7">
          <cell r="E7" t="str">
            <v>PT. DANONE BISCUITS INDONESIA</v>
          </cell>
        </row>
      </sheetData>
      <sheetData sheetId="3918">
        <row r="7">
          <cell r="E7" t="str">
            <v>PT. DANONE BISCUITS INDONESIA</v>
          </cell>
        </row>
      </sheetData>
      <sheetData sheetId="3919">
        <row r="7">
          <cell r="E7" t="str">
            <v>PT. DANONE BISCUITS INDONESIA</v>
          </cell>
        </row>
      </sheetData>
      <sheetData sheetId="3920">
        <row r="7">
          <cell r="E7" t="str">
            <v>PT. DANONE BISCUITS INDONESIA</v>
          </cell>
        </row>
      </sheetData>
      <sheetData sheetId="3921">
        <row r="7">
          <cell r="E7" t="str">
            <v>PT. DANONE BISCUITS INDONESIA</v>
          </cell>
        </row>
      </sheetData>
      <sheetData sheetId="3922">
        <row r="7">
          <cell r="E7" t="str">
            <v>PT. DANONE BISCUITS INDONESIA</v>
          </cell>
        </row>
      </sheetData>
      <sheetData sheetId="3923">
        <row r="7">
          <cell r="E7" t="str">
            <v>PT. DANONE BISCUITS INDONESIA</v>
          </cell>
        </row>
      </sheetData>
      <sheetData sheetId="3924">
        <row r="7">
          <cell r="E7" t="str">
            <v>PT. DANONE BISCUITS INDONESIA</v>
          </cell>
        </row>
      </sheetData>
      <sheetData sheetId="3925">
        <row r="7">
          <cell r="E7" t="str">
            <v>PT. DANONE BISCUITS INDONESIA</v>
          </cell>
        </row>
      </sheetData>
      <sheetData sheetId="3926">
        <row r="7">
          <cell r="E7" t="str">
            <v>PT. DANONE BISCUITS INDONESIA</v>
          </cell>
        </row>
      </sheetData>
      <sheetData sheetId="3927">
        <row r="7">
          <cell r="E7" t="str">
            <v>PT. DANONE BISCUITS INDONESIA</v>
          </cell>
        </row>
      </sheetData>
      <sheetData sheetId="3928">
        <row r="7">
          <cell r="E7" t="str">
            <v>PT. DANONE BISCUITS INDONESIA</v>
          </cell>
        </row>
      </sheetData>
      <sheetData sheetId="3929">
        <row r="7">
          <cell r="E7" t="str">
            <v>PT. DANONE BISCUITS INDONESIA</v>
          </cell>
        </row>
      </sheetData>
      <sheetData sheetId="3930">
        <row r="7">
          <cell r="E7" t="str">
            <v>PT. DANONE BISCUITS INDONESIA</v>
          </cell>
        </row>
      </sheetData>
      <sheetData sheetId="3931">
        <row r="7">
          <cell r="E7" t="str">
            <v>PT. DANONE BISCUITS INDONESIA</v>
          </cell>
        </row>
      </sheetData>
      <sheetData sheetId="3932">
        <row r="7">
          <cell r="E7" t="str">
            <v>PT. DANONE BISCUITS INDONESIA</v>
          </cell>
        </row>
      </sheetData>
      <sheetData sheetId="3933">
        <row r="7">
          <cell r="E7" t="str">
            <v>PT. DANONE BISCUITS INDONESIA</v>
          </cell>
        </row>
      </sheetData>
      <sheetData sheetId="3934">
        <row r="7">
          <cell r="E7" t="str">
            <v>PT. DANONE BISCUITS INDONESIA</v>
          </cell>
        </row>
      </sheetData>
      <sheetData sheetId="3935">
        <row r="7">
          <cell r="E7" t="str">
            <v>PT. DANONE BISCUITS INDONESIA</v>
          </cell>
        </row>
      </sheetData>
      <sheetData sheetId="3936">
        <row r="7">
          <cell r="E7" t="str">
            <v>PT. DANONE BISCUITS INDONESIA</v>
          </cell>
        </row>
      </sheetData>
      <sheetData sheetId="3937">
        <row r="7">
          <cell r="E7" t="str">
            <v>PT. DANONE BISCUITS INDONESIA</v>
          </cell>
        </row>
      </sheetData>
      <sheetData sheetId="3938">
        <row r="7">
          <cell r="E7" t="str">
            <v>PT. DANONE BISCUITS INDONESIA</v>
          </cell>
        </row>
      </sheetData>
      <sheetData sheetId="3939">
        <row r="7">
          <cell r="E7" t="str">
            <v>PT. DANONE BISCUITS INDONESIA</v>
          </cell>
        </row>
      </sheetData>
      <sheetData sheetId="3940">
        <row r="7">
          <cell r="E7" t="str">
            <v>PT. DANONE BISCUITS INDONESIA</v>
          </cell>
        </row>
      </sheetData>
      <sheetData sheetId="3941">
        <row r="7">
          <cell r="E7" t="str">
            <v>PT. DANONE BISCUITS INDONESIA</v>
          </cell>
        </row>
      </sheetData>
      <sheetData sheetId="3942">
        <row r="7">
          <cell r="E7" t="str">
            <v>PT. DANONE BISCUITS INDONESIA</v>
          </cell>
        </row>
      </sheetData>
      <sheetData sheetId="3943">
        <row r="7">
          <cell r="E7" t="str">
            <v>PT. DANONE BISCUITS INDONESIA</v>
          </cell>
        </row>
      </sheetData>
      <sheetData sheetId="3944" refreshError="1"/>
      <sheetData sheetId="3945" refreshError="1"/>
      <sheetData sheetId="3946" refreshError="1"/>
      <sheetData sheetId="3947" refreshError="1"/>
      <sheetData sheetId="3948">
        <row r="7">
          <cell r="E7" t="str">
            <v>PT. DANONE BISCUITS INDONESIA</v>
          </cell>
        </row>
      </sheetData>
      <sheetData sheetId="3949">
        <row r="7">
          <cell r="E7" t="str">
            <v>PT. DANONE BISCUITS INDONESIA</v>
          </cell>
        </row>
      </sheetData>
      <sheetData sheetId="3950">
        <row r="7">
          <cell r="E7" t="str">
            <v>PT. DANONE BISCUITS INDONESIA</v>
          </cell>
        </row>
      </sheetData>
      <sheetData sheetId="3951">
        <row r="7">
          <cell r="E7" t="str">
            <v>PT. DANONE BISCUITS INDONESIA</v>
          </cell>
        </row>
      </sheetData>
      <sheetData sheetId="3952">
        <row r="7">
          <cell r="E7" t="str">
            <v>PT. DANONE BISCUITS INDONESIA</v>
          </cell>
        </row>
      </sheetData>
      <sheetData sheetId="3953">
        <row r="7">
          <cell r="E7" t="str">
            <v>PT. DANONE BISCUITS INDONESIA</v>
          </cell>
        </row>
      </sheetData>
      <sheetData sheetId="3954">
        <row r="7">
          <cell r="E7" t="str">
            <v>PT. DANONE BISCUITS INDONESIA</v>
          </cell>
        </row>
      </sheetData>
      <sheetData sheetId="3955">
        <row r="7">
          <cell r="E7" t="str">
            <v>PT. DANONE BISCUITS INDONESIA</v>
          </cell>
        </row>
      </sheetData>
      <sheetData sheetId="3956">
        <row r="7">
          <cell r="E7" t="str">
            <v>PT. DANONE BISCUITS INDONESIA</v>
          </cell>
        </row>
      </sheetData>
      <sheetData sheetId="3957">
        <row r="7">
          <cell r="E7" t="str">
            <v>PT. DANONE BISCUITS INDONESIA</v>
          </cell>
        </row>
      </sheetData>
      <sheetData sheetId="3958">
        <row r="7">
          <cell r="E7" t="str">
            <v>PT. DANONE BISCUITS INDONESIA</v>
          </cell>
        </row>
      </sheetData>
      <sheetData sheetId="3959">
        <row r="7">
          <cell r="E7" t="str">
            <v>PT. DANONE BISCUITS INDONESIA</v>
          </cell>
        </row>
      </sheetData>
      <sheetData sheetId="3960">
        <row r="7">
          <cell r="E7" t="str">
            <v>PT. DANONE BISCUITS INDONESIA</v>
          </cell>
        </row>
      </sheetData>
      <sheetData sheetId="3961">
        <row r="7">
          <cell r="E7" t="str">
            <v>PT. DANONE BISCUITS INDONESIA</v>
          </cell>
        </row>
      </sheetData>
      <sheetData sheetId="3962">
        <row r="7">
          <cell r="E7" t="str">
            <v>PT. DANONE BISCUITS INDONESIA</v>
          </cell>
        </row>
      </sheetData>
      <sheetData sheetId="3963">
        <row r="7">
          <cell r="E7" t="str">
            <v>PT. DANONE BISCUITS INDONESIA</v>
          </cell>
        </row>
      </sheetData>
      <sheetData sheetId="3964">
        <row r="7">
          <cell r="E7" t="str">
            <v>PT. DANONE BISCUITS INDONESIA</v>
          </cell>
        </row>
      </sheetData>
      <sheetData sheetId="3965">
        <row r="7">
          <cell r="E7" t="str">
            <v>PT. DANONE BISCUITS INDONESIA</v>
          </cell>
        </row>
      </sheetData>
      <sheetData sheetId="3966">
        <row r="7">
          <cell r="E7" t="str">
            <v>PT. DANONE BISCUITS INDONESIA</v>
          </cell>
        </row>
      </sheetData>
      <sheetData sheetId="3967">
        <row r="7">
          <cell r="E7" t="str">
            <v>PT. DANONE BISCUITS INDONESIA</v>
          </cell>
        </row>
      </sheetData>
      <sheetData sheetId="3968">
        <row r="7">
          <cell r="E7" t="str">
            <v>PT. DANONE BISCUITS INDONESIA</v>
          </cell>
        </row>
      </sheetData>
      <sheetData sheetId="3969">
        <row r="7">
          <cell r="E7" t="str">
            <v>PT. DANONE BISCUITS INDONESIA</v>
          </cell>
        </row>
      </sheetData>
      <sheetData sheetId="3970">
        <row r="7">
          <cell r="E7" t="str">
            <v>PT. DANONE BISCUITS INDONESIA</v>
          </cell>
        </row>
      </sheetData>
      <sheetData sheetId="3971">
        <row r="7">
          <cell r="E7" t="str">
            <v>PT. DANONE BISCUITS INDONESIA</v>
          </cell>
        </row>
      </sheetData>
      <sheetData sheetId="3972">
        <row r="7">
          <cell r="E7" t="str">
            <v>PT. DANONE BISCUITS INDONESIA</v>
          </cell>
        </row>
      </sheetData>
      <sheetData sheetId="3973">
        <row r="7">
          <cell r="E7" t="str">
            <v>PT. DANONE BISCUITS INDONESIA</v>
          </cell>
        </row>
      </sheetData>
      <sheetData sheetId="3974">
        <row r="7">
          <cell r="E7" t="str">
            <v>PT. DANONE BISCUITS INDONESIA</v>
          </cell>
        </row>
      </sheetData>
      <sheetData sheetId="3975">
        <row r="7">
          <cell r="E7" t="str">
            <v>PT. DANONE BISCUITS INDONESIA</v>
          </cell>
        </row>
      </sheetData>
      <sheetData sheetId="3976">
        <row r="7">
          <cell r="E7" t="str">
            <v>PT. DANONE BISCUITS INDONESIA</v>
          </cell>
        </row>
      </sheetData>
      <sheetData sheetId="3977">
        <row r="7">
          <cell r="E7" t="str">
            <v>PT. DANONE BISCUITS INDONESIA</v>
          </cell>
        </row>
      </sheetData>
      <sheetData sheetId="3978">
        <row r="7">
          <cell r="E7" t="str">
            <v>PT. DANONE BISCUITS INDONESIA</v>
          </cell>
        </row>
      </sheetData>
      <sheetData sheetId="3979">
        <row r="7">
          <cell r="E7" t="str">
            <v>PT. DANONE BISCUITS INDONESIA</v>
          </cell>
        </row>
      </sheetData>
      <sheetData sheetId="3980">
        <row r="7">
          <cell r="E7" t="str">
            <v>PT. DANONE BISCUITS INDONESIA</v>
          </cell>
        </row>
      </sheetData>
      <sheetData sheetId="3981">
        <row r="7">
          <cell r="E7" t="str">
            <v>PT. DANONE BISCUITS INDONESIA</v>
          </cell>
        </row>
      </sheetData>
      <sheetData sheetId="3982">
        <row r="7">
          <cell r="E7" t="str">
            <v>PT. DANONE BISCUITS INDONESIA</v>
          </cell>
        </row>
      </sheetData>
      <sheetData sheetId="3983">
        <row r="7">
          <cell r="E7" t="str">
            <v>PT. DANONE BISCUITS INDONESIA</v>
          </cell>
        </row>
      </sheetData>
      <sheetData sheetId="3984">
        <row r="7">
          <cell r="E7" t="str">
            <v>PT. DANONE BISCUITS INDONESIA</v>
          </cell>
        </row>
      </sheetData>
      <sheetData sheetId="3985">
        <row r="7">
          <cell r="E7" t="str">
            <v>PT. DANONE BISCUITS INDONESIA</v>
          </cell>
        </row>
      </sheetData>
      <sheetData sheetId="3986">
        <row r="7">
          <cell r="E7" t="str">
            <v>PT. DANONE BISCUITS INDONESIA</v>
          </cell>
        </row>
      </sheetData>
      <sheetData sheetId="3987">
        <row r="7">
          <cell r="E7" t="str">
            <v>PT. DANONE BISCUITS INDONESIA</v>
          </cell>
        </row>
      </sheetData>
      <sheetData sheetId="3988">
        <row r="7">
          <cell r="E7" t="str">
            <v>PT. DANONE BISCUITS INDONESIA</v>
          </cell>
        </row>
      </sheetData>
      <sheetData sheetId="3989">
        <row r="7">
          <cell r="E7" t="str">
            <v>PT. DANONE BISCUITS INDONESIA</v>
          </cell>
        </row>
      </sheetData>
      <sheetData sheetId="3990">
        <row r="7">
          <cell r="E7" t="str">
            <v>PT. DANONE BISCUITS INDONESIA</v>
          </cell>
        </row>
      </sheetData>
      <sheetData sheetId="3991">
        <row r="7">
          <cell r="E7" t="str">
            <v>PT. DANONE BISCUITS INDONESIA</v>
          </cell>
        </row>
      </sheetData>
      <sheetData sheetId="3992">
        <row r="7">
          <cell r="E7" t="str">
            <v>PT. DANONE BISCUITS INDONESIA</v>
          </cell>
        </row>
      </sheetData>
      <sheetData sheetId="3993">
        <row r="7">
          <cell r="E7" t="str">
            <v>PT. DANONE BISCUITS INDONESIA</v>
          </cell>
        </row>
      </sheetData>
      <sheetData sheetId="3994">
        <row r="7">
          <cell r="E7" t="str">
            <v>PT. DANONE BISCUITS INDONESIA</v>
          </cell>
        </row>
      </sheetData>
      <sheetData sheetId="3995">
        <row r="7">
          <cell r="E7" t="str">
            <v>PT. DANONE BISCUITS INDONESIA</v>
          </cell>
        </row>
      </sheetData>
      <sheetData sheetId="3996">
        <row r="7">
          <cell r="E7" t="str">
            <v>PT. DANONE BISCUITS INDONESIA</v>
          </cell>
        </row>
      </sheetData>
      <sheetData sheetId="3997">
        <row r="7">
          <cell r="E7" t="str">
            <v>PT. DANONE BISCUITS INDONESIA</v>
          </cell>
        </row>
      </sheetData>
      <sheetData sheetId="3998">
        <row r="7">
          <cell r="E7" t="str">
            <v>PT. DANONE BISCUITS INDONESIA</v>
          </cell>
        </row>
      </sheetData>
      <sheetData sheetId="3999">
        <row r="7">
          <cell r="E7" t="str">
            <v>PT. DANONE BISCUITS INDONESIA</v>
          </cell>
        </row>
      </sheetData>
      <sheetData sheetId="4000">
        <row r="7">
          <cell r="E7" t="str">
            <v>PT. DANONE BISCUITS INDONESIA</v>
          </cell>
        </row>
      </sheetData>
      <sheetData sheetId="4001">
        <row r="7">
          <cell r="E7" t="str">
            <v>PT. DANONE BISCUITS INDONESIA</v>
          </cell>
        </row>
      </sheetData>
      <sheetData sheetId="4002">
        <row r="7">
          <cell r="E7" t="str">
            <v>PT. DANONE BISCUITS INDONESIA</v>
          </cell>
        </row>
      </sheetData>
      <sheetData sheetId="4003">
        <row r="7">
          <cell r="E7" t="str">
            <v>PT. DANONE BISCUITS INDONESIA</v>
          </cell>
        </row>
      </sheetData>
      <sheetData sheetId="4004">
        <row r="7">
          <cell r="E7" t="str">
            <v>PT. DANONE BISCUITS INDONESIA</v>
          </cell>
        </row>
      </sheetData>
      <sheetData sheetId="4005">
        <row r="7">
          <cell r="E7" t="str">
            <v>PT. DANONE BISCUITS INDONESIA</v>
          </cell>
        </row>
      </sheetData>
      <sheetData sheetId="4006">
        <row r="7">
          <cell r="E7" t="str">
            <v>PT. DANONE BISCUITS INDONESIA</v>
          </cell>
        </row>
      </sheetData>
      <sheetData sheetId="4007">
        <row r="7">
          <cell r="E7" t="str">
            <v>PT. DANONE BISCUITS INDONESIA</v>
          </cell>
        </row>
      </sheetData>
      <sheetData sheetId="4008">
        <row r="7">
          <cell r="E7" t="str">
            <v>PT. DANONE BISCUITS INDONESIA</v>
          </cell>
        </row>
      </sheetData>
      <sheetData sheetId="4009">
        <row r="7">
          <cell r="E7" t="str">
            <v>PT. DANONE BISCUITS INDONESIA</v>
          </cell>
        </row>
      </sheetData>
      <sheetData sheetId="4010">
        <row r="7">
          <cell r="E7" t="str">
            <v>PT. DANONE BISCUITS INDONESIA</v>
          </cell>
        </row>
      </sheetData>
      <sheetData sheetId="4011">
        <row r="7">
          <cell r="E7" t="str">
            <v>PT. DANONE BISCUITS INDONESIA</v>
          </cell>
        </row>
      </sheetData>
      <sheetData sheetId="4012">
        <row r="7">
          <cell r="E7" t="str">
            <v>PT. DANONE BISCUITS INDONESIA</v>
          </cell>
        </row>
      </sheetData>
      <sheetData sheetId="4013">
        <row r="7">
          <cell r="E7" t="str">
            <v>PT. DANONE BISCUITS INDONESIA</v>
          </cell>
        </row>
      </sheetData>
      <sheetData sheetId="4014">
        <row r="7">
          <cell r="E7" t="str">
            <v>PT. DANONE BISCUITS INDONESIA</v>
          </cell>
        </row>
      </sheetData>
      <sheetData sheetId="4015">
        <row r="7">
          <cell r="E7" t="str">
            <v>PT. DANONE BISCUITS INDONESIA</v>
          </cell>
        </row>
      </sheetData>
      <sheetData sheetId="4016">
        <row r="7">
          <cell r="E7" t="str">
            <v>PT. DANONE BISCUITS INDONESIA</v>
          </cell>
        </row>
      </sheetData>
      <sheetData sheetId="4017">
        <row r="7">
          <cell r="E7" t="str">
            <v>PT. DANONE BISCUITS INDONESIA</v>
          </cell>
        </row>
      </sheetData>
      <sheetData sheetId="4018">
        <row r="7">
          <cell r="E7" t="str">
            <v>PT. DANONE BISCUITS INDONESIA</v>
          </cell>
        </row>
      </sheetData>
      <sheetData sheetId="4019">
        <row r="7">
          <cell r="E7" t="str">
            <v>PT. DANONE BISCUITS INDONESIA</v>
          </cell>
        </row>
      </sheetData>
      <sheetData sheetId="4020">
        <row r="7">
          <cell r="E7" t="str">
            <v>PT. DANONE BISCUITS INDONESIA</v>
          </cell>
        </row>
      </sheetData>
      <sheetData sheetId="4021">
        <row r="7">
          <cell r="E7" t="str">
            <v>PT. DANONE BISCUITS INDONESIA</v>
          </cell>
        </row>
      </sheetData>
      <sheetData sheetId="4022">
        <row r="7">
          <cell r="E7" t="str">
            <v>PT. DANONE BISCUITS INDONESIA</v>
          </cell>
        </row>
      </sheetData>
      <sheetData sheetId="4023">
        <row r="7">
          <cell r="E7" t="str">
            <v>PT. DANONE BISCUITS INDONESIA</v>
          </cell>
        </row>
      </sheetData>
      <sheetData sheetId="4024">
        <row r="7">
          <cell r="E7" t="str">
            <v>PT. DANONE BISCUITS INDONESIA</v>
          </cell>
        </row>
      </sheetData>
      <sheetData sheetId="4025">
        <row r="7">
          <cell r="E7" t="str">
            <v>PT. DANONE BISCUITS INDONESIA</v>
          </cell>
        </row>
      </sheetData>
      <sheetData sheetId="4026">
        <row r="7">
          <cell r="E7" t="str">
            <v>PT. DANONE BISCUITS INDONESIA</v>
          </cell>
        </row>
      </sheetData>
      <sheetData sheetId="4027">
        <row r="7">
          <cell r="E7" t="str">
            <v>PT. DANONE BISCUITS INDONESIA</v>
          </cell>
        </row>
      </sheetData>
      <sheetData sheetId="4028">
        <row r="7">
          <cell r="E7" t="str">
            <v>PT. DANONE BISCUITS INDONESIA</v>
          </cell>
        </row>
      </sheetData>
      <sheetData sheetId="4029">
        <row r="7">
          <cell r="E7" t="str">
            <v>PT. DANONE BISCUITS INDONESIA</v>
          </cell>
        </row>
      </sheetData>
      <sheetData sheetId="4030">
        <row r="7">
          <cell r="E7" t="str">
            <v>PT. DANONE BISCUITS INDONESIA</v>
          </cell>
        </row>
      </sheetData>
      <sheetData sheetId="4031">
        <row r="7">
          <cell r="E7" t="str">
            <v>PT. DANONE BISCUITS INDONESIA</v>
          </cell>
        </row>
      </sheetData>
      <sheetData sheetId="4032">
        <row r="7">
          <cell r="E7" t="str">
            <v>PT. DANONE BISCUITS INDONESIA</v>
          </cell>
        </row>
      </sheetData>
      <sheetData sheetId="4033">
        <row r="7">
          <cell r="E7" t="str">
            <v>PT. DANONE BISCUITS INDONESIA</v>
          </cell>
        </row>
      </sheetData>
      <sheetData sheetId="4034">
        <row r="7">
          <cell r="E7" t="str">
            <v>PT. DANONE BISCUITS INDONESIA</v>
          </cell>
        </row>
      </sheetData>
      <sheetData sheetId="4035">
        <row r="7">
          <cell r="E7" t="str">
            <v>PT. DANONE BISCUITS INDONESIA</v>
          </cell>
        </row>
      </sheetData>
      <sheetData sheetId="4036">
        <row r="7">
          <cell r="E7" t="str">
            <v>PT. DANONE BISCUITS INDONESIA</v>
          </cell>
        </row>
      </sheetData>
      <sheetData sheetId="4037">
        <row r="7">
          <cell r="E7" t="str">
            <v>PT. DANONE BISCUITS INDONESIA</v>
          </cell>
        </row>
      </sheetData>
      <sheetData sheetId="4038">
        <row r="7">
          <cell r="E7" t="str">
            <v>PT. DANONE BISCUITS INDONESIA</v>
          </cell>
        </row>
      </sheetData>
      <sheetData sheetId="4039">
        <row r="7">
          <cell r="E7" t="str">
            <v>PT. DANONE BISCUITS INDONESIA</v>
          </cell>
        </row>
      </sheetData>
      <sheetData sheetId="4040">
        <row r="7">
          <cell r="E7" t="str">
            <v>PT. DANONE BISCUITS INDONESIA</v>
          </cell>
        </row>
      </sheetData>
      <sheetData sheetId="4041">
        <row r="7">
          <cell r="E7" t="str">
            <v>PT. DANONE BISCUITS INDONESIA</v>
          </cell>
        </row>
      </sheetData>
      <sheetData sheetId="4042">
        <row r="7">
          <cell r="E7" t="str">
            <v>PT. DANONE BISCUITS INDONESIA</v>
          </cell>
        </row>
      </sheetData>
      <sheetData sheetId="4043">
        <row r="7">
          <cell r="E7" t="str">
            <v>PT. DANONE BISCUITS INDONESIA</v>
          </cell>
        </row>
      </sheetData>
      <sheetData sheetId="4044">
        <row r="7">
          <cell r="E7" t="str">
            <v>PT. DANONE BISCUITS INDONESIA</v>
          </cell>
        </row>
      </sheetData>
      <sheetData sheetId="4045">
        <row r="7">
          <cell r="E7" t="str">
            <v>PT. DANONE BISCUITS INDONESIA</v>
          </cell>
        </row>
      </sheetData>
      <sheetData sheetId="4046">
        <row r="7">
          <cell r="E7" t="str">
            <v>PT. DANONE BISCUITS INDONESIA</v>
          </cell>
        </row>
      </sheetData>
      <sheetData sheetId="4047">
        <row r="7">
          <cell r="E7" t="str">
            <v>PT. DANONE BISCUITS INDONESIA</v>
          </cell>
        </row>
      </sheetData>
      <sheetData sheetId="4048">
        <row r="7">
          <cell r="E7" t="str">
            <v>PT. DANONE BISCUITS INDONESIA</v>
          </cell>
        </row>
      </sheetData>
      <sheetData sheetId="4049">
        <row r="7">
          <cell r="E7" t="str">
            <v>PT. DANONE BISCUITS INDONESIA</v>
          </cell>
        </row>
      </sheetData>
      <sheetData sheetId="4050">
        <row r="7">
          <cell r="E7" t="str">
            <v>PT. DANONE BISCUITS INDONESIA</v>
          </cell>
        </row>
      </sheetData>
      <sheetData sheetId="4051">
        <row r="7">
          <cell r="E7" t="str">
            <v>PT. DANONE BISCUITS INDONESIA</v>
          </cell>
        </row>
      </sheetData>
      <sheetData sheetId="4052">
        <row r="7">
          <cell r="E7" t="str">
            <v>PT. DANONE BISCUITS INDONESIA</v>
          </cell>
        </row>
      </sheetData>
      <sheetData sheetId="4053">
        <row r="7">
          <cell r="E7" t="str">
            <v>PT. DANONE BISCUITS INDONESIA</v>
          </cell>
        </row>
      </sheetData>
      <sheetData sheetId="4054">
        <row r="7">
          <cell r="E7" t="str">
            <v>PT. DANONE BISCUITS INDONESIA</v>
          </cell>
        </row>
      </sheetData>
      <sheetData sheetId="4055">
        <row r="7">
          <cell r="E7" t="str">
            <v>PT. DANONE BISCUITS INDONESIA</v>
          </cell>
        </row>
      </sheetData>
      <sheetData sheetId="4056">
        <row r="7">
          <cell r="E7" t="str">
            <v>PT. DANONE BISCUITS INDONESIA</v>
          </cell>
        </row>
      </sheetData>
      <sheetData sheetId="4057">
        <row r="7">
          <cell r="E7" t="str">
            <v>PT. DANONE BISCUITS INDONESIA</v>
          </cell>
        </row>
      </sheetData>
      <sheetData sheetId="4058">
        <row r="7">
          <cell r="E7" t="str">
            <v>PT. DANONE BISCUITS INDONESIA</v>
          </cell>
        </row>
      </sheetData>
      <sheetData sheetId="4059">
        <row r="7">
          <cell r="E7" t="str">
            <v>PT. DANONE BISCUITS INDONESIA</v>
          </cell>
        </row>
      </sheetData>
      <sheetData sheetId="4060">
        <row r="7">
          <cell r="E7" t="str">
            <v>PT. DANONE BISCUITS INDONESIA</v>
          </cell>
        </row>
      </sheetData>
      <sheetData sheetId="4061">
        <row r="7">
          <cell r="E7" t="str">
            <v>PT. DANONE BISCUITS INDONESIA</v>
          </cell>
        </row>
      </sheetData>
      <sheetData sheetId="4062">
        <row r="7">
          <cell r="E7" t="str">
            <v>PT. DANONE BISCUITS INDONESIA</v>
          </cell>
        </row>
      </sheetData>
      <sheetData sheetId="4063">
        <row r="7">
          <cell r="E7" t="str">
            <v>PT. DANONE BISCUITS INDONESIA</v>
          </cell>
        </row>
      </sheetData>
      <sheetData sheetId="4064">
        <row r="7">
          <cell r="E7" t="str">
            <v>PT. DANONE BISCUITS INDONESIA</v>
          </cell>
        </row>
      </sheetData>
      <sheetData sheetId="4065">
        <row r="7">
          <cell r="E7" t="str">
            <v>PT. DANONE BISCUITS INDONESIA</v>
          </cell>
        </row>
      </sheetData>
      <sheetData sheetId="4066">
        <row r="7">
          <cell r="E7" t="str">
            <v>PT. DANONE BISCUITS INDONESIA</v>
          </cell>
        </row>
      </sheetData>
      <sheetData sheetId="4067">
        <row r="7">
          <cell r="E7" t="str">
            <v>PT. DANONE BISCUITS INDONESIA</v>
          </cell>
        </row>
      </sheetData>
      <sheetData sheetId="4068">
        <row r="7">
          <cell r="E7" t="str">
            <v>PT. DANONE BISCUITS INDONESIA</v>
          </cell>
        </row>
      </sheetData>
      <sheetData sheetId="4069">
        <row r="7">
          <cell r="E7" t="str">
            <v>PT. DANONE BISCUITS INDONESIA</v>
          </cell>
        </row>
      </sheetData>
      <sheetData sheetId="4070">
        <row r="7">
          <cell r="E7" t="str">
            <v>PT. DANONE BISCUITS INDONESIA</v>
          </cell>
        </row>
      </sheetData>
      <sheetData sheetId="4071">
        <row r="7">
          <cell r="E7" t="str">
            <v>PT. DANONE BISCUITS INDONESIA</v>
          </cell>
        </row>
      </sheetData>
      <sheetData sheetId="4072">
        <row r="7">
          <cell r="E7" t="str">
            <v>PT. DANONE BISCUITS INDONESIA</v>
          </cell>
        </row>
      </sheetData>
      <sheetData sheetId="4073">
        <row r="7">
          <cell r="E7" t="str">
            <v>PT. DANONE BISCUITS INDONESIA</v>
          </cell>
        </row>
      </sheetData>
      <sheetData sheetId="4074">
        <row r="7">
          <cell r="E7" t="str">
            <v>PT. DANONE BISCUITS INDONESIA</v>
          </cell>
        </row>
      </sheetData>
      <sheetData sheetId="4075">
        <row r="7">
          <cell r="E7" t="str">
            <v>PT. DANONE BISCUITS INDONESIA</v>
          </cell>
        </row>
      </sheetData>
      <sheetData sheetId="4076">
        <row r="7">
          <cell r="E7" t="str">
            <v>PT. DANONE BISCUITS INDONESIA</v>
          </cell>
        </row>
      </sheetData>
      <sheetData sheetId="4077">
        <row r="7">
          <cell r="E7" t="str">
            <v>PT. DANONE BISCUITS INDONESIA</v>
          </cell>
        </row>
      </sheetData>
      <sheetData sheetId="4078">
        <row r="7">
          <cell r="E7" t="str">
            <v>PT. DANONE BISCUITS INDONESIA</v>
          </cell>
        </row>
      </sheetData>
      <sheetData sheetId="4079">
        <row r="7">
          <cell r="E7" t="str">
            <v>PT. DANONE BISCUITS INDONESIA</v>
          </cell>
        </row>
      </sheetData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>
        <row r="7">
          <cell r="E7" t="str">
            <v>PT. DANONE BISCUITS INDONESIA</v>
          </cell>
        </row>
      </sheetData>
      <sheetData sheetId="4107">
        <row r="7">
          <cell r="E7" t="str">
            <v>PT. DANONE BISCUITS INDONESIA</v>
          </cell>
        </row>
      </sheetData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>
        <row r="7">
          <cell r="E7" t="str">
            <v>PT. DANONE BISCUITS INDONESIA</v>
          </cell>
        </row>
      </sheetData>
      <sheetData sheetId="4135">
        <row r="7">
          <cell r="E7" t="str">
            <v>PT. DANONE BISCUITS INDONESIA</v>
          </cell>
        </row>
      </sheetData>
      <sheetData sheetId="4136">
        <row r="7">
          <cell r="E7" t="str">
            <v>PT. DANONE BISCUITS INDONESIA</v>
          </cell>
        </row>
      </sheetData>
      <sheetData sheetId="4137">
        <row r="7">
          <cell r="E7" t="str">
            <v>PT. DANONE BISCUITS INDONESIA</v>
          </cell>
        </row>
      </sheetData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>
        <row r="7">
          <cell r="E7" t="str">
            <v>PT. DANONE BISCUITS INDONESIA</v>
          </cell>
        </row>
      </sheetData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>
        <row r="7">
          <cell r="E7" t="str">
            <v>PT. DANONE BISCUITS INDONESIA</v>
          </cell>
        </row>
      </sheetData>
      <sheetData sheetId="4293">
        <row r="7">
          <cell r="E7" t="str">
            <v>PT. DANONE BISCUITS INDONESIA</v>
          </cell>
        </row>
      </sheetData>
      <sheetData sheetId="4294">
        <row r="7">
          <cell r="E7" t="str">
            <v>PT. DANONE BISCUITS INDONESIA</v>
          </cell>
        </row>
      </sheetData>
      <sheetData sheetId="4295">
        <row r="7">
          <cell r="E7" t="str">
            <v>PT. DANONE BISCUITS INDONESIA</v>
          </cell>
        </row>
      </sheetData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>
        <row r="7">
          <cell r="E7" t="str">
            <v>PT. DANONE BISCUITS INDONESIA</v>
          </cell>
        </row>
      </sheetData>
      <sheetData sheetId="4318">
        <row r="7">
          <cell r="E7" t="str">
            <v>PT. DANONE BISCUITS INDONESIA</v>
          </cell>
        </row>
      </sheetData>
      <sheetData sheetId="4319">
        <row r="7">
          <cell r="E7" t="str">
            <v>PT. DANONE BISCUITS INDONESIA</v>
          </cell>
        </row>
      </sheetData>
      <sheetData sheetId="4320">
        <row r="7">
          <cell r="E7" t="str">
            <v>PT. DANONE BISCUITS INDONESIA</v>
          </cell>
        </row>
      </sheetData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>
        <row r="7">
          <cell r="E7" t="str">
            <v>PT. DANONE BISCUITS INDONESIA</v>
          </cell>
        </row>
      </sheetData>
      <sheetData sheetId="4344">
        <row r="7">
          <cell r="E7" t="str">
            <v>PT. DANONE BISCUITS INDONESIA</v>
          </cell>
        </row>
      </sheetData>
      <sheetData sheetId="4345">
        <row r="7">
          <cell r="E7" t="str">
            <v>PT. DANONE BISCUITS INDONESIA</v>
          </cell>
        </row>
      </sheetData>
      <sheetData sheetId="4346">
        <row r="7">
          <cell r="E7" t="str">
            <v>PT. DANONE BISCUITS INDONESIA</v>
          </cell>
        </row>
      </sheetData>
      <sheetData sheetId="4347">
        <row r="7">
          <cell r="E7" t="str">
            <v>PT. DANONE BISCUITS INDONESIA</v>
          </cell>
        </row>
      </sheetData>
      <sheetData sheetId="4348">
        <row r="7">
          <cell r="E7" t="str">
            <v>PT. DANONE BISCUITS INDONESIA</v>
          </cell>
        </row>
      </sheetData>
      <sheetData sheetId="4349">
        <row r="7">
          <cell r="E7" t="str">
            <v>PT. DANONE BISCUITS INDONESIA</v>
          </cell>
        </row>
      </sheetData>
      <sheetData sheetId="4350">
        <row r="7">
          <cell r="E7" t="str">
            <v>PT. DANONE BISCUITS INDONESIA</v>
          </cell>
        </row>
      </sheetData>
      <sheetData sheetId="4351">
        <row r="7">
          <cell r="E7" t="str">
            <v>PT. DANONE BISCUITS INDONESIA</v>
          </cell>
        </row>
      </sheetData>
      <sheetData sheetId="4352">
        <row r="7">
          <cell r="E7" t="str">
            <v>PT. DANONE BISCUITS INDONESIA</v>
          </cell>
        </row>
      </sheetData>
      <sheetData sheetId="4353">
        <row r="7">
          <cell r="E7" t="str">
            <v>PT. DANONE BISCUITS INDONESIA</v>
          </cell>
        </row>
      </sheetData>
      <sheetData sheetId="4354">
        <row r="7">
          <cell r="E7" t="str">
            <v>PT. DANONE BISCUITS INDONESIA</v>
          </cell>
        </row>
      </sheetData>
      <sheetData sheetId="4355">
        <row r="7">
          <cell r="E7" t="str">
            <v>PT. DANONE BISCUITS INDONESIA</v>
          </cell>
        </row>
      </sheetData>
      <sheetData sheetId="4356">
        <row r="7">
          <cell r="E7" t="str">
            <v>PT. DANONE BISCUITS INDONESIA</v>
          </cell>
        </row>
      </sheetData>
      <sheetData sheetId="4357">
        <row r="7">
          <cell r="E7" t="str">
            <v>PT. DANONE BISCUITS INDONESIA</v>
          </cell>
        </row>
      </sheetData>
      <sheetData sheetId="4358">
        <row r="7">
          <cell r="E7" t="str">
            <v>PT. DANONE BISCUITS INDONESIA</v>
          </cell>
        </row>
      </sheetData>
      <sheetData sheetId="4359">
        <row r="7">
          <cell r="E7" t="str">
            <v>PT. DANONE BISCUITS INDONESIA</v>
          </cell>
        </row>
      </sheetData>
      <sheetData sheetId="4360">
        <row r="7">
          <cell r="E7" t="str">
            <v>PT. DANONE BISCUITS INDONESIA</v>
          </cell>
        </row>
      </sheetData>
      <sheetData sheetId="4361">
        <row r="7">
          <cell r="E7" t="str">
            <v>PT. DANONE BISCUITS INDONESIA</v>
          </cell>
        </row>
      </sheetData>
      <sheetData sheetId="4362">
        <row r="7">
          <cell r="E7" t="str">
            <v>PT. DANONE BISCUITS INDONESIA</v>
          </cell>
        </row>
      </sheetData>
      <sheetData sheetId="4363">
        <row r="7">
          <cell r="E7" t="str">
            <v>PT. DANONE BISCUITS INDONESIA</v>
          </cell>
        </row>
      </sheetData>
      <sheetData sheetId="4364">
        <row r="7">
          <cell r="E7" t="str">
            <v>PT. DANONE BISCUITS INDONESIA</v>
          </cell>
        </row>
      </sheetData>
      <sheetData sheetId="4365">
        <row r="7">
          <cell r="E7" t="str">
            <v>PT. DANONE BISCUITS INDONESIA</v>
          </cell>
        </row>
      </sheetData>
      <sheetData sheetId="4366">
        <row r="7">
          <cell r="E7" t="str">
            <v>PT. DANONE BISCUITS INDONESIA</v>
          </cell>
        </row>
      </sheetData>
      <sheetData sheetId="4367">
        <row r="7">
          <cell r="E7" t="str">
            <v>PT. DANONE BISCUITS INDONESIA</v>
          </cell>
        </row>
      </sheetData>
      <sheetData sheetId="4368">
        <row r="7">
          <cell r="E7" t="str">
            <v>PT. DANONE BISCUITS INDONESIA</v>
          </cell>
        </row>
      </sheetData>
      <sheetData sheetId="4369">
        <row r="7">
          <cell r="E7" t="str">
            <v>PT. DANONE BISCUITS INDONESIA</v>
          </cell>
        </row>
      </sheetData>
      <sheetData sheetId="4370">
        <row r="7">
          <cell r="E7" t="str">
            <v>PT. DANONE BISCUITS INDONESIA</v>
          </cell>
        </row>
      </sheetData>
      <sheetData sheetId="4371">
        <row r="7">
          <cell r="E7" t="str">
            <v>PT. DANONE BISCUITS INDONESIA</v>
          </cell>
        </row>
      </sheetData>
      <sheetData sheetId="4372">
        <row r="7">
          <cell r="E7" t="str">
            <v>PT. DANONE BISCUITS INDONESIA</v>
          </cell>
        </row>
      </sheetData>
      <sheetData sheetId="4373">
        <row r="7">
          <cell r="E7" t="str">
            <v>PT. DANONE BISCUITS INDONESIA</v>
          </cell>
        </row>
      </sheetData>
      <sheetData sheetId="4374">
        <row r="7">
          <cell r="E7" t="str">
            <v>PT. DANONE BISCUITS INDONESIA</v>
          </cell>
        </row>
      </sheetData>
      <sheetData sheetId="4375">
        <row r="7">
          <cell r="E7" t="str">
            <v>PT. DANONE BISCUITS INDONESIA</v>
          </cell>
        </row>
      </sheetData>
      <sheetData sheetId="4376">
        <row r="7">
          <cell r="E7" t="str">
            <v>PT. DANONE BISCUITS INDONESIA</v>
          </cell>
        </row>
      </sheetData>
      <sheetData sheetId="4377">
        <row r="7">
          <cell r="E7" t="str">
            <v>PT. DANONE BISCUITS INDONESIA</v>
          </cell>
        </row>
      </sheetData>
      <sheetData sheetId="4378">
        <row r="7">
          <cell r="E7" t="str">
            <v>PT. DANONE BISCUITS INDONESIA</v>
          </cell>
        </row>
      </sheetData>
      <sheetData sheetId="4379">
        <row r="7">
          <cell r="E7" t="str">
            <v>PT. DANONE BISCUITS INDONESIA</v>
          </cell>
        </row>
      </sheetData>
      <sheetData sheetId="4380">
        <row r="7">
          <cell r="E7" t="str">
            <v>PT. DANONE BISCUITS INDONESIA</v>
          </cell>
        </row>
      </sheetData>
      <sheetData sheetId="4381">
        <row r="7">
          <cell r="E7" t="str">
            <v>PT. DANONE BISCUITS INDONESIA</v>
          </cell>
        </row>
      </sheetData>
      <sheetData sheetId="4382">
        <row r="7">
          <cell r="E7" t="str">
            <v>PT. DANONE BISCUITS INDONESIA</v>
          </cell>
        </row>
      </sheetData>
      <sheetData sheetId="4383">
        <row r="7">
          <cell r="E7" t="str">
            <v>PT. DANONE BISCUITS INDONESIA</v>
          </cell>
        </row>
      </sheetData>
      <sheetData sheetId="4384">
        <row r="7">
          <cell r="E7" t="str">
            <v>PT. DANONE BISCUITS INDONESIA</v>
          </cell>
        </row>
      </sheetData>
      <sheetData sheetId="4385">
        <row r="7">
          <cell r="E7" t="str">
            <v>PT. DANONE BISCUITS INDONESIA</v>
          </cell>
        </row>
      </sheetData>
      <sheetData sheetId="4386">
        <row r="7">
          <cell r="E7" t="str">
            <v>PT. DANONE BISCUITS INDONESIA</v>
          </cell>
        </row>
      </sheetData>
      <sheetData sheetId="4387">
        <row r="7">
          <cell r="E7" t="str">
            <v>PT. DANONE BISCUITS INDONESIA</v>
          </cell>
        </row>
      </sheetData>
      <sheetData sheetId="4388">
        <row r="7">
          <cell r="E7" t="str">
            <v>PT. DANONE BISCUITS INDONESIA</v>
          </cell>
        </row>
      </sheetData>
      <sheetData sheetId="4389">
        <row r="7">
          <cell r="E7" t="str">
            <v>PT. DANONE BISCUITS INDONESIA</v>
          </cell>
        </row>
      </sheetData>
      <sheetData sheetId="4390">
        <row r="7">
          <cell r="E7" t="str">
            <v>PT. DANONE BISCUITS INDONESIA</v>
          </cell>
        </row>
      </sheetData>
      <sheetData sheetId="4391">
        <row r="7">
          <cell r="E7" t="str">
            <v>PT. DANONE BISCUITS INDONESIA</v>
          </cell>
        </row>
      </sheetData>
      <sheetData sheetId="4392">
        <row r="7">
          <cell r="E7" t="str">
            <v>PT. DANONE BISCUITS INDONESIA</v>
          </cell>
        </row>
      </sheetData>
      <sheetData sheetId="4393">
        <row r="7">
          <cell r="E7" t="str">
            <v>PT. DANONE BISCUITS INDONESIA</v>
          </cell>
        </row>
      </sheetData>
      <sheetData sheetId="4394">
        <row r="7">
          <cell r="E7" t="str">
            <v>PT. DANONE BISCUITS INDONESIA</v>
          </cell>
        </row>
      </sheetData>
      <sheetData sheetId="4395">
        <row r="7">
          <cell r="E7" t="str">
            <v>PT. DANONE BISCUITS INDONESIA</v>
          </cell>
        </row>
      </sheetData>
      <sheetData sheetId="4396">
        <row r="7">
          <cell r="E7" t="str">
            <v>PT. DANONE BISCUITS INDONESIA</v>
          </cell>
        </row>
      </sheetData>
      <sheetData sheetId="4397">
        <row r="7">
          <cell r="E7" t="str">
            <v>PT. DANONE BISCUITS INDONESIA</v>
          </cell>
        </row>
      </sheetData>
      <sheetData sheetId="4398">
        <row r="7">
          <cell r="E7" t="str">
            <v>PT. DANONE BISCUITS INDONESIA</v>
          </cell>
        </row>
      </sheetData>
      <sheetData sheetId="4399">
        <row r="7">
          <cell r="E7" t="str">
            <v>PT. DANONE BISCUITS INDONESIA</v>
          </cell>
        </row>
      </sheetData>
      <sheetData sheetId="4400">
        <row r="7">
          <cell r="E7" t="str">
            <v>PT. DANONE BISCUITS INDONESIA</v>
          </cell>
        </row>
      </sheetData>
      <sheetData sheetId="4401">
        <row r="7">
          <cell r="E7" t="str">
            <v>PT. DANONE BISCUITS INDONESIA</v>
          </cell>
        </row>
      </sheetData>
      <sheetData sheetId="4402">
        <row r="7">
          <cell r="E7" t="str">
            <v>PT. DANONE BISCUITS INDONESIA</v>
          </cell>
        </row>
      </sheetData>
      <sheetData sheetId="4403">
        <row r="7">
          <cell r="E7" t="str">
            <v>PT. DANONE BISCUITS INDONESIA</v>
          </cell>
        </row>
      </sheetData>
      <sheetData sheetId="4404">
        <row r="7">
          <cell r="E7" t="str">
            <v>PT. DANONE BISCUITS INDONESIA</v>
          </cell>
        </row>
      </sheetData>
      <sheetData sheetId="4405">
        <row r="7">
          <cell r="E7" t="str">
            <v>PT. DANONE BISCUITS INDONESIA</v>
          </cell>
        </row>
      </sheetData>
      <sheetData sheetId="4406">
        <row r="7">
          <cell r="E7" t="str">
            <v>PT. DANONE BISCUITS INDONESIA</v>
          </cell>
        </row>
      </sheetData>
      <sheetData sheetId="4407">
        <row r="7">
          <cell r="E7" t="str">
            <v>PT. DANONE BISCUITS INDONESIA</v>
          </cell>
        </row>
      </sheetData>
      <sheetData sheetId="4408">
        <row r="7">
          <cell r="E7" t="str">
            <v>PT. DANONE BISCUITS INDONESIA</v>
          </cell>
        </row>
      </sheetData>
      <sheetData sheetId="4409">
        <row r="7">
          <cell r="E7" t="str">
            <v>PT. DANONE BISCUITS INDONESIA</v>
          </cell>
        </row>
      </sheetData>
      <sheetData sheetId="4410">
        <row r="7">
          <cell r="E7" t="str">
            <v>PT. DANONE BISCUITS INDONESIA</v>
          </cell>
        </row>
      </sheetData>
      <sheetData sheetId="4411">
        <row r="7">
          <cell r="E7" t="str">
            <v>PT. DANONE BISCUITS INDONESIA</v>
          </cell>
        </row>
      </sheetData>
      <sheetData sheetId="4412">
        <row r="7">
          <cell r="E7" t="str">
            <v>PT. DANONE BISCUITS INDONESIA</v>
          </cell>
        </row>
      </sheetData>
      <sheetData sheetId="4413">
        <row r="7">
          <cell r="E7" t="str">
            <v>PT. DANONE BISCUITS INDONESIA</v>
          </cell>
        </row>
      </sheetData>
      <sheetData sheetId="4414">
        <row r="7">
          <cell r="E7" t="str">
            <v>PT. DANONE BISCUITS INDONESIA</v>
          </cell>
        </row>
      </sheetData>
      <sheetData sheetId="4415">
        <row r="7">
          <cell r="E7" t="str">
            <v>PT. DANONE BISCUITS INDONESIA</v>
          </cell>
        </row>
      </sheetData>
      <sheetData sheetId="4416">
        <row r="7">
          <cell r="E7" t="str">
            <v>PT. DANONE BISCUITS INDONESIA</v>
          </cell>
        </row>
      </sheetData>
      <sheetData sheetId="4417">
        <row r="7">
          <cell r="E7" t="str">
            <v>PT. DANONE BISCUITS INDONESIA</v>
          </cell>
        </row>
      </sheetData>
      <sheetData sheetId="4418">
        <row r="7">
          <cell r="E7" t="str">
            <v>PT. DANONE BISCUITS INDONESIA</v>
          </cell>
        </row>
      </sheetData>
      <sheetData sheetId="4419">
        <row r="7">
          <cell r="E7" t="str">
            <v>PT. DANONE BISCUITS INDONESIA</v>
          </cell>
        </row>
      </sheetData>
      <sheetData sheetId="4420">
        <row r="7">
          <cell r="E7" t="str">
            <v>PT. DANONE BISCUITS INDONESIA</v>
          </cell>
        </row>
      </sheetData>
      <sheetData sheetId="4421">
        <row r="7">
          <cell r="E7" t="str">
            <v>PT. DANONE BISCUITS INDONESIA</v>
          </cell>
        </row>
      </sheetData>
      <sheetData sheetId="4422">
        <row r="7">
          <cell r="E7" t="str">
            <v>PT. DANONE BISCUITS INDONESIA</v>
          </cell>
        </row>
      </sheetData>
      <sheetData sheetId="4423">
        <row r="7">
          <cell r="E7" t="str">
            <v>PT. DANONE BISCUITS INDONESIA</v>
          </cell>
        </row>
      </sheetData>
      <sheetData sheetId="4424">
        <row r="7">
          <cell r="E7" t="str">
            <v>PT. DANONE BISCUITS INDONESIA</v>
          </cell>
        </row>
      </sheetData>
      <sheetData sheetId="4425">
        <row r="7">
          <cell r="E7" t="str">
            <v>PT. DANONE BISCUITS INDONESIA</v>
          </cell>
        </row>
      </sheetData>
      <sheetData sheetId="4426">
        <row r="7">
          <cell r="E7" t="str">
            <v>PT. DANONE BISCUITS INDONESIA</v>
          </cell>
        </row>
      </sheetData>
      <sheetData sheetId="4427">
        <row r="7">
          <cell r="E7" t="str">
            <v>PT. DANONE BISCUITS INDONESIA</v>
          </cell>
        </row>
      </sheetData>
      <sheetData sheetId="4428">
        <row r="7">
          <cell r="E7" t="str">
            <v>PT. DANONE BISCUITS INDONESIA</v>
          </cell>
        </row>
      </sheetData>
      <sheetData sheetId="4429">
        <row r="7">
          <cell r="E7" t="str">
            <v>PT. DANONE BISCUITS INDONESIA</v>
          </cell>
        </row>
      </sheetData>
      <sheetData sheetId="4430">
        <row r="7">
          <cell r="E7" t="str">
            <v>PT. DANONE BISCUITS INDONESIA</v>
          </cell>
        </row>
      </sheetData>
      <sheetData sheetId="4431">
        <row r="7">
          <cell r="E7" t="str">
            <v>PT. DANONE BISCUITS INDONESIA</v>
          </cell>
        </row>
      </sheetData>
      <sheetData sheetId="4432">
        <row r="7">
          <cell r="E7" t="str">
            <v>PT. DANONE BISCUITS INDONESIA</v>
          </cell>
        </row>
      </sheetData>
      <sheetData sheetId="4433">
        <row r="7">
          <cell r="E7" t="str">
            <v>PT. DANONE BISCUITS INDONESIA</v>
          </cell>
        </row>
      </sheetData>
      <sheetData sheetId="4434">
        <row r="7">
          <cell r="E7" t="str">
            <v>PT. DANONE BISCUITS INDONESIA</v>
          </cell>
        </row>
      </sheetData>
      <sheetData sheetId="4435">
        <row r="7">
          <cell r="E7" t="str">
            <v>PT. DANONE BISCUITS INDONESIA</v>
          </cell>
        </row>
      </sheetData>
      <sheetData sheetId="4436">
        <row r="7">
          <cell r="E7" t="str">
            <v>PT. DANONE BISCUITS INDONESIA</v>
          </cell>
        </row>
      </sheetData>
      <sheetData sheetId="4437">
        <row r="7">
          <cell r="E7" t="str">
            <v>PT. DANONE BISCUITS INDONESIA</v>
          </cell>
        </row>
      </sheetData>
      <sheetData sheetId="4438">
        <row r="7">
          <cell r="E7" t="str">
            <v>PT. DANONE BISCUITS INDONESIA</v>
          </cell>
        </row>
      </sheetData>
      <sheetData sheetId="4439">
        <row r="7">
          <cell r="E7" t="str">
            <v>PT. DANONE BISCUITS INDONESIA</v>
          </cell>
        </row>
      </sheetData>
      <sheetData sheetId="4440">
        <row r="7">
          <cell r="E7" t="str">
            <v>PT. DANONE BISCUITS INDONESIA</v>
          </cell>
        </row>
      </sheetData>
      <sheetData sheetId="4441">
        <row r="7">
          <cell r="E7" t="str">
            <v>PT. DANONE BISCUITS INDONESIA</v>
          </cell>
        </row>
      </sheetData>
      <sheetData sheetId="4442">
        <row r="7">
          <cell r="E7" t="str">
            <v>PT. DANONE BISCUITS INDONESIA</v>
          </cell>
        </row>
      </sheetData>
      <sheetData sheetId="4443">
        <row r="7">
          <cell r="E7" t="str">
            <v>PT. DANONE BISCUITS INDONESIA</v>
          </cell>
        </row>
      </sheetData>
      <sheetData sheetId="4444">
        <row r="7">
          <cell r="E7" t="str">
            <v>PT. DANONE BISCUITS INDONESIA</v>
          </cell>
        </row>
      </sheetData>
      <sheetData sheetId="4445">
        <row r="7">
          <cell r="E7" t="str">
            <v>PT. DANONE BISCUITS INDONESIA</v>
          </cell>
        </row>
      </sheetData>
      <sheetData sheetId="4446">
        <row r="7">
          <cell r="E7" t="str">
            <v>PT. DANONE BISCUITS INDONESIA</v>
          </cell>
        </row>
      </sheetData>
      <sheetData sheetId="4447">
        <row r="7">
          <cell r="E7" t="str">
            <v>PT. DANONE BISCUITS INDONESIA</v>
          </cell>
        </row>
      </sheetData>
      <sheetData sheetId="4448">
        <row r="7">
          <cell r="E7" t="str">
            <v>PT. DANONE BISCUITS INDONESIA</v>
          </cell>
        </row>
      </sheetData>
      <sheetData sheetId="4449">
        <row r="7">
          <cell r="E7" t="str">
            <v>PT. DANONE BISCUITS INDONESIA</v>
          </cell>
        </row>
      </sheetData>
      <sheetData sheetId="4450">
        <row r="7">
          <cell r="E7" t="str">
            <v>PT. DANONE BISCUITS INDONESIA</v>
          </cell>
        </row>
      </sheetData>
      <sheetData sheetId="4451">
        <row r="7">
          <cell r="E7" t="str">
            <v>PT. DANONE BISCUITS INDONESIA</v>
          </cell>
        </row>
      </sheetData>
      <sheetData sheetId="4452">
        <row r="7">
          <cell r="E7" t="str">
            <v>PT. DANONE BISCUITS INDONESIA</v>
          </cell>
        </row>
      </sheetData>
      <sheetData sheetId="4453">
        <row r="7">
          <cell r="E7" t="str">
            <v>PT. DANONE BISCUITS INDONESIA</v>
          </cell>
        </row>
      </sheetData>
      <sheetData sheetId="4454">
        <row r="7">
          <cell r="E7" t="str">
            <v>PT. DANONE BISCUITS INDONESIA</v>
          </cell>
        </row>
      </sheetData>
      <sheetData sheetId="4455">
        <row r="7">
          <cell r="E7" t="str">
            <v>PT. DANONE BISCUITS INDONESIA</v>
          </cell>
        </row>
      </sheetData>
      <sheetData sheetId="4456">
        <row r="7">
          <cell r="E7" t="str">
            <v>PT. DANONE BISCUITS INDONESIA</v>
          </cell>
        </row>
      </sheetData>
      <sheetData sheetId="4457">
        <row r="7">
          <cell r="E7" t="str">
            <v>PT. DANONE BISCUITS INDONESIA</v>
          </cell>
        </row>
      </sheetData>
      <sheetData sheetId="4458">
        <row r="7">
          <cell r="E7" t="str">
            <v>PT. DANONE BISCUITS INDONESIA</v>
          </cell>
        </row>
      </sheetData>
      <sheetData sheetId="4459">
        <row r="7">
          <cell r="E7" t="str">
            <v>PT. DANONE BISCUITS INDONESIA</v>
          </cell>
        </row>
      </sheetData>
      <sheetData sheetId="4460">
        <row r="7">
          <cell r="E7" t="str">
            <v>PT. DANONE BISCUITS INDONESIA</v>
          </cell>
        </row>
      </sheetData>
      <sheetData sheetId="4461">
        <row r="7">
          <cell r="E7" t="str">
            <v>PT. DANONE BISCUITS INDONESIA</v>
          </cell>
        </row>
      </sheetData>
      <sheetData sheetId="4462">
        <row r="7">
          <cell r="E7" t="str">
            <v>PT. DANONE BISCUITS INDONESIA</v>
          </cell>
        </row>
      </sheetData>
      <sheetData sheetId="4463">
        <row r="7">
          <cell r="E7" t="str">
            <v>PT. DANONE BISCUITS INDONESIA</v>
          </cell>
        </row>
      </sheetData>
      <sheetData sheetId="4464">
        <row r="7">
          <cell r="E7" t="str">
            <v>PT. DANONE BISCUITS INDONESIA</v>
          </cell>
        </row>
      </sheetData>
      <sheetData sheetId="4465">
        <row r="7">
          <cell r="E7" t="str">
            <v>PT. DANONE BISCUITS INDONESIA</v>
          </cell>
        </row>
      </sheetData>
      <sheetData sheetId="4466">
        <row r="7">
          <cell r="E7" t="str">
            <v>PT. DANONE BISCUITS INDONESIA</v>
          </cell>
        </row>
      </sheetData>
      <sheetData sheetId="4467">
        <row r="7">
          <cell r="E7" t="str">
            <v>PT. DANONE BISCUITS INDONESIA</v>
          </cell>
        </row>
      </sheetData>
      <sheetData sheetId="4468">
        <row r="7">
          <cell r="E7" t="str">
            <v>PT. DANONE BISCUITS INDONESIA</v>
          </cell>
        </row>
      </sheetData>
      <sheetData sheetId="4469">
        <row r="7">
          <cell r="E7" t="str">
            <v>PT. DANONE BISCUITS INDONESIA</v>
          </cell>
        </row>
      </sheetData>
      <sheetData sheetId="4470">
        <row r="7">
          <cell r="E7" t="str">
            <v>PT. DANONE BISCUITS INDONESIA</v>
          </cell>
        </row>
      </sheetData>
      <sheetData sheetId="4471">
        <row r="7">
          <cell r="E7" t="str">
            <v>PT. DANONE BISCUITS INDONESIA</v>
          </cell>
        </row>
      </sheetData>
      <sheetData sheetId="4472">
        <row r="7">
          <cell r="E7" t="str">
            <v>PT. DANONE BISCUITS INDONESIA</v>
          </cell>
        </row>
      </sheetData>
      <sheetData sheetId="4473">
        <row r="7">
          <cell r="E7" t="str">
            <v>PT. DANONE BISCUITS INDONESIA</v>
          </cell>
        </row>
      </sheetData>
      <sheetData sheetId="4474">
        <row r="7">
          <cell r="E7" t="str">
            <v>PT. DANONE BISCUITS INDONESIA</v>
          </cell>
        </row>
      </sheetData>
      <sheetData sheetId="4475">
        <row r="7">
          <cell r="E7" t="str">
            <v>PT. DANONE BISCUITS INDONESIA</v>
          </cell>
        </row>
      </sheetData>
      <sheetData sheetId="4476">
        <row r="7">
          <cell r="E7" t="str">
            <v>PT. DANONE BISCUITS INDONESIA</v>
          </cell>
        </row>
      </sheetData>
      <sheetData sheetId="4477">
        <row r="7">
          <cell r="E7" t="str">
            <v>PT. DANONE BISCUITS INDONESIA</v>
          </cell>
        </row>
      </sheetData>
      <sheetData sheetId="4478">
        <row r="7">
          <cell r="E7" t="str">
            <v>PT. DANONE BISCUITS INDONESIA</v>
          </cell>
        </row>
      </sheetData>
      <sheetData sheetId="4479">
        <row r="7">
          <cell r="E7" t="str">
            <v>PT. DANONE BISCUITS INDONESIA</v>
          </cell>
        </row>
      </sheetData>
      <sheetData sheetId="4480">
        <row r="7">
          <cell r="E7" t="str">
            <v>PT. DANONE BISCUITS INDONESIA</v>
          </cell>
        </row>
      </sheetData>
      <sheetData sheetId="4481">
        <row r="7">
          <cell r="E7" t="str">
            <v>PT. DANONE BISCUITS INDONESIA</v>
          </cell>
        </row>
      </sheetData>
      <sheetData sheetId="4482">
        <row r="7">
          <cell r="E7" t="str">
            <v>PT. DANONE BISCUITS INDONESIA</v>
          </cell>
        </row>
      </sheetData>
      <sheetData sheetId="4483">
        <row r="7">
          <cell r="E7" t="str">
            <v>PT. DANONE BISCUITS INDONESIA</v>
          </cell>
        </row>
      </sheetData>
      <sheetData sheetId="4484">
        <row r="7">
          <cell r="E7" t="str">
            <v>PT. DANONE BISCUITS INDONESIA</v>
          </cell>
        </row>
      </sheetData>
      <sheetData sheetId="4485">
        <row r="7">
          <cell r="E7" t="str">
            <v>PT. DANONE BISCUITS INDONESIA</v>
          </cell>
        </row>
      </sheetData>
      <sheetData sheetId="4486">
        <row r="7">
          <cell r="E7" t="str">
            <v>PT. DANONE BISCUITS INDONESIA</v>
          </cell>
        </row>
      </sheetData>
      <sheetData sheetId="4487">
        <row r="7">
          <cell r="E7" t="str">
            <v>PT. DANONE BISCUITS INDONESIA</v>
          </cell>
        </row>
      </sheetData>
      <sheetData sheetId="4488">
        <row r="7">
          <cell r="E7" t="str">
            <v>PT. DANONE BISCUITS INDONESIA</v>
          </cell>
        </row>
      </sheetData>
      <sheetData sheetId="4489">
        <row r="7">
          <cell r="E7" t="str">
            <v>PT. DANONE BISCUITS INDONESIA</v>
          </cell>
        </row>
      </sheetData>
      <sheetData sheetId="4490">
        <row r="7">
          <cell r="E7" t="str">
            <v>PT. DANONE BISCUITS INDONESIA</v>
          </cell>
        </row>
      </sheetData>
      <sheetData sheetId="4491">
        <row r="7">
          <cell r="E7" t="str">
            <v>PT. DANONE BISCUITS INDONESIA</v>
          </cell>
        </row>
      </sheetData>
      <sheetData sheetId="4492">
        <row r="7">
          <cell r="E7" t="str">
            <v>PT. DANONE BISCUITS INDONESIA</v>
          </cell>
        </row>
      </sheetData>
      <sheetData sheetId="4493">
        <row r="7">
          <cell r="E7" t="str">
            <v>PT. DANONE BISCUITS INDONESIA</v>
          </cell>
        </row>
      </sheetData>
      <sheetData sheetId="4494">
        <row r="7">
          <cell r="E7" t="str">
            <v>PT. DANONE BISCUITS INDONESIA</v>
          </cell>
        </row>
      </sheetData>
      <sheetData sheetId="4495">
        <row r="7">
          <cell r="E7" t="str">
            <v>PT. DANONE BISCUITS INDONESIA</v>
          </cell>
        </row>
      </sheetData>
      <sheetData sheetId="4496">
        <row r="7">
          <cell r="E7" t="str">
            <v>PT. DANONE BISCUITS INDONESIA</v>
          </cell>
        </row>
      </sheetData>
      <sheetData sheetId="4497">
        <row r="7">
          <cell r="E7" t="str">
            <v>PT. DANONE BISCUITS INDONESIA</v>
          </cell>
        </row>
      </sheetData>
      <sheetData sheetId="4498">
        <row r="7">
          <cell r="E7" t="str">
            <v>PT. DANONE BISCUITS INDONESIA</v>
          </cell>
        </row>
      </sheetData>
      <sheetData sheetId="4499">
        <row r="7">
          <cell r="E7" t="str">
            <v>PT. DANONE BISCUITS INDONESIA</v>
          </cell>
        </row>
      </sheetData>
      <sheetData sheetId="4500">
        <row r="7">
          <cell r="E7" t="str">
            <v>PT. DANONE BISCUITS INDONESIA</v>
          </cell>
        </row>
      </sheetData>
      <sheetData sheetId="4501">
        <row r="7">
          <cell r="E7" t="str">
            <v>PT. DANONE BISCUITS INDONESIA</v>
          </cell>
        </row>
      </sheetData>
      <sheetData sheetId="4502">
        <row r="7">
          <cell r="E7" t="str">
            <v>PT. DANONE BISCUITS INDONESIA</v>
          </cell>
        </row>
      </sheetData>
      <sheetData sheetId="4503">
        <row r="7">
          <cell r="E7" t="str">
            <v>PT. DANONE BISCUITS INDONESIA</v>
          </cell>
        </row>
      </sheetData>
      <sheetData sheetId="4504">
        <row r="7">
          <cell r="E7" t="str">
            <v>PT. DANONE BISCUITS INDONESIA</v>
          </cell>
        </row>
      </sheetData>
      <sheetData sheetId="4505">
        <row r="7">
          <cell r="E7" t="str">
            <v>PT. DANONE BISCUITS INDONESIA</v>
          </cell>
        </row>
      </sheetData>
      <sheetData sheetId="4506">
        <row r="7">
          <cell r="E7" t="str">
            <v>PT. DANONE BISCUITS INDONESIA</v>
          </cell>
        </row>
      </sheetData>
      <sheetData sheetId="4507">
        <row r="7">
          <cell r="E7" t="str">
            <v>PT. DANONE BISCUITS INDONESIA</v>
          </cell>
        </row>
      </sheetData>
      <sheetData sheetId="4508">
        <row r="7">
          <cell r="E7" t="str">
            <v>PT. DANONE BISCUITS INDONESIA</v>
          </cell>
        </row>
      </sheetData>
      <sheetData sheetId="4509">
        <row r="7">
          <cell r="E7" t="str">
            <v>PT. DANONE BISCUITS INDONESIA</v>
          </cell>
        </row>
      </sheetData>
      <sheetData sheetId="4510">
        <row r="7">
          <cell r="E7" t="str">
            <v>PT. DANONE BISCUITS INDONESIA</v>
          </cell>
        </row>
      </sheetData>
      <sheetData sheetId="4511">
        <row r="7">
          <cell r="E7" t="str">
            <v>PT. DANONE BISCUITS INDONESIA</v>
          </cell>
        </row>
      </sheetData>
      <sheetData sheetId="4512">
        <row r="7">
          <cell r="E7" t="str">
            <v>PT. DANONE BISCUITS INDONESIA</v>
          </cell>
        </row>
      </sheetData>
      <sheetData sheetId="4513">
        <row r="7">
          <cell r="E7" t="str">
            <v>PT. DANONE BISCUITS INDONESIA</v>
          </cell>
        </row>
      </sheetData>
      <sheetData sheetId="4514">
        <row r="7">
          <cell r="E7" t="str">
            <v>PT. DANONE BISCUITS INDONESIA</v>
          </cell>
        </row>
      </sheetData>
      <sheetData sheetId="4515">
        <row r="7">
          <cell r="E7" t="str">
            <v>PT. DANONE BISCUITS INDONESIA</v>
          </cell>
        </row>
      </sheetData>
      <sheetData sheetId="4516">
        <row r="7">
          <cell r="E7" t="str">
            <v>PT. DANONE BISCUITS INDONESIA</v>
          </cell>
        </row>
      </sheetData>
      <sheetData sheetId="4517">
        <row r="7">
          <cell r="E7" t="str">
            <v>PT. DANONE BISCUITS INDONESIA</v>
          </cell>
        </row>
      </sheetData>
      <sheetData sheetId="4518">
        <row r="7">
          <cell r="E7" t="str">
            <v>PT. DANONE BISCUITS INDONESIA</v>
          </cell>
        </row>
      </sheetData>
      <sheetData sheetId="4519">
        <row r="7">
          <cell r="E7" t="str">
            <v>PT. DANONE BISCUITS INDONESIA</v>
          </cell>
        </row>
      </sheetData>
      <sheetData sheetId="4520">
        <row r="7">
          <cell r="E7" t="str">
            <v>PT. DANONE BISCUITS INDONESIA</v>
          </cell>
        </row>
      </sheetData>
      <sheetData sheetId="4521">
        <row r="7">
          <cell r="E7" t="str">
            <v>PT. DANONE BISCUITS INDONESIA</v>
          </cell>
        </row>
      </sheetData>
      <sheetData sheetId="4522">
        <row r="7">
          <cell r="E7" t="str">
            <v>PT. DANONE BISCUITS INDONESIA</v>
          </cell>
        </row>
      </sheetData>
      <sheetData sheetId="4523">
        <row r="7">
          <cell r="E7" t="str">
            <v>PT. DANONE BISCUITS INDONESIA</v>
          </cell>
        </row>
      </sheetData>
      <sheetData sheetId="4524">
        <row r="7">
          <cell r="E7" t="str">
            <v>PT. DANONE BISCUITS INDONESIA</v>
          </cell>
        </row>
      </sheetData>
      <sheetData sheetId="4525">
        <row r="7">
          <cell r="E7" t="str">
            <v>PT. DANONE BISCUITS INDONESIA</v>
          </cell>
        </row>
      </sheetData>
      <sheetData sheetId="4526">
        <row r="7">
          <cell r="E7" t="str">
            <v>PT. DANONE BISCUITS INDONESIA</v>
          </cell>
        </row>
      </sheetData>
      <sheetData sheetId="4527">
        <row r="7">
          <cell r="E7" t="str">
            <v>PT. DANONE BISCUITS INDONESIA</v>
          </cell>
        </row>
      </sheetData>
      <sheetData sheetId="4528">
        <row r="7">
          <cell r="E7" t="str">
            <v>PT. DANONE BISCUITS INDONESIA</v>
          </cell>
        </row>
      </sheetData>
      <sheetData sheetId="4529">
        <row r="7">
          <cell r="E7" t="str">
            <v>PT. DANONE BISCUITS INDONESIA</v>
          </cell>
        </row>
      </sheetData>
      <sheetData sheetId="4530">
        <row r="7">
          <cell r="E7" t="str">
            <v>PT. DANONE BISCUITS INDONESIA</v>
          </cell>
        </row>
      </sheetData>
      <sheetData sheetId="4531">
        <row r="7">
          <cell r="E7" t="str">
            <v>PT. DANONE BISCUITS INDONESIA</v>
          </cell>
        </row>
      </sheetData>
      <sheetData sheetId="4532">
        <row r="7">
          <cell r="E7" t="str">
            <v>PT. DANONE BISCUITS INDONESIA</v>
          </cell>
        </row>
      </sheetData>
      <sheetData sheetId="4533">
        <row r="7">
          <cell r="E7" t="str">
            <v>PT. DANONE BISCUITS INDONESIA</v>
          </cell>
        </row>
      </sheetData>
      <sheetData sheetId="4534">
        <row r="7">
          <cell r="E7" t="str">
            <v>PT. DANONE BISCUITS INDONESIA</v>
          </cell>
        </row>
      </sheetData>
      <sheetData sheetId="4535">
        <row r="7">
          <cell r="E7" t="str">
            <v>PT. DANONE BISCUITS INDONESIA</v>
          </cell>
        </row>
      </sheetData>
      <sheetData sheetId="4536">
        <row r="7">
          <cell r="E7" t="str">
            <v>PT. DANONE BISCUITS INDONESIA</v>
          </cell>
        </row>
      </sheetData>
      <sheetData sheetId="4537">
        <row r="7">
          <cell r="E7" t="str">
            <v>PT. DANONE BISCUITS INDONESIA</v>
          </cell>
        </row>
      </sheetData>
      <sheetData sheetId="4538">
        <row r="7">
          <cell r="E7" t="str">
            <v>PT. DANONE BISCUITS INDONESIA</v>
          </cell>
        </row>
      </sheetData>
      <sheetData sheetId="4539">
        <row r="7">
          <cell r="E7" t="str">
            <v>PT. DANONE BISCUITS INDONESIA</v>
          </cell>
        </row>
      </sheetData>
      <sheetData sheetId="4540">
        <row r="7">
          <cell r="E7" t="str">
            <v>PT. DANONE BISCUITS INDONESIA</v>
          </cell>
        </row>
      </sheetData>
      <sheetData sheetId="4541">
        <row r="7">
          <cell r="E7" t="str">
            <v>PT. DANONE BISCUITS INDONESIA</v>
          </cell>
        </row>
      </sheetData>
      <sheetData sheetId="4542">
        <row r="7">
          <cell r="E7" t="str">
            <v>PT. DANONE BISCUITS INDONESIA</v>
          </cell>
        </row>
      </sheetData>
      <sheetData sheetId="4543">
        <row r="7">
          <cell r="E7" t="str">
            <v>PT. DANONE BISCUITS INDONESIA</v>
          </cell>
        </row>
      </sheetData>
      <sheetData sheetId="4544">
        <row r="7">
          <cell r="E7" t="str">
            <v>PT. DANONE BISCUITS INDONESIA</v>
          </cell>
        </row>
      </sheetData>
      <sheetData sheetId="4545">
        <row r="7">
          <cell r="E7" t="str">
            <v>PT. DANONE BISCUITS INDONESIA</v>
          </cell>
        </row>
      </sheetData>
      <sheetData sheetId="4546">
        <row r="7">
          <cell r="E7" t="str">
            <v>PT. DANONE BISCUITS INDONESIA</v>
          </cell>
        </row>
      </sheetData>
      <sheetData sheetId="4547">
        <row r="7">
          <cell r="E7" t="str">
            <v>PT. DANONE BISCUITS INDONESIA</v>
          </cell>
        </row>
      </sheetData>
      <sheetData sheetId="4548">
        <row r="7">
          <cell r="E7" t="str">
            <v>PT. DANONE BISCUITS INDONESIA</v>
          </cell>
        </row>
      </sheetData>
      <sheetData sheetId="4549">
        <row r="7">
          <cell r="E7" t="str">
            <v>PT. DANONE BISCUITS INDONESIA</v>
          </cell>
        </row>
      </sheetData>
      <sheetData sheetId="4550">
        <row r="7">
          <cell r="E7" t="str">
            <v>PT. DANONE BISCUITS INDONESIA</v>
          </cell>
        </row>
      </sheetData>
      <sheetData sheetId="4551">
        <row r="7">
          <cell r="E7" t="str">
            <v>PT. DANONE BISCUITS INDONESIA</v>
          </cell>
        </row>
      </sheetData>
      <sheetData sheetId="4552">
        <row r="7">
          <cell r="E7" t="str">
            <v>PT. DANONE BISCUITS INDONESIA</v>
          </cell>
        </row>
      </sheetData>
      <sheetData sheetId="4553">
        <row r="7">
          <cell r="E7" t="str">
            <v>PT. DANONE BISCUITS INDONESIA</v>
          </cell>
        </row>
      </sheetData>
      <sheetData sheetId="4554">
        <row r="7">
          <cell r="E7" t="str">
            <v>PT. DANONE BISCUITS INDONESIA</v>
          </cell>
        </row>
      </sheetData>
      <sheetData sheetId="4555">
        <row r="7">
          <cell r="E7" t="str">
            <v>PT. DANONE BISCUITS INDONESIA</v>
          </cell>
        </row>
      </sheetData>
      <sheetData sheetId="4556">
        <row r="7">
          <cell r="E7" t="str">
            <v>PT. DANONE BISCUITS INDONESIA</v>
          </cell>
        </row>
      </sheetData>
      <sheetData sheetId="4557">
        <row r="7">
          <cell r="E7" t="str">
            <v>PT. DANONE BISCUITS INDONESIA</v>
          </cell>
        </row>
      </sheetData>
      <sheetData sheetId="4558">
        <row r="7">
          <cell r="E7" t="str">
            <v>PT. DANONE BISCUITS INDONESIA</v>
          </cell>
        </row>
      </sheetData>
      <sheetData sheetId="4559">
        <row r="7">
          <cell r="E7" t="str">
            <v>PT. DANONE BISCUITS INDONESIA</v>
          </cell>
        </row>
      </sheetData>
      <sheetData sheetId="4560">
        <row r="7">
          <cell r="E7" t="str">
            <v>PT. DANONE BISCUITS INDONESIA</v>
          </cell>
        </row>
      </sheetData>
      <sheetData sheetId="4561">
        <row r="7">
          <cell r="E7" t="str">
            <v>PT. DANONE BISCUITS INDONESIA</v>
          </cell>
        </row>
      </sheetData>
      <sheetData sheetId="4562">
        <row r="7">
          <cell r="E7" t="str">
            <v>PT. DANONE BISCUITS INDONESIA</v>
          </cell>
        </row>
      </sheetData>
      <sheetData sheetId="4563">
        <row r="7">
          <cell r="E7" t="str">
            <v>PT. DANONE BISCUITS INDONESIA</v>
          </cell>
        </row>
      </sheetData>
      <sheetData sheetId="4564">
        <row r="7">
          <cell r="E7" t="str">
            <v>PT. DANONE BISCUITS INDONESIA</v>
          </cell>
        </row>
      </sheetData>
      <sheetData sheetId="4565">
        <row r="7">
          <cell r="E7" t="str">
            <v>PT. DANONE BISCUITS INDONESIA</v>
          </cell>
        </row>
      </sheetData>
      <sheetData sheetId="4566">
        <row r="7">
          <cell r="E7" t="str">
            <v>PT. DANONE BISCUITS INDONESIA</v>
          </cell>
        </row>
      </sheetData>
      <sheetData sheetId="4567">
        <row r="7">
          <cell r="E7" t="str">
            <v>PT. DANONE BISCUITS INDONESIA</v>
          </cell>
        </row>
      </sheetData>
      <sheetData sheetId="4568">
        <row r="7">
          <cell r="E7" t="str">
            <v>PT. DANONE BISCUITS INDONESIA</v>
          </cell>
        </row>
      </sheetData>
      <sheetData sheetId="4569">
        <row r="7">
          <cell r="E7" t="str">
            <v>PT. DANONE BISCUITS INDONESIA</v>
          </cell>
        </row>
      </sheetData>
      <sheetData sheetId="4570">
        <row r="7">
          <cell r="E7" t="str">
            <v>PT. DANONE BISCUITS INDONESIA</v>
          </cell>
        </row>
      </sheetData>
      <sheetData sheetId="4571">
        <row r="7">
          <cell r="E7" t="str">
            <v>PT. DANONE BISCUITS INDONESIA</v>
          </cell>
        </row>
      </sheetData>
      <sheetData sheetId="4572">
        <row r="7">
          <cell r="E7" t="str">
            <v>PT. DANONE BISCUITS INDONESIA</v>
          </cell>
        </row>
      </sheetData>
      <sheetData sheetId="4573">
        <row r="7">
          <cell r="E7" t="str">
            <v>PT. DANONE BISCUITS INDONESIA</v>
          </cell>
        </row>
      </sheetData>
      <sheetData sheetId="4574">
        <row r="7">
          <cell r="E7" t="str">
            <v>PT. DANONE BISCUITS INDONESIA</v>
          </cell>
        </row>
      </sheetData>
      <sheetData sheetId="4575">
        <row r="7">
          <cell r="E7" t="str">
            <v>PT. DANONE BISCUITS INDONESIA</v>
          </cell>
        </row>
      </sheetData>
      <sheetData sheetId="4576">
        <row r="7">
          <cell r="E7" t="str">
            <v>PT. DANONE BISCUITS INDONESIA</v>
          </cell>
        </row>
      </sheetData>
      <sheetData sheetId="4577">
        <row r="7">
          <cell r="E7" t="str">
            <v>PT. DANONE BISCUITS INDONESIA</v>
          </cell>
        </row>
      </sheetData>
      <sheetData sheetId="4578">
        <row r="7">
          <cell r="E7" t="str">
            <v>PT. DANONE BISCUITS INDONESIA</v>
          </cell>
        </row>
      </sheetData>
      <sheetData sheetId="4579">
        <row r="7">
          <cell r="E7" t="str">
            <v>PT. DANONE BISCUITS INDONESIA</v>
          </cell>
        </row>
      </sheetData>
      <sheetData sheetId="4580">
        <row r="7">
          <cell r="E7" t="str">
            <v>PT. DANONE BISCUITS INDONESIA</v>
          </cell>
        </row>
      </sheetData>
      <sheetData sheetId="4581">
        <row r="7">
          <cell r="E7" t="str">
            <v>PT. DANONE BISCUITS INDONESIA</v>
          </cell>
        </row>
      </sheetData>
      <sheetData sheetId="4582">
        <row r="7">
          <cell r="E7" t="str">
            <v>PT. DANONE BISCUITS INDONESIA</v>
          </cell>
        </row>
      </sheetData>
      <sheetData sheetId="4583">
        <row r="7">
          <cell r="E7" t="str">
            <v>PT. DANONE BISCUITS INDONESIA</v>
          </cell>
        </row>
      </sheetData>
      <sheetData sheetId="4584">
        <row r="7">
          <cell r="E7" t="str">
            <v>PT. DANONE BISCUITS INDONESIA</v>
          </cell>
        </row>
      </sheetData>
      <sheetData sheetId="4585">
        <row r="7">
          <cell r="E7" t="str">
            <v>PT. DANONE BISCUITS INDONESIA</v>
          </cell>
        </row>
      </sheetData>
      <sheetData sheetId="4586">
        <row r="7">
          <cell r="E7" t="str">
            <v>PT. DANONE BISCUITS INDONESIA</v>
          </cell>
        </row>
      </sheetData>
      <sheetData sheetId="4587">
        <row r="7">
          <cell r="E7" t="str">
            <v>PT. DANONE BISCUITS INDONESIA</v>
          </cell>
        </row>
      </sheetData>
      <sheetData sheetId="4588">
        <row r="7">
          <cell r="E7" t="str">
            <v>PT. DANONE BISCUITS INDONESIA</v>
          </cell>
        </row>
      </sheetData>
      <sheetData sheetId="4589">
        <row r="7">
          <cell r="E7" t="str">
            <v>PT. DANONE BISCUITS INDONESIA</v>
          </cell>
        </row>
      </sheetData>
      <sheetData sheetId="4590">
        <row r="7">
          <cell r="E7" t="str">
            <v>PT. DANONE BISCUITS INDONESIA</v>
          </cell>
        </row>
      </sheetData>
      <sheetData sheetId="4591">
        <row r="7">
          <cell r="E7" t="str">
            <v>PT. DANONE BISCUITS INDONESIA</v>
          </cell>
        </row>
      </sheetData>
      <sheetData sheetId="4592">
        <row r="7">
          <cell r="E7" t="str">
            <v>PT. DANONE BISCUITS INDONESIA</v>
          </cell>
        </row>
      </sheetData>
      <sheetData sheetId="4593">
        <row r="7">
          <cell r="E7" t="str">
            <v>PT. DANONE BISCUITS INDONESIA</v>
          </cell>
        </row>
      </sheetData>
      <sheetData sheetId="4594">
        <row r="7">
          <cell r="E7" t="str">
            <v>PT. DANONE BISCUITS INDONESIA</v>
          </cell>
        </row>
      </sheetData>
      <sheetData sheetId="4595">
        <row r="7">
          <cell r="E7" t="str">
            <v>PT. DANONE BISCUITS INDONESIA</v>
          </cell>
        </row>
      </sheetData>
      <sheetData sheetId="4596">
        <row r="7">
          <cell r="E7" t="str">
            <v>PT. DANONE BISCUITS INDONESIA</v>
          </cell>
        </row>
      </sheetData>
      <sheetData sheetId="4597">
        <row r="7">
          <cell r="E7" t="str">
            <v>PT. DANONE BISCUITS INDONESIA</v>
          </cell>
        </row>
      </sheetData>
      <sheetData sheetId="4598">
        <row r="7">
          <cell r="E7" t="str">
            <v>PT. DANONE BISCUITS INDONESIA</v>
          </cell>
        </row>
      </sheetData>
      <sheetData sheetId="4599">
        <row r="7">
          <cell r="E7" t="str">
            <v>PT. DANONE BISCUITS INDONESIA</v>
          </cell>
        </row>
      </sheetData>
      <sheetData sheetId="4600">
        <row r="7">
          <cell r="E7" t="str">
            <v>PT. DANONE BISCUITS INDONESIA</v>
          </cell>
        </row>
      </sheetData>
      <sheetData sheetId="4601">
        <row r="7">
          <cell r="E7" t="str">
            <v>PT. DANONE BISCUITS INDONESIA</v>
          </cell>
        </row>
      </sheetData>
      <sheetData sheetId="4602">
        <row r="7">
          <cell r="E7" t="str">
            <v>PT. DANONE BISCUITS INDONESIA</v>
          </cell>
        </row>
      </sheetData>
      <sheetData sheetId="4603">
        <row r="7">
          <cell r="E7" t="str">
            <v>PT. DANONE BISCUITS INDONESIA</v>
          </cell>
        </row>
      </sheetData>
      <sheetData sheetId="4604">
        <row r="7">
          <cell r="E7" t="str">
            <v>PT. DANONE BISCUITS INDONESIA</v>
          </cell>
        </row>
      </sheetData>
      <sheetData sheetId="4605">
        <row r="7">
          <cell r="E7" t="str">
            <v>PT. DANONE BISCUITS INDONESIA</v>
          </cell>
        </row>
      </sheetData>
      <sheetData sheetId="4606">
        <row r="7">
          <cell r="E7" t="str">
            <v>PT. DANONE BISCUITS INDONESIA</v>
          </cell>
        </row>
      </sheetData>
      <sheetData sheetId="4607">
        <row r="7">
          <cell r="E7" t="str">
            <v>PT. DANONE BISCUITS INDONESIA</v>
          </cell>
        </row>
      </sheetData>
      <sheetData sheetId="4608">
        <row r="7">
          <cell r="E7" t="str">
            <v>PT. DANONE BISCUITS INDONESIA</v>
          </cell>
        </row>
      </sheetData>
      <sheetData sheetId="4609">
        <row r="7">
          <cell r="E7" t="str">
            <v>PT. DANONE BISCUITS INDONESIA</v>
          </cell>
        </row>
      </sheetData>
      <sheetData sheetId="4610">
        <row r="7">
          <cell r="E7" t="str">
            <v>PT. DANONE BISCUITS INDONESIA</v>
          </cell>
        </row>
      </sheetData>
      <sheetData sheetId="4611">
        <row r="7">
          <cell r="E7" t="str">
            <v>PT. DANONE BISCUITS INDONESIA</v>
          </cell>
        </row>
      </sheetData>
      <sheetData sheetId="4612">
        <row r="7">
          <cell r="E7" t="str">
            <v>PT. DANONE BISCUITS INDONESIA</v>
          </cell>
        </row>
      </sheetData>
      <sheetData sheetId="4613">
        <row r="7">
          <cell r="E7" t="str">
            <v>PT. DANONE BISCUITS INDONESIA</v>
          </cell>
        </row>
      </sheetData>
      <sheetData sheetId="4614">
        <row r="7">
          <cell r="E7" t="str">
            <v>PT. DANONE BISCUITS INDONESIA</v>
          </cell>
        </row>
      </sheetData>
      <sheetData sheetId="4615">
        <row r="7">
          <cell r="E7" t="str">
            <v>PT. DANONE BISCUITS INDONESIA</v>
          </cell>
        </row>
      </sheetData>
      <sheetData sheetId="4616">
        <row r="7">
          <cell r="E7" t="str">
            <v>PT. DANONE BISCUITS INDONESIA</v>
          </cell>
        </row>
      </sheetData>
      <sheetData sheetId="4617">
        <row r="7">
          <cell r="E7" t="str">
            <v>PT. DANONE BISCUITS INDONESIA</v>
          </cell>
        </row>
      </sheetData>
      <sheetData sheetId="4618">
        <row r="7">
          <cell r="E7" t="str">
            <v>PT. DANONE BISCUITS INDONESIA</v>
          </cell>
        </row>
      </sheetData>
      <sheetData sheetId="4619">
        <row r="7">
          <cell r="E7" t="str">
            <v>PT. DANONE BISCUITS INDONESIA</v>
          </cell>
        </row>
      </sheetData>
      <sheetData sheetId="4620">
        <row r="7">
          <cell r="E7" t="str">
            <v>PT. DANONE BISCUITS INDONESIA</v>
          </cell>
        </row>
      </sheetData>
      <sheetData sheetId="4621">
        <row r="7">
          <cell r="E7" t="str">
            <v>PT. DANONE BISCUITS INDONESIA</v>
          </cell>
        </row>
      </sheetData>
      <sheetData sheetId="4622">
        <row r="7">
          <cell r="E7" t="str">
            <v>PT. DANONE BISCUITS INDONESIA</v>
          </cell>
        </row>
      </sheetData>
      <sheetData sheetId="4623">
        <row r="7">
          <cell r="E7" t="str">
            <v>PT. DANONE BISCUITS INDONESIA</v>
          </cell>
        </row>
      </sheetData>
      <sheetData sheetId="4624">
        <row r="7">
          <cell r="E7" t="str">
            <v>PT. DANONE BISCUITS INDONESIA</v>
          </cell>
        </row>
      </sheetData>
      <sheetData sheetId="4625">
        <row r="7">
          <cell r="E7" t="str">
            <v>PT. DANONE BISCUITS INDONESIA</v>
          </cell>
        </row>
      </sheetData>
      <sheetData sheetId="4626">
        <row r="7">
          <cell r="E7" t="str">
            <v>PT. DANONE BISCUITS INDONESIA</v>
          </cell>
        </row>
      </sheetData>
      <sheetData sheetId="4627">
        <row r="7">
          <cell r="E7" t="str">
            <v>PT. DANONE BISCUITS INDONESIA</v>
          </cell>
        </row>
      </sheetData>
      <sheetData sheetId="4628">
        <row r="7">
          <cell r="E7" t="str">
            <v>PT. DANONE BISCUITS INDONESIA</v>
          </cell>
        </row>
      </sheetData>
      <sheetData sheetId="4629">
        <row r="7">
          <cell r="E7" t="str">
            <v>PT. DANONE BISCUITS INDONESIA</v>
          </cell>
        </row>
      </sheetData>
      <sheetData sheetId="4630">
        <row r="7">
          <cell r="E7" t="str">
            <v>PT. DANONE BISCUITS INDONESIA</v>
          </cell>
        </row>
      </sheetData>
      <sheetData sheetId="4631">
        <row r="7">
          <cell r="E7" t="str">
            <v>PT. DANONE BISCUITS INDONESIA</v>
          </cell>
        </row>
      </sheetData>
      <sheetData sheetId="4632">
        <row r="7">
          <cell r="E7" t="str">
            <v>PT. DANONE BISCUITS INDONESIA</v>
          </cell>
        </row>
      </sheetData>
      <sheetData sheetId="4633">
        <row r="7">
          <cell r="E7" t="str">
            <v>PT. DANONE BISCUITS INDONESIA</v>
          </cell>
        </row>
      </sheetData>
      <sheetData sheetId="4634">
        <row r="7">
          <cell r="E7" t="str">
            <v>PT. DANONE BISCUITS INDONESIA</v>
          </cell>
        </row>
      </sheetData>
      <sheetData sheetId="4635">
        <row r="7">
          <cell r="E7" t="str">
            <v>PT. DANONE BISCUITS INDONESIA</v>
          </cell>
        </row>
      </sheetData>
      <sheetData sheetId="4636">
        <row r="7">
          <cell r="E7" t="str">
            <v>PT. DANONE BISCUITS INDONESIA</v>
          </cell>
        </row>
      </sheetData>
      <sheetData sheetId="4637">
        <row r="7">
          <cell r="E7" t="str">
            <v>PT. DANONE BISCUITS INDONESIA</v>
          </cell>
        </row>
      </sheetData>
      <sheetData sheetId="4638">
        <row r="7">
          <cell r="E7" t="str">
            <v>PT. DANONE BISCUITS INDONESIA</v>
          </cell>
        </row>
      </sheetData>
      <sheetData sheetId="4639">
        <row r="7">
          <cell r="E7" t="str">
            <v>PT. DANONE BISCUITS INDONESIA</v>
          </cell>
        </row>
      </sheetData>
      <sheetData sheetId="4640">
        <row r="7">
          <cell r="E7" t="str">
            <v>PT. DANONE BISCUITS INDONESIA</v>
          </cell>
        </row>
      </sheetData>
      <sheetData sheetId="4641">
        <row r="7">
          <cell r="E7" t="str">
            <v>PT. DANONE BISCUITS INDONESIA</v>
          </cell>
        </row>
      </sheetData>
      <sheetData sheetId="4642">
        <row r="7">
          <cell r="E7" t="str">
            <v>PT. DANONE BISCUITS INDONESIA</v>
          </cell>
        </row>
      </sheetData>
      <sheetData sheetId="4643">
        <row r="7">
          <cell r="E7" t="str">
            <v>PT. DANONE BISCUITS INDONESIA</v>
          </cell>
        </row>
      </sheetData>
      <sheetData sheetId="4644">
        <row r="7">
          <cell r="E7" t="str">
            <v>PT. DANONE BISCUITS INDONESIA</v>
          </cell>
        </row>
      </sheetData>
      <sheetData sheetId="4645">
        <row r="7">
          <cell r="E7" t="str">
            <v>PT. DANONE BISCUITS INDONESIA</v>
          </cell>
        </row>
      </sheetData>
      <sheetData sheetId="4646">
        <row r="7">
          <cell r="E7" t="str">
            <v>PT. DANONE BISCUITS INDONESIA</v>
          </cell>
        </row>
      </sheetData>
      <sheetData sheetId="4647">
        <row r="7">
          <cell r="E7" t="str">
            <v>PT. DANONE BISCUITS INDONESIA</v>
          </cell>
        </row>
      </sheetData>
      <sheetData sheetId="4648">
        <row r="7">
          <cell r="E7" t="str">
            <v>PT. DANONE BISCUITS INDONESIA</v>
          </cell>
        </row>
      </sheetData>
      <sheetData sheetId="4649">
        <row r="7">
          <cell r="E7" t="str">
            <v>PT. DANONE BISCUITS INDONESIA</v>
          </cell>
        </row>
      </sheetData>
      <sheetData sheetId="4650">
        <row r="7">
          <cell r="E7" t="str">
            <v>PT. DANONE BISCUITS INDONESIA</v>
          </cell>
        </row>
      </sheetData>
      <sheetData sheetId="4651">
        <row r="7">
          <cell r="E7" t="str">
            <v>PT. DANONE BISCUITS INDONESIA</v>
          </cell>
        </row>
      </sheetData>
      <sheetData sheetId="4652">
        <row r="7">
          <cell r="E7" t="str">
            <v>PT. DANONE BISCUITS INDONESIA</v>
          </cell>
        </row>
      </sheetData>
      <sheetData sheetId="4653">
        <row r="7">
          <cell r="E7" t="str">
            <v>PT. DANONE BISCUITS INDONESIA</v>
          </cell>
        </row>
      </sheetData>
      <sheetData sheetId="4654">
        <row r="7">
          <cell r="E7" t="str">
            <v>PT. DANONE BISCUITS INDONESIA</v>
          </cell>
        </row>
      </sheetData>
      <sheetData sheetId="4655">
        <row r="7">
          <cell r="E7" t="str">
            <v>PT. DANONE BISCUITS INDONESIA</v>
          </cell>
        </row>
      </sheetData>
      <sheetData sheetId="4656">
        <row r="7">
          <cell r="E7" t="str">
            <v>PT. DANONE BISCUITS INDONESIA</v>
          </cell>
        </row>
      </sheetData>
      <sheetData sheetId="4657">
        <row r="7">
          <cell r="E7" t="str">
            <v>PT. DANONE BISCUITS INDONESIA</v>
          </cell>
        </row>
      </sheetData>
      <sheetData sheetId="4658">
        <row r="7">
          <cell r="E7" t="str">
            <v>PT. DANONE BISCUITS INDONESIA</v>
          </cell>
        </row>
      </sheetData>
      <sheetData sheetId="4659">
        <row r="7">
          <cell r="E7" t="str">
            <v>PT. DANONE BISCUITS INDONESIA</v>
          </cell>
        </row>
      </sheetData>
      <sheetData sheetId="4660">
        <row r="7">
          <cell r="E7" t="str">
            <v>PT. DANONE BISCUITS INDONESIA</v>
          </cell>
        </row>
      </sheetData>
      <sheetData sheetId="4661">
        <row r="7">
          <cell r="E7" t="str">
            <v>PT. DANONE BISCUITS INDONESIA</v>
          </cell>
        </row>
      </sheetData>
      <sheetData sheetId="4662">
        <row r="7">
          <cell r="E7" t="str">
            <v>PT. DANONE BISCUITS INDONESIA</v>
          </cell>
        </row>
      </sheetData>
      <sheetData sheetId="4663">
        <row r="7">
          <cell r="E7" t="str">
            <v>PT. DANONE BISCUITS INDONESIA</v>
          </cell>
        </row>
      </sheetData>
      <sheetData sheetId="4664">
        <row r="7">
          <cell r="E7" t="str">
            <v>PT. DANONE BISCUITS INDONESIA</v>
          </cell>
        </row>
      </sheetData>
      <sheetData sheetId="4665">
        <row r="7">
          <cell r="E7" t="str">
            <v>PT. DANONE BISCUITS INDONESIA</v>
          </cell>
        </row>
      </sheetData>
      <sheetData sheetId="4666">
        <row r="7">
          <cell r="E7" t="str">
            <v>PT. DANONE BISCUITS INDONESIA</v>
          </cell>
        </row>
      </sheetData>
      <sheetData sheetId="4667">
        <row r="7">
          <cell r="E7" t="str">
            <v>PT. DANONE BISCUITS INDONESIA</v>
          </cell>
        </row>
      </sheetData>
      <sheetData sheetId="4668">
        <row r="7">
          <cell r="E7" t="str">
            <v>PT. DANONE BISCUITS INDONESIA</v>
          </cell>
        </row>
      </sheetData>
      <sheetData sheetId="4669">
        <row r="7">
          <cell r="E7" t="str">
            <v>PT. DANONE BISCUITS INDONESIA</v>
          </cell>
        </row>
      </sheetData>
      <sheetData sheetId="4670">
        <row r="7">
          <cell r="E7" t="str">
            <v>PT. DANONE BISCUITS INDONESIA</v>
          </cell>
        </row>
      </sheetData>
      <sheetData sheetId="4671">
        <row r="7">
          <cell r="E7" t="str">
            <v>PT. DANONE BISCUITS INDONESIA</v>
          </cell>
        </row>
      </sheetData>
      <sheetData sheetId="4672">
        <row r="7">
          <cell r="E7" t="str">
            <v>PT. DANONE BISCUITS INDONESIA</v>
          </cell>
        </row>
      </sheetData>
      <sheetData sheetId="4673">
        <row r="7">
          <cell r="E7" t="str">
            <v>PT. DANONE BISCUITS INDONESIA</v>
          </cell>
        </row>
      </sheetData>
      <sheetData sheetId="4674">
        <row r="7">
          <cell r="E7" t="str">
            <v>PT. DANONE BISCUITS INDONESIA</v>
          </cell>
        </row>
      </sheetData>
      <sheetData sheetId="4675">
        <row r="7">
          <cell r="E7" t="str">
            <v>PT. DANONE BISCUITS INDONESIA</v>
          </cell>
        </row>
      </sheetData>
      <sheetData sheetId="4676">
        <row r="7">
          <cell r="E7" t="str">
            <v>PT. DANONE BISCUITS INDONESIA</v>
          </cell>
        </row>
      </sheetData>
      <sheetData sheetId="4677">
        <row r="7">
          <cell r="E7" t="str">
            <v>PT. DANONE BISCUITS INDONESIA</v>
          </cell>
        </row>
      </sheetData>
      <sheetData sheetId="4678">
        <row r="7">
          <cell r="E7" t="str">
            <v>PT. DANONE BISCUITS INDONESIA</v>
          </cell>
        </row>
      </sheetData>
      <sheetData sheetId="4679">
        <row r="7">
          <cell r="E7" t="str">
            <v>PT. DANONE BISCUITS INDONESIA</v>
          </cell>
        </row>
      </sheetData>
      <sheetData sheetId="4680">
        <row r="7">
          <cell r="E7" t="str">
            <v>PT. DANONE BISCUITS INDONESIA</v>
          </cell>
        </row>
      </sheetData>
      <sheetData sheetId="4681">
        <row r="7">
          <cell r="E7" t="str">
            <v>PT. DANONE BISCUITS INDONESIA</v>
          </cell>
        </row>
      </sheetData>
      <sheetData sheetId="4682">
        <row r="7">
          <cell r="E7" t="str">
            <v>PT. DANONE BISCUITS INDONESIA</v>
          </cell>
        </row>
      </sheetData>
      <sheetData sheetId="4683">
        <row r="7">
          <cell r="E7" t="str">
            <v>PT. DANONE BISCUITS INDONESIA</v>
          </cell>
        </row>
      </sheetData>
      <sheetData sheetId="4684">
        <row r="7">
          <cell r="E7" t="str">
            <v>PT. DANONE BISCUITS INDONESIA</v>
          </cell>
        </row>
      </sheetData>
      <sheetData sheetId="4685">
        <row r="7">
          <cell r="E7" t="str">
            <v>PT. DANONE BISCUITS INDONESIA</v>
          </cell>
        </row>
      </sheetData>
      <sheetData sheetId="4686">
        <row r="7">
          <cell r="E7" t="str">
            <v>PT. DANONE BISCUITS INDONESIA</v>
          </cell>
        </row>
      </sheetData>
      <sheetData sheetId="4687">
        <row r="7">
          <cell r="E7" t="str">
            <v>PT. DANONE BISCUITS INDONESIA</v>
          </cell>
        </row>
      </sheetData>
      <sheetData sheetId="4688">
        <row r="7">
          <cell r="E7" t="str">
            <v>PT. DANONE BISCUITS INDONESIA</v>
          </cell>
        </row>
      </sheetData>
      <sheetData sheetId="4689">
        <row r="7">
          <cell r="E7" t="str">
            <v>PT. DANONE BISCUITS INDONESIA</v>
          </cell>
        </row>
      </sheetData>
      <sheetData sheetId="4690">
        <row r="7">
          <cell r="E7" t="str">
            <v>PT. DANONE BISCUITS INDONESIA</v>
          </cell>
        </row>
      </sheetData>
      <sheetData sheetId="4691">
        <row r="7">
          <cell r="E7" t="str">
            <v>PT. DANONE BISCUITS INDONESIA</v>
          </cell>
        </row>
      </sheetData>
      <sheetData sheetId="4692">
        <row r="7">
          <cell r="E7" t="str">
            <v>PT. DANONE BISCUITS INDONESIA</v>
          </cell>
        </row>
      </sheetData>
      <sheetData sheetId="4693">
        <row r="7">
          <cell r="E7" t="str">
            <v>PT. DANONE BISCUITS INDONESIA</v>
          </cell>
        </row>
      </sheetData>
      <sheetData sheetId="4694">
        <row r="7">
          <cell r="E7" t="str">
            <v>PT. DANONE BISCUITS INDONESIA</v>
          </cell>
        </row>
      </sheetData>
      <sheetData sheetId="4695">
        <row r="7">
          <cell r="E7" t="str">
            <v>PT. DANONE BISCUITS INDONESIA</v>
          </cell>
        </row>
      </sheetData>
      <sheetData sheetId="4696">
        <row r="7">
          <cell r="E7" t="str">
            <v>PT. DANONE BISCUITS INDONESIA</v>
          </cell>
        </row>
      </sheetData>
      <sheetData sheetId="4697">
        <row r="7">
          <cell r="E7" t="str">
            <v>PT. DANONE BISCUITS INDONESIA</v>
          </cell>
        </row>
      </sheetData>
      <sheetData sheetId="4698">
        <row r="7">
          <cell r="E7" t="str">
            <v>PT. DANONE BISCUITS INDONESIA</v>
          </cell>
        </row>
      </sheetData>
      <sheetData sheetId="4699">
        <row r="7">
          <cell r="E7" t="str">
            <v>PT. DANONE BISCUITS INDONESIA</v>
          </cell>
        </row>
      </sheetData>
      <sheetData sheetId="4700">
        <row r="7">
          <cell r="E7" t="str">
            <v>PT. DANONE BISCUITS INDONESIA</v>
          </cell>
        </row>
      </sheetData>
      <sheetData sheetId="4701">
        <row r="7">
          <cell r="E7" t="str">
            <v>PT. DANONE BISCUITS INDONESIA</v>
          </cell>
        </row>
      </sheetData>
      <sheetData sheetId="4702">
        <row r="7">
          <cell r="E7" t="str">
            <v>PT. DANONE BISCUITS INDONESIA</v>
          </cell>
        </row>
      </sheetData>
      <sheetData sheetId="4703">
        <row r="7">
          <cell r="E7" t="str">
            <v>PT. DANONE BISCUITS INDONESIA</v>
          </cell>
        </row>
      </sheetData>
      <sheetData sheetId="4704">
        <row r="7">
          <cell r="E7" t="str">
            <v>PT. DANONE BISCUITS INDONESIA</v>
          </cell>
        </row>
      </sheetData>
      <sheetData sheetId="4705">
        <row r="7">
          <cell r="E7" t="str">
            <v>PT. DANONE BISCUITS INDONESIA</v>
          </cell>
        </row>
      </sheetData>
      <sheetData sheetId="4706">
        <row r="7">
          <cell r="E7" t="str">
            <v>PT. DANONE BISCUITS INDONESIA</v>
          </cell>
        </row>
      </sheetData>
      <sheetData sheetId="4707">
        <row r="7">
          <cell r="E7" t="str">
            <v>PT. DANONE BISCUITS INDONESIA</v>
          </cell>
        </row>
      </sheetData>
      <sheetData sheetId="4708">
        <row r="7">
          <cell r="E7" t="str">
            <v>PT. DANONE BISCUITS INDONESIA</v>
          </cell>
        </row>
      </sheetData>
      <sheetData sheetId="4709">
        <row r="7">
          <cell r="E7" t="str">
            <v>PT. DANONE BISCUITS INDONESIA</v>
          </cell>
        </row>
      </sheetData>
      <sheetData sheetId="4710">
        <row r="7">
          <cell r="E7" t="str">
            <v>PT. DANONE BISCUITS INDONESIA</v>
          </cell>
        </row>
      </sheetData>
      <sheetData sheetId="4711">
        <row r="7">
          <cell r="E7" t="str">
            <v>PT. DANONE BISCUITS INDONESIA</v>
          </cell>
        </row>
      </sheetData>
      <sheetData sheetId="4712">
        <row r="7">
          <cell r="E7" t="str">
            <v>PT. DANONE BISCUITS INDONESIA</v>
          </cell>
        </row>
      </sheetData>
      <sheetData sheetId="4713">
        <row r="7">
          <cell r="E7" t="str">
            <v>PT. DANONE BISCUITS INDONESIA</v>
          </cell>
        </row>
      </sheetData>
      <sheetData sheetId="4714">
        <row r="7">
          <cell r="E7" t="str">
            <v>PT. DANONE BISCUITS INDONESIA</v>
          </cell>
        </row>
      </sheetData>
      <sheetData sheetId="4715">
        <row r="7">
          <cell r="E7" t="str">
            <v>PT. DANONE BISCUITS INDONESIA</v>
          </cell>
        </row>
      </sheetData>
      <sheetData sheetId="4716">
        <row r="7">
          <cell r="E7" t="str">
            <v>PT. DANONE BISCUITS INDONESIA</v>
          </cell>
        </row>
      </sheetData>
      <sheetData sheetId="4717">
        <row r="7">
          <cell r="E7" t="str">
            <v>PT. DANONE BISCUITS INDONESIA</v>
          </cell>
        </row>
      </sheetData>
      <sheetData sheetId="4718">
        <row r="7">
          <cell r="E7" t="str">
            <v>PT. DANONE BISCUITS INDONESIA</v>
          </cell>
        </row>
      </sheetData>
      <sheetData sheetId="4719">
        <row r="7">
          <cell r="E7" t="str">
            <v>PT. DANONE BISCUITS INDONESIA</v>
          </cell>
        </row>
      </sheetData>
      <sheetData sheetId="4720">
        <row r="7">
          <cell r="E7" t="str">
            <v>PT. DANONE BISCUITS INDONESIA</v>
          </cell>
        </row>
      </sheetData>
      <sheetData sheetId="4721">
        <row r="7">
          <cell r="E7" t="str">
            <v>PT. DANONE BISCUITS INDONESIA</v>
          </cell>
        </row>
      </sheetData>
      <sheetData sheetId="4722">
        <row r="7">
          <cell r="E7" t="str">
            <v>PT. DANONE BISCUITS INDONESIA</v>
          </cell>
        </row>
      </sheetData>
      <sheetData sheetId="4723">
        <row r="7">
          <cell r="E7" t="str">
            <v>PT. DANONE BISCUITS INDONESIA</v>
          </cell>
        </row>
      </sheetData>
      <sheetData sheetId="4724">
        <row r="7">
          <cell r="E7" t="str">
            <v>PT. DANONE BISCUITS INDONESIA</v>
          </cell>
        </row>
      </sheetData>
      <sheetData sheetId="4725">
        <row r="7">
          <cell r="E7" t="str">
            <v>PT. DANONE BISCUITS INDONESIA</v>
          </cell>
        </row>
      </sheetData>
      <sheetData sheetId="4726">
        <row r="7">
          <cell r="E7" t="str">
            <v>PT. DANONE BISCUITS INDONESIA</v>
          </cell>
        </row>
      </sheetData>
      <sheetData sheetId="4727">
        <row r="7">
          <cell r="E7" t="str">
            <v>PT. DANONE BISCUITS INDONESIA</v>
          </cell>
        </row>
      </sheetData>
      <sheetData sheetId="4728">
        <row r="7">
          <cell r="E7" t="str">
            <v>PT. DANONE BISCUITS INDONESIA</v>
          </cell>
        </row>
      </sheetData>
      <sheetData sheetId="4729">
        <row r="7">
          <cell r="E7" t="str">
            <v>PT. DANONE BISCUITS INDONESIA</v>
          </cell>
        </row>
      </sheetData>
      <sheetData sheetId="4730">
        <row r="7">
          <cell r="E7" t="str">
            <v>PT. DANONE BISCUITS INDONESIA</v>
          </cell>
        </row>
      </sheetData>
      <sheetData sheetId="4731">
        <row r="7">
          <cell r="E7" t="str">
            <v>PT. DANONE BISCUITS INDONESIA</v>
          </cell>
        </row>
      </sheetData>
      <sheetData sheetId="4732">
        <row r="7">
          <cell r="E7" t="str">
            <v>PT. DANONE BISCUITS INDONESIA</v>
          </cell>
        </row>
      </sheetData>
      <sheetData sheetId="4733">
        <row r="7">
          <cell r="E7" t="str">
            <v>PT. DANONE BISCUITS INDONESIA</v>
          </cell>
        </row>
      </sheetData>
      <sheetData sheetId="4734">
        <row r="7">
          <cell r="E7" t="str">
            <v>PT. DANONE BISCUITS INDONESIA</v>
          </cell>
        </row>
      </sheetData>
      <sheetData sheetId="4735">
        <row r="7">
          <cell r="E7" t="str">
            <v>PT. DANONE BISCUITS INDONESIA</v>
          </cell>
        </row>
      </sheetData>
      <sheetData sheetId="4736">
        <row r="7">
          <cell r="E7" t="str">
            <v>PT. DANONE BISCUITS INDONESIA</v>
          </cell>
        </row>
      </sheetData>
      <sheetData sheetId="4737">
        <row r="7">
          <cell r="E7" t="str">
            <v>PT. DANONE BISCUITS INDONESIA</v>
          </cell>
        </row>
      </sheetData>
      <sheetData sheetId="4738">
        <row r="7">
          <cell r="E7" t="str">
            <v>PT. DANONE BISCUITS INDONESIA</v>
          </cell>
        </row>
      </sheetData>
      <sheetData sheetId="4739">
        <row r="7">
          <cell r="E7" t="str">
            <v>PT. DANONE BISCUITS INDONESIA</v>
          </cell>
        </row>
      </sheetData>
      <sheetData sheetId="4740">
        <row r="7">
          <cell r="E7" t="str">
            <v>PT. DANONE BISCUITS INDONESIA</v>
          </cell>
        </row>
      </sheetData>
      <sheetData sheetId="4741">
        <row r="7">
          <cell r="E7" t="str">
            <v>PT. DANONE BISCUITS INDONESIA</v>
          </cell>
        </row>
      </sheetData>
      <sheetData sheetId="4742">
        <row r="7">
          <cell r="E7" t="str">
            <v>PT. DANONE BISCUITS INDONESIA</v>
          </cell>
        </row>
      </sheetData>
      <sheetData sheetId="4743">
        <row r="7">
          <cell r="E7" t="str">
            <v>PT. DANONE BISCUITS INDONESIA</v>
          </cell>
        </row>
      </sheetData>
      <sheetData sheetId="4744">
        <row r="7">
          <cell r="E7" t="str">
            <v>PT. DANONE BISCUITS INDONESIA</v>
          </cell>
        </row>
      </sheetData>
      <sheetData sheetId="4745">
        <row r="7">
          <cell r="E7" t="str">
            <v>PT. DANONE BISCUITS INDONESIA</v>
          </cell>
        </row>
      </sheetData>
      <sheetData sheetId="4746">
        <row r="7">
          <cell r="E7" t="str">
            <v>PT. DANONE BISCUITS INDONESIA</v>
          </cell>
        </row>
      </sheetData>
      <sheetData sheetId="4747">
        <row r="7">
          <cell r="E7" t="str">
            <v>PT. DANONE BISCUITS INDONESIA</v>
          </cell>
        </row>
      </sheetData>
      <sheetData sheetId="4748">
        <row r="7">
          <cell r="E7" t="str">
            <v>PT. DANONE BISCUITS INDONESIA</v>
          </cell>
        </row>
      </sheetData>
      <sheetData sheetId="4749">
        <row r="7">
          <cell r="E7" t="str">
            <v>PT. DANONE BISCUITS INDONESIA</v>
          </cell>
        </row>
      </sheetData>
      <sheetData sheetId="4750">
        <row r="7">
          <cell r="E7" t="str">
            <v>PT. DANONE BISCUITS INDONESIA</v>
          </cell>
        </row>
      </sheetData>
      <sheetData sheetId="4751">
        <row r="7">
          <cell r="E7" t="str">
            <v>PT. DANONE BISCUITS INDONESIA</v>
          </cell>
        </row>
      </sheetData>
      <sheetData sheetId="4752">
        <row r="7">
          <cell r="E7" t="str">
            <v>PT. DANONE BISCUITS INDONESIA</v>
          </cell>
        </row>
      </sheetData>
      <sheetData sheetId="4753">
        <row r="7">
          <cell r="E7" t="str">
            <v>PT. DANONE BISCUITS INDONESIA</v>
          </cell>
        </row>
      </sheetData>
      <sheetData sheetId="4754">
        <row r="7">
          <cell r="E7" t="str">
            <v>PT. DANONE BISCUITS INDONESIA</v>
          </cell>
        </row>
      </sheetData>
      <sheetData sheetId="4755">
        <row r="7">
          <cell r="E7" t="str">
            <v>PT. DANONE BISCUITS INDONESIA</v>
          </cell>
        </row>
      </sheetData>
      <sheetData sheetId="4756">
        <row r="7">
          <cell r="E7" t="str">
            <v>PT. DANONE BISCUITS INDONESIA</v>
          </cell>
        </row>
      </sheetData>
      <sheetData sheetId="4757">
        <row r="7">
          <cell r="E7" t="str">
            <v>PT. DANONE BISCUITS INDONESIA</v>
          </cell>
        </row>
      </sheetData>
      <sheetData sheetId="4758">
        <row r="7">
          <cell r="E7" t="str">
            <v>PT. DANONE BISCUITS INDONESIA</v>
          </cell>
        </row>
      </sheetData>
      <sheetData sheetId="4759">
        <row r="7">
          <cell r="E7" t="str">
            <v>PT. DANONE BISCUITS INDONESIA</v>
          </cell>
        </row>
      </sheetData>
      <sheetData sheetId="4760">
        <row r="7">
          <cell r="E7" t="str">
            <v>PT. DANONE BISCUITS INDONESIA</v>
          </cell>
        </row>
      </sheetData>
      <sheetData sheetId="4761">
        <row r="7">
          <cell r="E7" t="str">
            <v>PT. DANONE BISCUITS INDONESIA</v>
          </cell>
        </row>
      </sheetData>
      <sheetData sheetId="4762">
        <row r="7">
          <cell r="E7" t="str">
            <v>PT. DANONE BISCUITS INDONESIA</v>
          </cell>
        </row>
      </sheetData>
      <sheetData sheetId="4763">
        <row r="7">
          <cell r="E7" t="str">
            <v>PT. DANONE BISCUITS INDONESIA</v>
          </cell>
        </row>
      </sheetData>
      <sheetData sheetId="4764">
        <row r="7">
          <cell r="E7" t="str">
            <v>PT. DANONE BISCUITS INDONESIA</v>
          </cell>
        </row>
      </sheetData>
      <sheetData sheetId="4765">
        <row r="7">
          <cell r="E7" t="str">
            <v>PT. DANONE BISCUITS INDONESIA</v>
          </cell>
        </row>
      </sheetData>
      <sheetData sheetId="4766">
        <row r="7">
          <cell r="E7" t="str">
            <v>PT. DANONE BISCUITS INDONESIA</v>
          </cell>
        </row>
      </sheetData>
      <sheetData sheetId="4767">
        <row r="7">
          <cell r="E7" t="str">
            <v>PT. DANONE BISCUITS INDONESIA</v>
          </cell>
        </row>
      </sheetData>
      <sheetData sheetId="4768">
        <row r="7">
          <cell r="E7" t="str">
            <v>PT. DANONE BISCUITS INDONESIA</v>
          </cell>
        </row>
      </sheetData>
      <sheetData sheetId="4769">
        <row r="7">
          <cell r="E7" t="str">
            <v>PT. DANONE BISCUITS INDONESIA</v>
          </cell>
        </row>
      </sheetData>
      <sheetData sheetId="4770">
        <row r="7">
          <cell r="E7" t="str">
            <v>PT. DANONE BISCUITS INDONESIA</v>
          </cell>
        </row>
      </sheetData>
      <sheetData sheetId="4771">
        <row r="7">
          <cell r="E7" t="str">
            <v>PT. DANONE BISCUITS INDONESIA</v>
          </cell>
        </row>
      </sheetData>
      <sheetData sheetId="4772">
        <row r="7">
          <cell r="E7" t="str">
            <v>PT. DANONE BISCUITS INDONESIA</v>
          </cell>
        </row>
      </sheetData>
      <sheetData sheetId="4773">
        <row r="7">
          <cell r="E7" t="str">
            <v>PT. DANONE BISCUITS INDONESIA</v>
          </cell>
        </row>
      </sheetData>
      <sheetData sheetId="4774">
        <row r="7">
          <cell r="E7" t="str">
            <v>PT. DANONE BISCUITS INDONESIA</v>
          </cell>
        </row>
      </sheetData>
      <sheetData sheetId="4775">
        <row r="7">
          <cell r="E7" t="str">
            <v>PT. DANONE BISCUITS INDONESIA</v>
          </cell>
        </row>
      </sheetData>
      <sheetData sheetId="4776">
        <row r="7">
          <cell r="E7" t="str">
            <v>PT. DANONE BISCUITS INDONESIA</v>
          </cell>
        </row>
      </sheetData>
      <sheetData sheetId="4777">
        <row r="7">
          <cell r="E7" t="str">
            <v>PT. DANONE BISCUITS INDONESIA</v>
          </cell>
        </row>
      </sheetData>
      <sheetData sheetId="4778">
        <row r="7">
          <cell r="E7" t="str">
            <v>PT. DANONE BISCUITS INDONESIA</v>
          </cell>
        </row>
      </sheetData>
      <sheetData sheetId="4779">
        <row r="7">
          <cell r="E7" t="str">
            <v>PT. DANONE BISCUITS INDONESIA</v>
          </cell>
        </row>
      </sheetData>
      <sheetData sheetId="4780">
        <row r="7">
          <cell r="E7" t="str">
            <v>PT. DANONE BISCUITS INDONESIA</v>
          </cell>
        </row>
      </sheetData>
      <sheetData sheetId="4781">
        <row r="7">
          <cell r="E7" t="str">
            <v>PT. DANONE BISCUITS INDONESIA</v>
          </cell>
        </row>
      </sheetData>
      <sheetData sheetId="4782">
        <row r="7">
          <cell r="E7" t="str">
            <v>PT. DANONE BISCUITS INDONESIA</v>
          </cell>
        </row>
      </sheetData>
      <sheetData sheetId="4783">
        <row r="7">
          <cell r="E7" t="str">
            <v>PT. DANONE BISCUITS INDONESIA</v>
          </cell>
        </row>
      </sheetData>
      <sheetData sheetId="4784">
        <row r="7">
          <cell r="E7" t="str">
            <v>PT. DANONE BISCUITS INDONESIA</v>
          </cell>
        </row>
      </sheetData>
      <sheetData sheetId="4785">
        <row r="7">
          <cell r="E7" t="str">
            <v>PT. DANONE BISCUITS INDONESIA</v>
          </cell>
        </row>
      </sheetData>
      <sheetData sheetId="4786">
        <row r="7">
          <cell r="E7" t="str">
            <v>PT. DANONE BISCUITS INDONESIA</v>
          </cell>
        </row>
      </sheetData>
      <sheetData sheetId="4787">
        <row r="7">
          <cell r="E7" t="str">
            <v>PT. DANONE BISCUITS INDONESIA</v>
          </cell>
        </row>
      </sheetData>
      <sheetData sheetId="4788">
        <row r="7">
          <cell r="E7" t="str">
            <v>PT. DANONE BISCUITS INDONESIA</v>
          </cell>
        </row>
      </sheetData>
      <sheetData sheetId="4789">
        <row r="7">
          <cell r="E7" t="str">
            <v>PT. DANONE BISCUITS INDONESIA</v>
          </cell>
        </row>
      </sheetData>
      <sheetData sheetId="4790">
        <row r="7">
          <cell r="E7" t="str">
            <v>PT. DANONE BISCUITS INDONESIA</v>
          </cell>
        </row>
      </sheetData>
      <sheetData sheetId="4791">
        <row r="7">
          <cell r="E7" t="str">
            <v>PT. DANONE BISCUITS INDONESIA</v>
          </cell>
        </row>
      </sheetData>
      <sheetData sheetId="4792">
        <row r="7">
          <cell r="E7" t="str">
            <v>PT. DANONE BISCUITS INDONESIA</v>
          </cell>
        </row>
      </sheetData>
      <sheetData sheetId="4793">
        <row r="7">
          <cell r="E7" t="str">
            <v>PT. DANONE BISCUITS INDONESIA</v>
          </cell>
        </row>
      </sheetData>
      <sheetData sheetId="4794">
        <row r="7">
          <cell r="E7" t="str">
            <v>PT. DANONE BISCUITS INDONESIA</v>
          </cell>
        </row>
      </sheetData>
      <sheetData sheetId="4795">
        <row r="7">
          <cell r="E7" t="str">
            <v>PT. DANONE BISCUITS INDONESIA</v>
          </cell>
        </row>
      </sheetData>
      <sheetData sheetId="4796">
        <row r="7">
          <cell r="E7" t="str">
            <v>PT. DANONE BISCUITS INDONESIA</v>
          </cell>
        </row>
      </sheetData>
      <sheetData sheetId="4797">
        <row r="7">
          <cell r="E7" t="str">
            <v>PT. DANONE BISCUITS INDONESIA</v>
          </cell>
        </row>
      </sheetData>
      <sheetData sheetId="4798">
        <row r="7">
          <cell r="E7" t="str">
            <v>PT. DANONE BISCUITS INDONESIA</v>
          </cell>
        </row>
      </sheetData>
      <sheetData sheetId="4799">
        <row r="7">
          <cell r="E7" t="str">
            <v>PT. DANONE BISCUITS INDONESIA</v>
          </cell>
        </row>
      </sheetData>
      <sheetData sheetId="4800">
        <row r="7">
          <cell r="E7" t="str">
            <v>PT. DANONE BISCUITS INDONESIA</v>
          </cell>
        </row>
      </sheetData>
      <sheetData sheetId="4801">
        <row r="7">
          <cell r="E7" t="str">
            <v>PT. DANONE BISCUITS INDONESIA</v>
          </cell>
        </row>
      </sheetData>
      <sheetData sheetId="4802">
        <row r="7">
          <cell r="E7" t="str">
            <v>PT. DANONE BISCUITS INDONESIA</v>
          </cell>
        </row>
      </sheetData>
      <sheetData sheetId="4803">
        <row r="7">
          <cell r="E7" t="str">
            <v>PT. DANONE BISCUITS INDONESIA</v>
          </cell>
        </row>
      </sheetData>
      <sheetData sheetId="4804">
        <row r="7">
          <cell r="E7" t="str">
            <v>PT. DANONE BISCUITS INDONESIA</v>
          </cell>
        </row>
      </sheetData>
      <sheetData sheetId="4805">
        <row r="7">
          <cell r="E7" t="str">
            <v>PT. DANONE BISCUITS INDONESIA</v>
          </cell>
        </row>
      </sheetData>
      <sheetData sheetId="4806">
        <row r="7">
          <cell r="E7" t="str">
            <v>PT. DANONE BISCUITS INDONESIA</v>
          </cell>
        </row>
      </sheetData>
      <sheetData sheetId="4807">
        <row r="7">
          <cell r="E7" t="str">
            <v>PT. DANONE BISCUITS INDONESIA</v>
          </cell>
        </row>
      </sheetData>
      <sheetData sheetId="4808">
        <row r="7">
          <cell r="E7" t="str">
            <v>PT. DANONE BISCUITS INDONESIA</v>
          </cell>
        </row>
      </sheetData>
      <sheetData sheetId="4809">
        <row r="7">
          <cell r="E7" t="str">
            <v>PT. DANONE BISCUITS INDONESIA</v>
          </cell>
        </row>
      </sheetData>
      <sheetData sheetId="4810">
        <row r="7">
          <cell r="E7" t="str">
            <v>PT. DANONE BISCUITS INDONESIA</v>
          </cell>
        </row>
      </sheetData>
      <sheetData sheetId="4811">
        <row r="7">
          <cell r="E7" t="str">
            <v>PT. DANONE BISCUITS INDONESIA</v>
          </cell>
        </row>
      </sheetData>
      <sheetData sheetId="4812">
        <row r="7">
          <cell r="E7" t="str">
            <v>PT. DANONE BISCUITS INDONESIA</v>
          </cell>
        </row>
      </sheetData>
      <sheetData sheetId="4813">
        <row r="7">
          <cell r="E7" t="str">
            <v>PT. DANONE BISCUITS INDONESIA</v>
          </cell>
        </row>
      </sheetData>
      <sheetData sheetId="4814">
        <row r="7">
          <cell r="E7" t="str">
            <v>PT. DANONE BISCUITS INDONESIA</v>
          </cell>
        </row>
      </sheetData>
      <sheetData sheetId="4815">
        <row r="7">
          <cell r="E7" t="str">
            <v>PT. DANONE BISCUITS INDONESIA</v>
          </cell>
        </row>
      </sheetData>
      <sheetData sheetId="4816">
        <row r="7">
          <cell r="E7" t="str">
            <v>PT. DANONE BISCUITS INDONESIA</v>
          </cell>
        </row>
      </sheetData>
      <sheetData sheetId="4817">
        <row r="7">
          <cell r="E7" t="str">
            <v>PT. DANONE BISCUITS INDONESIA</v>
          </cell>
        </row>
      </sheetData>
      <sheetData sheetId="4818">
        <row r="7">
          <cell r="E7" t="str">
            <v>PT. DANONE BISCUITS INDONESIA</v>
          </cell>
        </row>
      </sheetData>
      <sheetData sheetId="4819">
        <row r="7">
          <cell r="E7" t="str">
            <v>PT. DANONE BISCUITS INDONESIA</v>
          </cell>
        </row>
      </sheetData>
      <sheetData sheetId="4820">
        <row r="7">
          <cell r="E7" t="str">
            <v>PT. DANONE BISCUITS INDONESIA</v>
          </cell>
        </row>
      </sheetData>
      <sheetData sheetId="4821">
        <row r="7">
          <cell r="E7" t="str">
            <v>PT. DANONE BISCUITS INDONESIA</v>
          </cell>
        </row>
      </sheetData>
      <sheetData sheetId="4822">
        <row r="7">
          <cell r="E7" t="str">
            <v>PT. DANONE BISCUITS INDONESIA</v>
          </cell>
        </row>
      </sheetData>
      <sheetData sheetId="4823">
        <row r="7">
          <cell r="E7" t="str">
            <v>PT. DANONE BISCUITS INDONESIA</v>
          </cell>
        </row>
      </sheetData>
      <sheetData sheetId="4824">
        <row r="7">
          <cell r="E7" t="str">
            <v>PT. DANONE BISCUITS INDONESIA</v>
          </cell>
        </row>
      </sheetData>
      <sheetData sheetId="4825">
        <row r="7">
          <cell r="E7" t="str">
            <v>PT. DANONE BISCUITS INDONESIA</v>
          </cell>
        </row>
      </sheetData>
      <sheetData sheetId="4826">
        <row r="7">
          <cell r="E7" t="str">
            <v>PT. DANONE BISCUITS INDONESIA</v>
          </cell>
        </row>
      </sheetData>
      <sheetData sheetId="4827">
        <row r="7">
          <cell r="E7" t="str">
            <v>PT. DANONE BISCUITS INDONESIA</v>
          </cell>
        </row>
      </sheetData>
      <sheetData sheetId="4828">
        <row r="7">
          <cell r="E7" t="str">
            <v>PT. DANONE BISCUITS INDONESIA</v>
          </cell>
        </row>
      </sheetData>
      <sheetData sheetId="4829">
        <row r="7">
          <cell r="E7" t="str">
            <v>PT. DANONE BISCUITS INDONESIA</v>
          </cell>
        </row>
      </sheetData>
      <sheetData sheetId="4830">
        <row r="7">
          <cell r="E7" t="str">
            <v>PT. DANONE BISCUITS INDONESIA</v>
          </cell>
        </row>
      </sheetData>
      <sheetData sheetId="4831">
        <row r="7">
          <cell r="E7" t="str">
            <v>PT. DANONE BISCUITS INDONESIA</v>
          </cell>
        </row>
      </sheetData>
      <sheetData sheetId="4832">
        <row r="7">
          <cell r="E7" t="str">
            <v>PT. DANONE BISCUITS INDONESIA</v>
          </cell>
        </row>
      </sheetData>
      <sheetData sheetId="4833">
        <row r="7">
          <cell r="E7" t="str">
            <v>PT. DANONE BISCUITS INDONESIA</v>
          </cell>
        </row>
      </sheetData>
      <sheetData sheetId="4834">
        <row r="7">
          <cell r="E7" t="str">
            <v>PT. DANONE BISCUITS INDONESIA</v>
          </cell>
        </row>
      </sheetData>
      <sheetData sheetId="4835">
        <row r="7">
          <cell r="E7" t="str">
            <v>PT. DANONE BISCUITS INDONESIA</v>
          </cell>
        </row>
      </sheetData>
      <sheetData sheetId="4836">
        <row r="7">
          <cell r="E7" t="str">
            <v>PT. DANONE BISCUITS INDONESIA</v>
          </cell>
        </row>
      </sheetData>
      <sheetData sheetId="4837">
        <row r="7">
          <cell r="E7" t="str">
            <v>PT. DANONE BISCUITS INDONESIA</v>
          </cell>
        </row>
      </sheetData>
      <sheetData sheetId="4838">
        <row r="7">
          <cell r="E7" t="str">
            <v>PT. DANONE BISCUITS INDONESIA</v>
          </cell>
        </row>
      </sheetData>
      <sheetData sheetId="4839">
        <row r="7">
          <cell r="E7" t="str">
            <v>PT. DANONE BISCUITS INDONESIA</v>
          </cell>
        </row>
      </sheetData>
      <sheetData sheetId="4840">
        <row r="7">
          <cell r="E7" t="str">
            <v>PT. DANONE BISCUITS INDONESIA</v>
          </cell>
        </row>
      </sheetData>
      <sheetData sheetId="4841">
        <row r="7">
          <cell r="E7" t="str">
            <v>PT. DANONE BISCUITS INDONESIA</v>
          </cell>
        </row>
      </sheetData>
      <sheetData sheetId="4842">
        <row r="7">
          <cell r="E7" t="str">
            <v>PT. DANONE BISCUITS INDONESIA</v>
          </cell>
        </row>
      </sheetData>
      <sheetData sheetId="4843">
        <row r="7">
          <cell r="E7" t="str">
            <v>PT. DANONE BISCUITS INDONESIA</v>
          </cell>
        </row>
      </sheetData>
      <sheetData sheetId="4844">
        <row r="7">
          <cell r="E7" t="str">
            <v>PT. DANONE BISCUITS INDONESIA</v>
          </cell>
        </row>
      </sheetData>
      <sheetData sheetId="4845">
        <row r="7">
          <cell r="E7" t="str">
            <v>PT. DANONE BISCUITS INDONESIA</v>
          </cell>
        </row>
      </sheetData>
      <sheetData sheetId="4846">
        <row r="7">
          <cell r="E7" t="str">
            <v>PT. DANONE BISCUITS INDONESIA</v>
          </cell>
        </row>
      </sheetData>
      <sheetData sheetId="4847">
        <row r="7">
          <cell r="E7" t="str">
            <v>PT. DANONE BISCUITS INDONESIA</v>
          </cell>
        </row>
      </sheetData>
      <sheetData sheetId="4848">
        <row r="7">
          <cell r="E7" t="str">
            <v>PT. DANONE BISCUITS INDONESIA</v>
          </cell>
        </row>
      </sheetData>
      <sheetData sheetId="4849">
        <row r="7">
          <cell r="E7" t="str">
            <v>PT. DANONE BISCUITS INDONESIA</v>
          </cell>
        </row>
      </sheetData>
      <sheetData sheetId="4850">
        <row r="7">
          <cell r="E7" t="str">
            <v>PT. DANONE BISCUITS INDONESIA</v>
          </cell>
        </row>
      </sheetData>
      <sheetData sheetId="4851">
        <row r="7">
          <cell r="E7" t="str">
            <v>PT. DANONE BISCUITS INDONESIA</v>
          </cell>
        </row>
      </sheetData>
      <sheetData sheetId="4852">
        <row r="7">
          <cell r="E7" t="str">
            <v>PT. DANONE BISCUITS INDONESIA</v>
          </cell>
        </row>
      </sheetData>
      <sheetData sheetId="4853">
        <row r="7">
          <cell r="E7" t="str">
            <v>PT. DANONE BISCUITS INDONESIA</v>
          </cell>
        </row>
      </sheetData>
      <sheetData sheetId="4854">
        <row r="7">
          <cell r="E7" t="str">
            <v>PT. DANONE BISCUITS INDONESIA</v>
          </cell>
        </row>
      </sheetData>
      <sheetData sheetId="4855">
        <row r="7">
          <cell r="E7" t="str">
            <v>PT. DANONE BISCUITS INDONESIA</v>
          </cell>
        </row>
      </sheetData>
      <sheetData sheetId="4856">
        <row r="7">
          <cell r="E7" t="str">
            <v>PT. DANONE BISCUITS INDONESIA</v>
          </cell>
        </row>
      </sheetData>
      <sheetData sheetId="4857">
        <row r="7">
          <cell r="E7" t="str">
            <v>PT. DANONE BISCUITS INDONESIA</v>
          </cell>
        </row>
      </sheetData>
      <sheetData sheetId="4858">
        <row r="7">
          <cell r="E7" t="str">
            <v>PT. DANONE BISCUITS INDONESIA</v>
          </cell>
        </row>
      </sheetData>
      <sheetData sheetId="4859">
        <row r="7">
          <cell r="E7" t="str">
            <v>PT. DANONE BISCUITS INDONESIA</v>
          </cell>
        </row>
      </sheetData>
      <sheetData sheetId="4860">
        <row r="7">
          <cell r="E7" t="str">
            <v>PT. DANONE BISCUITS INDONESIA</v>
          </cell>
        </row>
      </sheetData>
      <sheetData sheetId="4861">
        <row r="7">
          <cell r="E7" t="str">
            <v>PT. DANONE BISCUITS INDONESIA</v>
          </cell>
        </row>
      </sheetData>
      <sheetData sheetId="4862">
        <row r="7">
          <cell r="E7" t="str">
            <v>PT. DANONE BISCUITS INDONESIA</v>
          </cell>
        </row>
      </sheetData>
      <sheetData sheetId="4863">
        <row r="7">
          <cell r="E7" t="str">
            <v>PT. DANONE BISCUITS INDONESIA</v>
          </cell>
        </row>
      </sheetData>
      <sheetData sheetId="4864">
        <row r="7">
          <cell r="E7" t="str">
            <v>PT. DANONE BISCUITS INDONESIA</v>
          </cell>
        </row>
      </sheetData>
      <sheetData sheetId="4865">
        <row r="7">
          <cell r="E7" t="str">
            <v>PT. DANONE BISCUITS INDONESIA</v>
          </cell>
        </row>
      </sheetData>
      <sheetData sheetId="4866">
        <row r="7">
          <cell r="E7" t="str">
            <v>PT. DANONE BISCUITS INDONESIA</v>
          </cell>
        </row>
      </sheetData>
      <sheetData sheetId="4867">
        <row r="7">
          <cell r="E7" t="str">
            <v>PT. DANONE BISCUITS INDONESIA</v>
          </cell>
        </row>
      </sheetData>
      <sheetData sheetId="4868">
        <row r="7">
          <cell r="E7" t="str">
            <v>PT. DANONE BISCUITS INDONESIA</v>
          </cell>
        </row>
      </sheetData>
      <sheetData sheetId="4869">
        <row r="7">
          <cell r="E7" t="str">
            <v>PT. DANONE BISCUITS INDONESIA</v>
          </cell>
        </row>
      </sheetData>
      <sheetData sheetId="4870">
        <row r="7">
          <cell r="E7" t="str">
            <v>PT. DANONE BISCUITS INDONESIA</v>
          </cell>
        </row>
      </sheetData>
      <sheetData sheetId="4871">
        <row r="7">
          <cell r="E7" t="str">
            <v>PT. DANONE BISCUITS INDONESIA</v>
          </cell>
        </row>
      </sheetData>
      <sheetData sheetId="4872">
        <row r="7">
          <cell r="E7" t="str">
            <v>PT. DANONE BISCUITS INDONESIA</v>
          </cell>
        </row>
      </sheetData>
      <sheetData sheetId="4873">
        <row r="7">
          <cell r="E7" t="str">
            <v>PT. DANONE BISCUITS INDONESIA</v>
          </cell>
        </row>
      </sheetData>
      <sheetData sheetId="4874">
        <row r="7">
          <cell r="E7" t="str">
            <v>PT. DANONE BISCUITS INDONESIA</v>
          </cell>
        </row>
      </sheetData>
      <sheetData sheetId="4875">
        <row r="7">
          <cell r="E7" t="str">
            <v>PT. DANONE BISCUITS INDONESIA</v>
          </cell>
        </row>
      </sheetData>
      <sheetData sheetId="4876">
        <row r="7">
          <cell r="E7" t="str">
            <v>PT. DANONE BISCUITS INDONESIA</v>
          </cell>
        </row>
      </sheetData>
      <sheetData sheetId="4877">
        <row r="7">
          <cell r="E7" t="str">
            <v>PT. DANONE BISCUITS INDONESIA</v>
          </cell>
        </row>
      </sheetData>
      <sheetData sheetId="4878">
        <row r="7">
          <cell r="E7" t="str">
            <v>PT. DANONE BISCUITS INDONESIA</v>
          </cell>
        </row>
      </sheetData>
      <sheetData sheetId="4879">
        <row r="7">
          <cell r="E7" t="str">
            <v>PT. DANONE BISCUITS INDONESIA</v>
          </cell>
        </row>
      </sheetData>
      <sheetData sheetId="4880">
        <row r="7">
          <cell r="E7" t="str">
            <v>PT. DANONE BISCUITS INDONESIA</v>
          </cell>
        </row>
      </sheetData>
      <sheetData sheetId="4881">
        <row r="7">
          <cell r="E7" t="str">
            <v>PT. DANONE BISCUITS INDONESIA</v>
          </cell>
        </row>
      </sheetData>
      <sheetData sheetId="4882">
        <row r="7">
          <cell r="E7" t="str">
            <v>PT. DANONE BISCUITS INDONESIA</v>
          </cell>
        </row>
      </sheetData>
      <sheetData sheetId="4883">
        <row r="7">
          <cell r="E7" t="str">
            <v>PT. DANONE BISCUITS INDONESIA</v>
          </cell>
        </row>
      </sheetData>
      <sheetData sheetId="4884">
        <row r="7">
          <cell r="E7" t="str">
            <v>PT. DANONE BISCUITS INDONESIA</v>
          </cell>
        </row>
      </sheetData>
      <sheetData sheetId="4885">
        <row r="7">
          <cell r="E7" t="str">
            <v>PT. DANONE BISCUITS INDONESIA</v>
          </cell>
        </row>
      </sheetData>
      <sheetData sheetId="4886">
        <row r="7">
          <cell r="E7" t="str">
            <v>PT. DANONE BISCUITS INDONESIA</v>
          </cell>
        </row>
      </sheetData>
      <sheetData sheetId="4887">
        <row r="7">
          <cell r="E7" t="str">
            <v>PT. DANONE BISCUITS INDONESIA</v>
          </cell>
        </row>
      </sheetData>
      <sheetData sheetId="4888">
        <row r="7">
          <cell r="E7" t="str">
            <v>PT. DANONE BISCUITS INDONESIA</v>
          </cell>
        </row>
      </sheetData>
      <sheetData sheetId="4889">
        <row r="7">
          <cell r="E7" t="str">
            <v>PT. DANONE BISCUITS INDONESIA</v>
          </cell>
        </row>
      </sheetData>
      <sheetData sheetId="4890">
        <row r="7">
          <cell r="E7" t="str">
            <v>PT. DANONE BISCUITS INDONESIA</v>
          </cell>
        </row>
      </sheetData>
      <sheetData sheetId="4891">
        <row r="7">
          <cell r="E7" t="str">
            <v>PT. DANONE BISCUITS INDONESIA</v>
          </cell>
        </row>
      </sheetData>
      <sheetData sheetId="4892">
        <row r="7">
          <cell r="E7" t="str">
            <v>PT. DANONE BISCUITS INDONESIA</v>
          </cell>
        </row>
      </sheetData>
      <sheetData sheetId="4893">
        <row r="7">
          <cell r="E7" t="str">
            <v>PT. DANONE BISCUITS INDONESIA</v>
          </cell>
        </row>
      </sheetData>
      <sheetData sheetId="4894">
        <row r="7">
          <cell r="E7" t="str">
            <v>PT. DANONE BISCUITS INDONESIA</v>
          </cell>
        </row>
      </sheetData>
      <sheetData sheetId="4895">
        <row r="7">
          <cell r="E7" t="str">
            <v>PT. DANONE BISCUITS INDONESIA</v>
          </cell>
        </row>
      </sheetData>
      <sheetData sheetId="4896">
        <row r="7">
          <cell r="E7" t="str">
            <v>PT. DANONE BISCUITS INDONESIA</v>
          </cell>
        </row>
      </sheetData>
      <sheetData sheetId="4897">
        <row r="7">
          <cell r="E7" t="str">
            <v>PT. DANONE BISCUITS INDONESIA</v>
          </cell>
        </row>
      </sheetData>
      <sheetData sheetId="4898">
        <row r="7">
          <cell r="E7" t="str">
            <v>PT. DANONE BISCUITS INDONESIA</v>
          </cell>
        </row>
      </sheetData>
      <sheetData sheetId="4899">
        <row r="7">
          <cell r="E7" t="str">
            <v>PT. DANONE BISCUITS INDONESIA</v>
          </cell>
        </row>
      </sheetData>
      <sheetData sheetId="4900">
        <row r="7">
          <cell r="E7" t="str">
            <v>PT. DANONE BISCUITS INDONESIA</v>
          </cell>
        </row>
      </sheetData>
      <sheetData sheetId="4901">
        <row r="7">
          <cell r="E7" t="str">
            <v>PT. DANONE BISCUITS INDONESIA</v>
          </cell>
        </row>
      </sheetData>
      <sheetData sheetId="4902">
        <row r="7">
          <cell r="E7" t="str">
            <v>PT. DANONE BISCUITS INDONESIA</v>
          </cell>
        </row>
      </sheetData>
      <sheetData sheetId="4903">
        <row r="7">
          <cell r="E7" t="str">
            <v>PT. DANONE BISCUITS INDONESIA</v>
          </cell>
        </row>
      </sheetData>
      <sheetData sheetId="4904">
        <row r="7">
          <cell r="E7" t="str">
            <v>PT. DANONE BISCUITS INDONESIA</v>
          </cell>
        </row>
      </sheetData>
      <sheetData sheetId="4905">
        <row r="7">
          <cell r="E7" t="str">
            <v>PT. DANONE BISCUITS INDONESIA</v>
          </cell>
        </row>
      </sheetData>
      <sheetData sheetId="4906">
        <row r="7">
          <cell r="E7" t="str">
            <v>PT. DANONE BISCUITS INDONESIA</v>
          </cell>
        </row>
      </sheetData>
      <sheetData sheetId="4907">
        <row r="7">
          <cell r="E7" t="str">
            <v>PT. DANONE BISCUITS INDONESIA</v>
          </cell>
        </row>
      </sheetData>
      <sheetData sheetId="4908">
        <row r="7">
          <cell r="E7" t="str">
            <v>PT. DANONE BISCUITS INDONESIA</v>
          </cell>
        </row>
      </sheetData>
      <sheetData sheetId="4909">
        <row r="7">
          <cell r="E7" t="str">
            <v>PT. DANONE BISCUITS INDONESIA</v>
          </cell>
        </row>
      </sheetData>
      <sheetData sheetId="4910">
        <row r="7">
          <cell r="E7" t="str">
            <v>PT. DANONE BISCUITS INDONESIA</v>
          </cell>
        </row>
      </sheetData>
      <sheetData sheetId="4911">
        <row r="7">
          <cell r="E7" t="str">
            <v>PT. DANONE BISCUITS INDONESIA</v>
          </cell>
        </row>
      </sheetData>
      <sheetData sheetId="4912">
        <row r="7">
          <cell r="E7" t="str">
            <v>PT. DANONE BISCUITS INDONESIA</v>
          </cell>
        </row>
      </sheetData>
      <sheetData sheetId="4913">
        <row r="7">
          <cell r="E7" t="str">
            <v>PT. DANONE BISCUITS INDONESIA</v>
          </cell>
        </row>
      </sheetData>
      <sheetData sheetId="4914">
        <row r="7">
          <cell r="E7" t="str">
            <v>PT. DANONE BISCUITS INDONESIA</v>
          </cell>
        </row>
      </sheetData>
      <sheetData sheetId="4915">
        <row r="7">
          <cell r="E7" t="str">
            <v>PT. DANONE BISCUITS INDONESIA</v>
          </cell>
        </row>
      </sheetData>
      <sheetData sheetId="4916">
        <row r="7">
          <cell r="E7" t="str">
            <v>PT. DANONE BISCUITS INDONESIA</v>
          </cell>
        </row>
      </sheetData>
      <sheetData sheetId="4917">
        <row r="7">
          <cell r="E7" t="str">
            <v>PT. DANONE BISCUITS INDONESIA</v>
          </cell>
        </row>
      </sheetData>
      <sheetData sheetId="4918">
        <row r="7">
          <cell r="E7" t="str">
            <v>PT. DANONE BISCUITS INDONESIA</v>
          </cell>
        </row>
      </sheetData>
      <sheetData sheetId="4919">
        <row r="7">
          <cell r="E7" t="str">
            <v>PT. DANONE BISCUITS INDONESIA</v>
          </cell>
        </row>
      </sheetData>
      <sheetData sheetId="4920">
        <row r="7">
          <cell r="E7" t="str">
            <v>PT. DANONE BISCUITS INDONESIA</v>
          </cell>
        </row>
      </sheetData>
      <sheetData sheetId="4921">
        <row r="7">
          <cell r="E7" t="str">
            <v>PT. DANONE BISCUITS INDONESIA</v>
          </cell>
        </row>
      </sheetData>
      <sheetData sheetId="4922">
        <row r="7">
          <cell r="E7" t="str">
            <v>PT. DANONE BISCUITS INDONESIA</v>
          </cell>
        </row>
      </sheetData>
      <sheetData sheetId="4923">
        <row r="7">
          <cell r="E7" t="str">
            <v>PT. DANONE BISCUITS INDONESIA</v>
          </cell>
        </row>
      </sheetData>
      <sheetData sheetId="4924">
        <row r="7">
          <cell r="E7" t="str">
            <v>PT. DANONE BISCUITS INDONESIA</v>
          </cell>
        </row>
      </sheetData>
      <sheetData sheetId="4925">
        <row r="7">
          <cell r="E7" t="str">
            <v>PT. DANONE BISCUITS INDONESIA</v>
          </cell>
        </row>
      </sheetData>
      <sheetData sheetId="4926">
        <row r="7">
          <cell r="E7" t="str">
            <v>PT. DANONE BISCUITS INDONESIA</v>
          </cell>
        </row>
      </sheetData>
      <sheetData sheetId="4927">
        <row r="7">
          <cell r="E7" t="str">
            <v>PT. DANONE BISCUITS INDONESIA</v>
          </cell>
        </row>
      </sheetData>
      <sheetData sheetId="4928">
        <row r="7">
          <cell r="E7" t="str">
            <v>PT. DANONE BISCUITS INDONESIA</v>
          </cell>
        </row>
      </sheetData>
      <sheetData sheetId="4929">
        <row r="7">
          <cell r="E7" t="str">
            <v>PT. DANONE BISCUITS INDONESIA</v>
          </cell>
        </row>
      </sheetData>
      <sheetData sheetId="4930">
        <row r="7">
          <cell r="E7" t="str">
            <v>PT. DANONE BISCUITS INDONESIA</v>
          </cell>
        </row>
      </sheetData>
      <sheetData sheetId="4931">
        <row r="7">
          <cell r="E7" t="str">
            <v>PT. DANONE BISCUITS INDONESIA</v>
          </cell>
        </row>
      </sheetData>
      <sheetData sheetId="4932">
        <row r="7">
          <cell r="E7" t="str">
            <v>PT. DANONE BISCUITS INDONESIA</v>
          </cell>
        </row>
      </sheetData>
      <sheetData sheetId="4933">
        <row r="7">
          <cell r="E7" t="str">
            <v>PT. DANONE BISCUITS INDONESIA</v>
          </cell>
        </row>
      </sheetData>
      <sheetData sheetId="4934">
        <row r="7">
          <cell r="E7" t="str">
            <v>PT. DANONE BISCUITS INDONESIA</v>
          </cell>
        </row>
      </sheetData>
      <sheetData sheetId="4935">
        <row r="7">
          <cell r="E7" t="str">
            <v>PT. DANONE BISCUITS INDONESIA</v>
          </cell>
        </row>
      </sheetData>
      <sheetData sheetId="4936">
        <row r="7">
          <cell r="E7" t="str">
            <v>PT. DANONE BISCUITS INDONESIA</v>
          </cell>
        </row>
      </sheetData>
      <sheetData sheetId="4937">
        <row r="7">
          <cell r="E7" t="str">
            <v>PT. DANONE BISCUITS INDONESIA</v>
          </cell>
        </row>
      </sheetData>
      <sheetData sheetId="4938">
        <row r="7">
          <cell r="E7" t="str">
            <v>PT. DANONE BISCUITS INDONESIA</v>
          </cell>
        </row>
      </sheetData>
      <sheetData sheetId="4939">
        <row r="7">
          <cell r="E7" t="str">
            <v>PT. DANONE BISCUITS INDONESIA</v>
          </cell>
        </row>
      </sheetData>
      <sheetData sheetId="4940">
        <row r="7">
          <cell r="E7" t="str">
            <v>PT. DANONE BISCUITS INDONESIA</v>
          </cell>
        </row>
      </sheetData>
      <sheetData sheetId="4941">
        <row r="7">
          <cell r="E7" t="str">
            <v>PT. DANONE BISCUITS INDONESIA</v>
          </cell>
        </row>
      </sheetData>
      <sheetData sheetId="4942">
        <row r="7">
          <cell r="E7" t="str">
            <v>PT. DANONE BISCUITS INDONESIA</v>
          </cell>
        </row>
      </sheetData>
      <sheetData sheetId="4943">
        <row r="7">
          <cell r="E7" t="str">
            <v>PT. DANONE BISCUITS INDONESIA</v>
          </cell>
        </row>
      </sheetData>
      <sheetData sheetId="4944">
        <row r="7">
          <cell r="E7" t="str">
            <v>PT. DANONE BISCUITS INDONESIA</v>
          </cell>
        </row>
      </sheetData>
      <sheetData sheetId="4945">
        <row r="7">
          <cell r="E7" t="str">
            <v>PT. DANONE BISCUITS INDONESIA</v>
          </cell>
        </row>
      </sheetData>
      <sheetData sheetId="4946">
        <row r="7">
          <cell r="E7" t="str">
            <v>PT. DANONE BISCUITS INDONESIA</v>
          </cell>
        </row>
      </sheetData>
      <sheetData sheetId="4947">
        <row r="7">
          <cell r="E7" t="str">
            <v>PT. DANONE BISCUITS INDONESIA</v>
          </cell>
        </row>
      </sheetData>
      <sheetData sheetId="4948">
        <row r="7">
          <cell r="E7" t="str">
            <v>PT. DANONE BISCUITS INDONESIA</v>
          </cell>
        </row>
      </sheetData>
      <sheetData sheetId="4949">
        <row r="7">
          <cell r="E7" t="str">
            <v>PT. DANONE BISCUITS INDONESIA</v>
          </cell>
        </row>
      </sheetData>
      <sheetData sheetId="4950">
        <row r="7">
          <cell r="E7" t="str">
            <v>PT. DANONE BISCUITS INDONESIA</v>
          </cell>
        </row>
      </sheetData>
      <sheetData sheetId="4951">
        <row r="7">
          <cell r="E7" t="str">
            <v>PT. DANONE BISCUITS INDONESIA</v>
          </cell>
        </row>
      </sheetData>
      <sheetData sheetId="4952">
        <row r="7">
          <cell r="E7" t="str">
            <v>PT. DANONE BISCUITS INDONESIA</v>
          </cell>
        </row>
      </sheetData>
      <sheetData sheetId="4953">
        <row r="7">
          <cell r="E7" t="str">
            <v>PT. DANONE BISCUITS INDONESIA</v>
          </cell>
        </row>
      </sheetData>
      <sheetData sheetId="4954">
        <row r="7">
          <cell r="E7" t="str">
            <v>PT. DANONE BISCUITS INDONESIA</v>
          </cell>
        </row>
      </sheetData>
      <sheetData sheetId="4955">
        <row r="7">
          <cell r="E7" t="str">
            <v>PT. DANONE BISCUITS INDONESIA</v>
          </cell>
        </row>
      </sheetData>
      <sheetData sheetId="4956">
        <row r="7">
          <cell r="E7" t="str">
            <v>PT. DANONE BISCUITS INDONESIA</v>
          </cell>
        </row>
      </sheetData>
      <sheetData sheetId="4957">
        <row r="7">
          <cell r="E7" t="str">
            <v>PT. DANONE BISCUITS INDONESIA</v>
          </cell>
        </row>
      </sheetData>
      <sheetData sheetId="4958">
        <row r="7">
          <cell r="E7" t="str">
            <v>PT. DANONE BISCUITS INDONESIA</v>
          </cell>
        </row>
      </sheetData>
      <sheetData sheetId="4959">
        <row r="7">
          <cell r="E7" t="str">
            <v>PT. DANONE BISCUITS INDONESIA</v>
          </cell>
        </row>
      </sheetData>
      <sheetData sheetId="4960">
        <row r="7">
          <cell r="E7" t="str">
            <v>PT. DANONE BISCUITS INDONESIA</v>
          </cell>
        </row>
      </sheetData>
      <sheetData sheetId="4961">
        <row r="7">
          <cell r="E7" t="str">
            <v>PT. DANONE BISCUITS INDONESIA</v>
          </cell>
        </row>
      </sheetData>
      <sheetData sheetId="4962">
        <row r="7">
          <cell r="E7" t="str">
            <v>PT. DANONE BISCUITS INDONESIA</v>
          </cell>
        </row>
      </sheetData>
      <sheetData sheetId="4963">
        <row r="7">
          <cell r="E7" t="str">
            <v>PT. DANONE BISCUITS INDONESIA</v>
          </cell>
        </row>
      </sheetData>
      <sheetData sheetId="4964">
        <row r="7">
          <cell r="E7" t="str">
            <v>PT. DANONE BISCUITS INDONESIA</v>
          </cell>
        </row>
      </sheetData>
      <sheetData sheetId="4965">
        <row r="7">
          <cell r="E7" t="str">
            <v>PT. DANONE BISCUITS INDONESIA</v>
          </cell>
        </row>
      </sheetData>
      <sheetData sheetId="4966">
        <row r="7">
          <cell r="E7" t="str">
            <v>PT. DANONE BISCUITS INDONESIA</v>
          </cell>
        </row>
      </sheetData>
      <sheetData sheetId="4967">
        <row r="7">
          <cell r="E7" t="str">
            <v>PT. DANONE BISCUITS INDONESIA</v>
          </cell>
        </row>
      </sheetData>
      <sheetData sheetId="4968">
        <row r="7">
          <cell r="E7" t="str">
            <v>PT. DANONE BISCUITS INDONESIA</v>
          </cell>
        </row>
      </sheetData>
      <sheetData sheetId="4969">
        <row r="7">
          <cell r="E7" t="str">
            <v>PT. DANONE BISCUITS INDONESIA</v>
          </cell>
        </row>
      </sheetData>
      <sheetData sheetId="4970">
        <row r="7">
          <cell r="E7" t="str">
            <v>PT. DANONE BISCUITS INDONESIA</v>
          </cell>
        </row>
      </sheetData>
      <sheetData sheetId="4971">
        <row r="7">
          <cell r="E7" t="str">
            <v>PT. DANONE BISCUITS INDONESIA</v>
          </cell>
        </row>
      </sheetData>
      <sheetData sheetId="4972">
        <row r="7">
          <cell r="E7" t="str">
            <v>PT. DANONE BISCUITS INDONESIA</v>
          </cell>
        </row>
      </sheetData>
      <sheetData sheetId="4973">
        <row r="7">
          <cell r="E7" t="str">
            <v>PT. DANONE BISCUITS INDONESIA</v>
          </cell>
        </row>
      </sheetData>
      <sheetData sheetId="4974">
        <row r="7">
          <cell r="E7" t="str">
            <v>PT. DANONE BISCUITS INDONESIA</v>
          </cell>
        </row>
      </sheetData>
      <sheetData sheetId="4975">
        <row r="7">
          <cell r="E7" t="str">
            <v>PT. DANONE BISCUITS INDONESIA</v>
          </cell>
        </row>
      </sheetData>
      <sheetData sheetId="4976">
        <row r="7">
          <cell r="E7" t="str">
            <v>PT. DANONE BISCUITS INDONESIA</v>
          </cell>
        </row>
      </sheetData>
      <sheetData sheetId="4977">
        <row r="7">
          <cell r="E7" t="str">
            <v>PT. DANONE BISCUITS INDONESIA</v>
          </cell>
        </row>
      </sheetData>
      <sheetData sheetId="4978">
        <row r="7">
          <cell r="E7" t="str">
            <v>PT. DANONE BISCUITS INDONESIA</v>
          </cell>
        </row>
      </sheetData>
      <sheetData sheetId="4979">
        <row r="7">
          <cell r="E7" t="str">
            <v>PT. DANONE BISCUITS INDONESIA</v>
          </cell>
        </row>
      </sheetData>
      <sheetData sheetId="4980">
        <row r="7">
          <cell r="E7" t="str">
            <v>PT. DANONE BISCUITS INDONESIA</v>
          </cell>
        </row>
      </sheetData>
      <sheetData sheetId="4981">
        <row r="7">
          <cell r="E7" t="str">
            <v>PT. DANONE BISCUITS INDONESIA</v>
          </cell>
        </row>
      </sheetData>
      <sheetData sheetId="4982">
        <row r="7">
          <cell r="E7" t="str">
            <v>PT. DANONE BISCUITS INDONESIA</v>
          </cell>
        </row>
      </sheetData>
      <sheetData sheetId="4983">
        <row r="7">
          <cell r="E7" t="str">
            <v>PT. DANONE BISCUITS INDONESIA</v>
          </cell>
        </row>
      </sheetData>
      <sheetData sheetId="4984">
        <row r="7">
          <cell r="E7" t="str">
            <v>PT. DANONE BISCUITS INDONESIA</v>
          </cell>
        </row>
      </sheetData>
      <sheetData sheetId="4985">
        <row r="7">
          <cell r="E7" t="str">
            <v>PT. DANONE BISCUITS INDONESIA</v>
          </cell>
        </row>
      </sheetData>
      <sheetData sheetId="4986">
        <row r="7">
          <cell r="E7" t="str">
            <v>PT. DANONE BISCUITS INDONESIA</v>
          </cell>
        </row>
      </sheetData>
      <sheetData sheetId="4987">
        <row r="7">
          <cell r="E7" t="str">
            <v>PT. DANONE BISCUITS INDONESIA</v>
          </cell>
        </row>
      </sheetData>
      <sheetData sheetId="4988">
        <row r="7">
          <cell r="E7" t="str">
            <v>PT. DANONE BISCUITS INDONESIA</v>
          </cell>
        </row>
      </sheetData>
      <sheetData sheetId="4989">
        <row r="7">
          <cell r="E7" t="str">
            <v>PT. DANONE BISCUITS INDONESIA</v>
          </cell>
        </row>
      </sheetData>
      <sheetData sheetId="4990">
        <row r="7">
          <cell r="E7" t="str">
            <v>PT. DANONE BISCUITS INDONESIA</v>
          </cell>
        </row>
      </sheetData>
      <sheetData sheetId="4991">
        <row r="7">
          <cell r="E7" t="str">
            <v>PT. DANONE BISCUITS INDONESIA</v>
          </cell>
        </row>
      </sheetData>
      <sheetData sheetId="4992">
        <row r="7">
          <cell r="E7" t="str">
            <v>PT. DANONE BISCUITS INDONESIA</v>
          </cell>
        </row>
      </sheetData>
      <sheetData sheetId="4993">
        <row r="7">
          <cell r="E7" t="str">
            <v>PT. DANONE BISCUITS INDONESIA</v>
          </cell>
        </row>
      </sheetData>
      <sheetData sheetId="4994">
        <row r="7">
          <cell r="E7" t="str">
            <v>PT. DANONE BISCUITS INDONESIA</v>
          </cell>
        </row>
      </sheetData>
      <sheetData sheetId="4995">
        <row r="7">
          <cell r="E7" t="str">
            <v>PT. DANONE BISCUITS INDONESIA</v>
          </cell>
        </row>
      </sheetData>
      <sheetData sheetId="4996">
        <row r="7">
          <cell r="E7" t="str">
            <v>PT. DANONE BISCUITS INDONESIA</v>
          </cell>
        </row>
      </sheetData>
      <sheetData sheetId="4997">
        <row r="7">
          <cell r="E7" t="str">
            <v>PT. DANONE BISCUITS INDONESIA</v>
          </cell>
        </row>
      </sheetData>
      <sheetData sheetId="4998">
        <row r="7">
          <cell r="E7" t="str">
            <v>PT. DANONE BISCUITS INDONESIA</v>
          </cell>
        </row>
      </sheetData>
      <sheetData sheetId="4999">
        <row r="7">
          <cell r="E7" t="str">
            <v>PT. DANONE BISCUITS INDONESIA</v>
          </cell>
        </row>
      </sheetData>
      <sheetData sheetId="5000">
        <row r="7">
          <cell r="E7" t="str">
            <v>PT. DANONE BISCUITS INDONESIA</v>
          </cell>
        </row>
      </sheetData>
      <sheetData sheetId="5001">
        <row r="7">
          <cell r="E7" t="str">
            <v>PT. DANONE BISCUITS INDONESIA</v>
          </cell>
        </row>
      </sheetData>
      <sheetData sheetId="5002">
        <row r="7">
          <cell r="E7" t="str">
            <v>PT. DANONE BISCUITS INDONESIA</v>
          </cell>
        </row>
      </sheetData>
      <sheetData sheetId="5003">
        <row r="7">
          <cell r="E7" t="str">
            <v>PT. DANONE BISCUITS INDONESIA</v>
          </cell>
        </row>
      </sheetData>
      <sheetData sheetId="5004">
        <row r="7">
          <cell r="E7" t="str">
            <v>PT. DANONE BISCUITS INDONESIA</v>
          </cell>
        </row>
      </sheetData>
      <sheetData sheetId="5005">
        <row r="7">
          <cell r="E7" t="str">
            <v>PT. DANONE BISCUITS INDONESIA</v>
          </cell>
        </row>
      </sheetData>
      <sheetData sheetId="5006">
        <row r="7">
          <cell r="E7" t="str">
            <v>PT. DANONE BISCUITS INDONESIA</v>
          </cell>
        </row>
      </sheetData>
      <sheetData sheetId="5007">
        <row r="7">
          <cell r="E7" t="str">
            <v>PT. DANONE BISCUITS INDONESIA</v>
          </cell>
        </row>
      </sheetData>
      <sheetData sheetId="5008">
        <row r="7">
          <cell r="E7" t="str">
            <v>PT. DANONE BISCUITS INDONESIA</v>
          </cell>
        </row>
      </sheetData>
      <sheetData sheetId="5009">
        <row r="7">
          <cell r="E7" t="str">
            <v>PT. DANONE BISCUITS INDONESIA</v>
          </cell>
        </row>
      </sheetData>
      <sheetData sheetId="5010">
        <row r="7">
          <cell r="E7" t="str">
            <v>PT. DANONE BISCUITS INDONESIA</v>
          </cell>
        </row>
      </sheetData>
      <sheetData sheetId="5011">
        <row r="7">
          <cell r="E7" t="str">
            <v>PT. DANONE BISCUITS INDONESIA</v>
          </cell>
        </row>
      </sheetData>
      <sheetData sheetId="5012">
        <row r="7">
          <cell r="E7" t="str">
            <v>PT. DANONE BISCUITS INDONESIA</v>
          </cell>
        </row>
      </sheetData>
      <sheetData sheetId="5013">
        <row r="7">
          <cell r="E7" t="str">
            <v>PT. DANONE BISCUITS INDONESIA</v>
          </cell>
        </row>
      </sheetData>
      <sheetData sheetId="5014">
        <row r="7">
          <cell r="E7" t="str">
            <v>PT. DANONE BISCUITS INDONESIA</v>
          </cell>
        </row>
      </sheetData>
      <sheetData sheetId="5015">
        <row r="7">
          <cell r="E7" t="str">
            <v>PT. DANONE BISCUITS INDONESIA</v>
          </cell>
        </row>
      </sheetData>
      <sheetData sheetId="5016">
        <row r="7">
          <cell r="E7" t="str">
            <v>PT. DANONE BISCUITS INDONESIA</v>
          </cell>
        </row>
      </sheetData>
      <sheetData sheetId="5017">
        <row r="7">
          <cell r="E7" t="str">
            <v>PT. DANONE BISCUITS INDONESIA</v>
          </cell>
        </row>
      </sheetData>
      <sheetData sheetId="5018">
        <row r="7">
          <cell r="E7" t="str">
            <v>PT. DANONE BISCUITS INDONESIA</v>
          </cell>
        </row>
      </sheetData>
      <sheetData sheetId="5019">
        <row r="7">
          <cell r="E7" t="str">
            <v>PT. DANONE BISCUITS INDONESIA</v>
          </cell>
        </row>
      </sheetData>
      <sheetData sheetId="5020">
        <row r="7">
          <cell r="E7" t="str">
            <v>PT. DANONE BISCUITS INDONESIA</v>
          </cell>
        </row>
      </sheetData>
      <sheetData sheetId="5021">
        <row r="7">
          <cell r="E7" t="str">
            <v>PT. DANONE BISCUITS INDONESIA</v>
          </cell>
        </row>
      </sheetData>
      <sheetData sheetId="5022">
        <row r="7">
          <cell r="E7" t="str">
            <v>PT. DANONE BISCUITS INDONESIA</v>
          </cell>
        </row>
      </sheetData>
      <sheetData sheetId="5023">
        <row r="7">
          <cell r="E7" t="str">
            <v>PT. DANONE BISCUITS INDONESIA</v>
          </cell>
        </row>
      </sheetData>
      <sheetData sheetId="5024">
        <row r="7">
          <cell r="E7" t="str">
            <v>PT. DANONE BISCUITS INDONESIA</v>
          </cell>
        </row>
      </sheetData>
      <sheetData sheetId="5025">
        <row r="7">
          <cell r="E7" t="str">
            <v>PT. DANONE BISCUITS INDONESIA</v>
          </cell>
        </row>
      </sheetData>
      <sheetData sheetId="5026">
        <row r="7">
          <cell r="E7" t="str">
            <v>PT. DANONE BISCUITS INDONESIA</v>
          </cell>
        </row>
      </sheetData>
      <sheetData sheetId="5027">
        <row r="7">
          <cell r="E7" t="str">
            <v>PT. DANONE BISCUITS INDONESIA</v>
          </cell>
        </row>
      </sheetData>
      <sheetData sheetId="5028">
        <row r="7">
          <cell r="E7" t="str">
            <v>PT. DANONE BISCUITS INDONESIA</v>
          </cell>
        </row>
      </sheetData>
      <sheetData sheetId="5029">
        <row r="7">
          <cell r="E7" t="str">
            <v>PT. DANONE BISCUITS INDONESIA</v>
          </cell>
        </row>
      </sheetData>
      <sheetData sheetId="5030">
        <row r="7">
          <cell r="E7" t="str">
            <v>PT. DANONE BISCUITS INDONESIA</v>
          </cell>
        </row>
      </sheetData>
      <sheetData sheetId="5031">
        <row r="7">
          <cell r="E7" t="str">
            <v>PT. DANONE BISCUITS INDONESIA</v>
          </cell>
        </row>
      </sheetData>
      <sheetData sheetId="5032">
        <row r="7">
          <cell r="E7" t="str">
            <v>PT. DANONE BISCUITS INDONESIA</v>
          </cell>
        </row>
      </sheetData>
      <sheetData sheetId="5033">
        <row r="7">
          <cell r="E7" t="str">
            <v>PT. DANONE BISCUITS INDONESIA</v>
          </cell>
        </row>
      </sheetData>
      <sheetData sheetId="5034">
        <row r="7">
          <cell r="E7" t="str">
            <v>PT. DANONE BISCUITS INDONESIA</v>
          </cell>
        </row>
      </sheetData>
      <sheetData sheetId="5035">
        <row r="7">
          <cell r="E7" t="str">
            <v>PT. DANONE BISCUITS INDONESIA</v>
          </cell>
        </row>
      </sheetData>
      <sheetData sheetId="5036">
        <row r="7">
          <cell r="E7" t="str">
            <v>PT. DANONE BISCUITS INDONESIA</v>
          </cell>
        </row>
      </sheetData>
      <sheetData sheetId="5037">
        <row r="7">
          <cell r="E7" t="str">
            <v>PT. DANONE BISCUITS INDONESIA</v>
          </cell>
        </row>
      </sheetData>
      <sheetData sheetId="5038">
        <row r="7">
          <cell r="E7" t="str">
            <v>PT. DANONE BISCUITS INDONESIA</v>
          </cell>
        </row>
      </sheetData>
      <sheetData sheetId="5039">
        <row r="7">
          <cell r="E7" t="str">
            <v>PT. DANONE BISCUITS INDONESIA</v>
          </cell>
        </row>
      </sheetData>
      <sheetData sheetId="5040">
        <row r="7">
          <cell r="E7" t="str">
            <v>PT. DANONE BISCUITS INDONESIA</v>
          </cell>
        </row>
      </sheetData>
      <sheetData sheetId="5041">
        <row r="7">
          <cell r="E7" t="str">
            <v>PT. DANONE BISCUITS INDONESIA</v>
          </cell>
        </row>
      </sheetData>
      <sheetData sheetId="5042">
        <row r="7">
          <cell r="E7" t="str">
            <v>PT. DANONE BISCUITS INDONESIA</v>
          </cell>
        </row>
      </sheetData>
      <sheetData sheetId="5043">
        <row r="7">
          <cell r="E7" t="str">
            <v>PT. DANONE BISCUITS INDONESIA</v>
          </cell>
        </row>
      </sheetData>
      <sheetData sheetId="5044">
        <row r="7">
          <cell r="E7" t="str">
            <v>PT. DANONE BISCUITS INDONESIA</v>
          </cell>
        </row>
      </sheetData>
      <sheetData sheetId="5045">
        <row r="7">
          <cell r="E7" t="str">
            <v>PT. DANONE BISCUITS INDONESIA</v>
          </cell>
        </row>
      </sheetData>
      <sheetData sheetId="5046">
        <row r="7">
          <cell r="E7" t="str">
            <v>PT. DANONE BISCUITS INDONESIA</v>
          </cell>
        </row>
      </sheetData>
      <sheetData sheetId="5047">
        <row r="7">
          <cell r="E7" t="str">
            <v>PT. DANONE BISCUITS INDONESIA</v>
          </cell>
        </row>
      </sheetData>
      <sheetData sheetId="5048">
        <row r="7">
          <cell r="E7" t="str">
            <v>PT. DANONE BISCUITS INDONESIA</v>
          </cell>
        </row>
      </sheetData>
      <sheetData sheetId="5049">
        <row r="7">
          <cell r="E7" t="str">
            <v>PT. DANONE BISCUITS INDONESIA</v>
          </cell>
        </row>
      </sheetData>
      <sheetData sheetId="5050">
        <row r="7">
          <cell r="E7" t="str">
            <v>PT. DANONE BISCUITS INDONESIA</v>
          </cell>
        </row>
      </sheetData>
      <sheetData sheetId="5051">
        <row r="7">
          <cell r="E7" t="str">
            <v>PT. DANONE BISCUITS INDONESIA</v>
          </cell>
        </row>
      </sheetData>
      <sheetData sheetId="5052">
        <row r="7">
          <cell r="E7" t="str">
            <v>PT. DANONE BISCUITS INDONESIA</v>
          </cell>
        </row>
      </sheetData>
      <sheetData sheetId="5053">
        <row r="7">
          <cell r="E7" t="str">
            <v>PT. DANONE BISCUITS INDONESIA</v>
          </cell>
        </row>
      </sheetData>
      <sheetData sheetId="5054">
        <row r="7">
          <cell r="E7" t="str">
            <v>PT. DANONE BISCUITS INDONESIA</v>
          </cell>
        </row>
      </sheetData>
      <sheetData sheetId="5055">
        <row r="7">
          <cell r="E7" t="str">
            <v>PT. DANONE BISCUITS INDONESIA</v>
          </cell>
        </row>
      </sheetData>
      <sheetData sheetId="5056">
        <row r="7">
          <cell r="E7" t="str">
            <v>PT. DANONE BISCUITS INDONESIA</v>
          </cell>
        </row>
      </sheetData>
      <sheetData sheetId="5057">
        <row r="7">
          <cell r="E7" t="str">
            <v>PT. DANONE BISCUITS INDONESIA</v>
          </cell>
        </row>
      </sheetData>
      <sheetData sheetId="5058">
        <row r="7">
          <cell r="E7" t="str">
            <v>PT. DANONE BISCUITS INDONESIA</v>
          </cell>
        </row>
      </sheetData>
      <sheetData sheetId="5059">
        <row r="7">
          <cell r="E7" t="str">
            <v>PT. DANONE BISCUITS INDONESIA</v>
          </cell>
        </row>
      </sheetData>
      <sheetData sheetId="5060">
        <row r="7">
          <cell r="E7" t="str">
            <v>PT. DANONE BISCUITS INDONESIA</v>
          </cell>
        </row>
      </sheetData>
      <sheetData sheetId="5061">
        <row r="7">
          <cell r="E7" t="str">
            <v>PT. DANONE BISCUITS INDONESIA</v>
          </cell>
        </row>
      </sheetData>
      <sheetData sheetId="5062">
        <row r="7">
          <cell r="E7" t="str">
            <v>PT. DANONE BISCUITS INDONESIA</v>
          </cell>
        </row>
      </sheetData>
      <sheetData sheetId="5063">
        <row r="7">
          <cell r="E7" t="str">
            <v>PT. DANONE BISCUITS INDONESIA</v>
          </cell>
        </row>
      </sheetData>
      <sheetData sheetId="5064">
        <row r="7">
          <cell r="E7" t="str">
            <v>PT. DANONE BISCUITS INDONESIA</v>
          </cell>
        </row>
      </sheetData>
      <sheetData sheetId="5065">
        <row r="7">
          <cell r="E7" t="str">
            <v>PT. DANONE BISCUITS INDONESIA</v>
          </cell>
        </row>
      </sheetData>
      <sheetData sheetId="5066">
        <row r="7">
          <cell r="E7" t="str">
            <v>PT. DANONE BISCUITS INDONESIA</v>
          </cell>
        </row>
      </sheetData>
      <sheetData sheetId="5067">
        <row r="7">
          <cell r="E7" t="str">
            <v>PT. DANONE BISCUITS INDONESIA</v>
          </cell>
        </row>
      </sheetData>
      <sheetData sheetId="5068">
        <row r="7">
          <cell r="E7" t="str">
            <v>PT. DANONE BISCUITS INDONESIA</v>
          </cell>
        </row>
      </sheetData>
      <sheetData sheetId="5069">
        <row r="7">
          <cell r="E7" t="str">
            <v>PT. DANONE BISCUITS INDONESIA</v>
          </cell>
        </row>
      </sheetData>
      <sheetData sheetId="5070">
        <row r="7">
          <cell r="E7" t="str">
            <v>PT. DANONE BISCUITS INDONESIA</v>
          </cell>
        </row>
      </sheetData>
      <sheetData sheetId="5071">
        <row r="7">
          <cell r="E7" t="str">
            <v>PT. DANONE BISCUITS INDONESIA</v>
          </cell>
        </row>
      </sheetData>
      <sheetData sheetId="5072">
        <row r="7">
          <cell r="E7" t="str">
            <v>PT. DANONE BISCUITS INDONESIA</v>
          </cell>
        </row>
      </sheetData>
      <sheetData sheetId="5073">
        <row r="7">
          <cell r="E7" t="str">
            <v>PT. DANONE BISCUITS INDONESIA</v>
          </cell>
        </row>
      </sheetData>
      <sheetData sheetId="5074">
        <row r="7">
          <cell r="E7" t="str">
            <v>PT. DANONE BISCUITS INDONESIA</v>
          </cell>
        </row>
      </sheetData>
      <sheetData sheetId="5075">
        <row r="7">
          <cell r="E7" t="str">
            <v>PT. DANONE BISCUITS INDONESIA</v>
          </cell>
        </row>
      </sheetData>
      <sheetData sheetId="5076">
        <row r="7">
          <cell r="E7" t="str">
            <v>PT. DANONE BISCUITS INDONESIA</v>
          </cell>
        </row>
      </sheetData>
      <sheetData sheetId="5077">
        <row r="7">
          <cell r="E7" t="str">
            <v>PT. DANONE BISCUITS INDONESIA</v>
          </cell>
        </row>
      </sheetData>
      <sheetData sheetId="5078">
        <row r="7">
          <cell r="E7" t="str">
            <v>PT. DANONE BISCUITS INDONESIA</v>
          </cell>
        </row>
      </sheetData>
      <sheetData sheetId="5079">
        <row r="7">
          <cell r="E7" t="str">
            <v>PT. DANONE BISCUITS INDONESIA</v>
          </cell>
        </row>
      </sheetData>
      <sheetData sheetId="5080">
        <row r="7">
          <cell r="E7" t="str">
            <v>PT. DANONE BISCUITS INDONESIA</v>
          </cell>
        </row>
      </sheetData>
      <sheetData sheetId="5081">
        <row r="7">
          <cell r="E7" t="str">
            <v>PT. DANONE BISCUITS INDONESIA</v>
          </cell>
        </row>
      </sheetData>
      <sheetData sheetId="5082">
        <row r="7">
          <cell r="E7" t="str">
            <v>PT. DANONE BISCUITS INDONESIA</v>
          </cell>
        </row>
      </sheetData>
      <sheetData sheetId="5083">
        <row r="7">
          <cell r="E7" t="str">
            <v>PT. DANONE BISCUITS INDONESIA</v>
          </cell>
        </row>
      </sheetData>
      <sheetData sheetId="5084">
        <row r="7">
          <cell r="E7" t="str">
            <v>PT. DANONE BISCUITS INDONESIA</v>
          </cell>
        </row>
      </sheetData>
      <sheetData sheetId="5085">
        <row r="7">
          <cell r="E7" t="str">
            <v>PT. DANONE BISCUITS INDONESIA</v>
          </cell>
        </row>
      </sheetData>
      <sheetData sheetId="5086">
        <row r="7">
          <cell r="E7" t="str">
            <v>PT. DANONE BISCUITS INDONESIA</v>
          </cell>
        </row>
      </sheetData>
      <sheetData sheetId="5087">
        <row r="7">
          <cell r="E7" t="str">
            <v>PT. DANONE BISCUITS INDONESIA</v>
          </cell>
        </row>
      </sheetData>
      <sheetData sheetId="5088">
        <row r="7">
          <cell r="E7" t="str">
            <v>PT. DANONE BISCUITS INDONESIA</v>
          </cell>
        </row>
      </sheetData>
      <sheetData sheetId="5089">
        <row r="7">
          <cell r="E7" t="str">
            <v>PT. DANONE BISCUITS INDONESIA</v>
          </cell>
        </row>
      </sheetData>
      <sheetData sheetId="5090">
        <row r="7">
          <cell r="E7" t="str">
            <v>PT. DANONE BISCUITS INDONESIA</v>
          </cell>
        </row>
      </sheetData>
      <sheetData sheetId="5091">
        <row r="7">
          <cell r="E7" t="str">
            <v>PT. DANONE BISCUITS INDONESIA</v>
          </cell>
        </row>
      </sheetData>
      <sheetData sheetId="5092">
        <row r="7">
          <cell r="E7" t="str">
            <v>PT. DANONE BISCUITS INDONESIA</v>
          </cell>
        </row>
      </sheetData>
      <sheetData sheetId="5093">
        <row r="7">
          <cell r="E7" t="str">
            <v>PT. DANONE BISCUITS INDONESIA</v>
          </cell>
        </row>
      </sheetData>
      <sheetData sheetId="5094">
        <row r="7">
          <cell r="E7" t="str">
            <v>PT. DANONE BISCUITS INDONESIA</v>
          </cell>
        </row>
      </sheetData>
      <sheetData sheetId="5095">
        <row r="7">
          <cell r="E7" t="str">
            <v>PT. DANONE BISCUITS INDONESIA</v>
          </cell>
        </row>
      </sheetData>
      <sheetData sheetId="5096">
        <row r="7">
          <cell r="E7" t="str">
            <v>PT. DANONE BISCUITS INDONESIA</v>
          </cell>
        </row>
      </sheetData>
      <sheetData sheetId="5097">
        <row r="7">
          <cell r="E7" t="str">
            <v>PT. DANONE BISCUITS INDONESIA</v>
          </cell>
        </row>
      </sheetData>
      <sheetData sheetId="5098">
        <row r="7">
          <cell r="E7" t="str">
            <v>PT. DANONE BISCUITS INDONESIA</v>
          </cell>
        </row>
      </sheetData>
      <sheetData sheetId="5099">
        <row r="7">
          <cell r="E7" t="str">
            <v>PT. DANONE BISCUITS INDONESIA</v>
          </cell>
        </row>
      </sheetData>
      <sheetData sheetId="5100">
        <row r="7">
          <cell r="E7" t="str">
            <v>PT. DANONE BISCUITS INDONESIA</v>
          </cell>
        </row>
      </sheetData>
      <sheetData sheetId="5101">
        <row r="7">
          <cell r="E7" t="str">
            <v>PT. DANONE BISCUITS INDONESIA</v>
          </cell>
        </row>
      </sheetData>
      <sheetData sheetId="5102">
        <row r="7">
          <cell r="E7" t="str">
            <v>PT. DANONE BISCUITS INDONESIA</v>
          </cell>
        </row>
      </sheetData>
      <sheetData sheetId="5103">
        <row r="7">
          <cell r="E7" t="str">
            <v>PT. DANONE BISCUITS INDONESIA</v>
          </cell>
        </row>
      </sheetData>
      <sheetData sheetId="5104">
        <row r="7">
          <cell r="E7" t="str">
            <v>PT. DANONE BISCUITS INDONESIA</v>
          </cell>
        </row>
      </sheetData>
      <sheetData sheetId="5105">
        <row r="7">
          <cell r="E7" t="str">
            <v>PT. DANONE BISCUITS INDONESIA</v>
          </cell>
        </row>
      </sheetData>
      <sheetData sheetId="5106">
        <row r="7">
          <cell r="E7" t="str">
            <v>PT. DANONE BISCUITS INDONESIA</v>
          </cell>
        </row>
      </sheetData>
      <sheetData sheetId="5107">
        <row r="7">
          <cell r="E7" t="str">
            <v>PT. DANONE BISCUITS INDONESIA</v>
          </cell>
        </row>
      </sheetData>
      <sheetData sheetId="5108">
        <row r="7">
          <cell r="E7" t="str">
            <v>PT. DANONE BISCUITS INDONESIA</v>
          </cell>
        </row>
      </sheetData>
      <sheetData sheetId="5109">
        <row r="7">
          <cell r="E7" t="str">
            <v>PT. DANONE BISCUITS INDONESIA</v>
          </cell>
        </row>
      </sheetData>
      <sheetData sheetId="5110">
        <row r="7">
          <cell r="E7" t="str">
            <v>PT. DANONE BISCUITS INDONESIA</v>
          </cell>
        </row>
      </sheetData>
      <sheetData sheetId="5111">
        <row r="7">
          <cell r="E7" t="str">
            <v>PT. DANONE BISCUITS INDONESIA</v>
          </cell>
        </row>
      </sheetData>
      <sheetData sheetId="5112">
        <row r="7">
          <cell r="E7" t="str">
            <v>PT. DANONE BISCUITS INDONESIA</v>
          </cell>
        </row>
      </sheetData>
      <sheetData sheetId="5113">
        <row r="7">
          <cell r="E7" t="str">
            <v>PT. DANONE BISCUITS INDONESIA</v>
          </cell>
        </row>
      </sheetData>
      <sheetData sheetId="5114">
        <row r="7">
          <cell r="E7" t="str">
            <v>PT. DANONE BISCUITS INDONESIA</v>
          </cell>
        </row>
      </sheetData>
      <sheetData sheetId="5115">
        <row r="7">
          <cell r="E7" t="str">
            <v>PT. DANONE BISCUITS INDONESIA</v>
          </cell>
        </row>
      </sheetData>
      <sheetData sheetId="5116">
        <row r="7">
          <cell r="E7" t="str">
            <v>PT. DANONE BISCUITS INDONESIA</v>
          </cell>
        </row>
      </sheetData>
      <sheetData sheetId="5117">
        <row r="7">
          <cell r="E7" t="str">
            <v>PT. DANONE BISCUITS INDONESIA</v>
          </cell>
        </row>
      </sheetData>
      <sheetData sheetId="5118">
        <row r="7">
          <cell r="E7" t="str">
            <v>PT. DANONE BISCUITS INDONESIA</v>
          </cell>
        </row>
      </sheetData>
      <sheetData sheetId="5119">
        <row r="7">
          <cell r="E7" t="str">
            <v>PT. DANONE BISCUITS INDONESIA</v>
          </cell>
        </row>
      </sheetData>
      <sheetData sheetId="5120">
        <row r="7">
          <cell r="E7" t="str">
            <v>PT. DANONE BISCUITS INDONESIA</v>
          </cell>
        </row>
      </sheetData>
      <sheetData sheetId="5121">
        <row r="7">
          <cell r="E7" t="str">
            <v>PT. DANONE BISCUITS INDONESIA</v>
          </cell>
        </row>
      </sheetData>
      <sheetData sheetId="5122">
        <row r="7">
          <cell r="E7" t="str">
            <v>PT. DANONE BISCUITS INDONESIA</v>
          </cell>
        </row>
      </sheetData>
      <sheetData sheetId="5123">
        <row r="7">
          <cell r="E7" t="str">
            <v>PT. DANONE BISCUITS INDONESIA</v>
          </cell>
        </row>
      </sheetData>
      <sheetData sheetId="5124">
        <row r="7">
          <cell r="E7" t="str">
            <v>PT. DANONE BISCUITS INDONESIA</v>
          </cell>
        </row>
      </sheetData>
      <sheetData sheetId="5125">
        <row r="7">
          <cell r="E7" t="str">
            <v>PT. DANONE BISCUITS INDONESIA</v>
          </cell>
        </row>
      </sheetData>
      <sheetData sheetId="5126">
        <row r="7">
          <cell r="E7" t="str">
            <v>PT. DANONE BISCUITS INDONESIA</v>
          </cell>
        </row>
      </sheetData>
      <sheetData sheetId="5127">
        <row r="7">
          <cell r="E7" t="str">
            <v>PT. DANONE BISCUITS INDONESIA</v>
          </cell>
        </row>
      </sheetData>
      <sheetData sheetId="5128">
        <row r="7">
          <cell r="E7" t="str">
            <v>PT. DANONE BISCUITS INDONESIA</v>
          </cell>
        </row>
      </sheetData>
      <sheetData sheetId="5129">
        <row r="7">
          <cell r="E7" t="str">
            <v>PT. DANONE BISCUITS INDONESIA</v>
          </cell>
        </row>
      </sheetData>
      <sheetData sheetId="5130">
        <row r="7">
          <cell r="E7" t="str">
            <v>PT. DANONE BISCUITS INDONESIA</v>
          </cell>
        </row>
      </sheetData>
      <sheetData sheetId="5131">
        <row r="7">
          <cell r="E7" t="str">
            <v>PT. DANONE BISCUITS INDONESIA</v>
          </cell>
        </row>
      </sheetData>
      <sheetData sheetId="5132">
        <row r="7">
          <cell r="E7" t="str">
            <v>PT. DANONE BISCUITS INDONESIA</v>
          </cell>
        </row>
      </sheetData>
      <sheetData sheetId="5133">
        <row r="7">
          <cell r="E7" t="str">
            <v>PT. DANONE BISCUITS INDONESIA</v>
          </cell>
        </row>
      </sheetData>
      <sheetData sheetId="5134">
        <row r="7">
          <cell r="E7" t="str">
            <v>PT. DANONE BISCUITS INDONESIA</v>
          </cell>
        </row>
      </sheetData>
      <sheetData sheetId="5135">
        <row r="7">
          <cell r="E7" t="str">
            <v>PT. DANONE BISCUITS INDONESIA</v>
          </cell>
        </row>
      </sheetData>
      <sheetData sheetId="5136">
        <row r="7">
          <cell r="E7" t="str">
            <v>PT. DANONE BISCUITS INDONESIA</v>
          </cell>
        </row>
      </sheetData>
      <sheetData sheetId="5137">
        <row r="7">
          <cell r="E7" t="str">
            <v>PT. DANONE BISCUITS INDONESIA</v>
          </cell>
        </row>
      </sheetData>
      <sheetData sheetId="5138">
        <row r="7">
          <cell r="E7" t="str">
            <v>PT. DANONE BISCUITS INDONESIA</v>
          </cell>
        </row>
      </sheetData>
      <sheetData sheetId="5139">
        <row r="7">
          <cell r="E7" t="str">
            <v>PT. DANONE BISCUITS INDONESIA</v>
          </cell>
        </row>
      </sheetData>
      <sheetData sheetId="5140">
        <row r="7">
          <cell r="E7" t="str">
            <v>PT. DANONE BISCUITS INDONESIA</v>
          </cell>
        </row>
      </sheetData>
      <sheetData sheetId="5141">
        <row r="7">
          <cell r="E7" t="str">
            <v>PT. DANONE BISCUITS INDONESIA</v>
          </cell>
        </row>
      </sheetData>
      <sheetData sheetId="5142">
        <row r="7">
          <cell r="E7" t="str">
            <v>PT. DANONE BISCUITS INDONESIA</v>
          </cell>
        </row>
      </sheetData>
      <sheetData sheetId="5143">
        <row r="7">
          <cell r="E7" t="str">
            <v>PT. DANONE BISCUITS INDONESIA</v>
          </cell>
        </row>
      </sheetData>
      <sheetData sheetId="5144">
        <row r="7">
          <cell r="E7" t="str">
            <v>PT. DANONE BISCUITS INDONESIA</v>
          </cell>
        </row>
      </sheetData>
      <sheetData sheetId="5145">
        <row r="7">
          <cell r="E7" t="str">
            <v>PT. DANONE BISCUITS INDONESIA</v>
          </cell>
        </row>
      </sheetData>
      <sheetData sheetId="5146">
        <row r="7">
          <cell r="E7" t="str">
            <v>PT. DANONE BISCUITS INDONESIA</v>
          </cell>
        </row>
      </sheetData>
      <sheetData sheetId="5147">
        <row r="7">
          <cell r="E7" t="str">
            <v>PT. DANONE BISCUITS INDONESIA</v>
          </cell>
        </row>
      </sheetData>
      <sheetData sheetId="5148">
        <row r="7">
          <cell r="E7" t="str">
            <v>PT. DANONE BISCUITS INDONESIA</v>
          </cell>
        </row>
      </sheetData>
      <sheetData sheetId="5149">
        <row r="7">
          <cell r="E7" t="str">
            <v>PT. DANONE BISCUITS INDONESIA</v>
          </cell>
        </row>
      </sheetData>
      <sheetData sheetId="5150">
        <row r="7">
          <cell r="E7" t="str">
            <v>PT. DANONE BISCUITS INDONESIA</v>
          </cell>
        </row>
      </sheetData>
      <sheetData sheetId="5151">
        <row r="7">
          <cell r="E7" t="str">
            <v>PT. DANONE BISCUITS INDONESIA</v>
          </cell>
        </row>
      </sheetData>
      <sheetData sheetId="5152">
        <row r="7">
          <cell r="E7" t="str">
            <v>PT. DANONE BISCUITS INDONESIA</v>
          </cell>
        </row>
      </sheetData>
      <sheetData sheetId="5153">
        <row r="7">
          <cell r="E7" t="str">
            <v>PT. DANONE BISCUITS INDONESIA</v>
          </cell>
        </row>
      </sheetData>
      <sheetData sheetId="5154">
        <row r="7">
          <cell r="E7" t="str">
            <v>PT. DANONE BISCUITS INDONESIA</v>
          </cell>
        </row>
      </sheetData>
      <sheetData sheetId="5155">
        <row r="7">
          <cell r="E7" t="str">
            <v>PT. DANONE BISCUITS INDONESIA</v>
          </cell>
        </row>
      </sheetData>
      <sheetData sheetId="5156">
        <row r="7">
          <cell r="E7" t="str">
            <v>PT. DANONE BISCUITS INDONESIA</v>
          </cell>
        </row>
      </sheetData>
      <sheetData sheetId="5157">
        <row r="7">
          <cell r="E7" t="str">
            <v>PT. DANONE BISCUITS INDONESIA</v>
          </cell>
        </row>
      </sheetData>
      <sheetData sheetId="5158">
        <row r="7">
          <cell r="E7" t="str">
            <v>PT. DANONE BISCUITS INDONESIA</v>
          </cell>
        </row>
      </sheetData>
      <sheetData sheetId="5159">
        <row r="7">
          <cell r="E7" t="str">
            <v>PT. DANONE BISCUITS INDONESIA</v>
          </cell>
        </row>
      </sheetData>
      <sheetData sheetId="5160">
        <row r="7">
          <cell r="E7" t="str">
            <v>PT. DANONE BISCUITS INDONESIA</v>
          </cell>
        </row>
      </sheetData>
      <sheetData sheetId="5161">
        <row r="7">
          <cell r="E7" t="str">
            <v>PT. DANONE BISCUITS INDONESIA</v>
          </cell>
        </row>
      </sheetData>
      <sheetData sheetId="5162">
        <row r="7">
          <cell r="E7" t="str">
            <v>PT. DANONE BISCUITS INDONESIA</v>
          </cell>
        </row>
      </sheetData>
      <sheetData sheetId="5163">
        <row r="7">
          <cell r="E7" t="str">
            <v>PT. DANONE BISCUITS INDONESIA</v>
          </cell>
        </row>
      </sheetData>
      <sheetData sheetId="5164">
        <row r="7">
          <cell r="E7" t="str">
            <v>PT. DANONE BISCUITS INDONESIA</v>
          </cell>
        </row>
      </sheetData>
      <sheetData sheetId="5165">
        <row r="7">
          <cell r="E7" t="str">
            <v>PT. DANONE BISCUITS INDONESIA</v>
          </cell>
        </row>
      </sheetData>
      <sheetData sheetId="5166">
        <row r="7">
          <cell r="E7" t="str">
            <v>PT. DANONE BISCUITS INDONESIA</v>
          </cell>
        </row>
      </sheetData>
      <sheetData sheetId="5167">
        <row r="7">
          <cell r="E7" t="str">
            <v>PT. DANONE BISCUITS INDONESIA</v>
          </cell>
        </row>
      </sheetData>
      <sheetData sheetId="5168">
        <row r="7">
          <cell r="E7" t="str">
            <v>PT. DANONE BISCUITS INDONESIA</v>
          </cell>
        </row>
      </sheetData>
      <sheetData sheetId="5169">
        <row r="7">
          <cell r="E7" t="str">
            <v>PT. DANONE BISCUITS INDONESIA</v>
          </cell>
        </row>
      </sheetData>
      <sheetData sheetId="5170">
        <row r="7">
          <cell r="E7" t="str">
            <v>PT. DANONE BISCUITS INDONESIA</v>
          </cell>
        </row>
      </sheetData>
      <sheetData sheetId="5171">
        <row r="7">
          <cell r="E7" t="str">
            <v>PT. DANONE BISCUITS INDONESIA</v>
          </cell>
        </row>
      </sheetData>
      <sheetData sheetId="5172">
        <row r="7">
          <cell r="E7" t="str">
            <v>PT. DANONE BISCUITS INDONESIA</v>
          </cell>
        </row>
      </sheetData>
      <sheetData sheetId="5173">
        <row r="7">
          <cell r="E7" t="str">
            <v>PT. DANONE BISCUITS INDONESIA</v>
          </cell>
        </row>
      </sheetData>
      <sheetData sheetId="5174">
        <row r="7">
          <cell r="E7" t="str">
            <v>PT. DANONE BISCUITS INDONESIA</v>
          </cell>
        </row>
      </sheetData>
      <sheetData sheetId="5175">
        <row r="7">
          <cell r="E7" t="str">
            <v>PT. DANONE BISCUITS INDONESIA</v>
          </cell>
        </row>
      </sheetData>
      <sheetData sheetId="5176">
        <row r="7">
          <cell r="E7" t="str">
            <v>PT. DANONE BISCUITS INDONESIA</v>
          </cell>
        </row>
      </sheetData>
      <sheetData sheetId="5177">
        <row r="7">
          <cell r="E7" t="str">
            <v>PT. DANONE BISCUITS INDONESIA</v>
          </cell>
        </row>
      </sheetData>
      <sheetData sheetId="5178">
        <row r="7">
          <cell r="E7" t="str">
            <v>PT. DANONE BISCUITS INDONESIA</v>
          </cell>
        </row>
      </sheetData>
      <sheetData sheetId="5179">
        <row r="7">
          <cell r="E7" t="str">
            <v>PT. DANONE BISCUITS INDONESIA</v>
          </cell>
        </row>
      </sheetData>
      <sheetData sheetId="5180">
        <row r="7">
          <cell r="E7" t="str">
            <v>PT. DANONE BISCUITS INDONESIA</v>
          </cell>
        </row>
      </sheetData>
      <sheetData sheetId="5181">
        <row r="7">
          <cell r="E7" t="str">
            <v>PT. DANONE BISCUITS INDONESIA</v>
          </cell>
        </row>
      </sheetData>
      <sheetData sheetId="5182">
        <row r="7">
          <cell r="E7" t="str">
            <v>PT. DANONE BISCUITS INDONESIA</v>
          </cell>
        </row>
      </sheetData>
      <sheetData sheetId="5183">
        <row r="7">
          <cell r="E7" t="str">
            <v>PT. DANONE BISCUITS INDONESIA</v>
          </cell>
        </row>
      </sheetData>
      <sheetData sheetId="5184">
        <row r="7">
          <cell r="E7" t="str">
            <v>PT. DANONE BISCUITS INDONESIA</v>
          </cell>
        </row>
      </sheetData>
      <sheetData sheetId="5185">
        <row r="7">
          <cell r="E7" t="str">
            <v>PT. DANONE BISCUITS INDONESIA</v>
          </cell>
        </row>
      </sheetData>
      <sheetData sheetId="5186">
        <row r="7">
          <cell r="E7" t="str">
            <v>PT. DANONE BISCUITS INDONESIA</v>
          </cell>
        </row>
      </sheetData>
      <sheetData sheetId="5187">
        <row r="7">
          <cell r="E7" t="str">
            <v>PT. DANONE BISCUITS INDONESIA</v>
          </cell>
        </row>
      </sheetData>
      <sheetData sheetId="5188">
        <row r="7">
          <cell r="E7" t="str">
            <v>PT. DANONE BISCUITS INDONESIA</v>
          </cell>
        </row>
      </sheetData>
      <sheetData sheetId="5189">
        <row r="7">
          <cell r="E7" t="str">
            <v>PT. DANONE BISCUITS INDONESIA</v>
          </cell>
        </row>
      </sheetData>
      <sheetData sheetId="5190">
        <row r="7">
          <cell r="E7" t="str">
            <v>PT. DANONE BISCUITS INDONESIA</v>
          </cell>
        </row>
      </sheetData>
      <sheetData sheetId="5191">
        <row r="7">
          <cell r="E7" t="str">
            <v>PT. DANONE BISCUITS INDONESIA</v>
          </cell>
        </row>
      </sheetData>
      <sheetData sheetId="5192">
        <row r="7">
          <cell r="E7" t="str">
            <v>PT. DANONE BISCUITS INDONESIA</v>
          </cell>
        </row>
      </sheetData>
      <sheetData sheetId="5193">
        <row r="7">
          <cell r="E7" t="str">
            <v>PT. DANONE BISCUITS INDONESIA</v>
          </cell>
        </row>
      </sheetData>
      <sheetData sheetId="5194">
        <row r="7">
          <cell r="E7" t="str">
            <v>PT. DANONE BISCUITS INDONESIA</v>
          </cell>
        </row>
      </sheetData>
      <sheetData sheetId="5195">
        <row r="7">
          <cell r="E7" t="str">
            <v>PT. DANONE BISCUITS INDONESIA</v>
          </cell>
        </row>
      </sheetData>
      <sheetData sheetId="5196">
        <row r="7">
          <cell r="E7" t="str">
            <v>PT. DANONE BISCUITS INDONESIA</v>
          </cell>
        </row>
      </sheetData>
      <sheetData sheetId="5197">
        <row r="7">
          <cell r="E7" t="str">
            <v>PT. DANONE BISCUITS INDONESIA</v>
          </cell>
        </row>
      </sheetData>
      <sheetData sheetId="5198">
        <row r="7">
          <cell r="E7" t="str">
            <v>PT. DANONE BISCUITS INDONESIA</v>
          </cell>
        </row>
      </sheetData>
      <sheetData sheetId="5199">
        <row r="7">
          <cell r="E7" t="str">
            <v>PT. DANONE BISCUITS INDONESIA</v>
          </cell>
        </row>
      </sheetData>
      <sheetData sheetId="5200">
        <row r="7">
          <cell r="E7" t="str">
            <v>PT. DANONE BISCUITS INDONESIA</v>
          </cell>
        </row>
      </sheetData>
      <sheetData sheetId="5201">
        <row r="7">
          <cell r="E7" t="str">
            <v>PT. DANONE BISCUITS INDONESIA</v>
          </cell>
        </row>
      </sheetData>
      <sheetData sheetId="5202">
        <row r="7">
          <cell r="E7" t="str">
            <v>PT. DANONE BISCUITS INDONESIA</v>
          </cell>
        </row>
      </sheetData>
      <sheetData sheetId="5203">
        <row r="7">
          <cell r="E7" t="str">
            <v>PT. DANONE BISCUITS INDONESIA</v>
          </cell>
        </row>
      </sheetData>
      <sheetData sheetId="5204">
        <row r="7">
          <cell r="E7" t="str">
            <v>PT. DANONE BISCUITS INDONESIA</v>
          </cell>
        </row>
      </sheetData>
      <sheetData sheetId="5205">
        <row r="7">
          <cell r="E7" t="str">
            <v>PT. DANONE BISCUITS INDONESIA</v>
          </cell>
        </row>
      </sheetData>
      <sheetData sheetId="5206">
        <row r="7">
          <cell r="E7" t="str">
            <v>PT. DANONE BISCUITS INDONESIA</v>
          </cell>
        </row>
      </sheetData>
      <sheetData sheetId="5207">
        <row r="7">
          <cell r="E7" t="str">
            <v>PT. DANONE BISCUITS INDONESIA</v>
          </cell>
        </row>
      </sheetData>
      <sheetData sheetId="5208">
        <row r="7">
          <cell r="E7" t="str">
            <v>PT. DANONE BISCUITS INDONESIA</v>
          </cell>
        </row>
      </sheetData>
      <sheetData sheetId="5209">
        <row r="7">
          <cell r="E7" t="str">
            <v>PT. DANONE BISCUITS INDONESIA</v>
          </cell>
        </row>
      </sheetData>
      <sheetData sheetId="5210">
        <row r="7">
          <cell r="E7" t="str">
            <v>PT. DANONE BISCUITS INDONESIA</v>
          </cell>
        </row>
      </sheetData>
      <sheetData sheetId="5211">
        <row r="7">
          <cell r="E7" t="str">
            <v>PT. DANONE BISCUITS INDONESIA</v>
          </cell>
        </row>
      </sheetData>
      <sheetData sheetId="5212">
        <row r="7">
          <cell r="E7" t="str">
            <v>PT. DANONE BISCUITS INDONESIA</v>
          </cell>
        </row>
      </sheetData>
      <sheetData sheetId="5213">
        <row r="7">
          <cell r="E7" t="str">
            <v>PT. DANONE BISCUITS INDONESIA</v>
          </cell>
        </row>
      </sheetData>
      <sheetData sheetId="5214">
        <row r="7">
          <cell r="E7" t="str">
            <v>PT. DANONE BISCUITS INDONESIA</v>
          </cell>
        </row>
      </sheetData>
      <sheetData sheetId="5215">
        <row r="7">
          <cell r="E7" t="str">
            <v>PT. DANONE BISCUITS INDONESIA</v>
          </cell>
        </row>
      </sheetData>
      <sheetData sheetId="5216">
        <row r="7">
          <cell r="E7" t="str">
            <v>PT. DANONE BISCUITS INDONESIA</v>
          </cell>
        </row>
      </sheetData>
      <sheetData sheetId="5217">
        <row r="7">
          <cell r="E7" t="str">
            <v>PT. DANONE BISCUITS INDONESIA</v>
          </cell>
        </row>
      </sheetData>
      <sheetData sheetId="5218">
        <row r="7">
          <cell r="E7" t="str">
            <v>PT. DANONE BISCUITS INDONESIA</v>
          </cell>
        </row>
      </sheetData>
      <sheetData sheetId="5219">
        <row r="7">
          <cell r="E7" t="str">
            <v>PT. DANONE BISCUITS INDONESIA</v>
          </cell>
        </row>
      </sheetData>
      <sheetData sheetId="5220">
        <row r="7">
          <cell r="E7" t="str">
            <v>PT. DANONE BISCUITS INDONESIA</v>
          </cell>
        </row>
      </sheetData>
      <sheetData sheetId="5221">
        <row r="7">
          <cell r="E7" t="str">
            <v>PT. DANONE BISCUITS INDONESIA</v>
          </cell>
        </row>
      </sheetData>
      <sheetData sheetId="5222">
        <row r="7">
          <cell r="E7" t="str">
            <v>PT. DANONE BISCUITS INDONESIA</v>
          </cell>
        </row>
      </sheetData>
      <sheetData sheetId="5223">
        <row r="7">
          <cell r="E7" t="str">
            <v>PT. DANONE BISCUITS INDONESIA</v>
          </cell>
        </row>
      </sheetData>
      <sheetData sheetId="5224">
        <row r="7">
          <cell r="E7" t="str">
            <v>PT. DANONE BISCUITS INDONESIA</v>
          </cell>
        </row>
      </sheetData>
      <sheetData sheetId="5225">
        <row r="7">
          <cell r="E7" t="str">
            <v>PT. DANONE BISCUITS INDONESIA</v>
          </cell>
        </row>
      </sheetData>
      <sheetData sheetId="5226">
        <row r="7">
          <cell r="E7" t="str">
            <v>PT. DANONE BISCUITS INDONESIA</v>
          </cell>
        </row>
      </sheetData>
      <sheetData sheetId="5227">
        <row r="7">
          <cell r="E7" t="str">
            <v>PT. DANONE BISCUITS INDONESIA</v>
          </cell>
        </row>
      </sheetData>
      <sheetData sheetId="5228">
        <row r="7">
          <cell r="E7" t="str">
            <v>PT. DANONE BISCUITS INDONESIA</v>
          </cell>
        </row>
      </sheetData>
      <sheetData sheetId="5229">
        <row r="7">
          <cell r="E7" t="str">
            <v>PT. DANONE BISCUITS INDONESIA</v>
          </cell>
        </row>
      </sheetData>
      <sheetData sheetId="5230">
        <row r="7">
          <cell r="E7" t="str">
            <v>PT. DANONE BISCUITS INDONESIA</v>
          </cell>
        </row>
      </sheetData>
      <sheetData sheetId="5231">
        <row r="7">
          <cell r="E7" t="str">
            <v>PT. DANONE BISCUITS INDONESIA</v>
          </cell>
        </row>
      </sheetData>
      <sheetData sheetId="5232">
        <row r="7">
          <cell r="E7" t="str">
            <v>PT. DANONE BISCUITS INDONESIA</v>
          </cell>
        </row>
      </sheetData>
      <sheetData sheetId="5233">
        <row r="7">
          <cell r="E7" t="str">
            <v>PT. DANONE BISCUITS INDONESIA</v>
          </cell>
        </row>
      </sheetData>
      <sheetData sheetId="5234">
        <row r="7">
          <cell r="E7" t="str">
            <v>PT. DANONE BISCUITS INDONESIA</v>
          </cell>
        </row>
      </sheetData>
      <sheetData sheetId="5235">
        <row r="7">
          <cell r="E7" t="str">
            <v>PT. DANONE BISCUITS INDONESIA</v>
          </cell>
        </row>
      </sheetData>
      <sheetData sheetId="5236">
        <row r="7">
          <cell r="E7" t="str">
            <v>PT. DANONE BISCUITS INDONESIA</v>
          </cell>
        </row>
      </sheetData>
      <sheetData sheetId="5237">
        <row r="7">
          <cell r="E7" t="str">
            <v>PT. DANONE BISCUITS INDONESIA</v>
          </cell>
        </row>
      </sheetData>
      <sheetData sheetId="5238">
        <row r="7">
          <cell r="E7" t="str">
            <v>PT. DANONE BISCUITS INDONESIA</v>
          </cell>
        </row>
      </sheetData>
      <sheetData sheetId="5239">
        <row r="7">
          <cell r="E7" t="str">
            <v>PT. DANONE BISCUITS INDONESIA</v>
          </cell>
        </row>
      </sheetData>
      <sheetData sheetId="5240">
        <row r="7">
          <cell r="E7" t="str">
            <v>PT. DANONE BISCUITS INDONESIA</v>
          </cell>
        </row>
      </sheetData>
      <sheetData sheetId="5241">
        <row r="7">
          <cell r="E7" t="str">
            <v>PT. DANONE BISCUITS INDONESIA</v>
          </cell>
        </row>
      </sheetData>
      <sheetData sheetId="5242">
        <row r="7">
          <cell r="E7" t="str">
            <v>PT. DANONE BISCUITS INDONESIA</v>
          </cell>
        </row>
      </sheetData>
      <sheetData sheetId="5243">
        <row r="7">
          <cell r="E7" t="str">
            <v>PT. DANONE BISCUITS INDONESIA</v>
          </cell>
        </row>
      </sheetData>
      <sheetData sheetId="5244">
        <row r="7">
          <cell r="E7" t="str">
            <v>PT. DANONE BISCUITS INDONESIA</v>
          </cell>
        </row>
      </sheetData>
      <sheetData sheetId="5245">
        <row r="7">
          <cell r="E7" t="str">
            <v>PT. DANONE BISCUITS INDONESIA</v>
          </cell>
        </row>
      </sheetData>
      <sheetData sheetId="5246">
        <row r="7">
          <cell r="E7" t="str">
            <v>PT. DANONE BISCUITS INDONESIA</v>
          </cell>
        </row>
      </sheetData>
      <sheetData sheetId="5247">
        <row r="7">
          <cell r="E7" t="str">
            <v>PT. DANONE BISCUITS INDONESIA</v>
          </cell>
        </row>
      </sheetData>
      <sheetData sheetId="5248">
        <row r="7">
          <cell r="E7" t="str">
            <v>PT. DANONE BISCUITS INDONESIA</v>
          </cell>
        </row>
      </sheetData>
      <sheetData sheetId="5249">
        <row r="7">
          <cell r="E7" t="str">
            <v>PT. DANONE BISCUITS INDONESIA</v>
          </cell>
        </row>
      </sheetData>
      <sheetData sheetId="5250">
        <row r="7">
          <cell r="E7" t="str">
            <v>PT. DANONE BISCUITS INDONESIA</v>
          </cell>
        </row>
      </sheetData>
      <sheetData sheetId="5251">
        <row r="7">
          <cell r="E7" t="str">
            <v>PT. DANONE BISCUITS INDONESIA</v>
          </cell>
        </row>
      </sheetData>
      <sheetData sheetId="5252">
        <row r="7">
          <cell r="E7" t="str">
            <v>PT. DANONE BISCUITS INDONESIA</v>
          </cell>
        </row>
      </sheetData>
      <sheetData sheetId="5253">
        <row r="7">
          <cell r="E7" t="str">
            <v>PT. DANONE BISCUITS INDONESIA</v>
          </cell>
        </row>
      </sheetData>
      <sheetData sheetId="5254">
        <row r="7">
          <cell r="E7" t="str">
            <v>PT. DANONE BISCUITS INDONESIA</v>
          </cell>
        </row>
      </sheetData>
      <sheetData sheetId="5255">
        <row r="7">
          <cell r="E7" t="str">
            <v>PT. DANONE BISCUITS INDONESIA</v>
          </cell>
        </row>
      </sheetData>
      <sheetData sheetId="5256">
        <row r="7">
          <cell r="E7" t="str">
            <v>PT. DANONE BISCUITS INDONESIA</v>
          </cell>
        </row>
      </sheetData>
      <sheetData sheetId="5257">
        <row r="7">
          <cell r="E7" t="str">
            <v>PT. DANONE BISCUITS INDONESIA</v>
          </cell>
        </row>
      </sheetData>
      <sheetData sheetId="5258">
        <row r="7">
          <cell r="E7" t="str">
            <v>PT. DANONE BISCUITS INDONESIA</v>
          </cell>
        </row>
      </sheetData>
      <sheetData sheetId="5259">
        <row r="7">
          <cell r="E7" t="str">
            <v>PT. DANONE BISCUITS INDONESIA</v>
          </cell>
        </row>
      </sheetData>
      <sheetData sheetId="5260">
        <row r="7">
          <cell r="E7" t="str">
            <v>PT. DANONE BISCUITS INDONESIA</v>
          </cell>
        </row>
      </sheetData>
      <sheetData sheetId="5261">
        <row r="7">
          <cell r="E7" t="str">
            <v>PT. DANONE BISCUITS INDONESIA</v>
          </cell>
        </row>
      </sheetData>
      <sheetData sheetId="5262">
        <row r="7">
          <cell r="E7" t="str">
            <v>PT. DANONE BISCUITS INDONESIA</v>
          </cell>
        </row>
      </sheetData>
      <sheetData sheetId="5263">
        <row r="7">
          <cell r="E7" t="str">
            <v>PT. DANONE BISCUITS INDONESIA</v>
          </cell>
        </row>
      </sheetData>
      <sheetData sheetId="5264">
        <row r="7">
          <cell r="E7" t="str">
            <v>PT. DANONE BISCUITS INDONESIA</v>
          </cell>
        </row>
      </sheetData>
      <sheetData sheetId="5265">
        <row r="7">
          <cell r="E7" t="str">
            <v>PT. DANONE BISCUITS INDONESIA</v>
          </cell>
        </row>
      </sheetData>
      <sheetData sheetId="5266">
        <row r="7">
          <cell r="E7" t="str">
            <v>PT. DANONE BISCUITS INDONESIA</v>
          </cell>
        </row>
      </sheetData>
      <sheetData sheetId="5267">
        <row r="7">
          <cell r="E7" t="str">
            <v>PT. DANONE BISCUITS INDONESIA</v>
          </cell>
        </row>
      </sheetData>
      <sheetData sheetId="5268">
        <row r="7">
          <cell r="E7" t="str">
            <v>PT. DANONE BISCUITS INDONESIA</v>
          </cell>
        </row>
      </sheetData>
      <sheetData sheetId="5269">
        <row r="7">
          <cell r="E7" t="str">
            <v>PT. DANONE BISCUITS INDONESIA</v>
          </cell>
        </row>
      </sheetData>
      <sheetData sheetId="5270">
        <row r="7">
          <cell r="E7" t="str">
            <v>PT. DANONE BISCUITS INDONESIA</v>
          </cell>
        </row>
      </sheetData>
      <sheetData sheetId="5271">
        <row r="7">
          <cell r="E7" t="str">
            <v>PT. DANONE BISCUITS INDONESIA</v>
          </cell>
        </row>
      </sheetData>
      <sheetData sheetId="5272">
        <row r="7">
          <cell r="E7" t="str">
            <v>PT. DANONE BISCUITS INDONESIA</v>
          </cell>
        </row>
      </sheetData>
      <sheetData sheetId="5273">
        <row r="7">
          <cell r="E7" t="str">
            <v>PT. DANONE BISCUITS INDONESIA</v>
          </cell>
        </row>
      </sheetData>
      <sheetData sheetId="5274">
        <row r="7">
          <cell r="E7" t="str">
            <v>PT. DANONE BISCUITS INDONESIA</v>
          </cell>
        </row>
      </sheetData>
      <sheetData sheetId="5275">
        <row r="7">
          <cell r="E7" t="str">
            <v>PT. DANONE BISCUITS INDONESIA</v>
          </cell>
        </row>
      </sheetData>
      <sheetData sheetId="5276">
        <row r="7">
          <cell r="E7" t="str">
            <v>PT. DANONE BISCUITS INDONESIA</v>
          </cell>
        </row>
      </sheetData>
      <sheetData sheetId="5277">
        <row r="7">
          <cell r="E7" t="str">
            <v>PT. DANONE BISCUITS INDONESIA</v>
          </cell>
        </row>
      </sheetData>
      <sheetData sheetId="5278">
        <row r="7">
          <cell r="E7" t="str">
            <v>PT. DANONE BISCUITS INDONESIA</v>
          </cell>
        </row>
      </sheetData>
      <sheetData sheetId="5279">
        <row r="7">
          <cell r="E7" t="str">
            <v>PT. DANONE BISCUITS INDONESIA</v>
          </cell>
        </row>
      </sheetData>
      <sheetData sheetId="5280">
        <row r="7">
          <cell r="E7" t="str">
            <v>PT. DANONE BISCUITS INDONESIA</v>
          </cell>
        </row>
      </sheetData>
      <sheetData sheetId="5281">
        <row r="7">
          <cell r="E7" t="str">
            <v>PT. DANONE BISCUITS INDONESIA</v>
          </cell>
        </row>
      </sheetData>
      <sheetData sheetId="5282">
        <row r="7">
          <cell r="E7" t="str">
            <v>PT. DANONE BISCUITS INDONESIA</v>
          </cell>
        </row>
      </sheetData>
      <sheetData sheetId="5283">
        <row r="7">
          <cell r="E7" t="str">
            <v>PT. DANONE BISCUITS INDONESIA</v>
          </cell>
        </row>
      </sheetData>
      <sheetData sheetId="5284">
        <row r="7">
          <cell r="E7" t="str">
            <v>PT. DANONE BISCUITS INDONESIA</v>
          </cell>
        </row>
      </sheetData>
      <sheetData sheetId="5285">
        <row r="7">
          <cell r="E7" t="str">
            <v>PT. DANONE BISCUITS INDONESIA</v>
          </cell>
        </row>
      </sheetData>
      <sheetData sheetId="5286">
        <row r="7">
          <cell r="E7" t="str">
            <v>PT. DANONE BISCUITS INDONESIA</v>
          </cell>
        </row>
      </sheetData>
      <sheetData sheetId="5287">
        <row r="7">
          <cell r="E7" t="str">
            <v>PT. DANONE BISCUITS INDONESIA</v>
          </cell>
        </row>
      </sheetData>
      <sheetData sheetId="5288">
        <row r="7">
          <cell r="E7" t="str">
            <v>PT. DANONE BISCUITS INDONESIA</v>
          </cell>
        </row>
      </sheetData>
      <sheetData sheetId="5289">
        <row r="7">
          <cell r="E7" t="str">
            <v>PT. DANONE BISCUITS INDONESIA</v>
          </cell>
        </row>
      </sheetData>
      <sheetData sheetId="5290">
        <row r="7">
          <cell r="E7" t="str">
            <v>PT. DANONE BISCUITS INDONESIA</v>
          </cell>
        </row>
      </sheetData>
      <sheetData sheetId="5291">
        <row r="7">
          <cell r="E7" t="str">
            <v>PT. DANONE BISCUITS INDONESIA</v>
          </cell>
        </row>
      </sheetData>
      <sheetData sheetId="5292">
        <row r="7">
          <cell r="E7" t="str">
            <v>PT. DANONE BISCUITS INDONESIA</v>
          </cell>
        </row>
      </sheetData>
      <sheetData sheetId="5293">
        <row r="7">
          <cell r="E7" t="str">
            <v>PT. DANONE BISCUITS INDONESIA</v>
          </cell>
        </row>
      </sheetData>
      <sheetData sheetId="5294">
        <row r="7">
          <cell r="E7" t="str">
            <v>PT. DANONE BISCUITS INDONESIA</v>
          </cell>
        </row>
      </sheetData>
      <sheetData sheetId="5295">
        <row r="7">
          <cell r="E7" t="str">
            <v>PT. DANONE BISCUITS INDONESIA</v>
          </cell>
        </row>
      </sheetData>
      <sheetData sheetId="5296">
        <row r="7">
          <cell r="E7" t="str">
            <v>PT. DANONE BISCUITS INDONESIA</v>
          </cell>
        </row>
      </sheetData>
      <sheetData sheetId="5297">
        <row r="7">
          <cell r="E7" t="str">
            <v>PT. DANONE BISCUITS INDONESIA</v>
          </cell>
        </row>
      </sheetData>
      <sheetData sheetId="5298">
        <row r="7">
          <cell r="E7" t="str">
            <v>PT. DANONE BISCUITS INDONESIA</v>
          </cell>
        </row>
      </sheetData>
      <sheetData sheetId="5299">
        <row r="7">
          <cell r="E7" t="str">
            <v>PT. DANONE BISCUITS INDONESIA</v>
          </cell>
        </row>
      </sheetData>
      <sheetData sheetId="5300">
        <row r="7">
          <cell r="E7" t="str">
            <v>PT. DANONE BISCUITS INDONESIA</v>
          </cell>
        </row>
      </sheetData>
      <sheetData sheetId="5301">
        <row r="7">
          <cell r="E7" t="str">
            <v>PT. DANONE BISCUITS INDONESIA</v>
          </cell>
        </row>
      </sheetData>
      <sheetData sheetId="5302">
        <row r="7">
          <cell r="E7" t="str">
            <v>PT. DANONE BISCUITS INDONESIA</v>
          </cell>
        </row>
      </sheetData>
      <sheetData sheetId="5303">
        <row r="7">
          <cell r="E7" t="str">
            <v>PT. DANONE BISCUITS INDONESIA</v>
          </cell>
        </row>
      </sheetData>
      <sheetData sheetId="5304">
        <row r="7">
          <cell r="E7" t="str">
            <v>PT. DANONE BISCUITS INDONESIA</v>
          </cell>
        </row>
      </sheetData>
      <sheetData sheetId="5305">
        <row r="7">
          <cell r="E7" t="str">
            <v>PT. DANONE BISCUITS INDONESIA</v>
          </cell>
        </row>
      </sheetData>
      <sheetData sheetId="5306">
        <row r="7">
          <cell r="E7" t="str">
            <v>PT. DANONE BISCUITS INDONESIA</v>
          </cell>
        </row>
      </sheetData>
      <sheetData sheetId="5307">
        <row r="7">
          <cell r="E7" t="str">
            <v>PT. DANONE BISCUITS INDONESIA</v>
          </cell>
        </row>
      </sheetData>
      <sheetData sheetId="5308">
        <row r="7">
          <cell r="E7" t="str">
            <v>PT. DANONE BISCUITS INDONESIA</v>
          </cell>
        </row>
      </sheetData>
      <sheetData sheetId="5309">
        <row r="7">
          <cell r="E7" t="str">
            <v>PT. DANONE BISCUITS INDONESIA</v>
          </cell>
        </row>
      </sheetData>
      <sheetData sheetId="5310">
        <row r="7">
          <cell r="E7" t="str">
            <v>PT. DANONE BISCUITS INDONESIA</v>
          </cell>
        </row>
      </sheetData>
      <sheetData sheetId="5311">
        <row r="7">
          <cell r="E7" t="str">
            <v>PT. DANONE BISCUITS INDONESIA</v>
          </cell>
        </row>
      </sheetData>
      <sheetData sheetId="5312">
        <row r="7">
          <cell r="E7" t="str">
            <v>PT. DANONE BISCUITS INDONESIA</v>
          </cell>
        </row>
      </sheetData>
      <sheetData sheetId="5313">
        <row r="7">
          <cell r="E7" t="str">
            <v>PT. DANONE BISCUITS INDONESIA</v>
          </cell>
        </row>
      </sheetData>
      <sheetData sheetId="5314">
        <row r="7">
          <cell r="E7" t="str">
            <v>PT. DANONE BISCUITS INDONESIA</v>
          </cell>
        </row>
      </sheetData>
      <sheetData sheetId="5315">
        <row r="7">
          <cell r="E7" t="str">
            <v>PT. DANONE BISCUITS INDONESIA</v>
          </cell>
        </row>
      </sheetData>
      <sheetData sheetId="5316">
        <row r="7">
          <cell r="E7" t="str">
            <v>PT. DANONE BISCUITS INDONESIA</v>
          </cell>
        </row>
      </sheetData>
      <sheetData sheetId="5317">
        <row r="7">
          <cell r="E7" t="str">
            <v>PT. DANONE BISCUITS INDONESIA</v>
          </cell>
        </row>
      </sheetData>
      <sheetData sheetId="5318">
        <row r="7">
          <cell r="E7" t="str">
            <v>PT. DANONE BISCUITS INDONESIA</v>
          </cell>
        </row>
      </sheetData>
      <sheetData sheetId="5319">
        <row r="7">
          <cell r="E7" t="str">
            <v>PT. DANONE BISCUITS INDONESIA</v>
          </cell>
        </row>
      </sheetData>
      <sheetData sheetId="5320">
        <row r="7">
          <cell r="E7" t="str">
            <v>PT. DANONE BISCUITS INDONESIA</v>
          </cell>
        </row>
      </sheetData>
      <sheetData sheetId="5321">
        <row r="7">
          <cell r="E7" t="str">
            <v>PT. DANONE BISCUITS INDONESIA</v>
          </cell>
        </row>
      </sheetData>
      <sheetData sheetId="5322">
        <row r="7">
          <cell r="E7" t="str">
            <v>PT. DANONE BISCUITS INDONESIA</v>
          </cell>
        </row>
      </sheetData>
      <sheetData sheetId="5323">
        <row r="7">
          <cell r="E7" t="str">
            <v>PT. DANONE BISCUITS INDONESIA</v>
          </cell>
        </row>
      </sheetData>
      <sheetData sheetId="5324">
        <row r="7">
          <cell r="E7" t="str">
            <v>PT. DANONE BISCUITS INDONESIA</v>
          </cell>
        </row>
      </sheetData>
      <sheetData sheetId="5325">
        <row r="7">
          <cell r="E7" t="str">
            <v>PT. DANONE BISCUITS INDONESIA</v>
          </cell>
        </row>
      </sheetData>
      <sheetData sheetId="5326">
        <row r="7">
          <cell r="E7" t="str">
            <v>PT. DANONE BISCUITS INDONESIA</v>
          </cell>
        </row>
      </sheetData>
      <sheetData sheetId="5327">
        <row r="7">
          <cell r="E7" t="str">
            <v>PT. DANONE BISCUITS INDONESIA</v>
          </cell>
        </row>
      </sheetData>
      <sheetData sheetId="5328">
        <row r="7">
          <cell r="E7" t="str">
            <v>PT. DANONE BISCUITS INDONESIA</v>
          </cell>
        </row>
      </sheetData>
      <sheetData sheetId="5329">
        <row r="7">
          <cell r="E7" t="str">
            <v>PT. DANONE BISCUITS INDONESIA</v>
          </cell>
        </row>
      </sheetData>
      <sheetData sheetId="5330">
        <row r="7">
          <cell r="E7" t="str">
            <v>PT. DANONE BISCUITS INDONESIA</v>
          </cell>
        </row>
      </sheetData>
      <sheetData sheetId="5331">
        <row r="7">
          <cell r="E7" t="str">
            <v>PT. DANONE BISCUITS INDONESIA</v>
          </cell>
        </row>
      </sheetData>
      <sheetData sheetId="5332">
        <row r="7">
          <cell r="E7" t="str">
            <v>PT. DANONE BISCUITS INDONESIA</v>
          </cell>
        </row>
      </sheetData>
      <sheetData sheetId="5333">
        <row r="7">
          <cell r="E7" t="str">
            <v>PT. DANONE BISCUITS INDONESIA</v>
          </cell>
        </row>
      </sheetData>
      <sheetData sheetId="5334">
        <row r="7">
          <cell r="E7" t="str">
            <v>PT. DANONE BISCUITS INDONESIA</v>
          </cell>
        </row>
      </sheetData>
      <sheetData sheetId="5335">
        <row r="7">
          <cell r="E7" t="str">
            <v>PT. DANONE BISCUITS INDONESIA</v>
          </cell>
        </row>
      </sheetData>
      <sheetData sheetId="5336">
        <row r="7">
          <cell r="E7" t="str">
            <v>PT. DANONE BISCUITS INDONESIA</v>
          </cell>
        </row>
      </sheetData>
      <sheetData sheetId="5337">
        <row r="7">
          <cell r="E7" t="str">
            <v>PT. DANONE BISCUITS INDONESIA</v>
          </cell>
        </row>
      </sheetData>
      <sheetData sheetId="5338">
        <row r="7">
          <cell r="E7" t="str">
            <v>PT. DANONE BISCUITS INDONESIA</v>
          </cell>
        </row>
      </sheetData>
      <sheetData sheetId="5339">
        <row r="7">
          <cell r="E7" t="str">
            <v>PT. DANONE BISCUITS INDONESIA</v>
          </cell>
        </row>
      </sheetData>
      <sheetData sheetId="5340">
        <row r="7">
          <cell r="E7" t="str">
            <v>PT. DANONE BISCUITS INDONESIA</v>
          </cell>
        </row>
      </sheetData>
      <sheetData sheetId="5341">
        <row r="7">
          <cell r="E7" t="str">
            <v>PT. DANONE BISCUITS INDONESIA</v>
          </cell>
        </row>
      </sheetData>
      <sheetData sheetId="5342">
        <row r="7">
          <cell r="E7" t="str">
            <v>PT. DANONE BISCUITS INDONESIA</v>
          </cell>
        </row>
      </sheetData>
      <sheetData sheetId="5343">
        <row r="7">
          <cell r="E7" t="str">
            <v>PT. DANONE BISCUITS INDONESIA</v>
          </cell>
        </row>
      </sheetData>
      <sheetData sheetId="5344">
        <row r="7">
          <cell r="E7" t="str">
            <v>PT. DANONE BISCUITS INDONESIA</v>
          </cell>
        </row>
      </sheetData>
      <sheetData sheetId="5345">
        <row r="7">
          <cell r="E7" t="str">
            <v>PT. DANONE BISCUITS INDONESIA</v>
          </cell>
        </row>
      </sheetData>
      <sheetData sheetId="5346">
        <row r="7">
          <cell r="E7" t="str">
            <v>PT. DANONE BISCUITS INDONESIA</v>
          </cell>
        </row>
      </sheetData>
      <sheetData sheetId="5347">
        <row r="7">
          <cell r="E7" t="str">
            <v>PT. DANONE BISCUITS INDONESIA</v>
          </cell>
        </row>
      </sheetData>
      <sheetData sheetId="5348">
        <row r="7">
          <cell r="E7" t="str">
            <v>PT. DANONE BISCUITS INDONESIA</v>
          </cell>
        </row>
      </sheetData>
      <sheetData sheetId="5349">
        <row r="7">
          <cell r="E7" t="str">
            <v>PT. DANONE BISCUITS INDONESIA</v>
          </cell>
        </row>
      </sheetData>
      <sheetData sheetId="5350">
        <row r="7">
          <cell r="E7" t="str">
            <v>PT. DANONE BISCUITS INDONESIA</v>
          </cell>
        </row>
      </sheetData>
      <sheetData sheetId="5351">
        <row r="7">
          <cell r="E7" t="str">
            <v>PT. DANONE BISCUITS INDONESIA</v>
          </cell>
        </row>
      </sheetData>
      <sheetData sheetId="5352">
        <row r="7">
          <cell r="E7" t="str">
            <v>PT. DANONE BISCUITS INDONESIA</v>
          </cell>
        </row>
      </sheetData>
      <sheetData sheetId="5353">
        <row r="7">
          <cell r="E7" t="str">
            <v>PT. DANONE BISCUITS INDONESIA</v>
          </cell>
        </row>
      </sheetData>
      <sheetData sheetId="5354">
        <row r="7">
          <cell r="E7" t="str">
            <v>PT. DANONE BISCUITS INDONESIA</v>
          </cell>
        </row>
      </sheetData>
      <sheetData sheetId="5355">
        <row r="7">
          <cell r="E7" t="str">
            <v>PT. DANONE BISCUITS INDONESIA</v>
          </cell>
        </row>
      </sheetData>
      <sheetData sheetId="5356">
        <row r="7">
          <cell r="E7" t="str">
            <v>PT. DANONE BISCUITS INDONESIA</v>
          </cell>
        </row>
      </sheetData>
      <sheetData sheetId="5357">
        <row r="7">
          <cell r="E7" t="str">
            <v>PT. DANONE BISCUITS INDONESIA</v>
          </cell>
        </row>
      </sheetData>
      <sheetData sheetId="5358">
        <row r="7">
          <cell r="E7" t="str">
            <v>PT. DANONE BISCUITS INDONESIA</v>
          </cell>
        </row>
      </sheetData>
      <sheetData sheetId="5359">
        <row r="7">
          <cell r="E7" t="str">
            <v>PT. DANONE BISCUITS INDONESIA</v>
          </cell>
        </row>
      </sheetData>
      <sheetData sheetId="5360">
        <row r="7">
          <cell r="E7" t="str">
            <v>PT. DANONE BISCUITS INDONESIA</v>
          </cell>
        </row>
      </sheetData>
      <sheetData sheetId="5361">
        <row r="7">
          <cell r="E7" t="str">
            <v>PT. DANONE BISCUITS INDONESIA</v>
          </cell>
        </row>
      </sheetData>
      <sheetData sheetId="5362">
        <row r="7">
          <cell r="E7" t="str">
            <v>PT. DANONE BISCUITS INDONESIA</v>
          </cell>
        </row>
      </sheetData>
      <sheetData sheetId="5363">
        <row r="7">
          <cell r="E7" t="str">
            <v>PT. DANONE BISCUITS INDONESIA</v>
          </cell>
        </row>
      </sheetData>
      <sheetData sheetId="5364">
        <row r="7">
          <cell r="E7" t="str">
            <v>PT. DANONE BISCUITS INDONESIA</v>
          </cell>
        </row>
      </sheetData>
      <sheetData sheetId="5365">
        <row r="7">
          <cell r="E7" t="str">
            <v>PT. DANONE BISCUITS INDONESIA</v>
          </cell>
        </row>
      </sheetData>
      <sheetData sheetId="5366">
        <row r="7">
          <cell r="E7" t="str">
            <v>PT. DANONE BISCUITS INDONESIA</v>
          </cell>
        </row>
      </sheetData>
      <sheetData sheetId="5367">
        <row r="7">
          <cell r="E7" t="str">
            <v>PT. DANONE BISCUITS INDONESIA</v>
          </cell>
        </row>
      </sheetData>
      <sheetData sheetId="5368">
        <row r="7">
          <cell r="E7" t="str">
            <v>PT. DANONE BISCUITS INDONESIA</v>
          </cell>
        </row>
      </sheetData>
      <sheetData sheetId="5369">
        <row r="7">
          <cell r="E7" t="str">
            <v>PT. DANONE BISCUITS INDONESIA</v>
          </cell>
        </row>
      </sheetData>
      <sheetData sheetId="5370">
        <row r="7">
          <cell r="E7" t="str">
            <v>PT. DANONE BISCUITS INDONESIA</v>
          </cell>
        </row>
      </sheetData>
      <sheetData sheetId="5371">
        <row r="7">
          <cell r="E7" t="str">
            <v>PT. DANONE BISCUITS INDONESIA</v>
          </cell>
        </row>
      </sheetData>
      <sheetData sheetId="5372">
        <row r="7">
          <cell r="E7" t="str">
            <v>PT. DANONE BISCUITS INDONESIA</v>
          </cell>
        </row>
      </sheetData>
      <sheetData sheetId="5373">
        <row r="7">
          <cell r="E7" t="str">
            <v>PT. DANONE BISCUITS INDONESIA</v>
          </cell>
        </row>
      </sheetData>
      <sheetData sheetId="5374">
        <row r="7">
          <cell r="E7" t="str">
            <v>PT. DANONE BISCUITS INDONESIA</v>
          </cell>
        </row>
      </sheetData>
      <sheetData sheetId="5375">
        <row r="7">
          <cell r="E7" t="str">
            <v>PT. DANONE BISCUITS INDONESIA</v>
          </cell>
        </row>
      </sheetData>
      <sheetData sheetId="5376">
        <row r="7">
          <cell r="E7" t="str">
            <v>PT. DANONE BISCUITS INDONESIA</v>
          </cell>
        </row>
      </sheetData>
      <sheetData sheetId="5377">
        <row r="7">
          <cell r="E7" t="str">
            <v>PT. DANONE BISCUITS INDONESIA</v>
          </cell>
        </row>
      </sheetData>
      <sheetData sheetId="5378">
        <row r="7">
          <cell r="E7" t="str">
            <v>PT. DANONE BISCUITS INDONESIA</v>
          </cell>
        </row>
      </sheetData>
      <sheetData sheetId="5379">
        <row r="7">
          <cell r="E7" t="str">
            <v>PT. DANONE BISCUITS INDONESIA</v>
          </cell>
        </row>
      </sheetData>
      <sheetData sheetId="5380">
        <row r="7">
          <cell r="E7" t="str">
            <v>PT. DANONE BISCUITS INDONESIA</v>
          </cell>
        </row>
      </sheetData>
      <sheetData sheetId="5381">
        <row r="7">
          <cell r="E7" t="str">
            <v>PT. DANONE BISCUITS INDONESIA</v>
          </cell>
        </row>
      </sheetData>
      <sheetData sheetId="5382">
        <row r="7">
          <cell r="E7" t="str">
            <v>PT. DANONE BISCUITS INDONESIA</v>
          </cell>
        </row>
      </sheetData>
      <sheetData sheetId="5383">
        <row r="7">
          <cell r="E7" t="str">
            <v>PT. DANONE BISCUITS INDONESIA</v>
          </cell>
        </row>
      </sheetData>
      <sheetData sheetId="5384">
        <row r="7">
          <cell r="E7" t="str">
            <v>PT. DANONE BISCUITS INDONESIA</v>
          </cell>
        </row>
      </sheetData>
      <sheetData sheetId="5385">
        <row r="7">
          <cell r="E7" t="str">
            <v>PT. DANONE BISCUITS INDONESIA</v>
          </cell>
        </row>
      </sheetData>
      <sheetData sheetId="5386">
        <row r="7">
          <cell r="E7" t="str">
            <v>PT. DANONE BISCUITS INDONESIA</v>
          </cell>
        </row>
      </sheetData>
      <sheetData sheetId="5387">
        <row r="7">
          <cell r="E7" t="str">
            <v>PT. DANONE BISCUITS INDONESIA</v>
          </cell>
        </row>
      </sheetData>
      <sheetData sheetId="5388">
        <row r="7">
          <cell r="E7" t="str">
            <v>PT. DANONE BISCUITS INDONESIA</v>
          </cell>
        </row>
      </sheetData>
      <sheetData sheetId="5389">
        <row r="7">
          <cell r="E7" t="str">
            <v>PT. DANONE BISCUITS INDONESIA</v>
          </cell>
        </row>
      </sheetData>
      <sheetData sheetId="5390">
        <row r="7">
          <cell r="E7" t="str">
            <v>PT. DANONE BISCUITS INDONESIA</v>
          </cell>
        </row>
      </sheetData>
      <sheetData sheetId="5391">
        <row r="7">
          <cell r="E7" t="str">
            <v>PT. DANONE BISCUITS INDONESIA</v>
          </cell>
        </row>
      </sheetData>
      <sheetData sheetId="5392">
        <row r="7">
          <cell r="E7" t="str">
            <v>PT. DANONE BISCUITS INDONESIA</v>
          </cell>
        </row>
      </sheetData>
      <sheetData sheetId="5393">
        <row r="7">
          <cell r="E7" t="str">
            <v>PT. DANONE BISCUITS INDONESIA</v>
          </cell>
        </row>
      </sheetData>
      <sheetData sheetId="5394">
        <row r="7">
          <cell r="E7" t="str">
            <v>PT. DANONE BISCUITS INDONESIA</v>
          </cell>
        </row>
      </sheetData>
      <sheetData sheetId="5395">
        <row r="7">
          <cell r="E7" t="str">
            <v>PT. DANONE BISCUITS INDONESIA</v>
          </cell>
        </row>
      </sheetData>
      <sheetData sheetId="5396">
        <row r="7">
          <cell r="E7" t="str">
            <v>PT. DANONE BISCUITS INDONESIA</v>
          </cell>
        </row>
      </sheetData>
      <sheetData sheetId="5397">
        <row r="7">
          <cell r="E7" t="str">
            <v>PT. DANONE BISCUITS INDONESIA</v>
          </cell>
        </row>
      </sheetData>
      <sheetData sheetId="5398">
        <row r="7">
          <cell r="E7" t="str">
            <v>PT. DANONE BISCUITS INDONESIA</v>
          </cell>
        </row>
      </sheetData>
      <sheetData sheetId="5399">
        <row r="7">
          <cell r="E7" t="str">
            <v>PT. DANONE BISCUITS INDONESIA</v>
          </cell>
        </row>
      </sheetData>
      <sheetData sheetId="5400">
        <row r="7">
          <cell r="E7" t="str">
            <v>PT. DANONE BISCUITS INDONESIA</v>
          </cell>
        </row>
      </sheetData>
      <sheetData sheetId="5401">
        <row r="7">
          <cell r="E7" t="str">
            <v>PT. DANONE BISCUITS INDONESIA</v>
          </cell>
        </row>
      </sheetData>
      <sheetData sheetId="5402">
        <row r="7">
          <cell r="E7" t="str">
            <v>PT. DANONE BISCUITS INDONESIA</v>
          </cell>
        </row>
      </sheetData>
      <sheetData sheetId="5403">
        <row r="7">
          <cell r="E7" t="str">
            <v>PT. DANONE BISCUITS INDONESIA</v>
          </cell>
        </row>
      </sheetData>
      <sheetData sheetId="5404">
        <row r="7">
          <cell r="E7" t="str">
            <v>PT. DANONE BISCUITS INDONESIA</v>
          </cell>
        </row>
      </sheetData>
      <sheetData sheetId="5405">
        <row r="7">
          <cell r="E7" t="str">
            <v>PT. DANONE BISCUITS INDONESIA</v>
          </cell>
        </row>
      </sheetData>
      <sheetData sheetId="5406">
        <row r="7">
          <cell r="E7" t="str">
            <v>PT. DANONE BISCUITS INDONESIA</v>
          </cell>
        </row>
      </sheetData>
      <sheetData sheetId="5407">
        <row r="7">
          <cell r="E7" t="str">
            <v>PT. DANONE BISCUITS INDONESIA</v>
          </cell>
        </row>
      </sheetData>
      <sheetData sheetId="5408">
        <row r="7">
          <cell r="E7" t="str">
            <v>PT. DANONE BISCUITS INDONESIA</v>
          </cell>
        </row>
      </sheetData>
      <sheetData sheetId="5409">
        <row r="7">
          <cell r="E7" t="str">
            <v>PT. DANONE BISCUITS INDONESIA</v>
          </cell>
        </row>
      </sheetData>
      <sheetData sheetId="5410">
        <row r="7">
          <cell r="E7" t="str">
            <v>PT. DANONE BISCUITS INDONESIA</v>
          </cell>
        </row>
      </sheetData>
      <sheetData sheetId="5411">
        <row r="7">
          <cell r="E7" t="str">
            <v>PT. DANONE BISCUITS INDONESIA</v>
          </cell>
        </row>
      </sheetData>
      <sheetData sheetId="5412">
        <row r="7">
          <cell r="E7" t="str">
            <v>PT. DANONE BISCUITS INDONESIA</v>
          </cell>
        </row>
      </sheetData>
      <sheetData sheetId="5413">
        <row r="7">
          <cell r="E7" t="str">
            <v>PT. DANONE BISCUITS INDONESIA</v>
          </cell>
        </row>
      </sheetData>
      <sheetData sheetId="5414">
        <row r="7">
          <cell r="E7" t="str">
            <v>PT. DANONE BISCUITS INDONESIA</v>
          </cell>
        </row>
      </sheetData>
      <sheetData sheetId="5415">
        <row r="7">
          <cell r="E7" t="str">
            <v>PT. DANONE BISCUITS INDONESIA</v>
          </cell>
        </row>
      </sheetData>
      <sheetData sheetId="5416">
        <row r="7">
          <cell r="E7" t="str">
            <v>PT. DANONE BISCUITS INDONESIA</v>
          </cell>
        </row>
      </sheetData>
      <sheetData sheetId="5417">
        <row r="7">
          <cell r="E7" t="str">
            <v>PT. DANONE BISCUITS INDONESIA</v>
          </cell>
        </row>
      </sheetData>
      <sheetData sheetId="5418">
        <row r="7">
          <cell r="E7" t="str">
            <v>PT. DANONE BISCUITS INDONESIA</v>
          </cell>
        </row>
      </sheetData>
      <sheetData sheetId="5419">
        <row r="7">
          <cell r="E7" t="str">
            <v>PT. DANONE BISCUITS INDONESIA</v>
          </cell>
        </row>
      </sheetData>
      <sheetData sheetId="5420">
        <row r="7">
          <cell r="E7" t="str">
            <v>PT. DANONE BISCUITS INDONESIA</v>
          </cell>
        </row>
      </sheetData>
      <sheetData sheetId="5421">
        <row r="7">
          <cell r="E7" t="str">
            <v>PT. DANONE BISCUITS INDONESIA</v>
          </cell>
        </row>
      </sheetData>
      <sheetData sheetId="5422">
        <row r="7">
          <cell r="E7" t="str">
            <v>PT. DANONE BISCUITS INDONESIA</v>
          </cell>
        </row>
      </sheetData>
      <sheetData sheetId="5423">
        <row r="7">
          <cell r="E7" t="str">
            <v>PT. DANONE BISCUITS INDONESIA</v>
          </cell>
        </row>
      </sheetData>
      <sheetData sheetId="5424">
        <row r="7">
          <cell r="E7" t="str">
            <v>PT. DANONE BISCUITS INDONESIA</v>
          </cell>
        </row>
      </sheetData>
      <sheetData sheetId="5425">
        <row r="7">
          <cell r="E7" t="str">
            <v>PT. DANONE BISCUITS INDONESIA</v>
          </cell>
        </row>
      </sheetData>
      <sheetData sheetId="5426">
        <row r="7">
          <cell r="E7" t="str">
            <v>PT. DANONE BISCUITS INDONESIA</v>
          </cell>
        </row>
      </sheetData>
      <sheetData sheetId="5427">
        <row r="7">
          <cell r="E7" t="str">
            <v>PT. DANONE BISCUITS INDONESIA</v>
          </cell>
        </row>
      </sheetData>
      <sheetData sheetId="5428">
        <row r="7">
          <cell r="E7" t="str">
            <v>PT. DANONE BISCUITS INDONESIA</v>
          </cell>
        </row>
      </sheetData>
      <sheetData sheetId="5429">
        <row r="7">
          <cell r="E7" t="str">
            <v>PT. DANONE BISCUITS INDONESIA</v>
          </cell>
        </row>
      </sheetData>
      <sheetData sheetId="5430">
        <row r="7">
          <cell r="E7" t="str">
            <v>PT. DANONE BISCUITS INDONESIA</v>
          </cell>
        </row>
      </sheetData>
      <sheetData sheetId="5431">
        <row r="7">
          <cell r="E7" t="str">
            <v>PT. DANONE BISCUITS INDONESIA</v>
          </cell>
        </row>
      </sheetData>
      <sheetData sheetId="5432">
        <row r="7">
          <cell r="E7" t="str">
            <v>PT. DANONE BISCUITS INDONESIA</v>
          </cell>
        </row>
      </sheetData>
      <sheetData sheetId="5433">
        <row r="7">
          <cell r="E7" t="str">
            <v>PT. DANONE BISCUITS INDONESIA</v>
          </cell>
        </row>
      </sheetData>
      <sheetData sheetId="5434">
        <row r="7">
          <cell r="E7" t="str">
            <v>PT. DANONE BISCUITS INDONESIA</v>
          </cell>
        </row>
      </sheetData>
      <sheetData sheetId="5435">
        <row r="7">
          <cell r="E7" t="str">
            <v>PT. DANONE BISCUITS INDONESIA</v>
          </cell>
        </row>
      </sheetData>
      <sheetData sheetId="5436">
        <row r="7">
          <cell r="E7" t="str">
            <v>PT. DANONE BISCUITS INDONESIA</v>
          </cell>
        </row>
      </sheetData>
      <sheetData sheetId="5437">
        <row r="7">
          <cell r="E7" t="str">
            <v>PT. DANONE BISCUITS INDONESIA</v>
          </cell>
        </row>
      </sheetData>
      <sheetData sheetId="5438">
        <row r="7">
          <cell r="E7" t="str">
            <v>PT. DANONE BISCUITS INDONESIA</v>
          </cell>
        </row>
      </sheetData>
      <sheetData sheetId="5439">
        <row r="7">
          <cell r="E7" t="str">
            <v>PT. DANONE BISCUITS INDONESIA</v>
          </cell>
        </row>
      </sheetData>
      <sheetData sheetId="5440">
        <row r="7">
          <cell r="E7" t="str">
            <v>PT. DANONE BISCUITS INDONESIA</v>
          </cell>
        </row>
      </sheetData>
      <sheetData sheetId="5441">
        <row r="7">
          <cell r="E7" t="str">
            <v>PT. DANONE BISCUITS INDONESIA</v>
          </cell>
        </row>
      </sheetData>
      <sheetData sheetId="5442">
        <row r="7">
          <cell r="E7" t="str">
            <v>PT. DANONE BISCUITS INDONESIA</v>
          </cell>
        </row>
      </sheetData>
      <sheetData sheetId="5443">
        <row r="7">
          <cell r="E7" t="str">
            <v>PT. DANONE BISCUITS INDONESIA</v>
          </cell>
        </row>
      </sheetData>
      <sheetData sheetId="5444">
        <row r="7">
          <cell r="E7" t="str">
            <v>PT. DANONE BISCUITS INDONESIA</v>
          </cell>
        </row>
      </sheetData>
      <sheetData sheetId="5445">
        <row r="7">
          <cell r="E7" t="str">
            <v>PT. DANONE BISCUITS INDONESIA</v>
          </cell>
        </row>
      </sheetData>
      <sheetData sheetId="5446">
        <row r="7">
          <cell r="E7" t="str">
            <v>PT. DANONE BISCUITS INDONESIA</v>
          </cell>
        </row>
      </sheetData>
      <sheetData sheetId="5447">
        <row r="7">
          <cell r="E7" t="str">
            <v>PT. DANONE BISCUITS INDONESIA</v>
          </cell>
        </row>
      </sheetData>
      <sheetData sheetId="5448">
        <row r="7">
          <cell r="E7" t="str">
            <v>PT. DANONE BISCUITS INDONESIA</v>
          </cell>
        </row>
      </sheetData>
      <sheetData sheetId="5449">
        <row r="7">
          <cell r="E7" t="str">
            <v>PT. DANONE BISCUITS INDONESIA</v>
          </cell>
        </row>
      </sheetData>
      <sheetData sheetId="5450">
        <row r="7">
          <cell r="E7" t="str">
            <v>PT. DANONE BISCUITS INDONESIA</v>
          </cell>
        </row>
      </sheetData>
      <sheetData sheetId="5451">
        <row r="7">
          <cell r="E7" t="str">
            <v>PT. DANONE BISCUITS INDONESIA</v>
          </cell>
        </row>
      </sheetData>
      <sheetData sheetId="5452">
        <row r="7">
          <cell r="E7" t="str">
            <v>PT. DANONE BISCUITS INDONESIA</v>
          </cell>
        </row>
      </sheetData>
      <sheetData sheetId="5453">
        <row r="7">
          <cell r="E7" t="str">
            <v>PT. DANONE BISCUITS INDONESIA</v>
          </cell>
        </row>
      </sheetData>
      <sheetData sheetId="5454">
        <row r="7">
          <cell r="E7" t="str">
            <v>PT. DANONE BISCUITS INDONESIA</v>
          </cell>
        </row>
      </sheetData>
      <sheetData sheetId="5455">
        <row r="7">
          <cell r="E7" t="str">
            <v>PT. DANONE BISCUITS INDONESIA</v>
          </cell>
        </row>
      </sheetData>
      <sheetData sheetId="5456">
        <row r="7">
          <cell r="E7" t="str">
            <v>PT. DANONE BISCUITS INDONESIA</v>
          </cell>
        </row>
      </sheetData>
      <sheetData sheetId="5457">
        <row r="7">
          <cell r="E7" t="str">
            <v>PT. DANONE BISCUITS INDONESIA</v>
          </cell>
        </row>
      </sheetData>
      <sheetData sheetId="5458">
        <row r="7">
          <cell r="E7" t="str">
            <v>PT. DANONE BISCUITS INDONESIA</v>
          </cell>
        </row>
      </sheetData>
      <sheetData sheetId="5459">
        <row r="7">
          <cell r="E7" t="str">
            <v>PT. DANONE BISCUITS INDONESIA</v>
          </cell>
        </row>
      </sheetData>
      <sheetData sheetId="5460">
        <row r="7">
          <cell r="E7" t="str">
            <v>PT. DANONE BISCUITS INDONESIA</v>
          </cell>
        </row>
      </sheetData>
      <sheetData sheetId="5461">
        <row r="7">
          <cell r="E7" t="str">
            <v>PT. DANONE BISCUITS INDONESIA</v>
          </cell>
        </row>
      </sheetData>
      <sheetData sheetId="5462">
        <row r="7">
          <cell r="E7" t="str">
            <v>PT. DANONE BISCUITS INDONESIA</v>
          </cell>
        </row>
      </sheetData>
      <sheetData sheetId="5463">
        <row r="7">
          <cell r="E7" t="str">
            <v>PT. DANONE BISCUITS INDONESIA</v>
          </cell>
        </row>
      </sheetData>
      <sheetData sheetId="5464">
        <row r="7">
          <cell r="E7" t="str">
            <v>PT. DANONE BISCUITS INDONESIA</v>
          </cell>
        </row>
      </sheetData>
      <sheetData sheetId="5465">
        <row r="7">
          <cell r="E7" t="str">
            <v>PT. DANONE BISCUITS INDONESIA</v>
          </cell>
        </row>
      </sheetData>
      <sheetData sheetId="5466">
        <row r="7">
          <cell r="E7" t="str">
            <v>PT. DANONE BISCUITS INDONESIA</v>
          </cell>
        </row>
      </sheetData>
      <sheetData sheetId="5467">
        <row r="7">
          <cell r="E7" t="str">
            <v>PT. DANONE BISCUITS INDONESIA</v>
          </cell>
        </row>
      </sheetData>
      <sheetData sheetId="5468">
        <row r="7">
          <cell r="E7" t="str">
            <v>PT. DANONE BISCUITS INDONESIA</v>
          </cell>
        </row>
      </sheetData>
      <sheetData sheetId="5469">
        <row r="7">
          <cell r="E7" t="str">
            <v>PT. DANONE BISCUITS INDONESIA</v>
          </cell>
        </row>
      </sheetData>
      <sheetData sheetId="5470">
        <row r="7">
          <cell r="E7" t="str">
            <v>PT. DANONE BISCUITS INDONESIA</v>
          </cell>
        </row>
      </sheetData>
      <sheetData sheetId="5471">
        <row r="7">
          <cell r="E7" t="str">
            <v>PT. DANONE BISCUITS INDONESIA</v>
          </cell>
        </row>
      </sheetData>
      <sheetData sheetId="5472">
        <row r="7">
          <cell r="E7" t="str">
            <v>PT. DANONE BISCUITS INDONESIA</v>
          </cell>
        </row>
      </sheetData>
      <sheetData sheetId="5473">
        <row r="7">
          <cell r="E7" t="str">
            <v>PT. DANONE BISCUITS INDONESIA</v>
          </cell>
        </row>
      </sheetData>
      <sheetData sheetId="5474">
        <row r="7">
          <cell r="E7" t="str">
            <v>PT. DANONE BISCUITS INDONESIA</v>
          </cell>
        </row>
      </sheetData>
      <sheetData sheetId="5475">
        <row r="7">
          <cell r="E7" t="str">
            <v>PT. DANONE BISCUITS INDONESIA</v>
          </cell>
        </row>
      </sheetData>
      <sheetData sheetId="5476">
        <row r="7">
          <cell r="E7" t="str">
            <v>PT. DANONE BISCUITS INDONESIA</v>
          </cell>
        </row>
      </sheetData>
      <sheetData sheetId="5477">
        <row r="7">
          <cell r="E7" t="str">
            <v>PT. DANONE BISCUITS INDONESIA</v>
          </cell>
        </row>
      </sheetData>
      <sheetData sheetId="5478">
        <row r="7">
          <cell r="E7" t="str">
            <v>PT. DANONE BISCUITS INDONESIA</v>
          </cell>
        </row>
      </sheetData>
      <sheetData sheetId="5479">
        <row r="7">
          <cell r="E7" t="str">
            <v>PT. DANONE BISCUITS INDONESIA</v>
          </cell>
        </row>
      </sheetData>
      <sheetData sheetId="5480">
        <row r="7">
          <cell r="E7" t="str">
            <v>PT. DANONE BISCUITS INDONESIA</v>
          </cell>
        </row>
      </sheetData>
      <sheetData sheetId="5481">
        <row r="7">
          <cell r="E7" t="str">
            <v>PT. DANONE BISCUITS INDONESIA</v>
          </cell>
        </row>
      </sheetData>
      <sheetData sheetId="5482">
        <row r="7">
          <cell r="E7" t="str">
            <v>PT. DANONE BISCUITS INDONESIA</v>
          </cell>
        </row>
      </sheetData>
      <sheetData sheetId="5483">
        <row r="7">
          <cell r="E7" t="str">
            <v>PT. DANONE BISCUITS INDONESIA</v>
          </cell>
        </row>
      </sheetData>
      <sheetData sheetId="5484">
        <row r="7">
          <cell r="E7" t="str">
            <v>PT. DANONE BISCUITS INDONESIA</v>
          </cell>
        </row>
      </sheetData>
      <sheetData sheetId="5485">
        <row r="7">
          <cell r="E7" t="str">
            <v>PT. DANONE BISCUITS INDONESIA</v>
          </cell>
        </row>
      </sheetData>
      <sheetData sheetId="5486">
        <row r="7">
          <cell r="E7" t="str">
            <v>PT. DANONE BISCUITS INDONESIA</v>
          </cell>
        </row>
      </sheetData>
      <sheetData sheetId="5487">
        <row r="7">
          <cell r="E7" t="str">
            <v>PT. DANONE BISCUITS INDONESIA</v>
          </cell>
        </row>
      </sheetData>
      <sheetData sheetId="5488">
        <row r="7">
          <cell r="E7" t="str">
            <v>PT. DANONE BISCUITS INDONESIA</v>
          </cell>
        </row>
      </sheetData>
      <sheetData sheetId="5489">
        <row r="7">
          <cell r="E7" t="str">
            <v>PT. DANONE BISCUITS INDONESIA</v>
          </cell>
        </row>
      </sheetData>
      <sheetData sheetId="5490">
        <row r="7">
          <cell r="E7" t="str">
            <v>PT. DANONE BISCUITS INDONESIA</v>
          </cell>
        </row>
      </sheetData>
      <sheetData sheetId="5491">
        <row r="7">
          <cell r="E7" t="str">
            <v>PT. DANONE BISCUITS INDONESIA</v>
          </cell>
        </row>
      </sheetData>
      <sheetData sheetId="5492">
        <row r="7">
          <cell r="E7" t="str">
            <v>PT. DANONE BISCUITS INDONESIA</v>
          </cell>
        </row>
      </sheetData>
      <sheetData sheetId="5493">
        <row r="7">
          <cell r="E7" t="str">
            <v>PT. DANONE BISCUITS INDONESIA</v>
          </cell>
        </row>
      </sheetData>
      <sheetData sheetId="5494">
        <row r="7">
          <cell r="E7" t="str">
            <v>PT. DANONE BISCUITS INDONESIA</v>
          </cell>
        </row>
      </sheetData>
      <sheetData sheetId="5495">
        <row r="7">
          <cell r="E7" t="str">
            <v>PT. DANONE BISCUITS INDONESIA</v>
          </cell>
        </row>
      </sheetData>
      <sheetData sheetId="5496">
        <row r="7">
          <cell r="E7" t="str">
            <v>PT. DANONE BISCUITS INDONESIA</v>
          </cell>
        </row>
      </sheetData>
      <sheetData sheetId="5497">
        <row r="7">
          <cell r="E7" t="str">
            <v>PT. DANONE BISCUITS INDONESIA</v>
          </cell>
        </row>
      </sheetData>
      <sheetData sheetId="5498">
        <row r="7">
          <cell r="E7" t="str">
            <v>PT. DANONE BISCUITS INDONESIA</v>
          </cell>
        </row>
      </sheetData>
      <sheetData sheetId="5499">
        <row r="7">
          <cell r="E7" t="str">
            <v>PT. DANONE BISCUITS INDONESIA</v>
          </cell>
        </row>
      </sheetData>
      <sheetData sheetId="5500">
        <row r="7">
          <cell r="E7" t="str">
            <v>PT. DANONE BISCUITS INDONESIA</v>
          </cell>
        </row>
      </sheetData>
      <sheetData sheetId="5501">
        <row r="7">
          <cell r="E7" t="str">
            <v>PT. DANONE BISCUITS INDONESIA</v>
          </cell>
        </row>
      </sheetData>
      <sheetData sheetId="5502">
        <row r="7">
          <cell r="E7" t="str">
            <v>PT. DANONE BISCUITS INDONESIA</v>
          </cell>
        </row>
      </sheetData>
      <sheetData sheetId="5503">
        <row r="7">
          <cell r="E7" t="str">
            <v>PT. DANONE BISCUITS INDONESIA</v>
          </cell>
        </row>
      </sheetData>
      <sheetData sheetId="5504">
        <row r="7">
          <cell r="E7" t="str">
            <v>PT. DANONE BISCUITS INDONESIA</v>
          </cell>
        </row>
      </sheetData>
      <sheetData sheetId="5505">
        <row r="7">
          <cell r="E7" t="str">
            <v>PT. DANONE BISCUITS INDONESIA</v>
          </cell>
        </row>
      </sheetData>
      <sheetData sheetId="5506">
        <row r="7">
          <cell r="E7" t="str">
            <v>PT. DANONE BISCUITS INDONESIA</v>
          </cell>
        </row>
      </sheetData>
      <sheetData sheetId="5507">
        <row r="7">
          <cell r="E7" t="str">
            <v>PT. DANONE BISCUITS INDONESIA</v>
          </cell>
        </row>
      </sheetData>
      <sheetData sheetId="5508">
        <row r="7">
          <cell r="E7" t="str">
            <v>PT. DANONE BISCUITS INDONESIA</v>
          </cell>
        </row>
      </sheetData>
      <sheetData sheetId="5509">
        <row r="7">
          <cell r="E7" t="str">
            <v>PT. DANONE BISCUITS INDONESIA</v>
          </cell>
        </row>
      </sheetData>
      <sheetData sheetId="5510">
        <row r="7">
          <cell r="E7" t="str">
            <v>PT. DANONE BISCUITS INDONESIA</v>
          </cell>
        </row>
      </sheetData>
      <sheetData sheetId="5511">
        <row r="7">
          <cell r="E7" t="str">
            <v>PT. DANONE BISCUITS INDONESIA</v>
          </cell>
        </row>
      </sheetData>
      <sheetData sheetId="5512">
        <row r="7">
          <cell r="E7" t="str">
            <v>PT. DANONE BISCUITS INDONESIA</v>
          </cell>
        </row>
      </sheetData>
      <sheetData sheetId="5513">
        <row r="7">
          <cell r="E7" t="str">
            <v>PT. DANONE BISCUITS INDONESIA</v>
          </cell>
        </row>
      </sheetData>
      <sheetData sheetId="5514">
        <row r="7">
          <cell r="E7" t="str">
            <v>PT. DANONE BISCUITS INDONESIA</v>
          </cell>
        </row>
      </sheetData>
      <sheetData sheetId="5515">
        <row r="7">
          <cell r="E7" t="str">
            <v>PT. DANONE BISCUITS INDONESIA</v>
          </cell>
        </row>
      </sheetData>
      <sheetData sheetId="5516">
        <row r="7">
          <cell r="E7" t="str">
            <v>PT. DANONE BISCUITS INDONESIA</v>
          </cell>
        </row>
      </sheetData>
      <sheetData sheetId="5517">
        <row r="7">
          <cell r="E7" t="str">
            <v>PT. DANONE BISCUITS INDONESIA</v>
          </cell>
        </row>
      </sheetData>
      <sheetData sheetId="5518">
        <row r="7">
          <cell r="E7" t="str">
            <v>PT. DANONE BISCUITS INDONESIA</v>
          </cell>
        </row>
      </sheetData>
      <sheetData sheetId="5519">
        <row r="7">
          <cell r="E7" t="str">
            <v>PT. DANONE BISCUITS INDONESIA</v>
          </cell>
        </row>
      </sheetData>
      <sheetData sheetId="5520">
        <row r="7">
          <cell r="E7" t="str">
            <v>PT. DANONE BISCUITS INDONESIA</v>
          </cell>
        </row>
      </sheetData>
      <sheetData sheetId="5521">
        <row r="7">
          <cell r="E7" t="str">
            <v>PT. DANONE BISCUITS INDONESIA</v>
          </cell>
        </row>
      </sheetData>
      <sheetData sheetId="5522">
        <row r="7">
          <cell r="E7" t="str">
            <v>PT. DANONE BISCUITS INDONESIA</v>
          </cell>
        </row>
      </sheetData>
      <sheetData sheetId="5523">
        <row r="7">
          <cell r="E7" t="str">
            <v>PT. DANONE BISCUITS INDONESIA</v>
          </cell>
        </row>
      </sheetData>
      <sheetData sheetId="5524">
        <row r="7">
          <cell r="E7" t="str">
            <v>PT. DANONE BISCUITS INDONESIA</v>
          </cell>
        </row>
      </sheetData>
      <sheetData sheetId="5525">
        <row r="7">
          <cell r="E7" t="str">
            <v>PT. DANONE BISCUITS INDONESIA</v>
          </cell>
        </row>
      </sheetData>
      <sheetData sheetId="5526">
        <row r="7">
          <cell r="E7" t="str">
            <v>PT. DANONE BISCUITS INDONESIA</v>
          </cell>
        </row>
      </sheetData>
      <sheetData sheetId="5527">
        <row r="7">
          <cell r="E7" t="str">
            <v>PT. DANONE BISCUITS INDONESIA</v>
          </cell>
        </row>
      </sheetData>
      <sheetData sheetId="5528">
        <row r="7">
          <cell r="E7" t="str">
            <v>PT. DANONE BISCUITS INDONESIA</v>
          </cell>
        </row>
      </sheetData>
      <sheetData sheetId="5529">
        <row r="7">
          <cell r="E7" t="str">
            <v>PT. DANONE BISCUITS INDONESIA</v>
          </cell>
        </row>
      </sheetData>
      <sheetData sheetId="5530">
        <row r="7">
          <cell r="E7" t="str">
            <v>PT. DANONE BISCUITS INDONESIA</v>
          </cell>
        </row>
      </sheetData>
      <sheetData sheetId="5531">
        <row r="7">
          <cell r="E7" t="str">
            <v>PT. DANONE BISCUITS INDONESIA</v>
          </cell>
        </row>
      </sheetData>
      <sheetData sheetId="5532">
        <row r="7">
          <cell r="E7" t="str">
            <v>PT. DANONE BISCUITS INDONESIA</v>
          </cell>
        </row>
      </sheetData>
      <sheetData sheetId="5533">
        <row r="7">
          <cell r="E7" t="str">
            <v>PT. DANONE BISCUITS INDONESIA</v>
          </cell>
        </row>
      </sheetData>
      <sheetData sheetId="5534">
        <row r="7">
          <cell r="E7" t="str">
            <v>PT. DANONE BISCUITS INDONESIA</v>
          </cell>
        </row>
      </sheetData>
      <sheetData sheetId="5535">
        <row r="7">
          <cell r="E7" t="str">
            <v>PT. DANONE BISCUITS INDONESIA</v>
          </cell>
        </row>
      </sheetData>
      <sheetData sheetId="5536">
        <row r="7">
          <cell r="E7" t="str">
            <v>PT. DANONE BISCUITS INDONESIA</v>
          </cell>
        </row>
      </sheetData>
      <sheetData sheetId="5537">
        <row r="7">
          <cell r="E7" t="str">
            <v>PT. DANONE BISCUITS INDONESIA</v>
          </cell>
        </row>
      </sheetData>
      <sheetData sheetId="5538">
        <row r="7">
          <cell r="E7" t="str">
            <v>PT. DANONE BISCUITS INDONESIA</v>
          </cell>
        </row>
      </sheetData>
      <sheetData sheetId="5539">
        <row r="7">
          <cell r="E7" t="str">
            <v>PT. DANONE BISCUITS INDONESIA</v>
          </cell>
        </row>
      </sheetData>
      <sheetData sheetId="5540">
        <row r="7">
          <cell r="E7" t="str">
            <v>PT. DANONE BISCUITS INDONESIA</v>
          </cell>
        </row>
      </sheetData>
      <sheetData sheetId="5541">
        <row r="7">
          <cell r="E7" t="str">
            <v>PT. DANONE BISCUITS INDONESIA</v>
          </cell>
        </row>
      </sheetData>
      <sheetData sheetId="5542">
        <row r="7">
          <cell r="E7" t="str">
            <v>PT. DANONE BISCUITS INDONESIA</v>
          </cell>
        </row>
      </sheetData>
      <sheetData sheetId="5543">
        <row r="7">
          <cell r="E7" t="str">
            <v>PT. DANONE BISCUITS INDONESIA</v>
          </cell>
        </row>
      </sheetData>
      <sheetData sheetId="5544">
        <row r="7">
          <cell r="E7" t="str">
            <v>PT. DANONE BISCUITS INDONESIA</v>
          </cell>
        </row>
      </sheetData>
      <sheetData sheetId="5545">
        <row r="7">
          <cell r="E7" t="str">
            <v>PT. DANONE BISCUITS INDONESIA</v>
          </cell>
        </row>
      </sheetData>
      <sheetData sheetId="5546">
        <row r="7">
          <cell r="E7" t="str">
            <v>PT. DANONE BISCUITS INDONESIA</v>
          </cell>
        </row>
      </sheetData>
      <sheetData sheetId="5547">
        <row r="7">
          <cell r="E7" t="str">
            <v>PT. DANONE BISCUITS INDONESIA</v>
          </cell>
        </row>
      </sheetData>
      <sheetData sheetId="5548">
        <row r="7">
          <cell r="E7" t="str">
            <v>PT. DANONE BISCUITS INDONESIA</v>
          </cell>
        </row>
      </sheetData>
      <sheetData sheetId="5549">
        <row r="7">
          <cell r="E7" t="str">
            <v>PT. DANONE BISCUITS INDONESIA</v>
          </cell>
        </row>
      </sheetData>
      <sheetData sheetId="5550">
        <row r="7">
          <cell r="E7" t="str">
            <v>PT. DANONE BISCUITS INDONESIA</v>
          </cell>
        </row>
      </sheetData>
      <sheetData sheetId="5551">
        <row r="7">
          <cell r="E7" t="str">
            <v>PT. DANONE BISCUITS INDONESIA</v>
          </cell>
        </row>
      </sheetData>
      <sheetData sheetId="5552">
        <row r="7">
          <cell r="E7" t="str">
            <v>PT. DANONE BISCUITS INDONESIA</v>
          </cell>
        </row>
      </sheetData>
      <sheetData sheetId="5553">
        <row r="7">
          <cell r="E7" t="str">
            <v>PT. DANONE BISCUITS INDONESIA</v>
          </cell>
        </row>
      </sheetData>
      <sheetData sheetId="5554">
        <row r="7">
          <cell r="E7" t="str">
            <v>PT. DANONE BISCUITS INDONESIA</v>
          </cell>
        </row>
      </sheetData>
      <sheetData sheetId="5555">
        <row r="7">
          <cell r="E7" t="str">
            <v>PT. DANONE BISCUITS INDONESIA</v>
          </cell>
        </row>
      </sheetData>
      <sheetData sheetId="5556">
        <row r="7">
          <cell r="E7" t="str">
            <v>PT. DANONE BISCUITS INDONESIA</v>
          </cell>
        </row>
      </sheetData>
      <sheetData sheetId="5557">
        <row r="7">
          <cell r="E7" t="str">
            <v>PT. DANONE BISCUITS INDONESIA</v>
          </cell>
        </row>
      </sheetData>
      <sheetData sheetId="5558">
        <row r="7">
          <cell r="E7" t="str">
            <v>PT. DANONE BISCUITS INDONESIA</v>
          </cell>
        </row>
      </sheetData>
      <sheetData sheetId="5559">
        <row r="7">
          <cell r="E7" t="str">
            <v>PT. DANONE BISCUITS INDONESIA</v>
          </cell>
        </row>
      </sheetData>
      <sheetData sheetId="5560">
        <row r="7">
          <cell r="E7" t="str">
            <v>PT. DANONE BISCUITS INDONESIA</v>
          </cell>
        </row>
      </sheetData>
      <sheetData sheetId="5561">
        <row r="7">
          <cell r="E7" t="str">
            <v>PT. DANONE BISCUITS INDONESIA</v>
          </cell>
        </row>
      </sheetData>
      <sheetData sheetId="5562">
        <row r="7">
          <cell r="E7" t="str">
            <v>PT. DANONE BISCUITS INDONESIA</v>
          </cell>
        </row>
      </sheetData>
      <sheetData sheetId="5563">
        <row r="7">
          <cell r="E7" t="str">
            <v>PT. DANONE BISCUITS INDONESIA</v>
          </cell>
        </row>
      </sheetData>
      <sheetData sheetId="5564">
        <row r="7">
          <cell r="E7" t="str">
            <v>PT. DANONE BISCUITS INDONESIA</v>
          </cell>
        </row>
      </sheetData>
      <sheetData sheetId="5565">
        <row r="7">
          <cell r="E7" t="str">
            <v>PT. DANONE BISCUITS INDONESIA</v>
          </cell>
        </row>
      </sheetData>
      <sheetData sheetId="5566">
        <row r="7">
          <cell r="E7" t="str">
            <v>PT. DANONE BISCUITS INDONESIA</v>
          </cell>
        </row>
      </sheetData>
      <sheetData sheetId="5567">
        <row r="7">
          <cell r="E7" t="str">
            <v>PT. DANONE BISCUITS INDONESIA</v>
          </cell>
        </row>
      </sheetData>
      <sheetData sheetId="5568">
        <row r="7">
          <cell r="E7" t="str">
            <v>PT. DANONE BISCUITS INDONESIA</v>
          </cell>
        </row>
      </sheetData>
      <sheetData sheetId="5569">
        <row r="7">
          <cell r="E7" t="str">
            <v>PT. DANONE BISCUITS INDONESIA</v>
          </cell>
        </row>
      </sheetData>
      <sheetData sheetId="5570">
        <row r="7">
          <cell r="E7" t="str">
            <v>PT. DANONE BISCUITS INDONESIA</v>
          </cell>
        </row>
      </sheetData>
      <sheetData sheetId="5571">
        <row r="7">
          <cell r="E7" t="str">
            <v>PT. DANONE BISCUITS INDONESIA</v>
          </cell>
        </row>
      </sheetData>
      <sheetData sheetId="5572">
        <row r="7">
          <cell r="E7" t="str">
            <v>PT. DANONE BISCUITS INDONESIA</v>
          </cell>
        </row>
      </sheetData>
      <sheetData sheetId="5573">
        <row r="7">
          <cell r="E7" t="str">
            <v>PT. DANONE BISCUITS INDONESIA</v>
          </cell>
        </row>
      </sheetData>
      <sheetData sheetId="5574">
        <row r="7">
          <cell r="E7" t="str">
            <v>PT. DANONE BISCUITS INDONESIA</v>
          </cell>
        </row>
      </sheetData>
      <sheetData sheetId="5575">
        <row r="7">
          <cell r="E7" t="str">
            <v>PT. DANONE BISCUITS INDONESIA</v>
          </cell>
        </row>
      </sheetData>
      <sheetData sheetId="5576">
        <row r="7">
          <cell r="E7" t="str">
            <v>PT. DANONE BISCUITS INDONESIA</v>
          </cell>
        </row>
      </sheetData>
      <sheetData sheetId="5577">
        <row r="7">
          <cell r="E7" t="str">
            <v>PT. DANONE BISCUITS INDONESIA</v>
          </cell>
        </row>
      </sheetData>
      <sheetData sheetId="5578">
        <row r="7">
          <cell r="E7" t="str">
            <v>PT. DANONE BISCUITS INDONESIA</v>
          </cell>
        </row>
      </sheetData>
      <sheetData sheetId="5579">
        <row r="7">
          <cell r="E7" t="str">
            <v>PT. DANONE BISCUITS INDONESIA</v>
          </cell>
        </row>
      </sheetData>
      <sheetData sheetId="5580">
        <row r="7">
          <cell r="E7" t="str">
            <v>PT. DANONE BISCUITS INDONESIA</v>
          </cell>
        </row>
      </sheetData>
      <sheetData sheetId="5581">
        <row r="7">
          <cell r="E7" t="str">
            <v>PT. DANONE BISCUITS INDONESIA</v>
          </cell>
        </row>
      </sheetData>
      <sheetData sheetId="5582">
        <row r="7">
          <cell r="E7" t="str">
            <v>PT. DANONE BISCUITS INDONESIA</v>
          </cell>
        </row>
      </sheetData>
      <sheetData sheetId="5583">
        <row r="7">
          <cell r="E7" t="str">
            <v>PT. DANONE BISCUITS INDONESIA</v>
          </cell>
        </row>
      </sheetData>
      <sheetData sheetId="5584">
        <row r="7">
          <cell r="E7" t="str">
            <v>PT. DANONE BISCUITS INDONESIA</v>
          </cell>
        </row>
      </sheetData>
      <sheetData sheetId="5585">
        <row r="7">
          <cell r="E7" t="str">
            <v>PT. DANONE BISCUITS INDONESIA</v>
          </cell>
        </row>
      </sheetData>
      <sheetData sheetId="5586">
        <row r="7">
          <cell r="E7" t="str">
            <v>PT. DANONE BISCUITS INDONESIA</v>
          </cell>
        </row>
      </sheetData>
      <sheetData sheetId="5587">
        <row r="7">
          <cell r="E7" t="str">
            <v>PT. DANONE BISCUITS INDONESIA</v>
          </cell>
        </row>
      </sheetData>
      <sheetData sheetId="5588">
        <row r="7">
          <cell r="E7" t="str">
            <v>PT. DANONE BISCUITS INDONESIA</v>
          </cell>
        </row>
      </sheetData>
      <sheetData sheetId="5589">
        <row r="7">
          <cell r="E7" t="str">
            <v>PT. DANONE BISCUITS INDONESIA</v>
          </cell>
        </row>
      </sheetData>
      <sheetData sheetId="5590">
        <row r="7">
          <cell r="E7" t="str">
            <v>PT. DANONE BISCUITS INDONESIA</v>
          </cell>
        </row>
      </sheetData>
      <sheetData sheetId="5591">
        <row r="7">
          <cell r="E7" t="str">
            <v>PT. DANONE BISCUITS INDONESIA</v>
          </cell>
        </row>
      </sheetData>
      <sheetData sheetId="5592">
        <row r="7">
          <cell r="E7" t="str">
            <v>PT. DANONE BISCUITS INDONESIA</v>
          </cell>
        </row>
      </sheetData>
      <sheetData sheetId="5593">
        <row r="7">
          <cell r="E7" t="str">
            <v>PT. DANONE BISCUITS INDONESIA</v>
          </cell>
        </row>
      </sheetData>
      <sheetData sheetId="5594">
        <row r="7">
          <cell r="E7" t="str">
            <v>PT. DANONE BISCUITS INDONESIA</v>
          </cell>
        </row>
      </sheetData>
      <sheetData sheetId="5595">
        <row r="7">
          <cell r="E7" t="str">
            <v>PT. DANONE BISCUITS INDONESIA</v>
          </cell>
        </row>
      </sheetData>
      <sheetData sheetId="5596">
        <row r="7">
          <cell r="E7" t="str">
            <v>PT. DANONE BISCUITS INDONESIA</v>
          </cell>
        </row>
      </sheetData>
      <sheetData sheetId="5597">
        <row r="7">
          <cell r="E7" t="str">
            <v>PT. DANONE BISCUITS INDONESIA</v>
          </cell>
        </row>
      </sheetData>
      <sheetData sheetId="5598">
        <row r="7">
          <cell r="E7" t="str">
            <v>PT. DANONE BISCUITS INDONESIA</v>
          </cell>
        </row>
      </sheetData>
      <sheetData sheetId="5599">
        <row r="7">
          <cell r="E7" t="str">
            <v>PT. DANONE BISCUITS INDONESIA</v>
          </cell>
        </row>
      </sheetData>
      <sheetData sheetId="5600">
        <row r="7">
          <cell r="E7" t="str">
            <v>PT. DANONE BISCUITS INDONESIA</v>
          </cell>
        </row>
      </sheetData>
      <sheetData sheetId="5601">
        <row r="7">
          <cell r="E7" t="str">
            <v>PT. DANONE BISCUITS INDONESIA</v>
          </cell>
        </row>
      </sheetData>
      <sheetData sheetId="5602">
        <row r="7">
          <cell r="E7" t="str">
            <v>PT. DANONE BISCUITS INDONESIA</v>
          </cell>
        </row>
      </sheetData>
      <sheetData sheetId="5603">
        <row r="7">
          <cell r="E7" t="str">
            <v>PT. DANONE BISCUITS INDONESIA</v>
          </cell>
        </row>
      </sheetData>
      <sheetData sheetId="5604">
        <row r="7">
          <cell r="E7" t="str">
            <v>PT. DANONE BISCUITS INDONESIA</v>
          </cell>
        </row>
      </sheetData>
      <sheetData sheetId="5605">
        <row r="7">
          <cell r="E7" t="str">
            <v>PT. DANONE BISCUITS INDONESIA</v>
          </cell>
        </row>
      </sheetData>
      <sheetData sheetId="5606">
        <row r="7">
          <cell r="E7" t="str">
            <v>PT. DANONE BISCUITS INDONESIA</v>
          </cell>
        </row>
      </sheetData>
      <sheetData sheetId="5607">
        <row r="7">
          <cell r="E7" t="str">
            <v>PT. DANONE BISCUITS INDONESIA</v>
          </cell>
        </row>
      </sheetData>
      <sheetData sheetId="5608">
        <row r="7">
          <cell r="E7" t="str">
            <v>PT. DANONE BISCUITS INDONESIA</v>
          </cell>
        </row>
      </sheetData>
      <sheetData sheetId="5609">
        <row r="7">
          <cell r="E7" t="str">
            <v>PT. DANONE BISCUITS INDONESIA</v>
          </cell>
        </row>
      </sheetData>
      <sheetData sheetId="5610">
        <row r="7">
          <cell r="E7" t="str">
            <v>PT. DANONE BISCUITS INDONESIA</v>
          </cell>
        </row>
      </sheetData>
      <sheetData sheetId="5611">
        <row r="7">
          <cell r="E7" t="str">
            <v>PT. DANONE BISCUITS INDONESIA</v>
          </cell>
        </row>
      </sheetData>
      <sheetData sheetId="5612">
        <row r="7">
          <cell r="E7" t="str">
            <v>PT. DANONE BISCUITS INDONESIA</v>
          </cell>
        </row>
      </sheetData>
      <sheetData sheetId="5613">
        <row r="7">
          <cell r="E7" t="str">
            <v>PT. DANONE BISCUITS INDONESIA</v>
          </cell>
        </row>
      </sheetData>
      <sheetData sheetId="5614">
        <row r="7">
          <cell r="E7" t="str">
            <v>PT. DANONE BISCUITS INDONESIA</v>
          </cell>
        </row>
      </sheetData>
      <sheetData sheetId="5615">
        <row r="7">
          <cell r="E7" t="str">
            <v>PT. DANONE BISCUITS INDONESIA</v>
          </cell>
        </row>
      </sheetData>
      <sheetData sheetId="5616">
        <row r="7">
          <cell r="E7" t="str">
            <v>PT. DANONE BISCUITS INDONESIA</v>
          </cell>
        </row>
      </sheetData>
      <sheetData sheetId="5617">
        <row r="7">
          <cell r="E7" t="str">
            <v>PT. DANONE BISCUITS INDONESIA</v>
          </cell>
        </row>
      </sheetData>
      <sheetData sheetId="5618">
        <row r="7">
          <cell r="E7" t="str">
            <v>PT. DANONE BISCUITS INDONESIA</v>
          </cell>
        </row>
      </sheetData>
      <sheetData sheetId="5619">
        <row r="7">
          <cell r="E7" t="str">
            <v>PT. DANONE BISCUITS INDONESIA</v>
          </cell>
        </row>
      </sheetData>
      <sheetData sheetId="5620">
        <row r="7">
          <cell r="E7" t="str">
            <v>PT. DANONE BISCUITS INDONESIA</v>
          </cell>
        </row>
      </sheetData>
      <sheetData sheetId="5621">
        <row r="7">
          <cell r="E7" t="str">
            <v>PT. DANONE BISCUITS INDONESIA</v>
          </cell>
        </row>
      </sheetData>
      <sheetData sheetId="5622">
        <row r="7">
          <cell r="E7" t="str">
            <v>PT. DANONE BISCUITS INDONESIA</v>
          </cell>
        </row>
      </sheetData>
      <sheetData sheetId="5623">
        <row r="7">
          <cell r="E7" t="str">
            <v>PT. DANONE BISCUITS INDONESIA</v>
          </cell>
        </row>
      </sheetData>
      <sheetData sheetId="5624">
        <row r="7">
          <cell r="E7" t="str">
            <v>PT. DANONE BISCUITS INDONESIA</v>
          </cell>
        </row>
      </sheetData>
      <sheetData sheetId="5625">
        <row r="7">
          <cell r="E7" t="str">
            <v>PT. DANONE BISCUITS INDONESIA</v>
          </cell>
        </row>
      </sheetData>
      <sheetData sheetId="5626">
        <row r="7">
          <cell r="E7" t="str">
            <v>PT. DANONE BISCUITS INDONESIA</v>
          </cell>
        </row>
      </sheetData>
      <sheetData sheetId="5627">
        <row r="7">
          <cell r="E7" t="str">
            <v>PT. DANONE BISCUITS INDONESIA</v>
          </cell>
        </row>
      </sheetData>
      <sheetData sheetId="5628">
        <row r="7">
          <cell r="E7" t="str">
            <v>PT. DANONE BISCUITS INDONESIA</v>
          </cell>
        </row>
      </sheetData>
      <sheetData sheetId="5629">
        <row r="7">
          <cell r="E7" t="str">
            <v>PT. DANONE BISCUITS INDONESIA</v>
          </cell>
        </row>
      </sheetData>
      <sheetData sheetId="5630">
        <row r="7">
          <cell r="E7" t="str">
            <v>PT. DANONE BISCUITS INDONESIA</v>
          </cell>
        </row>
      </sheetData>
      <sheetData sheetId="5631">
        <row r="7">
          <cell r="E7" t="str">
            <v>PT. DANONE BISCUITS INDONESIA</v>
          </cell>
        </row>
      </sheetData>
      <sheetData sheetId="5632">
        <row r="7">
          <cell r="E7" t="str">
            <v>PT. DANONE BISCUITS INDONESIA</v>
          </cell>
        </row>
      </sheetData>
      <sheetData sheetId="5633">
        <row r="7">
          <cell r="E7" t="str">
            <v>PT. DANONE BISCUITS INDONESIA</v>
          </cell>
        </row>
      </sheetData>
      <sheetData sheetId="5634">
        <row r="7">
          <cell r="E7" t="str">
            <v>PT. DANONE BISCUITS INDONESIA</v>
          </cell>
        </row>
      </sheetData>
      <sheetData sheetId="5635">
        <row r="7">
          <cell r="E7" t="str">
            <v>PT. DANONE BISCUITS INDONESIA</v>
          </cell>
        </row>
      </sheetData>
      <sheetData sheetId="5636">
        <row r="7">
          <cell r="E7" t="str">
            <v>PT. DANONE BISCUITS INDONESIA</v>
          </cell>
        </row>
      </sheetData>
      <sheetData sheetId="5637">
        <row r="7">
          <cell r="E7" t="str">
            <v>PT. DANONE BISCUITS INDONESIA</v>
          </cell>
        </row>
      </sheetData>
      <sheetData sheetId="5638">
        <row r="7">
          <cell r="E7" t="str">
            <v>PT. DANONE BISCUITS INDONESIA</v>
          </cell>
        </row>
      </sheetData>
      <sheetData sheetId="5639">
        <row r="7">
          <cell r="E7" t="str">
            <v>PT. DANONE BISCUITS INDONESIA</v>
          </cell>
        </row>
      </sheetData>
      <sheetData sheetId="5640">
        <row r="7">
          <cell r="E7" t="str">
            <v>PT. DANONE BISCUITS INDONESIA</v>
          </cell>
        </row>
      </sheetData>
      <sheetData sheetId="5641">
        <row r="7">
          <cell r="E7" t="str">
            <v>PT. DANONE BISCUITS INDONESIA</v>
          </cell>
        </row>
      </sheetData>
      <sheetData sheetId="5642">
        <row r="7">
          <cell r="E7" t="str">
            <v>PT. DANONE BISCUITS INDONESIA</v>
          </cell>
        </row>
      </sheetData>
      <sheetData sheetId="5643">
        <row r="7">
          <cell r="E7" t="str">
            <v>PT. DANONE BISCUITS INDONESIA</v>
          </cell>
        </row>
      </sheetData>
      <sheetData sheetId="5644">
        <row r="7">
          <cell r="E7" t="str">
            <v>PT. DANONE BISCUITS INDONESIA</v>
          </cell>
        </row>
      </sheetData>
      <sheetData sheetId="5645">
        <row r="7">
          <cell r="E7" t="str">
            <v>PT. DANONE BISCUITS INDONESIA</v>
          </cell>
        </row>
      </sheetData>
      <sheetData sheetId="5646">
        <row r="7">
          <cell r="E7" t="str">
            <v>PT. DANONE BISCUITS INDONESIA</v>
          </cell>
        </row>
      </sheetData>
      <sheetData sheetId="5647">
        <row r="7">
          <cell r="E7" t="str">
            <v>PT. DANONE BISCUITS INDONESIA</v>
          </cell>
        </row>
      </sheetData>
      <sheetData sheetId="5648">
        <row r="7">
          <cell r="E7" t="str">
            <v>PT. DANONE BISCUITS INDONESIA</v>
          </cell>
        </row>
      </sheetData>
      <sheetData sheetId="5649">
        <row r="7">
          <cell r="E7" t="str">
            <v>PT. DANONE BISCUITS INDONESIA</v>
          </cell>
        </row>
      </sheetData>
      <sheetData sheetId="5650">
        <row r="7">
          <cell r="E7" t="str">
            <v>PT. DANONE BISCUITS INDONESIA</v>
          </cell>
        </row>
      </sheetData>
      <sheetData sheetId="5651">
        <row r="7">
          <cell r="E7" t="str">
            <v>PT. DANONE BISCUITS INDONESIA</v>
          </cell>
        </row>
      </sheetData>
      <sheetData sheetId="5652">
        <row r="7">
          <cell r="E7" t="str">
            <v>PT. DANONE BISCUITS INDONESIA</v>
          </cell>
        </row>
      </sheetData>
      <sheetData sheetId="5653">
        <row r="7">
          <cell r="E7" t="str">
            <v>PT. DANONE BISCUITS INDONESIA</v>
          </cell>
        </row>
      </sheetData>
      <sheetData sheetId="5654">
        <row r="7">
          <cell r="E7" t="str">
            <v>PT. DANONE BISCUITS INDONESIA</v>
          </cell>
        </row>
      </sheetData>
      <sheetData sheetId="5655">
        <row r="7">
          <cell r="E7" t="str">
            <v>PT. DANONE BISCUITS INDONESIA</v>
          </cell>
        </row>
      </sheetData>
      <sheetData sheetId="5656">
        <row r="7">
          <cell r="E7" t="str">
            <v>PT. DANONE BISCUITS INDONESIA</v>
          </cell>
        </row>
      </sheetData>
      <sheetData sheetId="5657">
        <row r="7">
          <cell r="E7" t="str">
            <v>PT. DANONE BISCUITS INDONESIA</v>
          </cell>
        </row>
      </sheetData>
      <sheetData sheetId="5658">
        <row r="7">
          <cell r="E7" t="str">
            <v>PT. DANONE BISCUITS INDONESIA</v>
          </cell>
        </row>
      </sheetData>
      <sheetData sheetId="5659">
        <row r="7">
          <cell r="E7" t="str">
            <v>PT. DANONE BISCUITS INDONESIA</v>
          </cell>
        </row>
      </sheetData>
      <sheetData sheetId="5660">
        <row r="7">
          <cell r="E7" t="str">
            <v>PT. DANONE BISCUITS INDONESIA</v>
          </cell>
        </row>
      </sheetData>
      <sheetData sheetId="5661">
        <row r="7">
          <cell r="E7" t="str">
            <v>PT. DANONE BISCUITS INDONESIA</v>
          </cell>
        </row>
      </sheetData>
      <sheetData sheetId="5662">
        <row r="7">
          <cell r="E7" t="str">
            <v>PT. DANONE BISCUITS INDONESIA</v>
          </cell>
        </row>
      </sheetData>
      <sheetData sheetId="5663">
        <row r="7">
          <cell r="E7" t="str">
            <v>PT. DANONE BISCUITS INDONESIA</v>
          </cell>
        </row>
      </sheetData>
      <sheetData sheetId="5664">
        <row r="7">
          <cell r="E7" t="str">
            <v>PT. DANONE BISCUITS INDONESIA</v>
          </cell>
        </row>
      </sheetData>
      <sheetData sheetId="5665">
        <row r="7">
          <cell r="E7" t="str">
            <v>PT. DANONE BISCUITS INDONESIA</v>
          </cell>
        </row>
      </sheetData>
      <sheetData sheetId="5666">
        <row r="7">
          <cell r="E7" t="str">
            <v>PT. DANONE BISCUITS INDONESIA</v>
          </cell>
        </row>
      </sheetData>
      <sheetData sheetId="5667">
        <row r="7">
          <cell r="E7" t="str">
            <v>PT. DANONE BISCUITS INDONESIA</v>
          </cell>
        </row>
      </sheetData>
      <sheetData sheetId="5668">
        <row r="7">
          <cell r="E7" t="str">
            <v>PT. DANONE BISCUITS INDONESIA</v>
          </cell>
        </row>
      </sheetData>
      <sheetData sheetId="5669">
        <row r="7">
          <cell r="E7" t="str">
            <v>PT. DANONE BISCUITS INDONESIA</v>
          </cell>
        </row>
      </sheetData>
      <sheetData sheetId="5670">
        <row r="7">
          <cell r="E7" t="str">
            <v>PT. DANONE BISCUITS INDONESIA</v>
          </cell>
        </row>
      </sheetData>
      <sheetData sheetId="5671">
        <row r="7">
          <cell r="E7" t="str">
            <v>PT. DANONE BISCUITS INDONESIA</v>
          </cell>
        </row>
      </sheetData>
      <sheetData sheetId="5672">
        <row r="7">
          <cell r="E7" t="str">
            <v>PT. DANONE BISCUITS INDONESIA</v>
          </cell>
        </row>
      </sheetData>
      <sheetData sheetId="5673">
        <row r="7">
          <cell r="E7" t="str">
            <v>PT. DANONE BISCUITS INDONESIA</v>
          </cell>
        </row>
      </sheetData>
      <sheetData sheetId="5674">
        <row r="7">
          <cell r="E7" t="str">
            <v>PT. DANONE BISCUITS INDONESIA</v>
          </cell>
        </row>
      </sheetData>
      <sheetData sheetId="5675">
        <row r="7">
          <cell r="E7" t="str">
            <v>PT. DANONE BISCUITS INDONESIA</v>
          </cell>
        </row>
      </sheetData>
      <sheetData sheetId="5676">
        <row r="7">
          <cell r="E7" t="str">
            <v>PT. DANONE BISCUITS INDONESIA</v>
          </cell>
        </row>
      </sheetData>
      <sheetData sheetId="5677">
        <row r="7">
          <cell r="E7" t="str">
            <v>PT. DANONE BISCUITS INDONESIA</v>
          </cell>
        </row>
      </sheetData>
      <sheetData sheetId="5678">
        <row r="7">
          <cell r="E7" t="str">
            <v>PT. DANONE BISCUITS INDONESIA</v>
          </cell>
        </row>
      </sheetData>
      <sheetData sheetId="5679">
        <row r="7">
          <cell r="E7" t="str">
            <v>PT. DANONE BISCUITS INDONESIA</v>
          </cell>
        </row>
      </sheetData>
      <sheetData sheetId="5680">
        <row r="7">
          <cell r="E7" t="str">
            <v>PT. DANONE BISCUITS INDONESIA</v>
          </cell>
        </row>
      </sheetData>
      <sheetData sheetId="5681">
        <row r="7">
          <cell r="E7" t="str">
            <v>PT. DANONE BISCUITS INDONESIA</v>
          </cell>
        </row>
      </sheetData>
      <sheetData sheetId="5682">
        <row r="7">
          <cell r="E7" t="str">
            <v>PT. DANONE BISCUITS INDONESIA</v>
          </cell>
        </row>
      </sheetData>
      <sheetData sheetId="5683">
        <row r="7">
          <cell r="E7" t="str">
            <v>PT. DANONE BISCUITS INDONESIA</v>
          </cell>
        </row>
      </sheetData>
      <sheetData sheetId="5684">
        <row r="7">
          <cell r="E7" t="str">
            <v>PT. DANONE BISCUITS INDONESIA</v>
          </cell>
        </row>
      </sheetData>
      <sheetData sheetId="5685">
        <row r="7">
          <cell r="E7" t="str">
            <v>PT. DANONE BISCUITS INDONESIA</v>
          </cell>
        </row>
      </sheetData>
      <sheetData sheetId="5686">
        <row r="7">
          <cell r="E7" t="str">
            <v>PT. DANONE BISCUITS INDONESIA</v>
          </cell>
        </row>
      </sheetData>
      <sheetData sheetId="5687">
        <row r="7">
          <cell r="E7" t="str">
            <v>PT. DANONE BISCUITS INDONESIA</v>
          </cell>
        </row>
      </sheetData>
      <sheetData sheetId="5688">
        <row r="7">
          <cell r="E7" t="str">
            <v>PT. DANONE BISCUITS INDONESIA</v>
          </cell>
        </row>
      </sheetData>
      <sheetData sheetId="5689">
        <row r="7">
          <cell r="E7" t="str">
            <v>PT. DANONE BISCUITS INDONESIA</v>
          </cell>
        </row>
      </sheetData>
      <sheetData sheetId="5690">
        <row r="7">
          <cell r="E7" t="str">
            <v>PT. DANONE BISCUITS INDONESIA</v>
          </cell>
        </row>
      </sheetData>
      <sheetData sheetId="5691">
        <row r="7">
          <cell r="E7" t="str">
            <v>PT. DANONE BISCUITS INDONESIA</v>
          </cell>
        </row>
      </sheetData>
      <sheetData sheetId="5692">
        <row r="7">
          <cell r="E7" t="str">
            <v>PT. DANONE BISCUITS INDONESIA</v>
          </cell>
        </row>
      </sheetData>
      <sheetData sheetId="5693">
        <row r="7">
          <cell r="E7" t="str">
            <v>PT. DANONE BISCUITS INDONESIA</v>
          </cell>
        </row>
      </sheetData>
      <sheetData sheetId="5694">
        <row r="7">
          <cell r="E7" t="str">
            <v>PT. DANONE BISCUITS INDONESIA</v>
          </cell>
        </row>
      </sheetData>
      <sheetData sheetId="5695">
        <row r="7">
          <cell r="E7" t="str">
            <v>PT. DANONE BISCUITS INDONESIA</v>
          </cell>
        </row>
      </sheetData>
      <sheetData sheetId="5696">
        <row r="7">
          <cell r="E7" t="str">
            <v>PT. DANONE BISCUITS INDONESIA</v>
          </cell>
        </row>
      </sheetData>
      <sheetData sheetId="5697">
        <row r="7">
          <cell r="E7" t="str">
            <v>PT. DANONE BISCUITS INDONESIA</v>
          </cell>
        </row>
      </sheetData>
      <sheetData sheetId="5698">
        <row r="7">
          <cell r="E7" t="str">
            <v>PT. DANONE BISCUITS INDONESIA</v>
          </cell>
        </row>
      </sheetData>
      <sheetData sheetId="5699">
        <row r="7">
          <cell r="E7" t="str">
            <v>PT. DANONE BISCUITS INDONESIA</v>
          </cell>
        </row>
      </sheetData>
      <sheetData sheetId="5700">
        <row r="7">
          <cell r="E7" t="str">
            <v>PT. DANONE BISCUITS INDONESIA</v>
          </cell>
        </row>
      </sheetData>
      <sheetData sheetId="5701">
        <row r="7">
          <cell r="E7" t="str">
            <v>PT. DANONE BISCUITS INDONESIA</v>
          </cell>
        </row>
      </sheetData>
      <sheetData sheetId="5702">
        <row r="7">
          <cell r="E7" t="str">
            <v>PT. DANONE BISCUITS INDONESIA</v>
          </cell>
        </row>
      </sheetData>
      <sheetData sheetId="5703">
        <row r="7">
          <cell r="E7" t="str">
            <v>PT. DANONE BISCUITS INDONESIA</v>
          </cell>
        </row>
      </sheetData>
      <sheetData sheetId="5704">
        <row r="7">
          <cell r="E7" t="str">
            <v>PT. DANONE BISCUITS INDONESIA</v>
          </cell>
        </row>
      </sheetData>
      <sheetData sheetId="5705">
        <row r="7">
          <cell r="E7" t="str">
            <v>PT. DANONE BISCUITS INDONESIA</v>
          </cell>
        </row>
      </sheetData>
      <sheetData sheetId="5706">
        <row r="7">
          <cell r="E7" t="str">
            <v>PT. DANONE BISCUITS INDONESIA</v>
          </cell>
        </row>
      </sheetData>
      <sheetData sheetId="5707">
        <row r="7">
          <cell r="E7" t="str">
            <v>PT. DANONE BISCUITS INDONESIA</v>
          </cell>
        </row>
      </sheetData>
      <sheetData sheetId="5708">
        <row r="7">
          <cell r="E7" t="str">
            <v>PT. DANONE BISCUITS INDONESIA</v>
          </cell>
        </row>
      </sheetData>
      <sheetData sheetId="5709">
        <row r="7">
          <cell r="E7" t="str">
            <v>PT. DANONE BISCUITS INDONESIA</v>
          </cell>
        </row>
      </sheetData>
      <sheetData sheetId="5710">
        <row r="7">
          <cell r="E7" t="str">
            <v>PT. DANONE BISCUITS INDONESIA</v>
          </cell>
        </row>
      </sheetData>
      <sheetData sheetId="5711">
        <row r="7">
          <cell r="E7" t="str">
            <v>PT. DANONE BISCUITS INDONESIA</v>
          </cell>
        </row>
      </sheetData>
      <sheetData sheetId="5712">
        <row r="7">
          <cell r="E7" t="str">
            <v>PT. DANONE BISCUITS INDONESIA</v>
          </cell>
        </row>
      </sheetData>
      <sheetData sheetId="5713">
        <row r="7">
          <cell r="E7" t="str">
            <v>PT. DANONE BISCUITS INDONESIA</v>
          </cell>
        </row>
      </sheetData>
      <sheetData sheetId="5714">
        <row r="7">
          <cell r="E7" t="str">
            <v>PT. DANONE BISCUITS INDONESIA</v>
          </cell>
        </row>
      </sheetData>
      <sheetData sheetId="5715">
        <row r="7">
          <cell r="E7" t="str">
            <v>PT. DANONE BISCUITS INDONESIA</v>
          </cell>
        </row>
      </sheetData>
      <sheetData sheetId="5716">
        <row r="7">
          <cell r="E7" t="str">
            <v>PT. DANONE BISCUITS INDONESIA</v>
          </cell>
        </row>
      </sheetData>
      <sheetData sheetId="5717">
        <row r="7">
          <cell r="E7" t="str">
            <v>PT. DANONE BISCUITS INDONESIA</v>
          </cell>
        </row>
      </sheetData>
      <sheetData sheetId="5718">
        <row r="7">
          <cell r="E7" t="str">
            <v>PT. DANONE BISCUITS INDONESIA</v>
          </cell>
        </row>
      </sheetData>
      <sheetData sheetId="5719">
        <row r="7">
          <cell r="E7" t="str">
            <v>PT. DANONE BISCUITS INDONESIA</v>
          </cell>
        </row>
      </sheetData>
      <sheetData sheetId="5720">
        <row r="7">
          <cell r="E7" t="str">
            <v>PT. DANONE BISCUITS INDONESIA</v>
          </cell>
        </row>
      </sheetData>
      <sheetData sheetId="5721">
        <row r="7">
          <cell r="E7" t="str">
            <v>PT. DANONE BISCUITS INDONESIA</v>
          </cell>
        </row>
      </sheetData>
      <sheetData sheetId="5722">
        <row r="7">
          <cell r="E7" t="str">
            <v>PT. DANONE BISCUITS INDONESIA</v>
          </cell>
        </row>
      </sheetData>
      <sheetData sheetId="5723">
        <row r="7">
          <cell r="E7" t="str">
            <v>PT. DANONE BISCUITS INDONESIA</v>
          </cell>
        </row>
      </sheetData>
      <sheetData sheetId="5724">
        <row r="7">
          <cell r="E7" t="str">
            <v>PT. DANONE BISCUITS INDONESIA</v>
          </cell>
        </row>
      </sheetData>
      <sheetData sheetId="5725">
        <row r="7">
          <cell r="E7" t="str">
            <v>PT. DANONE BISCUITS INDONESIA</v>
          </cell>
        </row>
      </sheetData>
      <sheetData sheetId="5726">
        <row r="7">
          <cell r="E7" t="str">
            <v>PT. DANONE BISCUITS INDONESIA</v>
          </cell>
        </row>
      </sheetData>
      <sheetData sheetId="5727">
        <row r="7">
          <cell r="E7" t="str">
            <v>PT. DANONE BISCUITS INDONESIA</v>
          </cell>
        </row>
      </sheetData>
      <sheetData sheetId="5728">
        <row r="7">
          <cell r="E7" t="str">
            <v>PT. DANONE BISCUITS INDONESIA</v>
          </cell>
        </row>
      </sheetData>
      <sheetData sheetId="5729">
        <row r="7">
          <cell r="E7" t="str">
            <v>PT. DANONE BISCUITS INDONESIA</v>
          </cell>
        </row>
      </sheetData>
      <sheetData sheetId="5730">
        <row r="7">
          <cell r="E7" t="str">
            <v>PT. DANONE BISCUITS INDONESIA</v>
          </cell>
        </row>
      </sheetData>
      <sheetData sheetId="5731">
        <row r="7">
          <cell r="E7" t="str">
            <v>PT. DANONE BISCUITS INDONESIA</v>
          </cell>
        </row>
      </sheetData>
      <sheetData sheetId="5732">
        <row r="7">
          <cell r="E7" t="str">
            <v>PT. DANONE BISCUITS INDONESIA</v>
          </cell>
        </row>
      </sheetData>
      <sheetData sheetId="5733">
        <row r="7">
          <cell r="E7" t="str">
            <v>PT. DANONE BISCUITS INDONESIA</v>
          </cell>
        </row>
      </sheetData>
      <sheetData sheetId="5734">
        <row r="7">
          <cell r="E7" t="str">
            <v>PT. DANONE BISCUITS INDONESIA</v>
          </cell>
        </row>
      </sheetData>
      <sheetData sheetId="5735">
        <row r="7">
          <cell r="E7" t="str">
            <v>PT. DANONE BISCUITS INDONESIA</v>
          </cell>
        </row>
      </sheetData>
      <sheetData sheetId="5736">
        <row r="7">
          <cell r="E7" t="str">
            <v>PT. DANONE BISCUITS INDONESIA</v>
          </cell>
        </row>
      </sheetData>
      <sheetData sheetId="5737">
        <row r="7">
          <cell r="E7" t="str">
            <v>PT. DANONE BISCUITS INDONESIA</v>
          </cell>
        </row>
      </sheetData>
      <sheetData sheetId="5738">
        <row r="7">
          <cell r="E7" t="str">
            <v>PT. DANONE BISCUITS INDONESIA</v>
          </cell>
        </row>
      </sheetData>
      <sheetData sheetId="5739">
        <row r="7">
          <cell r="E7" t="str">
            <v>PT. DANONE BISCUITS INDONESIA</v>
          </cell>
        </row>
      </sheetData>
      <sheetData sheetId="5740">
        <row r="7">
          <cell r="E7" t="str">
            <v>PT. DANONE BISCUITS INDONESIA</v>
          </cell>
        </row>
      </sheetData>
      <sheetData sheetId="5741">
        <row r="7">
          <cell r="E7" t="str">
            <v>PT. DANONE BISCUITS INDONESIA</v>
          </cell>
        </row>
      </sheetData>
      <sheetData sheetId="5742">
        <row r="7">
          <cell r="E7" t="str">
            <v>PT. DANONE BISCUITS INDONESIA</v>
          </cell>
        </row>
      </sheetData>
      <sheetData sheetId="5743">
        <row r="7">
          <cell r="E7" t="str">
            <v>PT. DANONE BISCUITS INDONESIA</v>
          </cell>
        </row>
      </sheetData>
      <sheetData sheetId="5744">
        <row r="7">
          <cell r="E7" t="str">
            <v>PT. DANONE BISCUITS INDONESIA</v>
          </cell>
        </row>
      </sheetData>
      <sheetData sheetId="5745">
        <row r="7">
          <cell r="E7" t="str">
            <v>PT. DANONE BISCUITS INDONESIA</v>
          </cell>
        </row>
      </sheetData>
      <sheetData sheetId="5746">
        <row r="7">
          <cell r="E7" t="str">
            <v>PT. DANONE BISCUITS INDONESIA</v>
          </cell>
        </row>
      </sheetData>
      <sheetData sheetId="5747">
        <row r="7">
          <cell r="E7" t="str">
            <v>PT. DANONE BISCUITS INDONESIA</v>
          </cell>
        </row>
      </sheetData>
      <sheetData sheetId="5748">
        <row r="7">
          <cell r="E7" t="str">
            <v>PT. DANONE BISCUITS INDONESIA</v>
          </cell>
        </row>
      </sheetData>
      <sheetData sheetId="5749">
        <row r="7">
          <cell r="E7" t="str">
            <v>PT. DANONE BISCUITS INDONESIA</v>
          </cell>
        </row>
      </sheetData>
      <sheetData sheetId="5750">
        <row r="7">
          <cell r="E7" t="str">
            <v>PT. DANONE BISCUITS INDONESIA</v>
          </cell>
        </row>
      </sheetData>
      <sheetData sheetId="5751">
        <row r="7">
          <cell r="E7" t="str">
            <v>PT. DANONE BISCUITS INDONESIA</v>
          </cell>
        </row>
      </sheetData>
      <sheetData sheetId="5752">
        <row r="7">
          <cell r="E7" t="str">
            <v>PT. DANONE BISCUITS INDONESIA</v>
          </cell>
        </row>
      </sheetData>
      <sheetData sheetId="5753">
        <row r="7">
          <cell r="E7" t="str">
            <v>PT. DANONE BISCUITS INDONESIA</v>
          </cell>
        </row>
      </sheetData>
      <sheetData sheetId="5754">
        <row r="7">
          <cell r="E7" t="str">
            <v>PT. DANONE BISCUITS INDONESIA</v>
          </cell>
        </row>
      </sheetData>
      <sheetData sheetId="5755">
        <row r="7">
          <cell r="E7" t="str">
            <v>PT. DANONE BISCUITS INDONESIA</v>
          </cell>
        </row>
      </sheetData>
      <sheetData sheetId="5756">
        <row r="7">
          <cell r="E7" t="str">
            <v>PT. DANONE BISCUITS INDONESIA</v>
          </cell>
        </row>
      </sheetData>
      <sheetData sheetId="5757">
        <row r="7">
          <cell r="E7" t="str">
            <v>PT. DANONE BISCUITS INDONESIA</v>
          </cell>
        </row>
      </sheetData>
      <sheetData sheetId="5758">
        <row r="7">
          <cell r="E7" t="str">
            <v>PT. DANONE BISCUITS INDONESIA</v>
          </cell>
        </row>
      </sheetData>
      <sheetData sheetId="5759">
        <row r="7">
          <cell r="E7" t="str">
            <v>PT. DANONE BISCUITS INDONESIA</v>
          </cell>
        </row>
      </sheetData>
      <sheetData sheetId="5760">
        <row r="7">
          <cell r="E7" t="str">
            <v>PT. DANONE BISCUITS INDONESIA</v>
          </cell>
        </row>
      </sheetData>
      <sheetData sheetId="5761">
        <row r="7">
          <cell r="E7" t="str">
            <v>PT. DANONE BISCUITS INDONESIA</v>
          </cell>
        </row>
      </sheetData>
      <sheetData sheetId="5762">
        <row r="7">
          <cell r="E7" t="str">
            <v>PT. DANONE BISCUITS INDONESIA</v>
          </cell>
        </row>
      </sheetData>
      <sheetData sheetId="5763">
        <row r="7">
          <cell r="E7" t="str">
            <v>PT. DANONE BISCUITS INDONESIA</v>
          </cell>
        </row>
      </sheetData>
      <sheetData sheetId="5764">
        <row r="7">
          <cell r="E7" t="str">
            <v>PT. DANONE BISCUITS INDONESIA</v>
          </cell>
        </row>
      </sheetData>
      <sheetData sheetId="5765">
        <row r="7">
          <cell r="E7" t="str">
            <v>PT. DANONE BISCUITS INDONESIA</v>
          </cell>
        </row>
      </sheetData>
      <sheetData sheetId="5766">
        <row r="7">
          <cell r="E7" t="str">
            <v>PT. DANONE BISCUITS INDONESIA</v>
          </cell>
        </row>
      </sheetData>
      <sheetData sheetId="5767">
        <row r="7">
          <cell r="E7" t="str">
            <v>PT. DANONE BISCUITS INDONESIA</v>
          </cell>
        </row>
      </sheetData>
      <sheetData sheetId="5768">
        <row r="7">
          <cell r="E7" t="str">
            <v>PT. DANONE BISCUITS INDONESIA</v>
          </cell>
        </row>
      </sheetData>
      <sheetData sheetId="5769">
        <row r="7">
          <cell r="E7" t="str">
            <v>PT. DANONE BISCUITS INDONESIA</v>
          </cell>
        </row>
      </sheetData>
      <sheetData sheetId="5770">
        <row r="7">
          <cell r="E7" t="str">
            <v>PT. DANONE BISCUITS INDONESIA</v>
          </cell>
        </row>
      </sheetData>
      <sheetData sheetId="5771">
        <row r="7">
          <cell r="E7" t="str">
            <v>PT. DANONE BISCUITS INDONESIA</v>
          </cell>
        </row>
      </sheetData>
      <sheetData sheetId="5772">
        <row r="7">
          <cell r="E7" t="str">
            <v>PT. DANONE BISCUITS INDONESIA</v>
          </cell>
        </row>
      </sheetData>
      <sheetData sheetId="5773">
        <row r="7">
          <cell r="E7" t="str">
            <v>PT. DANONE BISCUITS INDONESIA</v>
          </cell>
        </row>
      </sheetData>
      <sheetData sheetId="5774">
        <row r="7">
          <cell r="E7" t="str">
            <v>PT. DANONE BISCUITS INDONESIA</v>
          </cell>
        </row>
      </sheetData>
      <sheetData sheetId="5775">
        <row r="7">
          <cell r="E7" t="str">
            <v>PT. DANONE BISCUITS INDONESIA</v>
          </cell>
        </row>
      </sheetData>
      <sheetData sheetId="5776">
        <row r="7">
          <cell r="E7" t="str">
            <v>PT. DANONE BISCUITS INDONESIA</v>
          </cell>
        </row>
      </sheetData>
      <sheetData sheetId="5777">
        <row r="7">
          <cell r="E7" t="str">
            <v>PT. DANONE BISCUITS INDONESIA</v>
          </cell>
        </row>
      </sheetData>
      <sheetData sheetId="5778">
        <row r="7">
          <cell r="E7" t="str">
            <v>PT. DANONE BISCUITS INDONESIA</v>
          </cell>
        </row>
      </sheetData>
      <sheetData sheetId="5779">
        <row r="7">
          <cell r="E7" t="str">
            <v>PT. DANONE BISCUITS INDONESIA</v>
          </cell>
        </row>
      </sheetData>
      <sheetData sheetId="5780">
        <row r="7">
          <cell r="E7" t="str">
            <v>PT. DANONE BISCUITS INDONESIA</v>
          </cell>
        </row>
      </sheetData>
      <sheetData sheetId="5781">
        <row r="7">
          <cell r="E7" t="str">
            <v>PT. DANONE BISCUITS INDONESIA</v>
          </cell>
        </row>
      </sheetData>
      <sheetData sheetId="5782">
        <row r="7">
          <cell r="E7" t="str">
            <v>PT. DANONE BISCUITS INDONESIA</v>
          </cell>
        </row>
      </sheetData>
      <sheetData sheetId="5783">
        <row r="7">
          <cell r="E7" t="str">
            <v>PT. DANONE BISCUITS INDONESIA</v>
          </cell>
        </row>
      </sheetData>
      <sheetData sheetId="5784">
        <row r="7">
          <cell r="E7" t="str">
            <v>PT. DANONE BISCUITS INDONESIA</v>
          </cell>
        </row>
      </sheetData>
      <sheetData sheetId="5785">
        <row r="7">
          <cell r="E7" t="str">
            <v>PT. DANONE BISCUITS INDONESIA</v>
          </cell>
        </row>
      </sheetData>
      <sheetData sheetId="5786">
        <row r="7">
          <cell r="E7" t="str">
            <v>PT. DANONE BISCUITS INDONESIA</v>
          </cell>
        </row>
      </sheetData>
      <sheetData sheetId="5787">
        <row r="7">
          <cell r="E7" t="str">
            <v>PT. DANONE BISCUITS INDONESIA</v>
          </cell>
        </row>
      </sheetData>
      <sheetData sheetId="5788">
        <row r="7">
          <cell r="E7" t="str">
            <v>PT. DANONE BISCUITS INDONESIA</v>
          </cell>
        </row>
      </sheetData>
      <sheetData sheetId="5789">
        <row r="7">
          <cell r="E7" t="str">
            <v>PT. DANONE BISCUITS INDONESIA</v>
          </cell>
        </row>
      </sheetData>
      <sheetData sheetId="5790">
        <row r="7">
          <cell r="E7" t="str">
            <v>PT. DANONE BISCUITS INDONESIA</v>
          </cell>
        </row>
      </sheetData>
      <sheetData sheetId="5791">
        <row r="7">
          <cell r="E7" t="str">
            <v>PT. DANONE BISCUITS INDONESIA</v>
          </cell>
        </row>
      </sheetData>
      <sheetData sheetId="5792">
        <row r="7">
          <cell r="E7" t="str">
            <v>PT. DANONE BISCUITS INDONESIA</v>
          </cell>
        </row>
      </sheetData>
      <sheetData sheetId="5793">
        <row r="7">
          <cell r="E7" t="str">
            <v>PT. DANONE BISCUITS INDONESIA</v>
          </cell>
        </row>
      </sheetData>
      <sheetData sheetId="5794">
        <row r="7">
          <cell r="E7" t="str">
            <v>PT. DANONE BISCUITS INDONESIA</v>
          </cell>
        </row>
      </sheetData>
      <sheetData sheetId="5795">
        <row r="7">
          <cell r="E7" t="str">
            <v>PT. DANONE BISCUITS INDONESIA</v>
          </cell>
        </row>
      </sheetData>
      <sheetData sheetId="5796">
        <row r="7">
          <cell r="E7" t="str">
            <v>PT. DANONE BISCUITS INDONESIA</v>
          </cell>
        </row>
      </sheetData>
      <sheetData sheetId="5797">
        <row r="7">
          <cell r="E7" t="str">
            <v>PT. DANONE BISCUITS INDONESIA</v>
          </cell>
        </row>
      </sheetData>
      <sheetData sheetId="5798">
        <row r="7">
          <cell r="E7" t="str">
            <v>PT. DANONE BISCUITS INDONESIA</v>
          </cell>
        </row>
      </sheetData>
      <sheetData sheetId="5799">
        <row r="7">
          <cell r="E7" t="str">
            <v>PT. DANONE BISCUITS INDONESIA</v>
          </cell>
        </row>
      </sheetData>
      <sheetData sheetId="5800">
        <row r="7">
          <cell r="E7" t="str">
            <v>PT. DANONE BISCUITS INDONESIA</v>
          </cell>
        </row>
      </sheetData>
      <sheetData sheetId="5801">
        <row r="7">
          <cell r="E7" t="str">
            <v>PT. DANONE BISCUITS INDONESIA</v>
          </cell>
        </row>
      </sheetData>
      <sheetData sheetId="5802">
        <row r="7">
          <cell r="E7" t="str">
            <v>PT. DANONE BISCUITS INDONESIA</v>
          </cell>
        </row>
      </sheetData>
      <sheetData sheetId="5803">
        <row r="7">
          <cell r="E7" t="str">
            <v>PT. DANONE BISCUITS INDONESIA</v>
          </cell>
        </row>
      </sheetData>
      <sheetData sheetId="5804">
        <row r="7">
          <cell r="E7" t="str">
            <v>PT. DANONE BISCUITS INDONESIA</v>
          </cell>
        </row>
      </sheetData>
      <sheetData sheetId="5805">
        <row r="7">
          <cell r="E7" t="str">
            <v>PT. DANONE BISCUITS INDONESIA</v>
          </cell>
        </row>
      </sheetData>
      <sheetData sheetId="5806">
        <row r="7">
          <cell r="E7" t="str">
            <v>PT. DANONE BISCUITS INDONESIA</v>
          </cell>
        </row>
      </sheetData>
      <sheetData sheetId="5807">
        <row r="7">
          <cell r="E7" t="str">
            <v>PT. DANONE BISCUITS INDONESIA</v>
          </cell>
        </row>
      </sheetData>
      <sheetData sheetId="5808">
        <row r="7">
          <cell r="E7" t="str">
            <v>PT. DANONE BISCUITS INDONESIA</v>
          </cell>
        </row>
      </sheetData>
      <sheetData sheetId="5809">
        <row r="7">
          <cell r="E7" t="str">
            <v>PT. DANONE BISCUITS INDONESIA</v>
          </cell>
        </row>
      </sheetData>
      <sheetData sheetId="5810">
        <row r="7">
          <cell r="E7" t="str">
            <v>PT. DANONE BISCUITS INDONESIA</v>
          </cell>
        </row>
      </sheetData>
      <sheetData sheetId="5811">
        <row r="7">
          <cell r="E7" t="str">
            <v>PT. DANONE BISCUITS INDONESIA</v>
          </cell>
        </row>
      </sheetData>
      <sheetData sheetId="5812">
        <row r="7">
          <cell r="E7" t="str">
            <v>PT. DANONE BISCUITS INDONESIA</v>
          </cell>
        </row>
      </sheetData>
      <sheetData sheetId="5813">
        <row r="7">
          <cell r="E7" t="str">
            <v>PT. DANONE BISCUITS INDONESIA</v>
          </cell>
        </row>
      </sheetData>
      <sheetData sheetId="5814">
        <row r="7">
          <cell r="E7" t="str">
            <v>PT. DANONE BISCUITS INDONESIA</v>
          </cell>
        </row>
      </sheetData>
      <sheetData sheetId="5815">
        <row r="7">
          <cell r="E7" t="str">
            <v>PT. DANONE BISCUITS INDONESIA</v>
          </cell>
        </row>
      </sheetData>
      <sheetData sheetId="5816">
        <row r="7">
          <cell r="E7" t="str">
            <v>PT. DANONE BISCUITS INDONESIA</v>
          </cell>
        </row>
      </sheetData>
      <sheetData sheetId="5817">
        <row r="7">
          <cell r="E7" t="str">
            <v>PT. DANONE BISCUITS INDONESIA</v>
          </cell>
        </row>
      </sheetData>
      <sheetData sheetId="5818">
        <row r="7">
          <cell r="E7" t="str">
            <v>PT. DANONE BISCUITS INDONESIA</v>
          </cell>
        </row>
      </sheetData>
      <sheetData sheetId="5819">
        <row r="7">
          <cell r="E7" t="str">
            <v>PT. DANONE BISCUITS INDONESIA</v>
          </cell>
        </row>
      </sheetData>
      <sheetData sheetId="5820">
        <row r="7">
          <cell r="E7" t="str">
            <v>PT. DANONE BISCUITS INDONESIA</v>
          </cell>
        </row>
      </sheetData>
      <sheetData sheetId="5821">
        <row r="7">
          <cell r="E7" t="str">
            <v>PT. DANONE BISCUITS INDONESIA</v>
          </cell>
        </row>
      </sheetData>
      <sheetData sheetId="5822">
        <row r="7">
          <cell r="E7" t="str">
            <v>PT. DANONE BISCUITS INDONESIA</v>
          </cell>
        </row>
      </sheetData>
      <sheetData sheetId="5823">
        <row r="7">
          <cell r="E7" t="str">
            <v>PT. DANONE BISCUITS INDONESIA</v>
          </cell>
        </row>
      </sheetData>
      <sheetData sheetId="5824">
        <row r="7">
          <cell r="E7" t="str">
            <v>PT. DANONE BISCUITS INDONESIA</v>
          </cell>
        </row>
      </sheetData>
      <sheetData sheetId="5825">
        <row r="7">
          <cell r="E7" t="str">
            <v>PT. DANONE BISCUITS INDONESIA</v>
          </cell>
        </row>
      </sheetData>
      <sheetData sheetId="5826">
        <row r="7">
          <cell r="E7" t="str">
            <v>PT. DANONE BISCUITS INDONESIA</v>
          </cell>
        </row>
      </sheetData>
      <sheetData sheetId="5827">
        <row r="7">
          <cell r="E7" t="str">
            <v>PT. DANONE BISCUITS INDONESIA</v>
          </cell>
        </row>
      </sheetData>
      <sheetData sheetId="5828">
        <row r="7">
          <cell r="E7" t="str">
            <v>PT. DANONE BISCUITS INDONESIA</v>
          </cell>
        </row>
      </sheetData>
      <sheetData sheetId="5829">
        <row r="7">
          <cell r="E7" t="str">
            <v>PT. DANONE BISCUITS INDONESIA</v>
          </cell>
        </row>
      </sheetData>
      <sheetData sheetId="5830">
        <row r="7">
          <cell r="E7" t="str">
            <v>PT. DANONE BISCUITS INDONESIA</v>
          </cell>
        </row>
      </sheetData>
      <sheetData sheetId="5831">
        <row r="7">
          <cell r="E7" t="str">
            <v>PT. DANONE BISCUITS INDONESIA</v>
          </cell>
        </row>
      </sheetData>
      <sheetData sheetId="5832">
        <row r="7">
          <cell r="E7" t="str">
            <v>PT. DANONE BISCUITS INDONESIA</v>
          </cell>
        </row>
      </sheetData>
      <sheetData sheetId="5833">
        <row r="7">
          <cell r="E7" t="str">
            <v>PT. DANONE BISCUITS INDONESIA</v>
          </cell>
        </row>
      </sheetData>
      <sheetData sheetId="5834">
        <row r="7">
          <cell r="E7" t="str">
            <v>PT. DANONE BISCUITS INDONESIA</v>
          </cell>
        </row>
      </sheetData>
      <sheetData sheetId="5835">
        <row r="7">
          <cell r="E7" t="str">
            <v>PT. DANONE BISCUITS INDONESIA</v>
          </cell>
        </row>
      </sheetData>
      <sheetData sheetId="5836">
        <row r="7">
          <cell r="E7" t="str">
            <v>PT. DANONE BISCUITS INDONESIA</v>
          </cell>
        </row>
      </sheetData>
      <sheetData sheetId="5837">
        <row r="7">
          <cell r="E7" t="str">
            <v>PT. DANONE BISCUITS INDONESIA</v>
          </cell>
        </row>
      </sheetData>
      <sheetData sheetId="5838">
        <row r="7">
          <cell r="E7" t="str">
            <v>PT. DANONE BISCUITS INDONESIA</v>
          </cell>
        </row>
      </sheetData>
      <sheetData sheetId="5839">
        <row r="7">
          <cell r="E7" t="str">
            <v>PT. DANONE BISCUITS INDONESIA</v>
          </cell>
        </row>
      </sheetData>
      <sheetData sheetId="5840">
        <row r="7">
          <cell r="E7" t="str">
            <v>PT. DANONE BISCUITS INDONESIA</v>
          </cell>
        </row>
      </sheetData>
      <sheetData sheetId="5841">
        <row r="7">
          <cell r="E7" t="str">
            <v>PT. DANONE BISCUITS INDONESIA</v>
          </cell>
        </row>
      </sheetData>
      <sheetData sheetId="5842">
        <row r="7">
          <cell r="E7" t="str">
            <v>PT. DANONE BISCUITS INDONESIA</v>
          </cell>
        </row>
      </sheetData>
      <sheetData sheetId="5843">
        <row r="7">
          <cell r="E7" t="str">
            <v>PT. DANONE BISCUITS INDONESIA</v>
          </cell>
        </row>
      </sheetData>
      <sheetData sheetId="5844">
        <row r="7">
          <cell r="E7" t="str">
            <v>PT. DANONE BISCUITS INDONESIA</v>
          </cell>
        </row>
      </sheetData>
      <sheetData sheetId="5845">
        <row r="7">
          <cell r="E7" t="str">
            <v>PT. DANONE BISCUITS INDONESIA</v>
          </cell>
        </row>
      </sheetData>
      <sheetData sheetId="5846">
        <row r="7">
          <cell r="E7" t="str">
            <v>PT. DANONE BISCUITS INDONESIA</v>
          </cell>
        </row>
      </sheetData>
      <sheetData sheetId="5847">
        <row r="7">
          <cell r="E7" t="str">
            <v>PT. DANONE BISCUITS INDONESIA</v>
          </cell>
        </row>
      </sheetData>
      <sheetData sheetId="5848">
        <row r="7">
          <cell r="E7" t="str">
            <v>PT. DANONE BISCUITS INDONESIA</v>
          </cell>
        </row>
      </sheetData>
      <sheetData sheetId="5849">
        <row r="7">
          <cell r="E7" t="str">
            <v>PT. DANONE BISCUITS INDONESIA</v>
          </cell>
        </row>
      </sheetData>
      <sheetData sheetId="5850">
        <row r="7">
          <cell r="E7" t="str">
            <v>PT. DANONE BISCUITS INDONESIA</v>
          </cell>
        </row>
      </sheetData>
      <sheetData sheetId="5851">
        <row r="7">
          <cell r="E7" t="str">
            <v>PT. DANONE BISCUITS INDONESIA</v>
          </cell>
        </row>
      </sheetData>
      <sheetData sheetId="5852">
        <row r="7">
          <cell r="E7" t="str">
            <v>PT. DANONE BISCUITS INDONESIA</v>
          </cell>
        </row>
      </sheetData>
      <sheetData sheetId="5853">
        <row r="7">
          <cell r="E7" t="str">
            <v>PT. DANONE BISCUITS INDONESIA</v>
          </cell>
        </row>
      </sheetData>
      <sheetData sheetId="5854">
        <row r="7">
          <cell r="E7" t="str">
            <v>PT. DANONE BISCUITS INDONESIA</v>
          </cell>
        </row>
      </sheetData>
      <sheetData sheetId="5855">
        <row r="7">
          <cell r="E7" t="str">
            <v>PT. DANONE BISCUITS INDONESIA</v>
          </cell>
        </row>
      </sheetData>
      <sheetData sheetId="5856">
        <row r="7">
          <cell r="E7" t="str">
            <v>PT. DANONE BISCUITS INDONESIA</v>
          </cell>
        </row>
      </sheetData>
      <sheetData sheetId="5857">
        <row r="7">
          <cell r="E7" t="str">
            <v>PT. DANONE BISCUITS INDONESIA</v>
          </cell>
        </row>
      </sheetData>
      <sheetData sheetId="5858">
        <row r="7">
          <cell r="E7" t="str">
            <v>PT. DANONE BISCUITS INDONESIA</v>
          </cell>
        </row>
      </sheetData>
      <sheetData sheetId="5859">
        <row r="7">
          <cell r="E7" t="str">
            <v>PT. DANONE BISCUITS INDONESIA</v>
          </cell>
        </row>
      </sheetData>
      <sheetData sheetId="5860">
        <row r="7">
          <cell r="E7" t="str">
            <v>PT. DANONE BISCUITS INDONESIA</v>
          </cell>
        </row>
      </sheetData>
      <sheetData sheetId="5861">
        <row r="7">
          <cell r="E7" t="str">
            <v>PT. DANONE BISCUITS INDONESIA</v>
          </cell>
        </row>
      </sheetData>
      <sheetData sheetId="5862">
        <row r="7">
          <cell r="E7" t="str">
            <v>PT. DANONE BISCUITS INDONESIA</v>
          </cell>
        </row>
      </sheetData>
      <sheetData sheetId="5863">
        <row r="7">
          <cell r="E7" t="str">
            <v>PT. DANONE BISCUITS INDONESIA</v>
          </cell>
        </row>
      </sheetData>
      <sheetData sheetId="5864">
        <row r="7">
          <cell r="E7" t="str">
            <v>PT. DANONE BISCUITS INDONESIA</v>
          </cell>
        </row>
      </sheetData>
      <sheetData sheetId="5865">
        <row r="7">
          <cell r="E7" t="str">
            <v>PT. DANONE BISCUITS INDONESIA</v>
          </cell>
        </row>
      </sheetData>
      <sheetData sheetId="5866">
        <row r="7">
          <cell r="E7" t="str">
            <v>PT. DANONE BISCUITS INDONESIA</v>
          </cell>
        </row>
      </sheetData>
      <sheetData sheetId="5867">
        <row r="7">
          <cell r="E7" t="str">
            <v>PT. DANONE BISCUITS INDONESIA</v>
          </cell>
        </row>
      </sheetData>
      <sheetData sheetId="5868">
        <row r="7">
          <cell r="E7" t="str">
            <v>PT. DANONE BISCUITS INDONESIA</v>
          </cell>
        </row>
      </sheetData>
      <sheetData sheetId="5869">
        <row r="7">
          <cell r="E7" t="str">
            <v>PT. DANONE BISCUITS INDONESIA</v>
          </cell>
        </row>
      </sheetData>
      <sheetData sheetId="5870">
        <row r="7">
          <cell r="E7" t="str">
            <v>PT. DANONE BISCUITS INDONESIA</v>
          </cell>
        </row>
      </sheetData>
      <sheetData sheetId="5871">
        <row r="7">
          <cell r="E7" t="str">
            <v>PT. DANONE BISCUITS INDONESIA</v>
          </cell>
        </row>
      </sheetData>
      <sheetData sheetId="5872">
        <row r="7">
          <cell r="E7" t="str">
            <v>PT. DANONE BISCUITS INDONESIA</v>
          </cell>
        </row>
      </sheetData>
      <sheetData sheetId="5873">
        <row r="7">
          <cell r="E7" t="str">
            <v>PT. DANONE BISCUITS INDONESIA</v>
          </cell>
        </row>
      </sheetData>
      <sheetData sheetId="5874">
        <row r="7">
          <cell r="E7" t="str">
            <v>PT. DANONE BISCUITS INDONESIA</v>
          </cell>
        </row>
      </sheetData>
      <sheetData sheetId="5875">
        <row r="7">
          <cell r="E7" t="str">
            <v>PT. DANONE BISCUITS INDONESIA</v>
          </cell>
        </row>
      </sheetData>
      <sheetData sheetId="5876">
        <row r="7">
          <cell r="E7" t="str">
            <v>PT. DANONE BISCUITS INDONESIA</v>
          </cell>
        </row>
      </sheetData>
      <sheetData sheetId="5877">
        <row r="7">
          <cell r="E7" t="str">
            <v>PT. DANONE BISCUITS INDONESIA</v>
          </cell>
        </row>
      </sheetData>
      <sheetData sheetId="5878">
        <row r="7">
          <cell r="E7" t="str">
            <v>PT. DANONE BISCUITS INDONESIA</v>
          </cell>
        </row>
      </sheetData>
      <sheetData sheetId="5879">
        <row r="7">
          <cell r="E7" t="str">
            <v>PT. DANONE BISCUITS INDONESIA</v>
          </cell>
        </row>
      </sheetData>
      <sheetData sheetId="5880">
        <row r="7">
          <cell r="E7" t="str">
            <v>PT. DANONE BISCUITS INDONESIA</v>
          </cell>
        </row>
      </sheetData>
      <sheetData sheetId="5881">
        <row r="7">
          <cell r="E7" t="str">
            <v>PT. DANONE BISCUITS INDONESIA</v>
          </cell>
        </row>
      </sheetData>
      <sheetData sheetId="5882">
        <row r="7">
          <cell r="E7" t="str">
            <v>PT. DANONE BISCUITS INDONESIA</v>
          </cell>
        </row>
      </sheetData>
      <sheetData sheetId="5883">
        <row r="7">
          <cell r="E7" t="str">
            <v>PT. DANONE BISCUITS INDONESIA</v>
          </cell>
        </row>
      </sheetData>
      <sheetData sheetId="5884">
        <row r="7">
          <cell r="E7" t="str">
            <v>PT. DANONE BISCUITS INDONESIA</v>
          </cell>
        </row>
      </sheetData>
      <sheetData sheetId="5885">
        <row r="7">
          <cell r="E7" t="str">
            <v>PT. DANONE BISCUITS INDONESIA</v>
          </cell>
        </row>
      </sheetData>
      <sheetData sheetId="5886">
        <row r="7">
          <cell r="E7" t="str">
            <v>PT. DANONE BISCUITS INDONESIA</v>
          </cell>
        </row>
      </sheetData>
      <sheetData sheetId="5887">
        <row r="7">
          <cell r="E7" t="str">
            <v>PT. DANONE BISCUITS INDONESIA</v>
          </cell>
        </row>
      </sheetData>
      <sheetData sheetId="5888">
        <row r="7">
          <cell r="E7" t="str">
            <v>PT. DANONE BISCUITS INDONESIA</v>
          </cell>
        </row>
      </sheetData>
      <sheetData sheetId="5889">
        <row r="7">
          <cell r="E7" t="str">
            <v>PT. DANONE BISCUITS INDONESIA</v>
          </cell>
        </row>
      </sheetData>
      <sheetData sheetId="5890">
        <row r="7">
          <cell r="E7" t="str">
            <v>PT. DANONE BISCUITS INDONESIA</v>
          </cell>
        </row>
      </sheetData>
      <sheetData sheetId="5891">
        <row r="7">
          <cell r="E7" t="str">
            <v>PT. DANONE BISCUITS INDONESIA</v>
          </cell>
        </row>
      </sheetData>
      <sheetData sheetId="5892">
        <row r="7">
          <cell r="E7" t="str">
            <v>PT. DANONE BISCUITS INDONESIA</v>
          </cell>
        </row>
      </sheetData>
      <sheetData sheetId="5893">
        <row r="7">
          <cell r="E7" t="str">
            <v>PT. DANONE BISCUITS INDONESIA</v>
          </cell>
        </row>
      </sheetData>
      <sheetData sheetId="5894">
        <row r="7">
          <cell r="E7" t="str">
            <v>PT. DANONE BISCUITS INDONESIA</v>
          </cell>
        </row>
      </sheetData>
      <sheetData sheetId="5895">
        <row r="7">
          <cell r="E7" t="str">
            <v>PT. DANONE BISCUITS INDONESIA</v>
          </cell>
        </row>
      </sheetData>
      <sheetData sheetId="5896">
        <row r="7">
          <cell r="E7" t="str">
            <v>PT. DANONE BISCUITS INDONESIA</v>
          </cell>
        </row>
      </sheetData>
      <sheetData sheetId="5897">
        <row r="7">
          <cell r="E7" t="str">
            <v>PT. DANONE BISCUITS INDONESIA</v>
          </cell>
        </row>
      </sheetData>
      <sheetData sheetId="5898">
        <row r="7">
          <cell r="E7" t="str">
            <v>PT. DANONE BISCUITS INDONESIA</v>
          </cell>
        </row>
      </sheetData>
      <sheetData sheetId="5899">
        <row r="7">
          <cell r="E7" t="str">
            <v>PT. DANONE BISCUITS INDONESIA</v>
          </cell>
        </row>
      </sheetData>
      <sheetData sheetId="5900">
        <row r="7">
          <cell r="E7" t="str">
            <v>PT. DANONE BISCUITS INDONESIA</v>
          </cell>
        </row>
      </sheetData>
      <sheetData sheetId="5901">
        <row r="7">
          <cell r="E7" t="str">
            <v>PT. DANONE BISCUITS INDONESIA</v>
          </cell>
        </row>
      </sheetData>
      <sheetData sheetId="5902">
        <row r="7">
          <cell r="E7" t="str">
            <v>PT. DANONE BISCUITS INDONESIA</v>
          </cell>
        </row>
      </sheetData>
      <sheetData sheetId="5903">
        <row r="7">
          <cell r="E7" t="str">
            <v>PT. DANONE BISCUITS INDONESIA</v>
          </cell>
        </row>
      </sheetData>
      <sheetData sheetId="5904">
        <row r="7">
          <cell r="E7" t="str">
            <v>PT. DANONE BISCUITS INDONESIA</v>
          </cell>
        </row>
      </sheetData>
      <sheetData sheetId="5905">
        <row r="7">
          <cell r="E7" t="str">
            <v>PT. DANONE BISCUITS INDONESIA</v>
          </cell>
        </row>
      </sheetData>
      <sheetData sheetId="5906">
        <row r="7">
          <cell r="E7" t="str">
            <v>PT. DANONE BISCUITS INDONESIA</v>
          </cell>
        </row>
      </sheetData>
      <sheetData sheetId="5907">
        <row r="7">
          <cell r="E7" t="str">
            <v>PT. DANONE BISCUITS INDONESIA</v>
          </cell>
        </row>
      </sheetData>
      <sheetData sheetId="5908">
        <row r="7">
          <cell r="E7" t="str">
            <v>PT. DANONE BISCUITS INDONESIA</v>
          </cell>
        </row>
      </sheetData>
      <sheetData sheetId="5909">
        <row r="7">
          <cell r="E7" t="str">
            <v>PT. DANONE BISCUITS INDONESIA</v>
          </cell>
        </row>
      </sheetData>
      <sheetData sheetId="5910">
        <row r="7">
          <cell r="E7" t="str">
            <v>PT. DANONE BISCUITS INDONESIA</v>
          </cell>
        </row>
      </sheetData>
      <sheetData sheetId="5911">
        <row r="7">
          <cell r="E7" t="str">
            <v>PT. DANONE BISCUITS INDONESIA</v>
          </cell>
        </row>
      </sheetData>
      <sheetData sheetId="5912">
        <row r="7">
          <cell r="E7" t="str">
            <v>PT. DANONE BISCUITS INDONESIA</v>
          </cell>
        </row>
      </sheetData>
      <sheetData sheetId="5913">
        <row r="7">
          <cell r="E7" t="str">
            <v>PT. DANONE BISCUITS INDONESIA</v>
          </cell>
        </row>
      </sheetData>
      <sheetData sheetId="5914">
        <row r="7">
          <cell r="E7" t="str">
            <v>PT. DANONE BISCUITS INDONESIA</v>
          </cell>
        </row>
      </sheetData>
      <sheetData sheetId="5915">
        <row r="7">
          <cell r="E7" t="str">
            <v>PT. DANONE BISCUITS INDONESIA</v>
          </cell>
        </row>
      </sheetData>
      <sheetData sheetId="5916">
        <row r="7">
          <cell r="E7" t="str">
            <v>PT. DANONE BISCUITS INDONESIA</v>
          </cell>
        </row>
      </sheetData>
      <sheetData sheetId="5917">
        <row r="7">
          <cell r="E7" t="str">
            <v>PT. DANONE BISCUITS INDONESIA</v>
          </cell>
        </row>
      </sheetData>
      <sheetData sheetId="5918">
        <row r="7">
          <cell r="E7" t="str">
            <v>PT. DANONE BISCUITS INDONESIA</v>
          </cell>
        </row>
      </sheetData>
      <sheetData sheetId="5919">
        <row r="7">
          <cell r="E7" t="str">
            <v>PT. DANONE BISCUITS INDONESIA</v>
          </cell>
        </row>
      </sheetData>
      <sheetData sheetId="5920">
        <row r="7">
          <cell r="E7" t="str">
            <v>PT. DANONE BISCUITS INDONESIA</v>
          </cell>
        </row>
      </sheetData>
      <sheetData sheetId="5921">
        <row r="7">
          <cell r="E7" t="str">
            <v>PT. DANONE BISCUITS INDONESIA</v>
          </cell>
        </row>
      </sheetData>
      <sheetData sheetId="5922">
        <row r="7">
          <cell r="E7" t="str">
            <v>PT. DANONE BISCUITS INDONESIA</v>
          </cell>
        </row>
      </sheetData>
      <sheetData sheetId="5923">
        <row r="7">
          <cell r="E7" t="str">
            <v>PT. DANONE BISCUITS INDONESIA</v>
          </cell>
        </row>
      </sheetData>
      <sheetData sheetId="5924">
        <row r="7">
          <cell r="E7" t="str">
            <v>PT. DANONE BISCUITS INDONESIA</v>
          </cell>
        </row>
      </sheetData>
      <sheetData sheetId="5925">
        <row r="7">
          <cell r="E7" t="str">
            <v>PT. DANONE BISCUITS INDONESIA</v>
          </cell>
        </row>
      </sheetData>
      <sheetData sheetId="5926">
        <row r="7">
          <cell r="E7" t="str">
            <v>PT. DANONE BISCUITS INDONESIA</v>
          </cell>
        </row>
      </sheetData>
      <sheetData sheetId="5927">
        <row r="7">
          <cell r="E7" t="str">
            <v>PT. DANONE BISCUITS INDONESIA</v>
          </cell>
        </row>
      </sheetData>
      <sheetData sheetId="5928">
        <row r="7">
          <cell r="E7" t="str">
            <v>PT. DANONE BISCUITS INDONESIA</v>
          </cell>
        </row>
      </sheetData>
      <sheetData sheetId="5929">
        <row r="7">
          <cell r="E7" t="str">
            <v>PT. DANONE BISCUITS INDONESIA</v>
          </cell>
        </row>
      </sheetData>
      <sheetData sheetId="5930">
        <row r="7">
          <cell r="E7" t="str">
            <v>PT. DANONE BISCUITS INDONESIA</v>
          </cell>
        </row>
      </sheetData>
      <sheetData sheetId="5931">
        <row r="7">
          <cell r="E7" t="str">
            <v>PT. DANONE BISCUITS INDONESIA</v>
          </cell>
        </row>
      </sheetData>
      <sheetData sheetId="5932">
        <row r="7">
          <cell r="E7" t="str">
            <v>PT. DANONE BISCUITS INDONESIA</v>
          </cell>
        </row>
      </sheetData>
      <sheetData sheetId="5933">
        <row r="7">
          <cell r="E7" t="str">
            <v>PT. DANONE BISCUITS INDONESIA</v>
          </cell>
        </row>
      </sheetData>
      <sheetData sheetId="5934">
        <row r="7">
          <cell r="E7" t="str">
            <v>PT. DANONE BISCUITS INDONESIA</v>
          </cell>
        </row>
      </sheetData>
      <sheetData sheetId="5935">
        <row r="7">
          <cell r="E7" t="str">
            <v>PT. DANONE BISCUITS INDONESIA</v>
          </cell>
        </row>
      </sheetData>
      <sheetData sheetId="5936">
        <row r="7">
          <cell r="E7" t="str">
            <v>PT. DANONE BISCUITS INDONESIA</v>
          </cell>
        </row>
      </sheetData>
      <sheetData sheetId="5937">
        <row r="7">
          <cell r="E7" t="str">
            <v>PT. DANONE BISCUITS INDONESIA</v>
          </cell>
        </row>
      </sheetData>
      <sheetData sheetId="5938">
        <row r="7">
          <cell r="E7" t="str">
            <v>PT. DANONE BISCUITS INDONESIA</v>
          </cell>
        </row>
      </sheetData>
      <sheetData sheetId="5939">
        <row r="7">
          <cell r="E7" t="str">
            <v>PT. DANONE BISCUITS INDONESIA</v>
          </cell>
        </row>
      </sheetData>
      <sheetData sheetId="5940">
        <row r="7">
          <cell r="E7" t="str">
            <v>PT. DANONE BISCUITS INDONESIA</v>
          </cell>
        </row>
      </sheetData>
      <sheetData sheetId="5941">
        <row r="7">
          <cell r="E7" t="str">
            <v>PT. DANONE BISCUITS INDONESIA</v>
          </cell>
        </row>
      </sheetData>
      <sheetData sheetId="5942">
        <row r="7">
          <cell r="E7" t="str">
            <v>PT. DANONE BISCUITS INDONESIA</v>
          </cell>
        </row>
      </sheetData>
      <sheetData sheetId="5943">
        <row r="7">
          <cell r="E7" t="str">
            <v>PT. DANONE BISCUITS INDONESIA</v>
          </cell>
        </row>
      </sheetData>
      <sheetData sheetId="5944">
        <row r="7">
          <cell r="E7" t="str">
            <v>PT. DANONE BISCUITS INDONESIA</v>
          </cell>
        </row>
      </sheetData>
      <sheetData sheetId="5945">
        <row r="7">
          <cell r="E7" t="str">
            <v>PT. DANONE BISCUITS INDONESIA</v>
          </cell>
        </row>
      </sheetData>
      <sheetData sheetId="5946">
        <row r="7">
          <cell r="E7" t="str">
            <v>PT. DANONE BISCUITS INDONESIA</v>
          </cell>
        </row>
      </sheetData>
      <sheetData sheetId="5947">
        <row r="7">
          <cell r="E7" t="str">
            <v>PT. DANONE BISCUITS INDONESIA</v>
          </cell>
        </row>
      </sheetData>
      <sheetData sheetId="5948">
        <row r="7">
          <cell r="E7" t="str">
            <v>PT. DANONE BISCUITS INDONESIA</v>
          </cell>
        </row>
      </sheetData>
      <sheetData sheetId="5949">
        <row r="7">
          <cell r="E7" t="str">
            <v>PT. DANONE BISCUITS INDONESIA</v>
          </cell>
        </row>
      </sheetData>
      <sheetData sheetId="5950">
        <row r="7">
          <cell r="E7" t="str">
            <v>PT. DANONE BISCUITS INDONESIA</v>
          </cell>
        </row>
      </sheetData>
      <sheetData sheetId="5951">
        <row r="7">
          <cell r="E7" t="str">
            <v>PT. DANONE BISCUITS INDONESIA</v>
          </cell>
        </row>
      </sheetData>
      <sheetData sheetId="5952">
        <row r="7">
          <cell r="E7" t="str">
            <v>PT. DANONE BISCUITS INDONESIA</v>
          </cell>
        </row>
      </sheetData>
      <sheetData sheetId="5953">
        <row r="7">
          <cell r="E7" t="str">
            <v>PT. DANONE BISCUITS INDONESIA</v>
          </cell>
        </row>
      </sheetData>
      <sheetData sheetId="5954">
        <row r="7">
          <cell r="E7" t="str">
            <v>PT. DANONE BISCUITS INDONESIA</v>
          </cell>
        </row>
      </sheetData>
      <sheetData sheetId="5955">
        <row r="7">
          <cell r="E7" t="str">
            <v>PT. DANONE BISCUITS INDONESIA</v>
          </cell>
        </row>
      </sheetData>
      <sheetData sheetId="5956">
        <row r="7">
          <cell r="E7" t="str">
            <v>PT. DANONE BISCUITS INDONESIA</v>
          </cell>
        </row>
      </sheetData>
      <sheetData sheetId="5957">
        <row r="7">
          <cell r="E7" t="str">
            <v>PT. DANONE BISCUITS INDONESIA</v>
          </cell>
        </row>
      </sheetData>
      <sheetData sheetId="5958">
        <row r="7">
          <cell r="E7" t="str">
            <v>PT. DANONE BISCUITS INDONESIA</v>
          </cell>
        </row>
      </sheetData>
      <sheetData sheetId="5959">
        <row r="7">
          <cell r="E7" t="str">
            <v>PT. DANONE BISCUITS INDONESIA</v>
          </cell>
        </row>
      </sheetData>
      <sheetData sheetId="5960">
        <row r="7">
          <cell r="E7" t="str">
            <v>PT. DANONE BISCUITS INDONESIA</v>
          </cell>
        </row>
      </sheetData>
      <sheetData sheetId="5961">
        <row r="7">
          <cell r="E7" t="str">
            <v>PT. DANONE BISCUITS INDONESIA</v>
          </cell>
        </row>
      </sheetData>
      <sheetData sheetId="5962">
        <row r="7">
          <cell r="E7" t="str">
            <v>PT. DANONE BISCUITS INDONESIA</v>
          </cell>
        </row>
      </sheetData>
      <sheetData sheetId="5963">
        <row r="7">
          <cell r="E7" t="str">
            <v>PT. DANONE BISCUITS INDONESIA</v>
          </cell>
        </row>
      </sheetData>
      <sheetData sheetId="5964">
        <row r="7">
          <cell r="E7" t="str">
            <v>PT. DANONE BISCUITS INDONESIA</v>
          </cell>
        </row>
      </sheetData>
      <sheetData sheetId="5965">
        <row r="7">
          <cell r="E7" t="str">
            <v>PT. DANONE BISCUITS INDONESIA</v>
          </cell>
        </row>
      </sheetData>
      <sheetData sheetId="5966">
        <row r="7">
          <cell r="E7" t="str">
            <v>PT. DANONE BISCUITS INDONESIA</v>
          </cell>
        </row>
      </sheetData>
      <sheetData sheetId="5967">
        <row r="7">
          <cell r="E7" t="str">
            <v>PT. DANONE BISCUITS INDONESIA</v>
          </cell>
        </row>
      </sheetData>
      <sheetData sheetId="5968">
        <row r="7">
          <cell r="E7" t="str">
            <v>PT. DANONE BISCUITS INDONESIA</v>
          </cell>
        </row>
      </sheetData>
      <sheetData sheetId="5969">
        <row r="7">
          <cell r="E7" t="str">
            <v>PT. DANONE BISCUITS INDONESIA</v>
          </cell>
        </row>
      </sheetData>
      <sheetData sheetId="5970">
        <row r="7">
          <cell r="E7" t="str">
            <v>PT. DANONE BISCUITS INDONESIA</v>
          </cell>
        </row>
      </sheetData>
      <sheetData sheetId="5971">
        <row r="7">
          <cell r="E7" t="str">
            <v>PT. DANONE BISCUITS INDONESIA</v>
          </cell>
        </row>
      </sheetData>
      <sheetData sheetId="5972">
        <row r="7">
          <cell r="E7" t="str">
            <v>PT. DANONE BISCUITS INDONESIA</v>
          </cell>
        </row>
      </sheetData>
      <sheetData sheetId="5973">
        <row r="7">
          <cell r="E7" t="str">
            <v>PT. DANONE BISCUITS INDONESIA</v>
          </cell>
        </row>
      </sheetData>
      <sheetData sheetId="5974">
        <row r="7">
          <cell r="E7" t="str">
            <v>PT. DANONE BISCUITS INDONESIA</v>
          </cell>
        </row>
      </sheetData>
      <sheetData sheetId="5975">
        <row r="7">
          <cell r="E7" t="str">
            <v>PT. DANONE BISCUITS INDONESIA</v>
          </cell>
        </row>
      </sheetData>
      <sheetData sheetId="5976">
        <row r="7">
          <cell r="E7" t="str">
            <v>PT. DANONE BISCUITS INDONESIA</v>
          </cell>
        </row>
      </sheetData>
      <sheetData sheetId="5977">
        <row r="7">
          <cell r="E7" t="str">
            <v>PT. DANONE BISCUITS INDONESIA</v>
          </cell>
        </row>
      </sheetData>
      <sheetData sheetId="5978">
        <row r="7">
          <cell r="E7" t="str">
            <v>PT. DANONE BISCUITS INDONESIA</v>
          </cell>
        </row>
      </sheetData>
      <sheetData sheetId="5979">
        <row r="7">
          <cell r="E7" t="str">
            <v>PT. DANONE BISCUITS INDONESIA</v>
          </cell>
        </row>
      </sheetData>
      <sheetData sheetId="5980">
        <row r="7">
          <cell r="E7" t="str">
            <v>PT. DANONE BISCUITS INDONESIA</v>
          </cell>
        </row>
      </sheetData>
      <sheetData sheetId="5981">
        <row r="7">
          <cell r="E7" t="str">
            <v>PT. DANONE BISCUITS INDONESIA</v>
          </cell>
        </row>
      </sheetData>
      <sheetData sheetId="5982">
        <row r="7">
          <cell r="E7" t="str">
            <v>PT. DANONE BISCUITS INDONESIA</v>
          </cell>
        </row>
      </sheetData>
      <sheetData sheetId="5983">
        <row r="7">
          <cell r="E7" t="str">
            <v>PT. DANONE BISCUITS INDONESIA</v>
          </cell>
        </row>
      </sheetData>
      <sheetData sheetId="5984">
        <row r="7">
          <cell r="E7" t="str">
            <v>PT. DANONE BISCUITS INDONESIA</v>
          </cell>
        </row>
      </sheetData>
      <sheetData sheetId="5985">
        <row r="7">
          <cell r="E7" t="str">
            <v>PT. DANONE BISCUITS INDONESIA</v>
          </cell>
        </row>
      </sheetData>
      <sheetData sheetId="5986">
        <row r="7">
          <cell r="E7" t="str">
            <v>PT. DANONE BISCUITS INDONESIA</v>
          </cell>
        </row>
      </sheetData>
      <sheetData sheetId="5987">
        <row r="7">
          <cell r="E7" t="str">
            <v>PT. DANONE BISCUITS INDONESIA</v>
          </cell>
        </row>
      </sheetData>
      <sheetData sheetId="5988">
        <row r="7">
          <cell r="E7" t="str">
            <v>PT. DANONE BISCUITS INDONESIA</v>
          </cell>
        </row>
      </sheetData>
      <sheetData sheetId="5989">
        <row r="7">
          <cell r="E7" t="str">
            <v>PT. DANONE BISCUITS INDONESIA</v>
          </cell>
        </row>
      </sheetData>
      <sheetData sheetId="5990">
        <row r="7">
          <cell r="E7" t="str">
            <v>PT. DANONE BISCUITS INDONESIA</v>
          </cell>
        </row>
      </sheetData>
      <sheetData sheetId="5991">
        <row r="7">
          <cell r="E7" t="str">
            <v>PT. DANONE BISCUITS INDONESIA</v>
          </cell>
        </row>
      </sheetData>
      <sheetData sheetId="5992">
        <row r="7">
          <cell r="E7" t="str">
            <v>PT. DANONE BISCUITS INDONESIA</v>
          </cell>
        </row>
      </sheetData>
      <sheetData sheetId="5993">
        <row r="7">
          <cell r="E7" t="str">
            <v>PT. DANONE BISCUITS INDONESIA</v>
          </cell>
        </row>
      </sheetData>
      <sheetData sheetId="5994">
        <row r="7">
          <cell r="E7" t="str">
            <v>PT. DANONE BISCUITS INDONESIA</v>
          </cell>
        </row>
      </sheetData>
      <sheetData sheetId="5995">
        <row r="7">
          <cell r="E7" t="str">
            <v>PT. DANONE BISCUITS INDONESIA</v>
          </cell>
        </row>
      </sheetData>
      <sheetData sheetId="5996">
        <row r="7">
          <cell r="E7" t="str">
            <v>PT. DANONE BISCUITS INDONESIA</v>
          </cell>
        </row>
      </sheetData>
      <sheetData sheetId="5997">
        <row r="7">
          <cell r="E7" t="str">
            <v>PT. DANONE BISCUITS INDONESIA</v>
          </cell>
        </row>
      </sheetData>
      <sheetData sheetId="5998">
        <row r="7">
          <cell r="E7" t="str">
            <v>PT. DANONE BISCUITS INDONESIA</v>
          </cell>
        </row>
      </sheetData>
      <sheetData sheetId="5999">
        <row r="7">
          <cell r="E7" t="str">
            <v>PT. DANONE BISCUITS INDONESIA</v>
          </cell>
        </row>
      </sheetData>
      <sheetData sheetId="6000">
        <row r="7">
          <cell r="E7" t="str">
            <v>PT. DANONE BISCUITS INDONESIA</v>
          </cell>
        </row>
      </sheetData>
      <sheetData sheetId="6001">
        <row r="7">
          <cell r="E7" t="str">
            <v>PT. DANONE BISCUITS INDONESIA</v>
          </cell>
        </row>
      </sheetData>
      <sheetData sheetId="6002">
        <row r="7">
          <cell r="E7" t="str">
            <v>PT. DANONE BISCUITS INDONESIA</v>
          </cell>
        </row>
      </sheetData>
      <sheetData sheetId="6003">
        <row r="7">
          <cell r="E7" t="str">
            <v>PT. DANONE BISCUITS INDONESIA</v>
          </cell>
        </row>
      </sheetData>
      <sheetData sheetId="6004">
        <row r="7">
          <cell r="E7" t="str">
            <v>PT. DANONE BISCUITS INDONESIA</v>
          </cell>
        </row>
      </sheetData>
      <sheetData sheetId="6005">
        <row r="7">
          <cell r="E7" t="str">
            <v>PT. DANONE BISCUITS INDONESIA</v>
          </cell>
        </row>
      </sheetData>
      <sheetData sheetId="6006">
        <row r="7">
          <cell r="E7" t="str">
            <v>PT. DANONE BISCUITS INDONESIA</v>
          </cell>
        </row>
      </sheetData>
      <sheetData sheetId="6007">
        <row r="7">
          <cell r="E7" t="str">
            <v>PT. DANONE BISCUITS INDONESIA</v>
          </cell>
        </row>
      </sheetData>
      <sheetData sheetId="6008">
        <row r="7">
          <cell r="E7" t="str">
            <v>PT. DANONE BISCUITS INDONESIA</v>
          </cell>
        </row>
      </sheetData>
      <sheetData sheetId="6009">
        <row r="7">
          <cell r="E7" t="str">
            <v>PT. DANONE BISCUITS INDONESIA</v>
          </cell>
        </row>
      </sheetData>
      <sheetData sheetId="6010">
        <row r="7">
          <cell r="E7" t="str">
            <v>PT. DANONE BISCUITS INDONESIA</v>
          </cell>
        </row>
      </sheetData>
      <sheetData sheetId="6011">
        <row r="7">
          <cell r="E7" t="str">
            <v>PT. DANONE BISCUITS INDONESIA</v>
          </cell>
        </row>
      </sheetData>
      <sheetData sheetId="6012">
        <row r="7">
          <cell r="E7" t="str">
            <v>PT. DANONE BISCUITS INDONESIA</v>
          </cell>
        </row>
      </sheetData>
      <sheetData sheetId="6013">
        <row r="7">
          <cell r="E7" t="str">
            <v>PT. DANONE BISCUITS INDONESIA</v>
          </cell>
        </row>
      </sheetData>
      <sheetData sheetId="6014">
        <row r="7">
          <cell r="E7" t="str">
            <v>PT. DANONE BISCUITS INDONESIA</v>
          </cell>
        </row>
      </sheetData>
      <sheetData sheetId="6015">
        <row r="7">
          <cell r="E7" t="str">
            <v>PT. DANONE BISCUITS INDONESIA</v>
          </cell>
        </row>
      </sheetData>
      <sheetData sheetId="6016">
        <row r="7">
          <cell r="E7" t="str">
            <v>PT. DANONE BISCUITS INDONESIA</v>
          </cell>
        </row>
      </sheetData>
      <sheetData sheetId="6017">
        <row r="7">
          <cell r="E7" t="str">
            <v>PT. DANONE BISCUITS INDONESIA</v>
          </cell>
        </row>
      </sheetData>
      <sheetData sheetId="6018">
        <row r="7">
          <cell r="E7" t="str">
            <v>PT. DANONE BISCUITS INDONESIA</v>
          </cell>
        </row>
      </sheetData>
      <sheetData sheetId="6019">
        <row r="7">
          <cell r="E7" t="str">
            <v>PT. DANONE BISCUITS INDONESIA</v>
          </cell>
        </row>
      </sheetData>
      <sheetData sheetId="6020">
        <row r="7">
          <cell r="E7" t="str">
            <v>PT. DANONE BISCUITS INDONESIA</v>
          </cell>
        </row>
      </sheetData>
      <sheetData sheetId="6021">
        <row r="7">
          <cell r="E7" t="str">
            <v>PT. DANONE BISCUITS INDONESIA</v>
          </cell>
        </row>
      </sheetData>
      <sheetData sheetId="6022">
        <row r="7">
          <cell r="E7" t="str">
            <v>PT. DANONE BISCUITS INDONESIA</v>
          </cell>
        </row>
      </sheetData>
      <sheetData sheetId="6023">
        <row r="7">
          <cell r="E7" t="str">
            <v>PT. DANONE BISCUITS INDONESIA</v>
          </cell>
        </row>
      </sheetData>
      <sheetData sheetId="6024">
        <row r="7">
          <cell r="E7" t="str">
            <v>PT. DANONE BISCUITS INDONESIA</v>
          </cell>
        </row>
      </sheetData>
      <sheetData sheetId="6025">
        <row r="7">
          <cell r="E7" t="str">
            <v>PT. DANONE BISCUITS INDONESIA</v>
          </cell>
        </row>
      </sheetData>
      <sheetData sheetId="6026">
        <row r="7">
          <cell r="E7" t="str">
            <v>PT. DANONE BISCUITS INDONESIA</v>
          </cell>
        </row>
      </sheetData>
      <sheetData sheetId="6027">
        <row r="7">
          <cell r="E7" t="str">
            <v>PT. DANONE BISCUITS INDONESIA</v>
          </cell>
        </row>
      </sheetData>
      <sheetData sheetId="6028">
        <row r="7">
          <cell r="E7" t="str">
            <v>PT. DANONE BISCUITS INDONESIA</v>
          </cell>
        </row>
      </sheetData>
      <sheetData sheetId="6029">
        <row r="7">
          <cell r="E7" t="str">
            <v>PT. DANONE BISCUITS INDONESIA</v>
          </cell>
        </row>
      </sheetData>
      <sheetData sheetId="6030">
        <row r="7">
          <cell r="E7" t="str">
            <v>PT. DANONE BISCUITS INDONESIA</v>
          </cell>
        </row>
      </sheetData>
      <sheetData sheetId="6031">
        <row r="7">
          <cell r="E7" t="str">
            <v>PT. DANONE BISCUITS INDONESIA</v>
          </cell>
        </row>
      </sheetData>
      <sheetData sheetId="6032">
        <row r="7">
          <cell r="E7" t="str">
            <v>PT. DANONE BISCUITS INDONESIA</v>
          </cell>
        </row>
      </sheetData>
      <sheetData sheetId="6033">
        <row r="7">
          <cell r="E7" t="str">
            <v>PT. DANONE BISCUITS INDONESIA</v>
          </cell>
        </row>
      </sheetData>
      <sheetData sheetId="6034">
        <row r="7">
          <cell r="E7" t="str">
            <v>PT. DANONE BISCUITS INDONESIA</v>
          </cell>
        </row>
      </sheetData>
      <sheetData sheetId="6035">
        <row r="7">
          <cell r="E7" t="str">
            <v>PT. DANONE BISCUITS INDONESIA</v>
          </cell>
        </row>
      </sheetData>
      <sheetData sheetId="6036">
        <row r="7">
          <cell r="E7" t="str">
            <v>PT. DANONE BISCUITS INDONESIA</v>
          </cell>
        </row>
      </sheetData>
      <sheetData sheetId="6037">
        <row r="7">
          <cell r="E7" t="str">
            <v>PT. DANONE BISCUITS INDONESIA</v>
          </cell>
        </row>
      </sheetData>
      <sheetData sheetId="6038">
        <row r="7">
          <cell r="E7" t="str">
            <v>PT. DANONE BISCUITS INDONESIA</v>
          </cell>
        </row>
      </sheetData>
      <sheetData sheetId="6039">
        <row r="7">
          <cell r="E7" t="str">
            <v>PT. DANONE BISCUITS INDONESIA</v>
          </cell>
        </row>
      </sheetData>
      <sheetData sheetId="6040">
        <row r="7">
          <cell r="E7" t="str">
            <v>PT. DANONE BISCUITS INDONESIA</v>
          </cell>
        </row>
      </sheetData>
      <sheetData sheetId="6041">
        <row r="7">
          <cell r="E7" t="str">
            <v>PT. DANONE BISCUITS INDONESIA</v>
          </cell>
        </row>
      </sheetData>
      <sheetData sheetId="6042">
        <row r="7">
          <cell r="E7" t="str">
            <v>PT. DANONE BISCUITS INDONESIA</v>
          </cell>
        </row>
      </sheetData>
      <sheetData sheetId="6043">
        <row r="7">
          <cell r="E7" t="str">
            <v>PT. DANONE BISCUITS INDONESIA</v>
          </cell>
        </row>
      </sheetData>
      <sheetData sheetId="6044">
        <row r="7">
          <cell r="E7" t="str">
            <v>PT. DANONE BISCUITS INDONESIA</v>
          </cell>
        </row>
      </sheetData>
      <sheetData sheetId="6045">
        <row r="7">
          <cell r="E7" t="str">
            <v>PT. DANONE BISCUITS INDONESIA</v>
          </cell>
        </row>
      </sheetData>
      <sheetData sheetId="6046">
        <row r="7">
          <cell r="E7" t="str">
            <v>PT. DANONE BISCUITS INDONESIA</v>
          </cell>
        </row>
      </sheetData>
      <sheetData sheetId="6047">
        <row r="7">
          <cell r="E7" t="str">
            <v>PT. DANONE BISCUITS INDONESIA</v>
          </cell>
        </row>
      </sheetData>
      <sheetData sheetId="6048">
        <row r="7">
          <cell r="E7" t="str">
            <v>PT. DANONE BISCUITS INDONESIA</v>
          </cell>
        </row>
      </sheetData>
      <sheetData sheetId="6049">
        <row r="7">
          <cell r="E7" t="str">
            <v>PT. DANONE BISCUITS INDONESIA</v>
          </cell>
        </row>
      </sheetData>
      <sheetData sheetId="6050">
        <row r="7">
          <cell r="E7" t="str">
            <v>PT. DANONE BISCUITS INDONESIA</v>
          </cell>
        </row>
      </sheetData>
      <sheetData sheetId="6051">
        <row r="7">
          <cell r="E7" t="str">
            <v>PT. DANONE BISCUITS INDONESIA</v>
          </cell>
        </row>
      </sheetData>
      <sheetData sheetId="6052">
        <row r="7">
          <cell r="E7" t="str">
            <v>PT. DANONE BISCUITS INDONESIA</v>
          </cell>
        </row>
      </sheetData>
      <sheetData sheetId="6053">
        <row r="7">
          <cell r="E7" t="str">
            <v>PT. DANONE BISCUITS INDONESIA</v>
          </cell>
        </row>
      </sheetData>
      <sheetData sheetId="6054">
        <row r="7">
          <cell r="E7" t="str">
            <v>PT. DANONE BISCUITS INDONESIA</v>
          </cell>
        </row>
      </sheetData>
      <sheetData sheetId="6055">
        <row r="7">
          <cell r="E7" t="str">
            <v>PT. DANONE BISCUITS INDONESIA</v>
          </cell>
        </row>
      </sheetData>
      <sheetData sheetId="6056">
        <row r="7">
          <cell r="E7" t="str">
            <v>PT. DANONE BISCUITS INDONESIA</v>
          </cell>
        </row>
      </sheetData>
      <sheetData sheetId="6057">
        <row r="7">
          <cell r="E7" t="str">
            <v>PT. DANONE BISCUITS INDONESIA</v>
          </cell>
        </row>
      </sheetData>
      <sheetData sheetId="6058">
        <row r="7">
          <cell r="E7" t="str">
            <v>PT. DANONE BISCUITS INDONESIA</v>
          </cell>
        </row>
      </sheetData>
      <sheetData sheetId="6059">
        <row r="7">
          <cell r="E7" t="str">
            <v>PT. DANONE BISCUITS INDONESIA</v>
          </cell>
        </row>
      </sheetData>
      <sheetData sheetId="6060">
        <row r="7">
          <cell r="E7" t="str">
            <v>PT. DANONE BISCUITS INDONESIA</v>
          </cell>
        </row>
      </sheetData>
      <sheetData sheetId="6061">
        <row r="7">
          <cell r="E7" t="str">
            <v>PT. DANONE BISCUITS INDONESIA</v>
          </cell>
        </row>
      </sheetData>
      <sheetData sheetId="6062">
        <row r="7">
          <cell r="E7" t="str">
            <v>PT. DANONE BISCUITS INDONESIA</v>
          </cell>
        </row>
      </sheetData>
      <sheetData sheetId="6063">
        <row r="7">
          <cell r="E7" t="str">
            <v>PT. DANONE BISCUITS INDONESIA</v>
          </cell>
        </row>
      </sheetData>
      <sheetData sheetId="6064">
        <row r="7">
          <cell r="E7" t="str">
            <v>PT. DANONE BISCUITS INDONESIA</v>
          </cell>
        </row>
      </sheetData>
      <sheetData sheetId="6065">
        <row r="7">
          <cell r="E7" t="str">
            <v>PT. DANONE BISCUITS INDONESIA</v>
          </cell>
        </row>
      </sheetData>
      <sheetData sheetId="6066">
        <row r="7">
          <cell r="E7" t="str">
            <v>PT. DANONE BISCUITS INDONESIA</v>
          </cell>
        </row>
      </sheetData>
      <sheetData sheetId="6067">
        <row r="7">
          <cell r="E7" t="str">
            <v>PT. DANONE BISCUITS INDONESIA</v>
          </cell>
        </row>
      </sheetData>
      <sheetData sheetId="6068">
        <row r="7">
          <cell r="E7" t="str">
            <v>PT. DANONE BISCUITS INDONESIA</v>
          </cell>
        </row>
      </sheetData>
      <sheetData sheetId="6069">
        <row r="7">
          <cell r="E7" t="str">
            <v>PT. DANONE BISCUITS INDONESIA</v>
          </cell>
        </row>
      </sheetData>
      <sheetData sheetId="6070">
        <row r="7">
          <cell r="E7" t="str">
            <v>PT. DANONE BISCUITS INDONESIA</v>
          </cell>
        </row>
      </sheetData>
      <sheetData sheetId="6071">
        <row r="7">
          <cell r="E7" t="str">
            <v>PT. DANONE BISCUITS INDONESIA</v>
          </cell>
        </row>
      </sheetData>
      <sheetData sheetId="6072">
        <row r="7">
          <cell r="E7" t="str">
            <v>PT. DANONE BISCUITS INDONESIA</v>
          </cell>
        </row>
      </sheetData>
      <sheetData sheetId="6073">
        <row r="7">
          <cell r="E7" t="str">
            <v>PT. DANONE BISCUITS INDONESIA</v>
          </cell>
        </row>
      </sheetData>
      <sheetData sheetId="6074">
        <row r="7">
          <cell r="E7" t="str">
            <v>PT. DANONE BISCUITS INDONESIA</v>
          </cell>
        </row>
      </sheetData>
      <sheetData sheetId="6075">
        <row r="7">
          <cell r="E7" t="str">
            <v>PT. DANONE BISCUITS INDONESIA</v>
          </cell>
        </row>
      </sheetData>
      <sheetData sheetId="6076">
        <row r="7">
          <cell r="E7" t="str">
            <v>PT. DANONE BISCUITS INDONESIA</v>
          </cell>
        </row>
      </sheetData>
      <sheetData sheetId="6077">
        <row r="7">
          <cell r="E7" t="str">
            <v>PT. DANONE BISCUITS INDONESIA</v>
          </cell>
        </row>
      </sheetData>
      <sheetData sheetId="6078">
        <row r="7">
          <cell r="E7" t="str">
            <v>PT. DANONE BISCUITS INDONESIA</v>
          </cell>
        </row>
      </sheetData>
      <sheetData sheetId="6079">
        <row r="7">
          <cell r="E7" t="str">
            <v>PT. DANONE BISCUITS INDONESIA</v>
          </cell>
        </row>
      </sheetData>
      <sheetData sheetId="6080">
        <row r="7">
          <cell r="E7" t="str">
            <v>PT. DANONE BISCUITS INDONESIA</v>
          </cell>
        </row>
      </sheetData>
      <sheetData sheetId="6081">
        <row r="7">
          <cell r="E7" t="str">
            <v>PT. DANONE BISCUITS INDONESIA</v>
          </cell>
        </row>
      </sheetData>
      <sheetData sheetId="6082">
        <row r="7">
          <cell r="E7" t="str">
            <v>PT. DANONE BISCUITS INDONESIA</v>
          </cell>
        </row>
      </sheetData>
      <sheetData sheetId="6083">
        <row r="7">
          <cell r="E7" t="str">
            <v>PT. DANONE BISCUITS INDONESIA</v>
          </cell>
        </row>
      </sheetData>
      <sheetData sheetId="6084">
        <row r="7">
          <cell r="E7" t="str">
            <v>PT. DANONE BISCUITS INDONESIA</v>
          </cell>
        </row>
      </sheetData>
      <sheetData sheetId="6085">
        <row r="7">
          <cell r="E7" t="str">
            <v>PT. DANONE BISCUITS INDONESIA</v>
          </cell>
        </row>
      </sheetData>
      <sheetData sheetId="6086">
        <row r="7">
          <cell r="E7" t="str">
            <v>PT. DANONE BISCUITS INDONESIA</v>
          </cell>
        </row>
      </sheetData>
      <sheetData sheetId="6087">
        <row r="7">
          <cell r="E7" t="str">
            <v>PT. DANONE BISCUITS INDONESIA</v>
          </cell>
        </row>
      </sheetData>
      <sheetData sheetId="6088">
        <row r="7">
          <cell r="E7" t="str">
            <v>PT. DANONE BISCUITS INDONESIA</v>
          </cell>
        </row>
      </sheetData>
      <sheetData sheetId="6089">
        <row r="7">
          <cell r="E7" t="str">
            <v>PT. DANONE BISCUITS INDONESIA</v>
          </cell>
        </row>
      </sheetData>
      <sheetData sheetId="6090">
        <row r="7">
          <cell r="E7" t="str">
            <v>PT. DANONE BISCUITS INDONESIA</v>
          </cell>
        </row>
      </sheetData>
      <sheetData sheetId="6091">
        <row r="7">
          <cell r="E7" t="str">
            <v>PT. DANONE BISCUITS INDONESIA</v>
          </cell>
        </row>
      </sheetData>
      <sheetData sheetId="6092">
        <row r="7">
          <cell r="E7" t="str">
            <v>PT. DANONE BISCUITS INDONESIA</v>
          </cell>
        </row>
      </sheetData>
      <sheetData sheetId="6093">
        <row r="7">
          <cell r="E7" t="str">
            <v>PT. DANONE BISCUITS INDONESIA</v>
          </cell>
        </row>
      </sheetData>
      <sheetData sheetId="6094">
        <row r="7">
          <cell r="E7" t="str">
            <v>PT. DANONE BISCUITS INDONESIA</v>
          </cell>
        </row>
      </sheetData>
      <sheetData sheetId="6095">
        <row r="7">
          <cell r="E7" t="str">
            <v>PT. DANONE BISCUITS INDONESIA</v>
          </cell>
        </row>
      </sheetData>
      <sheetData sheetId="6096">
        <row r="7">
          <cell r="E7" t="str">
            <v>PT. DANONE BISCUITS INDONESIA</v>
          </cell>
        </row>
      </sheetData>
      <sheetData sheetId="6097">
        <row r="7">
          <cell r="E7" t="str">
            <v>PT. DANONE BISCUITS INDONESIA</v>
          </cell>
        </row>
      </sheetData>
      <sheetData sheetId="6098">
        <row r="7">
          <cell r="E7" t="str">
            <v>PT. DANONE BISCUITS INDONESIA</v>
          </cell>
        </row>
      </sheetData>
      <sheetData sheetId="6099">
        <row r="7">
          <cell r="E7" t="str">
            <v>PT. DANONE BISCUITS INDONESIA</v>
          </cell>
        </row>
      </sheetData>
      <sheetData sheetId="6100">
        <row r="7">
          <cell r="E7" t="str">
            <v>PT. DANONE BISCUITS INDONESIA</v>
          </cell>
        </row>
      </sheetData>
      <sheetData sheetId="6101">
        <row r="7">
          <cell r="E7" t="str">
            <v>PT. DANONE BISCUITS INDONESIA</v>
          </cell>
        </row>
      </sheetData>
      <sheetData sheetId="6102">
        <row r="7">
          <cell r="E7" t="str">
            <v>PT. DANONE BISCUITS INDONESIA</v>
          </cell>
        </row>
      </sheetData>
      <sheetData sheetId="6103">
        <row r="7">
          <cell r="E7" t="str">
            <v>PT. DANONE BISCUITS INDONESIA</v>
          </cell>
        </row>
      </sheetData>
      <sheetData sheetId="6104">
        <row r="7">
          <cell r="E7" t="str">
            <v>PT. DANONE BISCUITS INDONESIA</v>
          </cell>
        </row>
      </sheetData>
      <sheetData sheetId="6105">
        <row r="7">
          <cell r="E7" t="str">
            <v>PT. DANONE BISCUITS INDONESIA</v>
          </cell>
        </row>
      </sheetData>
      <sheetData sheetId="6106">
        <row r="7">
          <cell r="E7" t="str">
            <v>PT. DANONE BISCUITS INDONESIA</v>
          </cell>
        </row>
      </sheetData>
      <sheetData sheetId="6107">
        <row r="7">
          <cell r="E7" t="str">
            <v>PT. DANONE BISCUITS INDONESIA</v>
          </cell>
        </row>
      </sheetData>
      <sheetData sheetId="6108">
        <row r="7">
          <cell r="E7" t="str">
            <v>PT. DANONE BISCUITS INDONESIA</v>
          </cell>
        </row>
      </sheetData>
      <sheetData sheetId="6109">
        <row r="7">
          <cell r="E7" t="str">
            <v>PT. DANONE BISCUITS INDONESIA</v>
          </cell>
        </row>
      </sheetData>
      <sheetData sheetId="6110">
        <row r="7">
          <cell r="E7" t="str">
            <v>PT. DANONE BISCUITS INDONESIA</v>
          </cell>
        </row>
      </sheetData>
      <sheetData sheetId="6111">
        <row r="7">
          <cell r="E7" t="str">
            <v>PT. DANONE BISCUITS INDONESIA</v>
          </cell>
        </row>
      </sheetData>
      <sheetData sheetId="6112">
        <row r="7">
          <cell r="E7" t="str">
            <v>PT. DANONE BISCUITS INDONESIA</v>
          </cell>
        </row>
      </sheetData>
      <sheetData sheetId="6113">
        <row r="7">
          <cell r="E7" t="str">
            <v>PT. DANONE BISCUITS INDONESIA</v>
          </cell>
        </row>
      </sheetData>
      <sheetData sheetId="6114">
        <row r="7">
          <cell r="E7" t="str">
            <v>PT. DANONE BISCUITS INDONESIA</v>
          </cell>
        </row>
      </sheetData>
      <sheetData sheetId="6115">
        <row r="7">
          <cell r="E7" t="str">
            <v>PT. DANONE BISCUITS INDONESIA</v>
          </cell>
        </row>
      </sheetData>
      <sheetData sheetId="6116">
        <row r="7">
          <cell r="E7" t="str">
            <v>PT. DANONE BISCUITS INDONESIA</v>
          </cell>
        </row>
      </sheetData>
      <sheetData sheetId="6117">
        <row r="7">
          <cell r="E7" t="str">
            <v>PT. DANONE BISCUITS INDONESIA</v>
          </cell>
        </row>
      </sheetData>
      <sheetData sheetId="6118">
        <row r="7">
          <cell r="E7" t="str">
            <v>PT. DANONE BISCUITS INDONESIA</v>
          </cell>
        </row>
      </sheetData>
      <sheetData sheetId="6119">
        <row r="7">
          <cell r="E7" t="str">
            <v>PT. DANONE BISCUITS INDONESIA</v>
          </cell>
        </row>
      </sheetData>
      <sheetData sheetId="6120">
        <row r="7">
          <cell r="E7" t="str">
            <v>PT. DANONE BISCUITS INDONESIA</v>
          </cell>
        </row>
      </sheetData>
      <sheetData sheetId="6121">
        <row r="7">
          <cell r="E7" t="str">
            <v>PT. DANONE BISCUITS INDONESIA</v>
          </cell>
        </row>
      </sheetData>
      <sheetData sheetId="6122">
        <row r="7">
          <cell r="E7" t="str">
            <v>PT. DANONE BISCUITS INDONESIA</v>
          </cell>
        </row>
      </sheetData>
      <sheetData sheetId="6123">
        <row r="7">
          <cell r="E7" t="str">
            <v>PT. DANONE BISCUITS INDONESIA</v>
          </cell>
        </row>
      </sheetData>
      <sheetData sheetId="6124">
        <row r="7">
          <cell r="E7" t="str">
            <v>PT. DANONE BISCUITS INDONESIA</v>
          </cell>
        </row>
      </sheetData>
      <sheetData sheetId="6125">
        <row r="7">
          <cell r="E7" t="str">
            <v>PT. DANONE BISCUITS INDONESIA</v>
          </cell>
        </row>
      </sheetData>
      <sheetData sheetId="6126">
        <row r="7">
          <cell r="E7" t="str">
            <v>PT. DANONE BISCUITS INDONESIA</v>
          </cell>
        </row>
      </sheetData>
      <sheetData sheetId="6127">
        <row r="7">
          <cell r="E7" t="str">
            <v>PT. DANONE BISCUITS INDONESIA</v>
          </cell>
        </row>
      </sheetData>
      <sheetData sheetId="6128">
        <row r="7">
          <cell r="E7" t="str">
            <v>PT. DANONE BISCUITS INDONESIA</v>
          </cell>
        </row>
      </sheetData>
      <sheetData sheetId="6129">
        <row r="7">
          <cell r="E7" t="str">
            <v>PT. DANONE BISCUITS INDONESIA</v>
          </cell>
        </row>
      </sheetData>
      <sheetData sheetId="6130">
        <row r="7">
          <cell r="E7" t="str">
            <v>PT. DANONE BISCUITS INDONESIA</v>
          </cell>
        </row>
      </sheetData>
      <sheetData sheetId="6131">
        <row r="7">
          <cell r="E7" t="str">
            <v>PT. DANONE BISCUITS INDONESIA</v>
          </cell>
        </row>
      </sheetData>
      <sheetData sheetId="6132">
        <row r="7">
          <cell r="E7" t="str">
            <v>PT. DANONE BISCUITS INDONESIA</v>
          </cell>
        </row>
      </sheetData>
      <sheetData sheetId="6133">
        <row r="7">
          <cell r="E7" t="str">
            <v>PT. DANONE BISCUITS INDONESIA</v>
          </cell>
        </row>
      </sheetData>
      <sheetData sheetId="6134">
        <row r="7">
          <cell r="E7" t="str">
            <v>PT. DANONE BISCUITS INDONESIA</v>
          </cell>
        </row>
      </sheetData>
      <sheetData sheetId="6135">
        <row r="7">
          <cell r="E7" t="str">
            <v>PT. DANONE BISCUITS INDONESIA</v>
          </cell>
        </row>
      </sheetData>
      <sheetData sheetId="6136">
        <row r="7">
          <cell r="E7" t="str">
            <v>PT. DANONE BISCUITS INDONESIA</v>
          </cell>
        </row>
      </sheetData>
      <sheetData sheetId="6137">
        <row r="7">
          <cell r="E7" t="str">
            <v>PT. DANONE BISCUITS INDONESIA</v>
          </cell>
        </row>
      </sheetData>
      <sheetData sheetId="6138">
        <row r="7">
          <cell r="E7" t="str">
            <v>PT. DANONE BISCUITS INDONESIA</v>
          </cell>
        </row>
      </sheetData>
      <sheetData sheetId="6139">
        <row r="7">
          <cell r="E7" t="str">
            <v>PT. DANONE BISCUITS INDONESIA</v>
          </cell>
        </row>
      </sheetData>
      <sheetData sheetId="6140">
        <row r="7">
          <cell r="E7" t="str">
            <v>PT. DANONE BISCUITS INDONESIA</v>
          </cell>
        </row>
      </sheetData>
      <sheetData sheetId="6141">
        <row r="7">
          <cell r="E7" t="str">
            <v>PT. DANONE BISCUITS INDONESIA</v>
          </cell>
        </row>
      </sheetData>
      <sheetData sheetId="6142">
        <row r="7">
          <cell r="E7" t="str">
            <v>PT. DANONE BISCUITS INDONESIA</v>
          </cell>
        </row>
      </sheetData>
      <sheetData sheetId="6143">
        <row r="7">
          <cell r="E7" t="str">
            <v>PT. DANONE BISCUITS INDONESIA</v>
          </cell>
        </row>
      </sheetData>
      <sheetData sheetId="6144">
        <row r="7">
          <cell r="E7" t="str">
            <v>PT. DANONE BISCUITS INDONESIA</v>
          </cell>
        </row>
      </sheetData>
      <sheetData sheetId="6145">
        <row r="7">
          <cell r="E7" t="str">
            <v>PT. DANONE BISCUITS INDONESIA</v>
          </cell>
        </row>
      </sheetData>
      <sheetData sheetId="6146">
        <row r="7">
          <cell r="E7" t="str">
            <v>PT. DANONE BISCUITS INDONESIA</v>
          </cell>
        </row>
      </sheetData>
      <sheetData sheetId="6147">
        <row r="7">
          <cell r="E7" t="str">
            <v>PT. DANONE BISCUITS INDONESIA</v>
          </cell>
        </row>
      </sheetData>
      <sheetData sheetId="6148">
        <row r="7">
          <cell r="E7" t="str">
            <v>PT. DANONE BISCUITS INDONESIA</v>
          </cell>
        </row>
      </sheetData>
      <sheetData sheetId="6149">
        <row r="7">
          <cell r="E7" t="str">
            <v>PT. DANONE BISCUITS INDONESIA</v>
          </cell>
        </row>
      </sheetData>
      <sheetData sheetId="6150">
        <row r="7">
          <cell r="E7" t="str">
            <v>PT. DANONE BISCUITS INDONESIA</v>
          </cell>
        </row>
      </sheetData>
      <sheetData sheetId="6151">
        <row r="7">
          <cell r="E7" t="str">
            <v>PT. DANONE BISCUITS INDONESIA</v>
          </cell>
        </row>
      </sheetData>
      <sheetData sheetId="6152">
        <row r="7">
          <cell r="E7" t="str">
            <v>PT. DANONE BISCUITS INDONESIA</v>
          </cell>
        </row>
      </sheetData>
      <sheetData sheetId="6153">
        <row r="7">
          <cell r="E7" t="str">
            <v>PT. DANONE BISCUITS INDONESIA</v>
          </cell>
        </row>
      </sheetData>
      <sheetData sheetId="6154">
        <row r="7">
          <cell r="E7" t="str">
            <v>PT. DANONE BISCUITS INDONESIA</v>
          </cell>
        </row>
      </sheetData>
      <sheetData sheetId="6155">
        <row r="7">
          <cell r="E7" t="str">
            <v>PT. DANONE BISCUITS INDONESIA</v>
          </cell>
        </row>
      </sheetData>
      <sheetData sheetId="6156">
        <row r="7">
          <cell r="E7" t="str">
            <v>PT. DANONE BISCUITS INDONESIA</v>
          </cell>
        </row>
      </sheetData>
      <sheetData sheetId="6157">
        <row r="7">
          <cell r="E7" t="str">
            <v>PT. DANONE BISCUITS INDONESIA</v>
          </cell>
        </row>
      </sheetData>
      <sheetData sheetId="6158">
        <row r="7">
          <cell r="E7" t="str">
            <v>PT. DANONE BISCUITS INDONESIA</v>
          </cell>
        </row>
      </sheetData>
      <sheetData sheetId="6159">
        <row r="7">
          <cell r="E7" t="str">
            <v>PT. DANONE BISCUITS INDONESIA</v>
          </cell>
        </row>
      </sheetData>
      <sheetData sheetId="6160">
        <row r="7">
          <cell r="E7" t="str">
            <v>PT. DANONE BISCUITS INDONESIA</v>
          </cell>
        </row>
      </sheetData>
      <sheetData sheetId="6161">
        <row r="7">
          <cell r="E7" t="str">
            <v>PT. DANONE BISCUITS INDONESIA</v>
          </cell>
        </row>
      </sheetData>
      <sheetData sheetId="6162">
        <row r="7">
          <cell r="E7" t="str">
            <v>PT. DANONE BISCUITS INDONESIA</v>
          </cell>
        </row>
      </sheetData>
      <sheetData sheetId="6163">
        <row r="7">
          <cell r="E7" t="str">
            <v>PT. DANONE BISCUITS INDONESIA</v>
          </cell>
        </row>
      </sheetData>
      <sheetData sheetId="6164">
        <row r="7">
          <cell r="E7" t="str">
            <v>PT. DANONE BISCUITS INDONESIA</v>
          </cell>
        </row>
      </sheetData>
      <sheetData sheetId="6165">
        <row r="7">
          <cell r="E7" t="str">
            <v>PT. DANONE BISCUITS INDONESIA</v>
          </cell>
        </row>
      </sheetData>
      <sheetData sheetId="6166">
        <row r="7">
          <cell r="E7" t="str">
            <v>PT. DANONE BISCUITS INDONESIA</v>
          </cell>
        </row>
      </sheetData>
      <sheetData sheetId="6167">
        <row r="7">
          <cell r="E7" t="str">
            <v>PT. DANONE BISCUITS INDONESIA</v>
          </cell>
        </row>
      </sheetData>
      <sheetData sheetId="6168">
        <row r="7">
          <cell r="E7" t="str">
            <v>PT. DANONE BISCUITS INDONESIA</v>
          </cell>
        </row>
      </sheetData>
      <sheetData sheetId="6169">
        <row r="7">
          <cell r="E7" t="str">
            <v>PT. DANONE BISCUITS INDONESIA</v>
          </cell>
        </row>
      </sheetData>
      <sheetData sheetId="6170">
        <row r="7">
          <cell r="E7" t="str">
            <v>PT. DANONE BISCUITS INDONESIA</v>
          </cell>
        </row>
      </sheetData>
      <sheetData sheetId="6171">
        <row r="7">
          <cell r="E7" t="str">
            <v>PT. DANONE BISCUITS INDONESIA</v>
          </cell>
        </row>
      </sheetData>
      <sheetData sheetId="6172">
        <row r="7">
          <cell r="E7" t="str">
            <v>PT. DANONE BISCUITS INDONESIA</v>
          </cell>
        </row>
      </sheetData>
      <sheetData sheetId="6173">
        <row r="7">
          <cell r="E7" t="str">
            <v>PT. DANONE BISCUITS INDONESIA</v>
          </cell>
        </row>
      </sheetData>
      <sheetData sheetId="6174">
        <row r="7">
          <cell r="E7" t="str">
            <v>PT. DANONE BISCUITS INDONESIA</v>
          </cell>
        </row>
      </sheetData>
      <sheetData sheetId="6175">
        <row r="7">
          <cell r="E7" t="str">
            <v>PT. DANONE BISCUITS INDONESIA</v>
          </cell>
        </row>
      </sheetData>
      <sheetData sheetId="6176">
        <row r="7">
          <cell r="E7" t="str">
            <v>PT. DANONE BISCUITS INDONESIA</v>
          </cell>
        </row>
      </sheetData>
      <sheetData sheetId="6177">
        <row r="7">
          <cell r="E7" t="str">
            <v>PT. DANONE BISCUITS INDONESIA</v>
          </cell>
        </row>
      </sheetData>
      <sheetData sheetId="6178">
        <row r="7">
          <cell r="E7" t="str">
            <v>PT. DANONE BISCUITS INDONESIA</v>
          </cell>
        </row>
      </sheetData>
      <sheetData sheetId="6179">
        <row r="7">
          <cell r="E7" t="str">
            <v>PT. DANONE BISCUITS INDONESIA</v>
          </cell>
        </row>
      </sheetData>
      <sheetData sheetId="6180">
        <row r="7">
          <cell r="E7" t="str">
            <v>PT. DANONE BISCUITS INDONESIA</v>
          </cell>
        </row>
      </sheetData>
      <sheetData sheetId="6181">
        <row r="7">
          <cell r="E7" t="str">
            <v>PT. DANONE BISCUITS INDONESIA</v>
          </cell>
        </row>
      </sheetData>
      <sheetData sheetId="6182">
        <row r="7">
          <cell r="E7" t="str">
            <v>PT. DANONE BISCUITS INDONESIA</v>
          </cell>
        </row>
      </sheetData>
      <sheetData sheetId="6183">
        <row r="7">
          <cell r="E7" t="str">
            <v>PT. DANONE BISCUITS INDONESIA</v>
          </cell>
        </row>
      </sheetData>
      <sheetData sheetId="6184">
        <row r="7">
          <cell r="E7" t="str">
            <v>PT. DANONE BISCUITS INDONESIA</v>
          </cell>
        </row>
      </sheetData>
      <sheetData sheetId="6185">
        <row r="7">
          <cell r="E7" t="str">
            <v>PT. DANONE BISCUITS INDONESIA</v>
          </cell>
        </row>
      </sheetData>
      <sheetData sheetId="6186">
        <row r="7">
          <cell r="E7" t="str">
            <v>PT. DANONE BISCUITS INDONESIA</v>
          </cell>
        </row>
      </sheetData>
      <sheetData sheetId="6187">
        <row r="7">
          <cell r="E7" t="str">
            <v>PT. DANONE BISCUITS INDONESIA</v>
          </cell>
        </row>
      </sheetData>
      <sheetData sheetId="6188">
        <row r="7">
          <cell r="E7" t="str">
            <v>PT. DANONE BISCUITS INDONESIA</v>
          </cell>
        </row>
      </sheetData>
      <sheetData sheetId="6189">
        <row r="7">
          <cell r="E7" t="str">
            <v>PT. DANONE BISCUITS INDONESIA</v>
          </cell>
        </row>
      </sheetData>
      <sheetData sheetId="6190">
        <row r="7">
          <cell r="E7" t="str">
            <v>PT. DANONE BISCUITS INDONESIA</v>
          </cell>
        </row>
      </sheetData>
      <sheetData sheetId="6191">
        <row r="7">
          <cell r="E7" t="str">
            <v>PT. DANONE BISCUITS INDONESIA</v>
          </cell>
        </row>
      </sheetData>
      <sheetData sheetId="6192">
        <row r="7">
          <cell r="E7" t="str">
            <v>PT. DANONE BISCUITS INDONESIA</v>
          </cell>
        </row>
      </sheetData>
      <sheetData sheetId="6193">
        <row r="7">
          <cell r="E7" t="str">
            <v>PT. DANONE BISCUITS INDONESIA</v>
          </cell>
        </row>
      </sheetData>
      <sheetData sheetId="6194">
        <row r="7">
          <cell r="E7" t="str">
            <v>PT. DANONE BISCUITS INDONESIA</v>
          </cell>
        </row>
      </sheetData>
      <sheetData sheetId="6195">
        <row r="7">
          <cell r="E7" t="str">
            <v>PT. DANONE BISCUITS INDONESIA</v>
          </cell>
        </row>
      </sheetData>
      <sheetData sheetId="6196">
        <row r="7">
          <cell r="E7" t="str">
            <v>PT. DANONE BISCUITS INDONESIA</v>
          </cell>
        </row>
      </sheetData>
      <sheetData sheetId="6197">
        <row r="7">
          <cell r="E7" t="str">
            <v>PT. DANONE BISCUITS INDONESIA</v>
          </cell>
        </row>
      </sheetData>
      <sheetData sheetId="6198">
        <row r="7">
          <cell r="E7" t="str">
            <v>PT. DANONE BISCUITS INDONESIA</v>
          </cell>
        </row>
      </sheetData>
      <sheetData sheetId="6199">
        <row r="7">
          <cell r="E7" t="str">
            <v>PT. DANONE BISCUITS INDONESIA</v>
          </cell>
        </row>
      </sheetData>
      <sheetData sheetId="6200">
        <row r="7">
          <cell r="E7" t="str">
            <v>PT. DANONE BISCUITS INDONESIA</v>
          </cell>
        </row>
      </sheetData>
      <sheetData sheetId="6201">
        <row r="7">
          <cell r="E7" t="str">
            <v>PT. DANONE BISCUITS INDONESIA</v>
          </cell>
        </row>
      </sheetData>
      <sheetData sheetId="6202">
        <row r="7">
          <cell r="E7" t="str">
            <v>PT. DANONE BISCUITS INDONESIA</v>
          </cell>
        </row>
      </sheetData>
      <sheetData sheetId="6203">
        <row r="7">
          <cell r="E7" t="str">
            <v>PT. DANONE BISCUITS INDONESIA</v>
          </cell>
        </row>
      </sheetData>
      <sheetData sheetId="6204">
        <row r="7">
          <cell r="E7" t="str">
            <v>PT. DANONE BISCUITS INDONESIA</v>
          </cell>
        </row>
      </sheetData>
      <sheetData sheetId="6205">
        <row r="7">
          <cell r="E7" t="str">
            <v>PT. DANONE BISCUITS INDONESIA</v>
          </cell>
        </row>
      </sheetData>
      <sheetData sheetId="6206">
        <row r="7">
          <cell r="E7" t="str">
            <v>PT. DANONE BISCUITS INDONESIA</v>
          </cell>
        </row>
      </sheetData>
      <sheetData sheetId="6207">
        <row r="7">
          <cell r="E7" t="str">
            <v>PT. DANONE BISCUITS INDONESIA</v>
          </cell>
        </row>
      </sheetData>
      <sheetData sheetId="6208">
        <row r="7">
          <cell r="E7" t="str">
            <v>PT. DANONE BISCUITS INDONESIA</v>
          </cell>
        </row>
      </sheetData>
      <sheetData sheetId="6209">
        <row r="7">
          <cell r="E7" t="str">
            <v>PT. DANONE BISCUITS INDONESIA</v>
          </cell>
        </row>
      </sheetData>
      <sheetData sheetId="6210">
        <row r="7">
          <cell r="E7" t="str">
            <v>PT. DANONE BISCUITS INDONESIA</v>
          </cell>
        </row>
      </sheetData>
      <sheetData sheetId="6211">
        <row r="7">
          <cell r="E7" t="str">
            <v>PT. DANONE BISCUITS INDONESIA</v>
          </cell>
        </row>
      </sheetData>
      <sheetData sheetId="6212">
        <row r="7">
          <cell r="E7" t="str">
            <v>PT. DANONE BISCUITS INDONESIA</v>
          </cell>
        </row>
      </sheetData>
      <sheetData sheetId="6213">
        <row r="7">
          <cell r="E7" t="str">
            <v>PT. DANONE BISCUITS INDONESIA</v>
          </cell>
        </row>
      </sheetData>
      <sheetData sheetId="6214">
        <row r="7">
          <cell r="E7" t="str">
            <v>PT. DANONE BISCUITS INDONESIA</v>
          </cell>
        </row>
      </sheetData>
      <sheetData sheetId="6215">
        <row r="7">
          <cell r="E7" t="str">
            <v>PT. DANONE BISCUITS INDONESIA</v>
          </cell>
        </row>
      </sheetData>
      <sheetData sheetId="6216">
        <row r="7">
          <cell r="E7" t="str">
            <v>PT. DANONE BISCUITS INDONESIA</v>
          </cell>
        </row>
      </sheetData>
      <sheetData sheetId="6217">
        <row r="7">
          <cell r="E7" t="str">
            <v>PT. DANONE BISCUITS INDONESIA</v>
          </cell>
        </row>
      </sheetData>
      <sheetData sheetId="6218">
        <row r="7">
          <cell r="E7" t="str">
            <v>PT. DANONE BISCUITS INDONESIA</v>
          </cell>
        </row>
      </sheetData>
      <sheetData sheetId="6219">
        <row r="7">
          <cell r="E7" t="str">
            <v>PT. DANONE BISCUITS INDONESIA</v>
          </cell>
        </row>
      </sheetData>
      <sheetData sheetId="6220">
        <row r="7">
          <cell r="E7" t="str">
            <v>PT. DANONE BISCUITS INDONESIA</v>
          </cell>
        </row>
      </sheetData>
      <sheetData sheetId="6221">
        <row r="7">
          <cell r="E7" t="str">
            <v>PT. DANONE BISCUITS INDONESIA</v>
          </cell>
        </row>
      </sheetData>
      <sheetData sheetId="6222">
        <row r="7">
          <cell r="E7" t="str">
            <v>PT. DANONE BISCUITS INDONESIA</v>
          </cell>
        </row>
      </sheetData>
      <sheetData sheetId="6223">
        <row r="7">
          <cell r="E7" t="str">
            <v>PT. DANONE BISCUITS INDONESIA</v>
          </cell>
        </row>
      </sheetData>
      <sheetData sheetId="6224">
        <row r="7">
          <cell r="E7" t="str">
            <v>PT. DANONE BISCUITS INDONESIA</v>
          </cell>
        </row>
      </sheetData>
      <sheetData sheetId="6225">
        <row r="7">
          <cell r="E7" t="str">
            <v>PT. DANONE BISCUITS INDONESIA</v>
          </cell>
        </row>
      </sheetData>
      <sheetData sheetId="6226">
        <row r="7">
          <cell r="E7" t="str">
            <v>PT. DANONE BISCUITS INDONESIA</v>
          </cell>
        </row>
      </sheetData>
      <sheetData sheetId="6227">
        <row r="7">
          <cell r="E7" t="str">
            <v>PT. DANONE BISCUITS INDONESIA</v>
          </cell>
        </row>
      </sheetData>
      <sheetData sheetId="6228">
        <row r="7">
          <cell r="E7" t="str">
            <v>PT. DANONE BISCUITS INDONESIA</v>
          </cell>
        </row>
      </sheetData>
      <sheetData sheetId="6229">
        <row r="7">
          <cell r="E7" t="str">
            <v>PT. DANONE BISCUITS INDONESIA</v>
          </cell>
        </row>
      </sheetData>
      <sheetData sheetId="6230">
        <row r="7">
          <cell r="E7" t="str">
            <v>PT. DANONE BISCUITS INDONESIA</v>
          </cell>
        </row>
      </sheetData>
      <sheetData sheetId="6231">
        <row r="7">
          <cell r="E7" t="str">
            <v>PT. DANONE BISCUITS INDONESIA</v>
          </cell>
        </row>
      </sheetData>
      <sheetData sheetId="6232">
        <row r="7">
          <cell r="E7" t="str">
            <v>PT. DANONE BISCUITS INDONESIA</v>
          </cell>
        </row>
      </sheetData>
      <sheetData sheetId="6233">
        <row r="7">
          <cell r="E7" t="str">
            <v>PT. DANONE BISCUITS INDONESIA</v>
          </cell>
        </row>
      </sheetData>
      <sheetData sheetId="6234">
        <row r="7">
          <cell r="E7" t="str">
            <v>PT. DANONE BISCUITS INDONESIA</v>
          </cell>
        </row>
      </sheetData>
      <sheetData sheetId="6235">
        <row r="7">
          <cell r="E7" t="str">
            <v>PT. DANONE BISCUITS INDONESIA</v>
          </cell>
        </row>
      </sheetData>
      <sheetData sheetId="6236">
        <row r="7">
          <cell r="E7" t="str">
            <v>PT. DANONE BISCUITS INDONESIA</v>
          </cell>
        </row>
      </sheetData>
      <sheetData sheetId="6237">
        <row r="7">
          <cell r="E7" t="str">
            <v>PT. DANONE BISCUITS INDONESIA</v>
          </cell>
        </row>
      </sheetData>
      <sheetData sheetId="6238">
        <row r="7">
          <cell r="E7" t="str">
            <v>PT. DANONE BISCUITS INDONESIA</v>
          </cell>
        </row>
      </sheetData>
      <sheetData sheetId="6239">
        <row r="7">
          <cell r="E7" t="str">
            <v>PT. DANONE BISCUITS INDONESIA</v>
          </cell>
        </row>
      </sheetData>
      <sheetData sheetId="6240">
        <row r="7">
          <cell r="E7" t="str">
            <v>PT. DANONE BISCUITS INDONESIA</v>
          </cell>
        </row>
      </sheetData>
      <sheetData sheetId="6241">
        <row r="7">
          <cell r="E7" t="str">
            <v>PT. DANONE BISCUITS INDONESIA</v>
          </cell>
        </row>
      </sheetData>
      <sheetData sheetId="6242">
        <row r="7">
          <cell r="E7" t="str">
            <v>PT. DANONE BISCUITS INDONESIA</v>
          </cell>
        </row>
      </sheetData>
      <sheetData sheetId="6243">
        <row r="7">
          <cell r="E7" t="str">
            <v>PT. DANONE BISCUITS INDONESIA</v>
          </cell>
        </row>
      </sheetData>
      <sheetData sheetId="6244">
        <row r="7">
          <cell r="E7" t="str">
            <v>PT. DANONE BISCUITS INDONESIA</v>
          </cell>
        </row>
      </sheetData>
      <sheetData sheetId="6245">
        <row r="7">
          <cell r="E7" t="str">
            <v>PT. DANONE BISCUITS INDONESIA</v>
          </cell>
        </row>
      </sheetData>
      <sheetData sheetId="6246">
        <row r="7">
          <cell r="E7" t="str">
            <v>PT. DANONE BISCUITS INDONESIA</v>
          </cell>
        </row>
      </sheetData>
      <sheetData sheetId="6247">
        <row r="7">
          <cell r="E7" t="str">
            <v>PT. DANONE BISCUITS INDONESIA</v>
          </cell>
        </row>
      </sheetData>
      <sheetData sheetId="6248">
        <row r="7">
          <cell r="E7" t="str">
            <v>PT. DANONE BISCUITS INDONESIA</v>
          </cell>
        </row>
      </sheetData>
      <sheetData sheetId="6249">
        <row r="7">
          <cell r="E7" t="str">
            <v>PT. DANONE BISCUITS INDONESIA</v>
          </cell>
        </row>
      </sheetData>
      <sheetData sheetId="6250">
        <row r="7">
          <cell r="E7" t="str">
            <v>PT. DANONE BISCUITS INDONESIA</v>
          </cell>
        </row>
      </sheetData>
      <sheetData sheetId="6251">
        <row r="7">
          <cell r="E7" t="str">
            <v>PT. DANONE BISCUITS INDONESIA</v>
          </cell>
        </row>
      </sheetData>
      <sheetData sheetId="6252">
        <row r="7">
          <cell r="E7" t="str">
            <v>PT. DANONE BISCUITS INDONESIA</v>
          </cell>
        </row>
      </sheetData>
      <sheetData sheetId="6253">
        <row r="7">
          <cell r="E7" t="str">
            <v>PT. DANONE BISCUITS INDONESIA</v>
          </cell>
        </row>
      </sheetData>
      <sheetData sheetId="6254">
        <row r="7">
          <cell r="E7" t="str">
            <v>PT. DANONE BISCUITS INDONESIA</v>
          </cell>
        </row>
      </sheetData>
      <sheetData sheetId="6255">
        <row r="7">
          <cell r="E7" t="str">
            <v>PT. DANONE BISCUITS INDONESIA</v>
          </cell>
        </row>
      </sheetData>
      <sheetData sheetId="6256">
        <row r="7">
          <cell r="E7" t="str">
            <v>PT. DANONE BISCUITS INDONESIA</v>
          </cell>
        </row>
      </sheetData>
      <sheetData sheetId="6257">
        <row r="7">
          <cell r="E7" t="str">
            <v>PT. DANONE BISCUITS INDONESIA</v>
          </cell>
        </row>
      </sheetData>
      <sheetData sheetId="6258">
        <row r="7">
          <cell r="E7" t="str">
            <v>PT. DANONE BISCUITS INDONESIA</v>
          </cell>
        </row>
      </sheetData>
      <sheetData sheetId="6259">
        <row r="7">
          <cell r="E7" t="str">
            <v>PT. DANONE BISCUITS INDONESIA</v>
          </cell>
        </row>
      </sheetData>
      <sheetData sheetId="6260">
        <row r="7">
          <cell r="E7" t="str">
            <v>PT. DANONE BISCUITS INDONESIA</v>
          </cell>
        </row>
      </sheetData>
      <sheetData sheetId="6261">
        <row r="7">
          <cell r="E7" t="str">
            <v>PT. DANONE BISCUITS INDONESIA</v>
          </cell>
        </row>
      </sheetData>
      <sheetData sheetId="6262">
        <row r="7">
          <cell r="E7" t="str">
            <v>PT. DANONE BISCUITS INDONESIA</v>
          </cell>
        </row>
      </sheetData>
      <sheetData sheetId="6263">
        <row r="7">
          <cell r="E7" t="str">
            <v>PT. DANONE BISCUITS INDONESIA</v>
          </cell>
        </row>
      </sheetData>
      <sheetData sheetId="6264">
        <row r="7">
          <cell r="E7" t="str">
            <v>PT. DANONE BISCUITS INDONESIA</v>
          </cell>
        </row>
      </sheetData>
      <sheetData sheetId="6265">
        <row r="7">
          <cell r="E7" t="str">
            <v>PT. DANONE BISCUITS INDONESIA</v>
          </cell>
        </row>
      </sheetData>
      <sheetData sheetId="6266">
        <row r="7">
          <cell r="E7" t="str">
            <v>PT. DANONE BISCUITS INDONESIA</v>
          </cell>
        </row>
      </sheetData>
      <sheetData sheetId="6267">
        <row r="7">
          <cell r="E7" t="str">
            <v>PT. DANONE BISCUITS INDONESIA</v>
          </cell>
        </row>
      </sheetData>
      <sheetData sheetId="6268">
        <row r="7">
          <cell r="E7" t="str">
            <v>PT. DANONE BISCUITS INDONESIA</v>
          </cell>
        </row>
      </sheetData>
      <sheetData sheetId="6269">
        <row r="7">
          <cell r="E7" t="str">
            <v>PT. DANONE BISCUITS INDONESIA</v>
          </cell>
        </row>
      </sheetData>
      <sheetData sheetId="6270">
        <row r="7">
          <cell r="E7" t="str">
            <v>PT. DANONE BISCUITS INDONESIA</v>
          </cell>
        </row>
      </sheetData>
      <sheetData sheetId="6271">
        <row r="7">
          <cell r="E7" t="str">
            <v>PT. DANONE BISCUITS INDONESIA</v>
          </cell>
        </row>
      </sheetData>
      <sheetData sheetId="6272">
        <row r="7">
          <cell r="E7" t="str">
            <v>PT. DANONE BISCUITS INDONESIA</v>
          </cell>
        </row>
      </sheetData>
      <sheetData sheetId="6273">
        <row r="7">
          <cell r="E7" t="str">
            <v>PT. DANONE BISCUITS INDONESIA</v>
          </cell>
        </row>
      </sheetData>
      <sheetData sheetId="6274">
        <row r="7">
          <cell r="E7" t="str">
            <v>PT. DANONE BISCUITS INDONESIA</v>
          </cell>
        </row>
      </sheetData>
      <sheetData sheetId="6275">
        <row r="7">
          <cell r="E7" t="str">
            <v>PT. DANONE BISCUITS INDONESIA</v>
          </cell>
        </row>
      </sheetData>
      <sheetData sheetId="6276">
        <row r="7">
          <cell r="E7" t="str">
            <v>PT. DANONE BISCUITS INDONESIA</v>
          </cell>
        </row>
      </sheetData>
      <sheetData sheetId="6277">
        <row r="7">
          <cell r="E7" t="str">
            <v>PT. DANONE BISCUITS INDONESIA</v>
          </cell>
        </row>
      </sheetData>
      <sheetData sheetId="6278">
        <row r="7">
          <cell r="E7" t="str">
            <v>PT. DANONE BISCUITS INDONESIA</v>
          </cell>
        </row>
      </sheetData>
      <sheetData sheetId="6279">
        <row r="7">
          <cell r="E7" t="str">
            <v>PT. DANONE BISCUITS INDONESIA</v>
          </cell>
        </row>
      </sheetData>
      <sheetData sheetId="6280">
        <row r="7">
          <cell r="E7" t="str">
            <v>PT. DANONE BISCUITS INDONESIA</v>
          </cell>
        </row>
      </sheetData>
      <sheetData sheetId="6281">
        <row r="7">
          <cell r="E7" t="str">
            <v>PT. DANONE BISCUITS INDONESIA</v>
          </cell>
        </row>
      </sheetData>
      <sheetData sheetId="6282">
        <row r="7">
          <cell r="E7" t="str">
            <v>PT. DANONE BISCUITS INDONESIA</v>
          </cell>
        </row>
      </sheetData>
      <sheetData sheetId="6283">
        <row r="7">
          <cell r="E7" t="str">
            <v>PT. DANONE BISCUITS INDONESIA</v>
          </cell>
        </row>
      </sheetData>
      <sheetData sheetId="6284">
        <row r="7">
          <cell r="E7" t="str">
            <v>PT. DANONE BISCUITS INDONESIA</v>
          </cell>
        </row>
      </sheetData>
      <sheetData sheetId="6285">
        <row r="7">
          <cell r="E7" t="str">
            <v>PT. DANONE BISCUITS INDONESIA</v>
          </cell>
        </row>
      </sheetData>
      <sheetData sheetId="6286">
        <row r="7">
          <cell r="E7" t="str">
            <v>PT. DANONE BISCUITS INDONESIA</v>
          </cell>
        </row>
      </sheetData>
      <sheetData sheetId="6287">
        <row r="7">
          <cell r="E7" t="str">
            <v>PT. DANONE BISCUITS INDONESIA</v>
          </cell>
        </row>
      </sheetData>
      <sheetData sheetId="6288">
        <row r="7">
          <cell r="E7" t="str">
            <v>PT. DANONE BISCUITS INDONESIA</v>
          </cell>
        </row>
      </sheetData>
      <sheetData sheetId="6289">
        <row r="7">
          <cell r="E7" t="str">
            <v>PT. DANONE BISCUITS INDONESIA</v>
          </cell>
        </row>
      </sheetData>
      <sheetData sheetId="6290">
        <row r="7">
          <cell r="E7" t="str">
            <v>PT. DANONE BISCUITS INDONESIA</v>
          </cell>
        </row>
      </sheetData>
      <sheetData sheetId="6291">
        <row r="7">
          <cell r="E7" t="str">
            <v>PT. DANONE BISCUITS INDONESIA</v>
          </cell>
        </row>
      </sheetData>
      <sheetData sheetId="6292">
        <row r="7">
          <cell r="E7" t="str">
            <v>PT. DANONE BISCUITS INDONESIA</v>
          </cell>
        </row>
      </sheetData>
      <sheetData sheetId="6293">
        <row r="7">
          <cell r="E7" t="str">
            <v>PT. DANONE BISCUITS INDONESIA</v>
          </cell>
        </row>
      </sheetData>
      <sheetData sheetId="6294">
        <row r="7">
          <cell r="E7" t="str">
            <v>PT. DANONE BISCUITS INDONESIA</v>
          </cell>
        </row>
      </sheetData>
      <sheetData sheetId="6295">
        <row r="7">
          <cell r="E7" t="str">
            <v>PT. DANONE BISCUITS INDONESIA</v>
          </cell>
        </row>
      </sheetData>
      <sheetData sheetId="6296">
        <row r="7">
          <cell r="E7" t="str">
            <v>PT. DANONE BISCUITS INDONESIA</v>
          </cell>
        </row>
      </sheetData>
      <sheetData sheetId="6297">
        <row r="7">
          <cell r="E7" t="str">
            <v>PT. DANONE BISCUITS INDONESIA</v>
          </cell>
        </row>
      </sheetData>
      <sheetData sheetId="6298">
        <row r="7">
          <cell r="E7" t="str">
            <v>PT. DANONE BISCUITS INDONESIA</v>
          </cell>
        </row>
      </sheetData>
      <sheetData sheetId="6299">
        <row r="7">
          <cell r="E7" t="str">
            <v>PT. DANONE BISCUITS INDONESIA</v>
          </cell>
        </row>
      </sheetData>
      <sheetData sheetId="6300">
        <row r="7">
          <cell r="E7" t="str">
            <v>PT. DANONE BISCUITS INDONESIA</v>
          </cell>
        </row>
      </sheetData>
      <sheetData sheetId="6301">
        <row r="7">
          <cell r="E7" t="str">
            <v>PT. DANONE BISCUITS INDONESIA</v>
          </cell>
        </row>
      </sheetData>
      <sheetData sheetId="6302">
        <row r="7">
          <cell r="E7" t="str">
            <v>PT. DANONE BISCUITS INDONESIA</v>
          </cell>
        </row>
      </sheetData>
      <sheetData sheetId="6303">
        <row r="7">
          <cell r="E7" t="str">
            <v>PT. DANONE BISCUITS INDONESIA</v>
          </cell>
        </row>
      </sheetData>
      <sheetData sheetId="6304">
        <row r="7">
          <cell r="E7" t="str">
            <v>PT. DANONE BISCUITS INDONESIA</v>
          </cell>
        </row>
      </sheetData>
      <sheetData sheetId="6305">
        <row r="7">
          <cell r="E7" t="str">
            <v>PT. DANONE BISCUITS INDONESIA</v>
          </cell>
        </row>
      </sheetData>
      <sheetData sheetId="6306">
        <row r="7">
          <cell r="E7" t="str">
            <v>PT. DANONE BISCUITS INDONESIA</v>
          </cell>
        </row>
      </sheetData>
      <sheetData sheetId="6307">
        <row r="7">
          <cell r="E7" t="str">
            <v>PT. DANONE BISCUITS INDONESIA</v>
          </cell>
        </row>
      </sheetData>
      <sheetData sheetId="6308">
        <row r="7">
          <cell r="E7" t="str">
            <v>PT. DANONE BISCUITS INDONESIA</v>
          </cell>
        </row>
      </sheetData>
      <sheetData sheetId="6309">
        <row r="7">
          <cell r="E7" t="str">
            <v>PT. DANONE BISCUITS INDONESIA</v>
          </cell>
        </row>
      </sheetData>
      <sheetData sheetId="6310">
        <row r="7">
          <cell r="E7" t="str">
            <v>PT. DANONE BISCUITS INDONESIA</v>
          </cell>
        </row>
      </sheetData>
      <sheetData sheetId="6311">
        <row r="7">
          <cell r="E7" t="str">
            <v>PT. DANONE BISCUITS INDONESIA</v>
          </cell>
        </row>
      </sheetData>
      <sheetData sheetId="6312">
        <row r="7">
          <cell r="E7" t="str">
            <v>PT. DANONE BISCUITS INDONESIA</v>
          </cell>
        </row>
      </sheetData>
      <sheetData sheetId="6313">
        <row r="7">
          <cell r="E7" t="str">
            <v>PT. DANONE BISCUITS INDONESIA</v>
          </cell>
        </row>
      </sheetData>
      <sheetData sheetId="6314">
        <row r="7">
          <cell r="E7" t="str">
            <v>PT. DANONE BISCUITS INDONESIA</v>
          </cell>
        </row>
      </sheetData>
      <sheetData sheetId="6315">
        <row r="7">
          <cell r="E7" t="str">
            <v>PT. DANONE BISCUITS INDONESIA</v>
          </cell>
        </row>
      </sheetData>
      <sheetData sheetId="6316">
        <row r="7">
          <cell r="E7" t="str">
            <v>PT. DANONE BISCUITS INDONESIA</v>
          </cell>
        </row>
      </sheetData>
      <sheetData sheetId="6317">
        <row r="7">
          <cell r="E7" t="str">
            <v>PT. DANONE BISCUITS INDONESIA</v>
          </cell>
        </row>
      </sheetData>
      <sheetData sheetId="6318">
        <row r="7">
          <cell r="E7" t="str">
            <v>PT. DANONE BISCUITS INDONESIA</v>
          </cell>
        </row>
      </sheetData>
      <sheetData sheetId="6319">
        <row r="7">
          <cell r="E7" t="str">
            <v>PT. DANONE BISCUITS INDONESIA</v>
          </cell>
        </row>
      </sheetData>
      <sheetData sheetId="6320">
        <row r="7">
          <cell r="E7" t="str">
            <v>PT. DANONE BISCUITS INDONESIA</v>
          </cell>
        </row>
      </sheetData>
      <sheetData sheetId="6321">
        <row r="7">
          <cell r="E7" t="str">
            <v>PT. DANONE BISCUITS INDONESIA</v>
          </cell>
        </row>
      </sheetData>
      <sheetData sheetId="6322">
        <row r="7">
          <cell r="E7" t="str">
            <v>PT. DANONE BISCUITS INDONESIA</v>
          </cell>
        </row>
      </sheetData>
      <sheetData sheetId="6323">
        <row r="7">
          <cell r="E7" t="str">
            <v>PT. DANONE BISCUITS INDONESIA</v>
          </cell>
        </row>
      </sheetData>
      <sheetData sheetId="6324">
        <row r="7">
          <cell r="E7" t="str">
            <v>PT. DANONE BISCUITS INDONESIA</v>
          </cell>
        </row>
      </sheetData>
      <sheetData sheetId="6325">
        <row r="7">
          <cell r="E7" t="str">
            <v>PT. DANONE BISCUITS INDONESIA</v>
          </cell>
        </row>
      </sheetData>
      <sheetData sheetId="6326">
        <row r="7">
          <cell r="E7" t="str">
            <v>PT. DANONE BISCUITS INDONESIA</v>
          </cell>
        </row>
      </sheetData>
      <sheetData sheetId="6327">
        <row r="7">
          <cell r="E7" t="str">
            <v>PT. DANONE BISCUITS INDONESIA</v>
          </cell>
        </row>
      </sheetData>
      <sheetData sheetId="6328">
        <row r="7">
          <cell r="E7" t="str">
            <v>PT. DANONE BISCUITS INDONESIA</v>
          </cell>
        </row>
      </sheetData>
      <sheetData sheetId="6329">
        <row r="7">
          <cell r="E7" t="str">
            <v>PT. DANONE BISCUITS INDONESIA</v>
          </cell>
        </row>
      </sheetData>
      <sheetData sheetId="6330">
        <row r="7">
          <cell r="E7" t="str">
            <v>PT. DANONE BISCUITS INDONESIA</v>
          </cell>
        </row>
      </sheetData>
      <sheetData sheetId="6331">
        <row r="7">
          <cell r="E7" t="str">
            <v>PT. DANONE BISCUITS INDONESIA</v>
          </cell>
        </row>
      </sheetData>
      <sheetData sheetId="6332">
        <row r="7">
          <cell r="E7" t="str">
            <v>PT. DANONE BISCUITS INDONESIA</v>
          </cell>
        </row>
      </sheetData>
      <sheetData sheetId="6333">
        <row r="7">
          <cell r="E7" t="str">
            <v>PT. DANONE BISCUITS INDONESIA</v>
          </cell>
        </row>
      </sheetData>
      <sheetData sheetId="6334">
        <row r="7">
          <cell r="E7" t="str">
            <v>PT. DANONE BISCUITS INDONESIA</v>
          </cell>
        </row>
      </sheetData>
      <sheetData sheetId="6335">
        <row r="7">
          <cell r="E7" t="str">
            <v>PT. DANONE BISCUITS INDONESIA</v>
          </cell>
        </row>
      </sheetData>
      <sheetData sheetId="6336">
        <row r="7">
          <cell r="E7" t="str">
            <v>PT. DANONE BISCUITS INDONESIA</v>
          </cell>
        </row>
      </sheetData>
      <sheetData sheetId="6337">
        <row r="7">
          <cell r="E7" t="str">
            <v>PT. DANONE BISCUITS INDONESIA</v>
          </cell>
        </row>
      </sheetData>
      <sheetData sheetId="6338">
        <row r="7">
          <cell r="E7" t="str">
            <v>PT. DANONE BISCUITS INDONESIA</v>
          </cell>
        </row>
      </sheetData>
      <sheetData sheetId="6339">
        <row r="7">
          <cell r="E7" t="str">
            <v>PT. DANONE BISCUITS INDONESIA</v>
          </cell>
        </row>
      </sheetData>
      <sheetData sheetId="6340">
        <row r="7">
          <cell r="E7" t="str">
            <v>PT. DANONE BISCUITS INDONESIA</v>
          </cell>
        </row>
      </sheetData>
      <sheetData sheetId="6341">
        <row r="7">
          <cell r="E7" t="str">
            <v>PT. DANONE BISCUITS INDONESIA</v>
          </cell>
        </row>
      </sheetData>
      <sheetData sheetId="6342">
        <row r="7">
          <cell r="E7" t="str">
            <v>PT. DANONE BISCUITS INDONESIA</v>
          </cell>
        </row>
      </sheetData>
      <sheetData sheetId="6343">
        <row r="7">
          <cell r="E7" t="str">
            <v>PT. DANONE BISCUITS INDONESIA</v>
          </cell>
        </row>
      </sheetData>
      <sheetData sheetId="6344">
        <row r="7">
          <cell r="E7" t="str">
            <v>PT. DANONE BISCUITS INDONESIA</v>
          </cell>
        </row>
      </sheetData>
      <sheetData sheetId="6345">
        <row r="7">
          <cell r="E7" t="str">
            <v>PT. DANONE BISCUITS INDONESIA</v>
          </cell>
        </row>
      </sheetData>
      <sheetData sheetId="6346">
        <row r="7">
          <cell r="E7" t="str">
            <v>PT. DANONE BISCUITS INDONESIA</v>
          </cell>
        </row>
      </sheetData>
      <sheetData sheetId="6347">
        <row r="7">
          <cell r="E7" t="str">
            <v>PT. DANONE BISCUITS INDONESIA</v>
          </cell>
        </row>
      </sheetData>
      <sheetData sheetId="6348">
        <row r="7">
          <cell r="E7" t="str">
            <v>PT. DANONE BISCUITS INDONESIA</v>
          </cell>
        </row>
      </sheetData>
      <sheetData sheetId="6349">
        <row r="7">
          <cell r="E7" t="str">
            <v>PT. DANONE BISCUITS INDONESIA</v>
          </cell>
        </row>
      </sheetData>
      <sheetData sheetId="6350">
        <row r="7">
          <cell r="E7" t="str">
            <v>PT. DANONE BISCUITS INDONESIA</v>
          </cell>
        </row>
      </sheetData>
      <sheetData sheetId="6351">
        <row r="7">
          <cell r="E7" t="str">
            <v>PT. DANONE BISCUITS INDONESIA</v>
          </cell>
        </row>
      </sheetData>
      <sheetData sheetId="6352">
        <row r="7">
          <cell r="E7" t="str">
            <v>PT. DANONE BISCUITS INDONESIA</v>
          </cell>
        </row>
      </sheetData>
      <sheetData sheetId="6353">
        <row r="7">
          <cell r="E7" t="str">
            <v>PT. DANONE BISCUITS INDONESIA</v>
          </cell>
        </row>
      </sheetData>
      <sheetData sheetId="6354">
        <row r="7">
          <cell r="E7" t="str">
            <v>PT. DANONE BISCUITS INDONESIA</v>
          </cell>
        </row>
      </sheetData>
      <sheetData sheetId="6355">
        <row r="7">
          <cell r="E7" t="str">
            <v>PT. DANONE BISCUITS INDONESIA</v>
          </cell>
        </row>
      </sheetData>
      <sheetData sheetId="6356">
        <row r="7">
          <cell r="E7" t="str">
            <v>PT. DANONE BISCUITS INDONESIA</v>
          </cell>
        </row>
      </sheetData>
      <sheetData sheetId="6357">
        <row r="7">
          <cell r="E7" t="str">
            <v>PT. DANONE BISCUITS INDONESIA</v>
          </cell>
        </row>
      </sheetData>
      <sheetData sheetId="6358">
        <row r="7">
          <cell r="E7" t="str">
            <v>PT. DANONE BISCUITS INDONESIA</v>
          </cell>
        </row>
      </sheetData>
      <sheetData sheetId="6359">
        <row r="7">
          <cell r="E7" t="str">
            <v>PT. DANONE BISCUITS INDONESIA</v>
          </cell>
        </row>
      </sheetData>
      <sheetData sheetId="6360">
        <row r="7">
          <cell r="E7" t="str">
            <v>PT. DANONE BISCUITS INDONESIA</v>
          </cell>
        </row>
      </sheetData>
      <sheetData sheetId="6361">
        <row r="7">
          <cell r="E7" t="str">
            <v>PT. DANONE BISCUITS INDONESIA</v>
          </cell>
        </row>
      </sheetData>
      <sheetData sheetId="6362">
        <row r="7">
          <cell r="E7" t="str">
            <v>PT. DANONE BISCUITS INDONESIA</v>
          </cell>
        </row>
      </sheetData>
      <sheetData sheetId="6363">
        <row r="7">
          <cell r="E7" t="str">
            <v>PT. DANONE BISCUITS INDONESIA</v>
          </cell>
        </row>
      </sheetData>
      <sheetData sheetId="6364">
        <row r="7">
          <cell r="E7" t="str">
            <v>PT. DANONE BISCUITS INDONESIA</v>
          </cell>
        </row>
      </sheetData>
      <sheetData sheetId="6365">
        <row r="7">
          <cell r="E7" t="str">
            <v>PT. DANONE BISCUITS INDONESIA</v>
          </cell>
        </row>
      </sheetData>
      <sheetData sheetId="6366">
        <row r="7">
          <cell r="E7" t="str">
            <v>PT. DANONE BISCUITS INDONESIA</v>
          </cell>
        </row>
      </sheetData>
      <sheetData sheetId="6367">
        <row r="7">
          <cell r="E7" t="str">
            <v>PT. DANONE BISCUITS INDONESIA</v>
          </cell>
        </row>
      </sheetData>
      <sheetData sheetId="6368">
        <row r="7">
          <cell r="E7" t="str">
            <v>PT. DANONE BISCUITS INDONESIA</v>
          </cell>
        </row>
      </sheetData>
      <sheetData sheetId="6369">
        <row r="7">
          <cell r="E7" t="str">
            <v>PT. DANONE BISCUITS INDONESIA</v>
          </cell>
        </row>
      </sheetData>
      <sheetData sheetId="6370">
        <row r="7">
          <cell r="E7" t="str">
            <v>PT. DANONE BISCUITS INDONESIA</v>
          </cell>
        </row>
      </sheetData>
      <sheetData sheetId="6371">
        <row r="7">
          <cell r="E7" t="str">
            <v>PT. DANONE BISCUITS INDONESIA</v>
          </cell>
        </row>
      </sheetData>
      <sheetData sheetId="6372">
        <row r="7">
          <cell r="E7" t="str">
            <v>PT. DANONE BISCUITS INDONESIA</v>
          </cell>
        </row>
      </sheetData>
      <sheetData sheetId="6373">
        <row r="7">
          <cell r="E7" t="str">
            <v>PT. DANONE BISCUITS INDONESIA</v>
          </cell>
        </row>
      </sheetData>
      <sheetData sheetId="6374">
        <row r="7">
          <cell r="E7" t="str">
            <v>PT. DANONE BISCUITS INDONESIA</v>
          </cell>
        </row>
      </sheetData>
      <sheetData sheetId="6375">
        <row r="7">
          <cell r="E7" t="str">
            <v>PT. DANONE BISCUITS INDONESIA</v>
          </cell>
        </row>
      </sheetData>
      <sheetData sheetId="6376">
        <row r="7">
          <cell r="E7" t="str">
            <v>PT. DANONE BISCUITS INDONESIA</v>
          </cell>
        </row>
      </sheetData>
      <sheetData sheetId="6377">
        <row r="7">
          <cell r="E7" t="str">
            <v>PT. DANONE BISCUITS INDONESIA</v>
          </cell>
        </row>
      </sheetData>
      <sheetData sheetId="6378">
        <row r="7">
          <cell r="E7" t="str">
            <v>PT. DANONE BISCUITS INDONESIA</v>
          </cell>
        </row>
      </sheetData>
      <sheetData sheetId="6379">
        <row r="7">
          <cell r="E7" t="str">
            <v>PT. DANONE BISCUITS INDONESIA</v>
          </cell>
        </row>
      </sheetData>
      <sheetData sheetId="6380">
        <row r="7">
          <cell r="E7" t="str">
            <v>PT. DANONE BISCUITS INDONESIA</v>
          </cell>
        </row>
      </sheetData>
      <sheetData sheetId="6381">
        <row r="7">
          <cell r="E7" t="str">
            <v>PT. DANONE BISCUITS INDONESIA</v>
          </cell>
        </row>
      </sheetData>
      <sheetData sheetId="6382">
        <row r="7">
          <cell r="E7" t="str">
            <v>PT. DANONE BISCUITS INDONESIA</v>
          </cell>
        </row>
      </sheetData>
      <sheetData sheetId="6383">
        <row r="7">
          <cell r="E7" t="str">
            <v>PT. DANONE BISCUITS INDONESIA</v>
          </cell>
        </row>
      </sheetData>
      <sheetData sheetId="6384">
        <row r="7">
          <cell r="E7" t="str">
            <v>PT. DANONE BISCUITS INDONESIA</v>
          </cell>
        </row>
      </sheetData>
      <sheetData sheetId="6385">
        <row r="7">
          <cell r="E7" t="str">
            <v>PT. DANONE BISCUITS INDONESIA</v>
          </cell>
        </row>
      </sheetData>
      <sheetData sheetId="6386">
        <row r="7">
          <cell r="E7" t="str">
            <v>PT. DANONE BISCUITS INDONESIA</v>
          </cell>
        </row>
      </sheetData>
      <sheetData sheetId="6387">
        <row r="7">
          <cell r="E7" t="str">
            <v>PT. DANONE BISCUITS INDONESIA</v>
          </cell>
        </row>
      </sheetData>
      <sheetData sheetId="6388">
        <row r="7">
          <cell r="E7" t="str">
            <v>PT. DANONE BISCUITS INDONESIA</v>
          </cell>
        </row>
      </sheetData>
      <sheetData sheetId="6389">
        <row r="7">
          <cell r="E7" t="str">
            <v>PT. DANONE BISCUITS INDONESIA</v>
          </cell>
        </row>
      </sheetData>
      <sheetData sheetId="6390">
        <row r="7">
          <cell r="E7" t="str">
            <v>PT. DANONE BISCUITS INDONESIA</v>
          </cell>
        </row>
      </sheetData>
      <sheetData sheetId="6391">
        <row r="7">
          <cell r="E7" t="str">
            <v>PT. DANONE BISCUITS INDONESIA</v>
          </cell>
        </row>
      </sheetData>
      <sheetData sheetId="6392">
        <row r="7">
          <cell r="E7" t="str">
            <v>PT. DANONE BISCUITS INDONESIA</v>
          </cell>
        </row>
      </sheetData>
      <sheetData sheetId="6393">
        <row r="7">
          <cell r="E7" t="str">
            <v>PT. DANONE BISCUITS INDONESIA</v>
          </cell>
        </row>
      </sheetData>
      <sheetData sheetId="6394">
        <row r="7">
          <cell r="E7" t="str">
            <v>PT. DANONE BISCUITS INDONESIA</v>
          </cell>
        </row>
      </sheetData>
      <sheetData sheetId="6395">
        <row r="7">
          <cell r="E7" t="str">
            <v>PT. DANONE BISCUITS INDONESIA</v>
          </cell>
        </row>
      </sheetData>
      <sheetData sheetId="6396">
        <row r="7">
          <cell r="E7" t="str">
            <v>PT. DANONE BISCUITS INDONESIA</v>
          </cell>
        </row>
      </sheetData>
      <sheetData sheetId="6397">
        <row r="7">
          <cell r="E7" t="str">
            <v>PT. DANONE BISCUITS INDONESIA</v>
          </cell>
        </row>
      </sheetData>
      <sheetData sheetId="6398">
        <row r="7">
          <cell r="E7" t="str">
            <v>PT. DANONE BISCUITS INDONESIA</v>
          </cell>
        </row>
      </sheetData>
      <sheetData sheetId="6399">
        <row r="7">
          <cell r="E7" t="str">
            <v>PT. DANONE BISCUITS INDONESIA</v>
          </cell>
        </row>
      </sheetData>
      <sheetData sheetId="6400">
        <row r="7">
          <cell r="E7" t="str">
            <v>PT. DANONE BISCUITS INDONESIA</v>
          </cell>
        </row>
      </sheetData>
      <sheetData sheetId="6401">
        <row r="7">
          <cell r="E7" t="str">
            <v>PT. DANONE BISCUITS INDONESIA</v>
          </cell>
        </row>
      </sheetData>
      <sheetData sheetId="6402">
        <row r="7">
          <cell r="E7" t="str">
            <v>PT. DANONE BISCUITS INDONESIA</v>
          </cell>
        </row>
      </sheetData>
      <sheetData sheetId="6403">
        <row r="7">
          <cell r="E7" t="str">
            <v>PT. DANONE BISCUITS INDONESIA</v>
          </cell>
        </row>
      </sheetData>
      <sheetData sheetId="6404">
        <row r="7">
          <cell r="E7" t="str">
            <v>PT. DANONE BISCUITS INDONESIA</v>
          </cell>
        </row>
      </sheetData>
      <sheetData sheetId="6405">
        <row r="7">
          <cell r="E7" t="str">
            <v>PT. DANONE BISCUITS INDONESIA</v>
          </cell>
        </row>
      </sheetData>
      <sheetData sheetId="6406">
        <row r="7">
          <cell r="E7" t="str">
            <v>PT. DANONE BISCUITS INDONESIA</v>
          </cell>
        </row>
      </sheetData>
      <sheetData sheetId="6407">
        <row r="7">
          <cell r="E7" t="str">
            <v>PT. DANONE BISCUITS INDONESIA</v>
          </cell>
        </row>
      </sheetData>
      <sheetData sheetId="6408">
        <row r="7">
          <cell r="E7" t="str">
            <v>PT. DANONE BISCUITS INDONESIA</v>
          </cell>
        </row>
      </sheetData>
      <sheetData sheetId="6409">
        <row r="7">
          <cell r="E7" t="str">
            <v>PT. DANONE BISCUITS INDONESIA</v>
          </cell>
        </row>
      </sheetData>
      <sheetData sheetId="6410">
        <row r="7">
          <cell r="E7" t="str">
            <v>PT. DANONE BISCUITS INDONESIA</v>
          </cell>
        </row>
      </sheetData>
      <sheetData sheetId="6411">
        <row r="7">
          <cell r="E7" t="str">
            <v>PT. DANONE BISCUITS INDONESIA</v>
          </cell>
        </row>
      </sheetData>
      <sheetData sheetId="6412">
        <row r="7">
          <cell r="E7" t="str">
            <v>PT. DANONE BISCUITS INDONESIA</v>
          </cell>
        </row>
      </sheetData>
      <sheetData sheetId="6413">
        <row r="7">
          <cell r="E7" t="str">
            <v>PT. DANONE BISCUITS INDONESIA</v>
          </cell>
        </row>
      </sheetData>
      <sheetData sheetId="6414">
        <row r="7">
          <cell r="E7" t="str">
            <v>PT. DANONE BISCUITS INDONESIA</v>
          </cell>
        </row>
      </sheetData>
      <sheetData sheetId="6415">
        <row r="7">
          <cell r="E7" t="str">
            <v>PT. DANONE BISCUITS INDONESIA</v>
          </cell>
        </row>
      </sheetData>
      <sheetData sheetId="6416">
        <row r="7">
          <cell r="E7" t="str">
            <v>PT. DANONE BISCUITS INDONESIA</v>
          </cell>
        </row>
      </sheetData>
      <sheetData sheetId="6417">
        <row r="7">
          <cell r="E7" t="str">
            <v>PT. DANONE BISCUITS INDONESIA</v>
          </cell>
        </row>
      </sheetData>
      <sheetData sheetId="6418">
        <row r="7">
          <cell r="E7" t="str">
            <v>PT. DANONE BISCUITS INDONESIA</v>
          </cell>
        </row>
      </sheetData>
      <sheetData sheetId="6419">
        <row r="7">
          <cell r="E7" t="str">
            <v>PT. DANONE BISCUITS INDONESIA</v>
          </cell>
        </row>
      </sheetData>
      <sheetData sheetId="6420">
        <row r="7">
          <cell r="E7" t="str">
            <v>PT. DANONE BISCUITS INDONESIA</v>
          </cell>
        </row>
      </sheetData>
      <sheetData sheetId="6421">
        <row r="7">
          <cell r="E7" t="str">
            <v>PT. DANONE BISCUITS INDONESIA</v>
          </cell>
        </row>
      </sheetData>
      <sheetData sheetId="6422">
        <row r="7">
          <cell r="E7" t="str">
            <v>PT. DANONE BISCUITS INDONESIA</v>
          </cell>
        </row>
      </sheetData>
      <sheetData sheetId="6423">
        <row r="7">
          <cell r="E7" t="str">
            <v>PT. DANONE BISCUITS INDONESIA</v>
          </cell>
        </row>
      </sheetData>
      <sheetData sheetId="6424">
        <row r="7">
          <cell r="E7" t="str">
            <v>PT. DANONE BISCUITS INDONESIA</v>
          </cell>
        </row>
      </sheetData>
      <sheetData sheetId="6425">
        <row r="7">
          <cell r="E7" t="str">
            <v>PT. DANONE BISCUITS INDONESIA</v>
          </cell>
        </row>
      </sheetData>
      <sheetData sheetId="6426">
        <row r="7">
          <cell r="E7" t="str">
            <v>PT. DANONE BISCUITS INDONESIA</v>
          </cell>
        </row>
      </sheetData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>
        <row r="7">
          <cell r="E7" t="str">
            <v>PT. DANONE BISCUITS INDONESIA</v>
          </cell>
        </row>
      </sheetData>
      <sheetData sheetId="6473">
        <row r="7">
          <cell r="E7" t="str">
            <v>PT. DANONE BISCUITS INDONESIA</v>
          </cell>
        </row>
      </sheetData>
      <sheetData sheetId="6474">
        <row r="7">
          <cell r="E7" t="str">
            <v>PT. DANONE BISCUITS INDONESIA</v>
          </cell>
        </row>
      </sheetData>
      <sheetData sheetId="6475">
        <row r="7">
          <cell r="E7" t="str">
            <v>PT. DANONE BISCUITS INDONESIA</v>
          </cell>
        </row>
      </sheetData>
      <sheetData sheetId="6476">
        <row r="7">
          <cell r="E7" t="str">
            <v>PT. DANONE BISCUITS INDONESIA</v>
          </cell>
        </row>
      </sheetData>
      <sheetData sheetId="6477">
        <row r="7">
          <cell r="E7" t="str">
            <v>PT. DANONE BISCUITS INDONESIA</v>
          </cell>
        </row>
      </sheetData>
      <sheetData sheetId="6478">
        <row r="7">
          <cell r="E7" t="str">
            <v>PT. DANONE BISCUITS INDONESIA</v>
          </cell>
        </row>
      </sheetData>
      <sheetData sheetId="6479">
        <row r="7">
          <cell r="E7" t="str">
            <v>PT. DANONE BISCUITS INDONESIA</v>
          </cell>
        </row>
      </sheetData>
      <sheetData sheetId="6480">
        <row r="7">
          <cell r="E7" t="str">
            <v>PT. DANONE BISCUITS INDONESIA</v>
          </cell>
        </row>
      </sheetData>
      <sheetData sheetId="6481">
        <row r="7">
          <cell r="E7" t="str">
            <v>PT. DANONE BISCUITS INDONESIA</v>
          </cell>
        </row>
      </sheetData>
      <sheetData sheetId="6482">
        <row r="7">
          <cell r="E7" t="str">
            <v>PT. DANONE BISCUITS INDONESIA</v>
          </cell>
        </row>
      </sheetData>
      <sheetData sheetId="6483">
        <row r="7">
          <cell r="E7" t="str">
            <v>PT. DANONE BISCUITS INDONESIA</v>
          </cell>
        </row>
      </sheetData>
      <sheetData sheetId="6484">
        <row r="7">
          <cell r="E7" t="str">
            <v>PT. DANONE BISCUITS INDONESIA</v>
          </cell>
        </row>
      </sheetData>
      <sheetData sheetId="6485">
        <row r="7">
          <cell r="E7" t="str">
            <v>PT. DANONE BISCUITS INDONESIA</v>
          </cell>
        </row>
      </sheetData>
      <sheetData sheetId="6486">
        <row r="7">
          <cell r="E7" t="str">
            <v>PT. DANONE BISCUITS INDONESIA</v>
          </cell>
        </row>
      </sheetData>
      <sheetData sheetId="6487">
        <row r="7">
          <cell r="E7" t="str">
            <v>PT. DANONE BISCUITS INDONESIA</v>
          </cell>
        </row>
      </sheetData>
      <sheetData sheetId="6488">
        <row r="7">
          <cell r="E7" t="str">
            <v>PT. DANONE BISCUITS INDONESIA</v>
          </cell>
        </row>
      </sheetData>
      <sheetData sheetId="6489">
        <row r="7">
          <cell r="E7" t="str">
            <v>PT. DANONE BISCUITS INDONESIA</v>
          </cell>
        </row>
      </sheetData>
      <sheetData sheetId="6490">
        <row r="7">
          <cell r="E7" t="str">
            <v>PT. DANONE BISCUITS INDONESIA</v>
          </cell>
        </row>
      </sheetData>
      <sheetData sheetId="6491">
        <row r="7">
          <cell r="E7" t="str">
            <v>PT. DANONE BISCUITS INDONESIA</v>
          </cell>
        </row>
      </sheetData>
      <sheetData sheetId="6492">
        <row r="7">
          <cell r="E7" t="str">
            <v>PT. DANONE BISCUITS INDONESIA</v>
          </cell>
        </row>
      </sheetData>
      <sheetData sheetId="6493">
        <row r="7">
          <cell r="E7" t="str">
            <v>PT. DANONE BISCUITS INDONESIA</v>
          </cell>
        </row>
      </sheetData>
      <sheetData sheetId="6494">
        <row r="7">
          <cell r="E7" t="str">
            <v>PT. DANONE BISCUITS INDONESIA</v>
          </cell>
        </row>
      </sheetData>
      <sheetData sheetId="6495">
        <row r="7">
          <cell r="E7" t="str">
            <v>PT. DANONE BISCUITS INDONESIA</v>
          </cell>
        </row>
      </sheetData>
      <sheetData sheetId="6496">
        <row r="7">
          <cell r="E7" t="str">
            <v>PT. DANONE BISCUITS INDONESIA</v>
          </cell>
        </row>
      </sheetData>
      <sheetData sheetId="6497">
        <row r="7">
          <cell r="E7" t="str">
            <v>PT. DANONE BISCUITS INDONESIA</v>
          </cell>
        </row>
      </sheetData>
      <sheetData sheetId="6498">
        <row r="7">
          <cell r="E7" t="str">
            <v>PT. DANONE BISCUITS INDONESIA</v>
          </cell>
        </row>
      </sheetData>
      <sheetData sheetId="6499">
        <row r="7">
          <cell r="E7" t="str">
            <v>PT. DANONE BISCUITS INDONESIA</v>
          </cell>
        </row>
      </sheetData>
      <sheetData sheetId="6500">
        <row r="7">
          <cell r="E7" t="str">
            <v>PT. DANONE BISCUITS INDONESIA</v>
          </cell>
        </row>
      </sheetData>
      <sheetData sheetId="6501">
        <row r="7">
          <cell r="E7" t="str">
            <v>PT. DANONE BISCUITS INDONESIA</v>
          </cell>
        </row>
      </sheetData>
      <sheetData sheetId="6502">
        <row r="7">
          <cell r="E7" t="str">
            <v>PT. DANONE BISCUITS INDONESIA</v>
          </cell>
        </row>
      </sheetData>
      <sheetData sheetId="6503">
        <row r="7">
          <cell r="E7" t="str">
            <v>PT. DANONE BISCUITS INDONESIA</v>
          </cell>
        </row>
      </sheetData>
      <sheetData sheetId="6504">
        <row r="7">
          <cell r="E7" t="str">
            <v>PT. DANONE BISCUITS INDONESIA</v>
          </cell>
        </row>
      </sheetData>
      <sheetData sheetId="6505">
        <row r="7">
          <cell r="E7" t="str">
            <v>PT. DANONE BISCUITS INDONESIA</v>
          </cell>
        </row>
      </sheetData>
      <sheetData sheetId="6506">
        <row r="7">
          <cell r="E7" t="str">
            <v>PT. DANONE BISCUITS INDONESIA</v>
          </cell>
        </row>
      </sheetData>
      <sheetData sheetId="6507">
        <row r="7">
          <cell r="E7" t="str">
            <v>PT. DANONE BISCUITS INDONESIA</v>
          </cell>
        </row>
      </sheetData>
      <sheetData sheetId="6508">
        <row r="7">
          <cell r="E7" t="str">
            <v>PT. DANONE BISCUITS INDONESIA</v>
          </cell>
        </row>
      </sheetData>
      <sheetData sheetId="6509">
        <row r="7">
          <cell r="E7" t="str">
            <v>PT. DANONE BISCUITS INDONESIA</v>
          </cell>
        </row>
      </sheetData>
      <sheetData sheetId="6510">
        <row r="7">
          <cell r="E7" t="str">
            <v>PT. DANONE BISCUITS INDONESIA</v>
          </cell>
        </row>
      </sheetData>
      <sheetData sheetId="6511">
        <row r="7">
          <cell r="E7" t="str">
            <v>PT. DANONE BISCUITS INDONESIA</v>
          </cell>
        </row>
      </sheetData>
      <sheetData sheetId="6512">
        <row r="7">
          <cell r="E7" t="str">
            <v>PT. DANONE BISCUITS INDONESIA</v>
          </cell>
        </row>
      </sheetData>
      <sheetData sheetId="6513">
        <row r="7">
          <cell r="E7" t="str">
            <v>PT. DANONE BISCUITS INDONESIA</v>
          </cell>
        </row>
      </sheetData>
      <sheetData sheetId="6514">
        <row r="7">
          <cell r="E7" t="str">
            <v>PT. DANONE BISCUITS INDONESIA</v>
          </cell>
        </row>
      </sheetData>
      <sheetData sheetId="6515">
        <row r="7">
          <cell r="E7" t="str">
            <v>PT. DANONE BISCUITS INDONESIA</v>
          </cell>
        </row>
      </sheetData>
      <sheetData sheetId="6516">
        <row r="7">
          <cell r="E7" t="str">
            <v>PT. DANONE BISCUITS INDONESIA</v>
          </cell>
        </row>
      </sheetData>
      <sheetData sheetId="6517">
        <row r="7">
          <cell r="E7" t="str">
            <v>PT. DANONE BISCUITS INDONESIA</v>
          </cell>
        </row>
      </sheetData>
      <sheetData sheetId="6518">
        <row r="7">
          <cell r="E7" t="str">
            <v>PT. DANONE BISCUITS INDONESIA</v>
          </cell>
        </row>
      </sheetData>
      <sheetData sheetId="6519">
        <row r="7">
          <cell r="E7" t="str">
            <v>PT. DANONE BISCUITS INDONESIA</v>
          </cell>
        </row>
      </sheetData>
      <sheetData sheetId="6520">
        <row r="7">
          <cell r="E7" t="str">
            <v>PT. DANONE BISCUITS INDONESIA</v>
          </cell>
        </row>
      </sheetData>
      <sheetData sheetId="6521">
        <row r="7">
          <cell r="E7" t="str">
            <v>PT. DANONE BISCUITS INDONESIA</v>
          </cell>
        </row>
      </sheetData>
      <sheetData sheetId="6522">
        <row r="7">
          <cell r="E7" t="str">
            <v>PT. DANONE BISCUITS INDONESIA</v>
          </cell>
        </row>
      </sheetData>
      <sheetData sheetId="6523">
        <row r="7">
          <cell r="E7" t="str">
            <v>PT. DANONE BISCUITS INDONESIA</v>
          </cell>
        </row>
      </sheetData>
      <sheetData sheetId="6524">
        <row r="7">
          <cell r="E7" t="str">
            <v>PT. DANONE BISCUITS INDONESIA</v>
          </cell>
        </row>
      </sheetData>
      <sheetData sheetId="6525">
        <row r="7">
          <cell r="E7" t="str">
            <v>PT. DANONE BISCUITS INDONESIA</v>
          </cell>
        </row>
      </sheetData>
      <sheetData sheetId="6526">
        <row r="7">
          <cell r="E7" t="str">
            <v>PT. DANONE BISCUITS INDONESIA</v>
          </cell>
        </row>
      </sheetData>
      <sheetData sheetId="6527">
        <row r="7">
          <cell r="E7" t="str">
            <v>PT. DANONE BISCUITS INDONESIA</v>
          </cell>
        </row>
      </sheetData>
      <sheetData sheetId="6528">
        <row r="7">
          <cell r="E7" t="str">
            <v>PT. DANONE BISCUITS INDONESIA</v>
          </cell>
        </row>
      </sheetData>
      <sheetData sheetId="6529">
        <row r="7">
          <cell r="E7" t="str">
            <v>PT. DANONE BISCUITS INDONESIA</v>
          </cell>
        </row>
      </sheetData>
      <sheetData sheetId="6530">
        <row r="7">
          <cell r="E7" t="str">
            <v>PT. DANONE BISCUITS INDONESIA</v>
          </cell>
        </row>
      </sheetData>
      <sheetData sheetId="6531">
        <row r="7">
          <cell r="E7" t="str">
            <v>PT. DANONE BISCUITS INDONESIA</v>
          </cell>
        </row>
      </sheetData>
      <sheetData sheetId="6532">
        <row r="7">
          <cell r="E7" t="str">
            <v>PT. DANONE BISCUITS INDONESIA</v>
          </cell>
        </row>
      </sheetData>
      <sheetData sheetId="6533">
        <row r="7">
          <cell r="E7" t="str">
            <v>PT. DANONE BISCUITS INDONESIA</v>
          </cell>
        </row>
      </sheetData>
      <sheetData sheetId="6534">
        <row r="7">
          <cell r="E7" t="str">
            <v>PT. DANONE BISCUITS INDONESIA</v>
          </cell>
        </row>
      </sheetData>
      <sheetData sheetId="6535">
        <row r="7">
          <cell r="E7" t="str">
            <v>PT. DANONE BISCUITS INDONESIA</v>
          </cell>
        </row>
      </sheetData>
      <sheetData sheetId="6536">
        <row r="7">
          <cell r="E7" t="str">
            <v>PT. DANONE BISCUITS INDONESIA</v>
          </cell>
        </row>
      </sheetData>
      <sheetData sheetId="6537">
        <row r="7">
          <cell r="E7" t="str">
            <v>PT. DANONE BISCUITS INDONESIA</v>
          </cell>
        </row>
      </sheetData>
      <sheetData sheetId="6538">
        <row r="7">
          <cell r="E7" t="str">
            <v>PT. DANONE BISCUITS INDONESIA</v>
          </cell>
        </row>
      </sheetData>
      <sheetData sheetId="6539">
        <row r="7">
          <cell r="E7" t="str">
            <v>PT. DANONE BISCUITS INDONESIA</v>
          </cell>
        </row>
      </sheetData>
      <sheetData sheetId="6540">
        <row r="7">
          <cell r="E7" t="str">
            <v>PT. DANONE BISCUITS INDONESIA</v>
          </cell>
        </row>
      </sheetData>
      <sheetData sheetId="6541">
        <row r="7">
          <cell r="E7" t="str">
            <v>PT. DANONE BISCUITS INDONESIA</v>
          </cell>
        </row>
      </sheetData>
      <sheetData sheetId="6542">
        <row r="7">
          <cell r="E7" t="str">
            <v>PT. DANONE BISCUITS INDONESIA</v>
          </cell>
        </row>
      </sheetData>
      <sheetData sheetId="6543">
        <row r="7">
          <cell r="E7" t="str">
            <v>PT. DANONE BISCUITS INDONESIA</v>
          </cell>
        </row>
      </sheetData>
      <sheetData sheetId="6544">
        <row r="7">
          <cell r="E7" t="str">
            <v>PT. DANONE BISCUITS INDONESIA</v>
          </cell>
        </row>
      </sheetData>
      <sheetData sheetId="6545">
        <row r="7">
          <cell r="E7" t="str">
            <v>PT. DANONE BISCUITS INDONESIA</v>
          </cell>
        </row>
      </sheetData>
      <sheetData sheetId="6546">
        <row r="7">
          <cell r="E7" t="str">
            <v>PT. DANONE BISCUITS INDONESIA</v>
          </cell>
        </row>
      </sheetData>
      <sheetData sheetId="6547">
        <row r="7">
          <cell r="E7" t="str">
            <v>PT. DANONE BISCUITS INDONESIA</v>
          </cell>
        </row>
      </sheetData>
      <sheetData sheetId="6548">
        <row r="7">
          <cell r="E7" t="str">
            <v>PT. DANONE BISCUITS INDONESIA</v>
          </cell>
        </row>
      </sheetData>
      <sheetData sheetId="6549">
        <row r="7">
          <cell r="E7" t="str">
            <v>PT. DANONE BISCUITS INDONESIA</v>
          </cell>
        </row>
      </sheetData>
      <sheetData sheetId="6550">
        <row r="7">
          <cell r="E7" t="str">
            <v>PT. DANONE BISCUITS INDONESIA</v>
          </cell>
        </row>
      </sheetData>
      <sheetData sheetId="6551">
        <row r="7">
          <cell r="E7" t="str">
            <v>PT. DANONE BISCUITS INDONESIA</v>
          </cell>
        </row>
      </sheetData>
      <sheetData sheetId="6552">
        <row r="7">
          <cell r="E7" t="str">
            <v>PT. DANONE BISCUITS INDONESIA</v>
          </cell>
        </row>
      </sheetData>
      <sheetData sheetId="6553">
        <row r="7">
          <cell r="E7" t="str">
            <v>PT. DANONE BISCUITS INDONESIA</v>
          </cell>
        </row>
      </sheetData>
      <sheetData sheetId="6554">
        <row r="7">
          <cell r="E7" t="str">
            <v>PT. DANONE BISCUITS INDONESIA</v>
          </cell>
        </row>
      </sheetData>
      <sheetData sheetId="6555">
        <row r="7">
          <cell r="E7" t="str">
            <v>PT. DANONE BISCUITS INDONESIA</v>
          </cell>
        </row>
      </sheetData>
      <sheetData sheetId="6556">
        <row r="7">
          <cell r="E7" t="str">
            <v>PT. DANONE BISCUITS INDONESIA</v>
          </cell>
        </row>
      </sheetData>
      <sheetData sheetId="6557">
        <row r="7">
          <cell r="E7" t="str">
            <v>PT. DANONE BISCUITS INDONESIA</v>
          </cell>
        </row>
      </sheetData>
      <sheetData sheetId="6558">
        <row r="7">
          <cell r="E7" t="str">
            <v>PT. DANONE BISCUITS INDONESIA</v>
          </cell>
        </row>
      </sheetData>
      <sheetData sheetId="6559">
        <row r="7">
          <cell r="E7" t="str">
            <v>PT. DANONE BISCUITS INDONESIA</v>
          </cell>
        </row>
      </sheetData>
      <sheetData sheetId="6560">
        <row r="7">
          <cell r="E7" t="str">
            <v>PT. DANONE BISCUITS INDONESIA</v>
          </cell>
        </row>
      </sheetData>
      <sheetData sheetId="6561">
        <row r="7">
          <cell r="E7" t="str">
            <v>PT. DANONE BISCUITS INDONESIA</v>
          </cell>
        </row>
      </sheetData>
      <sheetData sheetId="6562">
        <row r="7">
          <cell r="E7" t="str">
            <v>PT. DANONE BISCUITS INDONESIA</v>
          </cell>
        </row>
      </sheetData>
      <sheetData sheetId="6563">
        <row r="7">
          <cell r="E7" t="str">
            <v>PT. DANONE BISCUITS INDONESIA</v>
          </cell>
        </row>
      </sheetData>
      <sheetData sheetId="6564">
        <row r="7">
          <cell r="E7" t="str">
            <v>PT. DANONE BISCUITS INDONESIA</v>
          </cell>
        </row>
      </sheetData>
      <sheetData sheetId="6565">
        <row r="7">
          <cell r="E7" t="str">
            <v>PT. DANONE BISCUITS INDONESIA</v>
          </cell>
        </row>
      </sheetData>
      <sheetData sheetId="6566">
        <row r="7">
          <cell r="E7" t="str">
            <v>PT. DANONE BISCUITS INDONESIA</v>
          </cell>
        </row>
      </sheetData>
      <sheetData sheetId="6567">
        <row r="7">
          <cell r="E7" t="str">
            <v>PT. DANONE BISCUITS INDONESIA</v>
          </cell>
        </row>
      </sheetData>
      <sheetData sheetId="6568">
        <row r="7">
          <cell r="E7" t="str">
            <v>PT. DANONE BISCUITS INDONESIA</v>
          </cell>
        </row>
      </sheetData>
      <sheetData sheetId="6569">
        <row r="7">
          <cell r="E7" t="str">
            <v>PT. DANONE BISCUITS INDONESIA</v>
          </cell>
        </row>
      </sheetData>
      <sheetData sheetId="6570">
        <row r="7">
          <cell r="E7" t="str">
            <v>PT. DANONE BISCUITS INDONESIA</v>
          </cell>
        </row>
      </sheetData>
      <sheetData sheetId="6571">
        <row r="7">
          <cell r="E7" t="str">
            <v>PT. DANONE BISCUITS INDONESIA</v>
          </cell>
        </row>
      </sheetData>
      <sheetData sheetId="6572">
        <row r="7">
          <cell r="E7" t="str">
            <v>PT. DANONE BISCUITS INDONESIA</v>
          </cell>
        </row>
      </sheetData>
      <sheetData sheetId="6573">
        <row r="7">
          <cell r="E7" t="str">
            <v>PT. DANONE BISCUITS INDONESIA</v>
          </cell>
        </row>
      </sheetData>
      <sheetData sheetId="6574">
        <row r="7">
          <cell r="E7" t="str">
            <v>PT. DANONE BISCUITS INDONESIA</v>
          </cell>
        </row>
      </sheetData>
      <sheetData sheetId="6575">
        <row r="7">
          <cell r="E7" t="str">
            <v>PT. DANONE BISCUITS INDONESIA</v>
          </cell>
        </row>
      </sheetData>
      <sheetData sheetId="6576">
        <row r="7">
          <cell r="E7" t="str">
            <v>PT. DANONE BISCUITS INDONESIA</v>
          </cell>
        </row>
      </sheetData>
      <sheetData sheetId="6577">
        <row r="7">
          <cell r="E7" t="str">
            <v>PT. DANONE BISCUITS INDONESIA</v>
          </cell>
        </row>
      </sheetData>
      <sheetData sheetId="6578">
        <row r="7">
          <cell r="E7" t="str">
            <v>PT. DANONE BISCUITS INDONESIA</v>
          </cell>
        </row>
      </sheetData>
      <sheetData sheetId="6579">
        <row r="7">
          <cell r="E7" t="str">
            <v>PT. DANONE BISCUITS INDONESIA</v>
          </cell>
        </row>
      </sheetData>
      <sheetData sheetId="6580">
        <row r="7">
          <cell r="E7" t="str">
            <v>PT. DANONE BISCUITS INDONESIA</v>
          </cell>
        </row>
      </sheetData>
      <sheetData sheetId="6581">
        <row r="7">
          <cell r="E7" t="str">
            <v>PT. DANONE BISCUITS INDONESIA</v>
          </cell>
        </row>
      </sheetData>
      <sheetData sheetId="6582">
        <row r="7">
          <cell r="E7" t="str">
            <v>PT. DANONE BISCUITS INDONESIA</v>
          </cell>
        </row>
      </sheetData>
      <sheetData sheetId="6583">
        <row r="7">
          <cell r="E7" t="str">
            <v>PT. DANONE BISCUITS INDONESIA</v>
          </cell>
        </row>
      </sheetData>
      <sheetData sheetId="6584">
        <row r="7">
          <cell r="E7" t="str">
            <v>PT. DANONE BISCUITS INDONESIA</v>
          </cell>
        </row>
      </sheetData>
      <sheetData sheetId="6585">
        <row r="7">
          <cell r="E7" t="str">
            <v>PT. DANONE BISCUITS INDONESIA</v>
          </cell>
        </row>
      </sheetData>
      <sheetData sheetId="6586">
        <row r="7">
          <cell r="E7" t="str">
            <v>PT. DANONE BISCUITS INDONESIA</v>
          </cell>
        </row>
      </sheetData>
      <sheetData sheetId="6587">
        <row r="7">
          <cell r="E7" t="str">
            <v>PT. DANONE BISCUITS INDONESIA</v>
          </cell>
        </row>
      </sheetData>
      <sheetData sheetId="6588">
        <row r="7">
          <cell r="E7" t="str">
            <v>PT. DANONE BISCUITS INDONESIA</v>
          </cell>
        </row>
      </sheetData>
      <sheetData sheetId="6589">
        <row r="7">
          <cell r="E7" t="str">
            <v>PT. DANONE BISCUITS INDONESIA</v>
          </cell>
        </row>
      </sheetData>
      <sheetData sheetId="6590">
        <row r="7">
          <cell r="E7" t="str">
            <v>PT. DANONE BISCUITS INDONESIA</v>
          </cell>
        </row>
      </sheetData>
      <sheetData sheetId="6591">
        <row r="7">
          <cell r="E7" t="str">
            <v>PT. DANONE BISCUITS INDONESIA</v>
          </cell>
        </row>
      </sheetData>
      <sheetData sheetId="6592">
        <row r="7">
          <cell r="E7" t="str">
            <v>PT. DANONE BISCUITS INDONESIA</v>
          </cell>
        </row>
      </sheetData>
      <sheetData sheetId="6593">
        <row r="7">
          <cell r="E7" t="str">
            <v>PT. DANONE BISCUITS INDONESIA</v>
          </cell>
        </row>
      </sheetData>
      <sheetData sheetId="6594">
        <row r="7">
          <cell r="E7" t="str">
            <v>PT. DANONE BISCUITS INDONESIA</v>
          </cell>
        </row>
      </sheetData>
      <sheetData sheetId="6595">
        <row r="7">
          <cell r="E7" t="str">
            <v>PT. DANONE BISCUITS INDONESIA</v>
          </cell>
        </row>
      </sheetData>
      <sheetData sheetId="6596">
        <row r="7">
          <cell r="E7" t="str">
            <v>PT. DANONE BISCUITS INDONESIA</v>
          </cell>
        </row>
      </sheetData>
      <sheetData sheetId="6597">
        <row r="7">
          <cell r="E7" t="str">
            <v>PT. DANONE BISCUITS INDONESIA</v>
          </cell>
        </row>
      </sheetData>
      <sheetData sheetId="6598">
        <row r="7">
          <cell r="E7" t="str">
            <v>PT. DANONE BISCUITS INDONESIA</v>
          </cell>
        </row>
      </sheetData>
      <sheetData sheetId="6599">
        <row r="7">
          <cell r="E7" t="str">
            <v>PT. DANONE BISCUITS INDONESIA</v>
          </cell>
        </row>
      </sheetData>
      <sheetData sheetId="6600">
        <row r="7">
          <cell r="E7" t="str">
            <v>PT. DANONE BISCUITS INDONESIA</v>
          </cell>
        </row>
      </sheetData>
      <sheetData sheetId="6601">
        <row r="7">
          <cell r="E7" t="str">
            <v>PT. DANONE BISCUITS INDONESIA</v>
          </cell>
        </row>
      </sheetData>
      <sheetData sheetId="6602">
        <row r="7">
          <cell r="E7" t="str">
            <v>PT. DANONE BISCUITS INDONESIA</v>
          </cell>
        </row>
      </sheetData>
      <sheetData sheetId="6603">
        <row r="7">
          <cell r="E7" t="str">
            <v>PT. DANONE BISCUITS INDONESIA</v>
          </cell>
        </row>
      </sheetData>
      <sheetData sheetId="6604">
        <row r="7">
          <cell r="E7" t="str">
            <v>PT. DANONE BISCUITS INDONESIA</v>
          </cell>
        </row>
      </sheetData>
      <sheetData sheetId="6605">
        <row r="7">
          <cell r="E7" t="str">
            <v>PT. DANONE BISCUITS INDONESIA</v>
          </cell>
        </row>
      </sheetData>
      <sheetData sheetId="6606">
        <row r="7">
          <cell r="E7" t="str">
            <v>PT. DANONE BISCUITS INDONESIA</v>
          </cell>
        </row>
      </sheetData>
      <sheetData sheetId="6607">
        <row r="7">
          <cell r="E7" t="str">
            <v>PT. DANONE BISCUITS INDONESIA</v>
          </cell>
        </row>
      </sheetData>
      <sheetData sheetId="6608">
        <row r="7">
          <cell r="E7" t="str">
            <v>PT. DANONE BISCUITS INDONESIA</v>
          </cell>
        </row>
      </sheetData>
      <sheetData sheetId="6609">
        <row r="7">
          <cell r="E7" t="str">
            <v>PT. DANONE BISCUITS INDONESIA</v>
          </cell>
        </row>
      </sheetData>
      <sheetData sheetId="6610">
        <row r="7">
          <cell r="E7" t="str">
            <v>PT. DANONE BISCUITS INDONESIA</v>
          </cell>
        </row>
      </sheetData>
      <sheetData sheetId="6611">
        <row r="7">
          <cell r="E7" t="str">
            <v>PT. DANONE BISCUITS INDONESIA</v>
          </cell>
        </row>
      </sheetData>
      <sheetData sheetId="6612">
        <row r="7">
          <cell r="E7" t="str">
            <v>PT. DANONE BISCUITS INDONESIA</v>
          </cell>
        </row>
      </sheetData>
      <sheetData sheetId="6613">
        <row r="7">
          <cell r="E7" t="str">
            <v>PT. DANONE BISCUITS INDONESIA</v>
          </cell>
        </row>
      </sheetData>
      <sheetData sheetId="6614">
        <row r="7">
          <cell r="E7" t="str">
            <v>PT. DANONE BISCUITS INDONESIA</v>
          </cell>
        </row>
      </sheetData>
      <sheetData sheetId="6615">
        <row r="7">
          <cell r="E7" t="str">
            <v>PT. DANONE BISCUITS INDONESIA</v>
          </cell>
        </row>
      </sheetData>
      <sheetData sheetId="6616">
        <row r="7">
          <cell r="E7" t="str">
            <v>PT. DANONE BISCUITS INDONESIA</v>
          </cell>
        </row>
      </sheetData>
      <sheetData sheetId="6617">
        <row r="7">
          <cell r="E7" t="str">
            <v>PT. DANONE BISCUITS INDONESIA</v>
          </cell>
        </row>
      </sheetData>
      <sheetData sheetId="6618">
        <row r="7">
          <cell r="E7" t="str">
            <v>PT. DANONE BISCUITS INDONESIA</v>
          </cell>
        </row>
      </sheetData>
      <sheetData sheetId="6619">
        <row r="7">
          <cell r="E7" t="str">
            <v>PT. DANONE BISCUITS INDONESIA</v>
          </cell>
        </row>
      </sheetData>
      <sheetData sheetId="6620">
        <row r="7">
          <cell r="E7" t="str">
            <v>PT. DANONE BISCUITS INDONESIA</v>
          </cell>
        </row>
      </sheetData>
      <sheetData sheetId="6621">
        <row r="7">
          <cell r="E7" t="str">
            <v>PT. DANONE BISCUITS INDONESIA</v>
          </cell>
        </row>
      </sheetData>
      <sheetData sheetId="6622">
        <row r="7">
          <cell r="E7" t="str">
            <v>PT. DANONE BISCUITS INDONESIA</v>
          </cell>
        </row>
      </sheetData>
      <sheetData sheetId="6623">
        <row r="7">
          <cell r="E7" t="str">
            <v>PT. DANONE BISCUITS INDONESIA</v>
          </cell>
        </row>
      </sheetData>
      <sheetData sheetId="6624">
        <row r="7">
          <cell r="E7" t="str">
            <v>PT. DANONE BISCUITS INDONESIA</v>
          </cell>
        </row>
      </sheetData>
      <sheetData sheetId="6625">
        <row r="7">
          <cell r="E7" t="str">
            <v>PT. DANONE BISCUITS INDONESIA</v>
          </cell>
        </row>
      </sheetData>
      <sheetData sheetId="6626">
        <row r="7">
          <cell r="E7" t="str">
            <v>PT. DANONE BISCUITS INDONESIA</v>
          </cell>
        </row>
      </sheetData>
      <sheetData sheetId="6627">
        <row r="7">
          <cell r="E7" t="str">
            <v>PT. DANONE BISCUITS INDONESIA</v>
          </cell>
        </row>
      </sheetData>
      <sheetData sheetId="6628">
        <row r="7">
          <cell r="E7" t="str">
            <v>PT. DANONE BISCUITS INDONESIA</v>
          </cell>
        </row>
      </sheetData>
      <sheetData sheetId="6629">
        <row r="7">
          <cell r="E7" t="str">
            <v>PT. DANONE BISCUITS INDONESIA</v>
          </cell>
        </row>
      </sheetData>
      <sheetData sheetId="6630">
        <row r="7">
          <cell r="E7" t="str">
            <v>PT. DANONE BISCUITS INDONESIA</v>
          </cell>
        </row>
      </sheetData>
      <sheetData sheetId="6631">
        <row r="7">
          <cell r="E7" t="str">
            <v>PT. DANONE BISCUITS INDONESIA</v>
          </cell>
        </row>
      </sheetData>
      <sheetData sheetId="6632">
        <row r="7">
          <cell r="E7" t="str">
            <v>PT. DANONE BISCUITS INDONESIA</v>
          </cell>
        </row>
      </sheetData>
      <sheetData sheetId="6633">
        <row r="7">
          <cell r="E7" t="str">
            <v>PT. DANONE BISCUITS INDONESIA</v>
          </cell>
        </row>
      </sheetData>
      <sheetData sheetId="6634">
        <row r="7">
          <cell r="E7" t="str">
            <v>PT. DANONE BISCUITS INDONESIA</v>
          </cell>
        </row>
      </sheetData>
      <sheetData sheetId="6635">
        <row r="7">
          <cell r="E7" t="str">
            <v>PT. DANONE BISCUITS INDONESIA</v>
          </cell>
        </row>
      </sheetData>
      <sheetData sheetId="6636">
        <row r="7">
          <cell r="E7" t="str">
            <v>PT. DANONE BISCUITS INDONESIA</v>
          </cell>
        </row>
      </sheetData>
      <sheetData sheetId="6637">
        <row r="7">
          <cell r="E7" t="str">
            <v>PT. DANONE BISCUITS INDONESIA</v>
          </cell>
        </row>
      </sheetData>
      <sheetData sheetId="6638">
        <row r="7">
          <cell r="E7" t="str">
            <v>PT. DANONE BISCUITS INDONESIA</v>
          </cell>
        </row>
      </sheetData>
      <sheetData sheetId="6639">
        <row r="7">
          <cell r="E7" t="str">
            <v>PT. DANONE BISCUITS INDONESIA</v>
          </cell>
        </row>
      </sheetData>
      <sheetData sheetId="6640">
        <row r="7">
          <cell r="E7" t="str">
            <v>PT. DANONE BISCUITS INDONESIA</v>
          </cell>
        </row>
      </sheetData>
      <sheetData sheetId="6641">
        <row r="7">
          <cell r="E7" t="str">
            <v>PT. DANONE BISCUITS INDONESIA</v>
          </cell>
        </row>
      </sheetData>
      <sheetData sheetId="6642">
        <row r="7">
          <cell r="E7" t="str">
            <v>PT. DANONE BISCUITS INDONESIA</v>
          </cell>
        </row>
      </sheetData>
      <sheetData sheetId="6643">
        <row r="7">
          <cell r="E7" t="str">
            <v>PT. DANONE BISCUITS INDONESIA</v>
          </cell>
        </row>
      </sheetData>
      <sheetData sheetId="6644">
        <row r="7">
          <cell r="E7" t="str">
            <v>PT. DANONE BISCUITS INDONESIA</v>
          </cell>
        </row>
      </sheetData>
      <sheetData sheetId="6645">
        <row r="7">
          <cell r="E7" t="str">
            <v>PT. DANONE BISCUITS INDONESIA</v>
          </cell>
        </row>
      </sheetData>
      <sheetData sheetId="6646">
        <row r="7">
          <cell r="E7" t="str">
            <v>PT. DANONE BISCUITS INDONESIA</v>
          </cell>
        </row>
      </sheetData>
      <sheetData sheetId="6647">
        <row r="7">
          <cell r="E7" t="str">
            <v>PT. DANONE BISCUITS INDONESIA</v>
          </cell>
        </row>
      </sheetData>
      <sheetData sheetId="6648">
        <row r="7">
          <cell r="E7" t="str">
            <v>PT. DANONE BISCUITS INDONESIA</v>
          </cell>
        </row>
      </sheetData>
      <sheetData sheetId="6649">
        <row r="7">
          <cell r="E7" t="str">
            <v>PT. DANONE BISCUITS INDONESIA</v>
          </cell>
        </row>
      </sheetData>
      <sheetData sheetId="6650">
        <row r="7">
          <cell r="E7" t="str">
            <v>PT. DANONE BISCUITS INDONESIA</v>
          </cell>
        </row>
      </sheetData>
      <sheetData sheetId="6651">
        <row r="7">
          <cell r="E7" t="str">
            <v>PT. DANONE BISCUITS INDONESIA</v>
          </cell>
        </row>
      </sheetData>
      <sheetData sheetId="6652">
        <row r="7">
          <cell r="E7" t="str">
            <v>PT. DANONE BISCUITS INDONESIA</v>
          </cell>
        </row>
      </sheetData>
      <sheetData sheetId="6653">
        <row r="7">
          <cell r="E7" t="str">
            <v>PT. DANONE BISCUITS INDONESIA</v>
          </cell>
        </row>
      </sheetData>
      <sheetData sheetId="6654">
        <row r="7">
          <cell r="E7" t="str">
            <v>PT. DANONE BISCUITS INDONESIA</v>
          </cell>
        </row>
      </sheetData>
      <sheetData sheetId="6655">
        <row r="7">
          <cell r="E7" t="str">
            <v>PT. DANONE BISCUITS INDONESIA</v>
          </cell>
        </row>
      </sheetData>
      <sheetData sheetId="6656">
        <row r="7">
          <cell r="E7" t="str">
            <v>PT. DANONE BISCUITS INDONESIA</v>
          </cell>
        </row>
      </sheetData>
      <sheetData sheetId="6657">
        <row r="7">
          <cell r="E7" t="str">
            <v>PT. DANONE BISCUITS INDONESIA</v>
          </cell>
        </row>
      </sheetData>
      <sheetData sheetId="6658">
        <row r="7">
          <cell r="E7" t="str">
            <v>PT. DANONE BISCUITS INDONESIA</v>
          </cell>
        </row>
      </sheetData>
      <sheetData sheetId="6659">
        <row r="7">
          <cell r="E7" t="str">
            <v>PT. DANONE BISCUITS INDONESIA</v>
          </cell>
        </row>
      </sheetData>
      <sheetData sheetId="6660">
        <row r="7">
          <cell r="E7" t="str">
            <v>PT. DANONE BISCUITS INDONESIA</v>
          </cell>
        </row>
      </sheetData>
      <sheetData sheetId="6661">
        <row r="7">
          <cell r="E7" t="str">
            <v>PT. DANONE BISCUITS INDONESIA</v>
          </cell>
        </row>
      </sheetData>
      <sheetData sheetId="6662">
        <row r="7">
          <cell r="E7" t="str">
            <v>PT. DANONE BISCUITS INDONESIA</v>
          </cell>
        </row>
      </sheetData>
      <sheetData sheetId="6663">
        <row r="7">
          <cell r="E7" t="str">
            <v>PT. DANONE BISCUITS INDONESIA</v>
          </cell>
        </row>
      </sheetData>
      <sheetData sheetId="6664">
        <row r="7">
          <cell r="E7" t="str">
            <v>PT. DANONE BISCUITS INDONESIA</v>
          </cell>
        </row>
      </sheetData>
      <sheetData sheetId="6665">
        <row r="7">
          <cell r="E7" t="str">
            <v>PT. DANONE BISCUITS INDONESIA</v>
          </cell>
        </row>
      </sheetData>
      <sheetData sheetId="6666">
        <row r="7">
          <cell r="E7" t="str">
            <v>PT. DANONE BISCUITS INDONESIA</v>
          </cell>
        </row>
      </sheetData>
      <sheetData sheetId="6667">
        <row r="7">
          <cell r="E7" t="str">
            <v>PT. DANONE BISCUITS INDONESIA</v>
          </cell>
        </row>
      </sheetData>
      <sheetData sheetId="6668">
        <row r="7">
          <cell r="E7" t="str">
            <v>PT. DANONE BISCUITS INDONESIA</v>
          </cell>
        </row>
      </sheetData>
      <sheetData sheetId="6669">
        <row r="7">
          <cell r="E7" t="str">
            <v>PT. DANONE BISCUITS INDONESIA</v>
          </cell>
        </row>
      </sheetData>
      <sheetData sheetId="6670">
        <row r="7">
          <cell r="E7" t="str">
            <v>PT. DANONE BISCUITS INDONESIA</v>
          </cell>
        </row>
      </sheetData>
      <sheetData sheetId="6671">
        <row r="7">
          <cell r="E7" t="str">
            <v>PT. DANONE BISCUITS INDONESIA</v>
          </cell>
        </row>
      </sheetData>
      <sheetData sheetId="6672">
        <row r="7">
          <cell r="E7" t="str">
            <v>PT. DANONE BISCUITS INDONESIA</v>
          </cell>
        </row>
      </sheetData>
      <sheetData sheetId="6673">
        <row r="7">
          <cell r="E7" t="str">
            <v>PT. DANONE BISCUITS INDONESIA</v>
          </cell>
        </row>
      </sheetData>
      <sheetData sheetId="6674">
        <row r="7">
          <cell r="E7" t="str">
            <v>PT. DANONE BISCUITS INDONESIA</v>
          </cell>
        </row>
      </sheetData>
      <sheetData sheetId="6675">
        <row r="7">
          <cell r="E7" t="str">
            <v>PT. DANONE BISCUITS INDONESIA</v>
          </cell>
        </row>
      </sheetData>
      <sheetData sheetId="6676">
        <row r="7">
          <cell r="E7" t="str">
            <v>PT. DANONE BISCUITS INDONESIA</v>
          </cell>
        </row>
      </sheetData>
      <sheetData sheetId="6677">
        <row r="7">
          <cell r="E7" t="str">
            <v>PT. DANONE BISCUITS INDONESIA</v>
          </cell>
        </row>
      </sheetData>
      <sheetData sheetId="6678">
        <row r="7">
          <cell r="E7" t="str">
            <v>PT. DANONE BISCUITS INDONESIA</v>
          </cell>
        </row>
      </sheetData>
      <sheetData sheetId="6679">
        <row r="7">
          <cell r="E7" t="str">
            <v>PT. DANONE BISCUITS INDONESIA</v>
          </cell>
        </row>
      </sheetData>
      <sheetData sheetId="6680">
        <row r="7">
          <cell r="E7" t="str">
            <v>PT. DANONE BISCUITS INDONESIA</v>
          </cell>
        </row>
      </sheetData>
      <sheetData sheetId="6681">
        <row r="7">
          <cell r="E7" t="str">
            <v>PT. DANONE BISCUITS INDONESIA</v>
          </cell>
        </row>
      </sheetData>
      <sheetData sheetId="6682">
        <row r="7">
          <cell r="E7" t="str">
            <v>PT. DANONE BISCUITS INDONESIA</v>
          </cell>
        </row>
      </sheetData>
      <sheetData sheetId="6683">
        <row r="7">
          <cell r="E7" t="str">
            <v>PT. DANONE BISCUITS INDONESIA</v>
          </cell>
        </row>
      </sheetData>
      <sheetData sheetId="6684">
        <row r="7">
          <cell r="E7" t="str">
            <v>PT. DANONE BISCUITS INDONESIA</v>
          </cell>
        </row>
      </sheetData>
      <sheetData sheetId="6685">
        <row r="7">
          <cell r="E7" t="str">
            <v>PT. DANONE BISCUITS INDONESIA</v>
          </cell>
        </row>
      </sheetData>
      <sheetData sheetId="6686">
        <row r="7">
          <cell r="E7" t="str">
            <v>PT. DANONE BISCUITS INDONESIA</v>
          </cell>
        </row>
      </sheetData>
      <sheetData sheetId="6687">
        <row r="7">
          <cell r="E7" t="str">
            <v>PT. DANONE BISCUITS INDONESIA</v>
          </cell>
        </row>
      </sheetData>
      <sheetData sheetId="6688">
        <row r="7">
          <cell r="E7" t="str">
            <v>PT. DANONE BISCUITS INDONESIA</v>
          </cell>
        </row>
      </sheetData>
      <sheetData sheetId="6689">
        <row r="7">
          <cell r="E7" t="str">
            <v>PT. DANONE BISCUITS INDONESIA</v>
          </cell>
        </row>
      </sheetData>
      <sheetData sheetId="6690">
        <row r="7">
          <cell r="E7" t="str">
            <v>PT. DANONE BISCUITS INDONESIA</v>
          </cell>
        </row>
      </sheetData>
      <sheetData sheetId="6691">
        <row r="7">
          <cell r="E7" t="str">
            <v>PT. DANONE BISCUITS INDONESIA</v>
          </cell>
        </row>
      </sheetData>
      <sheetData sheetId="6692">
        <row r="7">
          <cell r="E7" t="str">
            <v>PT. DANONE BISCUITS INDONESIA</v>
          </cell>
        </row>
      </sheetData>
      <sheetData sheetId="6693">
        <row r="7">
          <cell r="E7" t="str">
            <v>PT. DANONE BISCUITS INDONESIA</v>
          </cell>
        </row>
      </sheetData>
      <sheetData sheetId="6694">
        <row r="7">
          <cell r="E7" t="str">
            <v>PT. DANONE BISCUITS INDONESIA</v>
          </cell>
        </row>
      </sheetData>
      <sheetData sheetId="6695">
        <row r="7">
          <cell r="E7" t="str">
            <v>PT. DANONE BISCUITS INDONESIA</v>
          </cell>
        </row>
      </sheetData>
      <sheetData sheetId="6696">
        <row r="7">
          <cell r="E7" t="str">
            <v>PT. DANONE BISCUITS INDONESIA</v>
          </cell>
        </row>
      </sheetData>
      <sheetData sheetId="6697">
        <row r="7">
          <cell r="E7" t="str">
            <v>PT. DANONE BISCUITS INDONESIA</v>
          </cell>
        </row>
      </sheetData>
      <sheetData sheetId="6698">
        <row r="7">
          <cell r="E7" t="str">
            <v>PT. DANONE BISCUITS INDONESIA</v>
          </cell>
        </row>
      </sheetData>
      <sheetData sheetId="6699">
        <row r="7">
          <cell r="E7" t="str">
            <v>PT. DANONE BISCUITS INDONESIA</v>
          </cell>
        </row>
      </sheetData>
      <sheetData sheetId="6700">
        <row r="7">
          <cell r="E7" t="str">
            <v>PT. DANONE BISCUITS INDONESIA</v>
          </cell>
        </row>
      </sheetData>
      <sheetData sheetId="6701">
        <row r="7">
          <cell r="E7" t="str">
            <v>PT. DANONE BISCUITS INDONESIA</v>
          </cell>
        </row>
      </sheetData>
      <sheetData sheetId="6702">
        <row r="7">
          <cell r="E7" t="str">
            <v>PT. DANONE BISCUITS INDONESIA</v>
          </cell>
        </row>
      </sheetData>
      <sheetData sheetId="6703">
        <row r="7">
          <cell r="E7" t="str">
            <v>PT. DANONE BISCUITS INDONESIA</v>
          </cell>
        </row>
      </sheetData>
      <sheetData sheetId="6704">
        <row r="7">
          <cell r="E7" t="str">
            <v>PT. DANONE BISCUITS INDONESIA</v>
          </cell>
        </row>
      </sheetData>
      <sheetData sheetId="6705">
        <row r="7">
          <cell r="E7" t="str">
            <v>PT. DANONE BISCUITS INDONESIA</v>
          </cell>
        </row>
      </sheetData>
      <sheetData sheetId="6706">
        <row r="7">
          <cell r="E7" t="str">
            <v>PT. DANONE BISCUITS INDONESIA</v>
          </cell>
        </row>
      </sheetData>
      <sheetData sheetId="6707">
        <row r="7">
          <cell r="E7" t="str">
            <v>PT. DANONE BISCUITS INDONESIA</v>
          </cell>
        </row>
      </sheetData>
      <sheetData sheetId="6708">
        <row r="7">
          <cell r="E7" t="str">
            <v>PT. DANONE BISCUITS INDONESIA</v>
          </cell>
        </row>
      </sheetData>
      <sheetData sheetId="6709">
        <row r="7">
          <cell r="E7" t="str">
            <v>PT. DANONE BISCUITS INDONESIA</v>
          </cell>
        </row>
      </sheetData>
      <sheetData sheetId="6710">
        <row r="7">
          <cell r="E7" t="str">
            <v>PT. DANONE BISCUITS INDONESIA</v>
          </cell>
        </row>
      </sheetData>
      <sheetData sheetId="6711">
        <row r="7">
          <cell r="E7" t="str">
            <v>PT. DANONE BISCUITS INDONESIA</v>
          </cell>
        </row>
      </sheetData>
      <sheetData sheetId="6712">
        <row r="7">
          <cell r="E7" t="str">
            <v>PT. DANONE BISCUITS INDONESIA</v>
          </cell>
        </row>
      </sheetData>
      <sheetData sheetId="6713">
        <row r="7">
          <cell r="E7" t="str">
            <v>PT. DANONE BISCUITS INDONESIA</v>
          </cell>
        </row>
      </sheetData>
      <sheetData sheetId="6714">
        <row r="7">
          <cell r="E7" t="str">
            <v>PT. DANONE BISCUITS INDONESIA</v>
          </cell>
        </row>
      </sheetData>
      <sheetData sheetId="6715">
        <row r="7">
          <cell r="E7" t="str">
            <v>PT. DANONE BISCUITS INDONESIA</v>
          </cell>
        </row>
      </sheetData>
      <sheetData sheetId="6716">
        <row r="7">
          <cell r="E7" t="str">
            <v>PT. DANONE BISCUITS INDONESIA</v>
          </cell>
        </row>
      </sheetData>
      <sheetData sheetId="6717">
        <row r="7">
          <cell r="E7" t="str">
            <v>PT. DANONE BISCUITS INDONESIA</v>
          </cell>
        </row>
      </sheetData>
      <sheetData sheetId="6718">
        <row r="7">
          <cell r="E7" t="str">
            <v>PT. DANONE BISCUITS INDONESIA</v>
          </cell>
        </row>
      </sheetData>
      <sheetData sheetId="6719">
        <row r="7">
          <cell r="E7" t="str">
            <v>PT. DANONE BISCUITS INDONESIA</v>
          </cell>
        </row>
      </sheetData>
      <sheetData sheetId="6720">
        <row r="7">
          <cell r="E7" t="str">
            <v>PT. DANONE BISCUITS INDONESIA</v>
          </cell>
        </row>
      </sheetData>
      <sheetData sheetId="6721">
        <row r="7">
          <cell r="E7" t="str">
            <v>PT. DANONE BISCUITS INDONESIA</v>
          </cell>
        </row>
      </sheetData>
      <sheetData sheetId="6722">
        <row r="7">
          <cell r="E7" t="str">
            <v>PT. DANONE BISCUITS INDONESIA</v>
          </cell>
        </row>
      </sheetData>
      <sheetData sheetId="6723">
        <row r="7">
          <cell r="E7" t="str">
            <v>PT. DANONE BISCUITS INDONESIA</v>
          </cell>
        </row>
      </sheetData>
      <sheetData sheetId="6724">
        <row r="7">
          <cell r="E7" t="str">
            <v>PT. DANONE BISCUITS INDONESIA</v>
          </cell>
        </row>
      </sheetData>
      <sheetData sheetId="6725">
        <row r="7">
          <cell r="E7" t="str">
            <v>PT. DANONE BISCUITS INDONESIA</v>
          </cell>
        </row>
      </sheetData>
      <sheetData sheetId="6726">
        <row r="7">
          <cell r="E7" t="str">
            <v>PT. DANONE BISCUITS INDONESIA</v>
          </cell>
        </row>
      </sheetData>
      <sheetData sheetId="6727">
        <row r="7">
          <cell r="E7" t="str">
            <v>PT. DANONE BISCUITS INDONESIA</v>
          </cell>
        </row>
      </sheetData>
      <sheetData sheetId="6728">
        <row r="7">
          <cell r="E7" t="str">
            <v>PT. DANONE BISCUITS INDONESIA</v>
          </cell>
        </row>
      </sheetData>
      <sheetData sheetId="6729">
        <row r="7">
          <cell r="E7" t="str">
            <v>PT. DANONE BISCUITS INDONESIA</v>
          </cell>
        </row>
      </sheetData>
      <sheetData sheetId="6730">
        <row r="7">
          <cell r="E7" t="str">
            <v>PT. DANONE BISCUITS INDONESIA</v>
          </cell>
        </row>
      </sheetData>
      <sheetData sheetId="6731">
        <row r="7">
          <cell r="E7" t="str">
            <v>PT. DANONE BISCUITS INDONESIA</v>
          </cell>
        </row>
      </sheetData>
      <sheetData sheetId="6732">
        <row r="7">
          <cell r="E7" t="str">
            <v>PT. DANONE BISCUITS INDONESIA</v>
          </cell>
        </row>
      </sheetData>
      <sheetData sheetId="6733">
        <row r="7">
          <cell r="E7" t="str">
            <v>PT. DANONE BISCUITS INDONESIA</v>
          </cell>
        </row>
      </sheetData>
      <sheetData sheetId="6734">
        <row r="7">
          <cell r="E7" t="str">
            <v>PT. DANONE BISCUITS INDONESIA</v>
          </cell>
        </row>
      </sheetData>
      <sheetData sheetId="6735">
        <row r="7">
          <cell r="E7" t="str">
            <v>PT. DANONE BISCUITS INDONESIA</v>
          </cell>
        </row>
      </sheetData>
      <sheetData sheetId="6736">
        <row r="7">
          <cell r="E7" t="str">
            <v>PT. DANONE BISCUITS INDONESIA</v>
          </cell>
        </row>
      </sheetData>
      <sheetData sheetId="6737">
        <row r="7">
          <cell r="E7" t="str">
            <v>PT. DANONE BISCUITS INDONESIA</v>
          </cell>
        </row>
      </sheetData>
      <sheetData sheetId="6738">
        <row r="7">
          <cell r="E7" t="str">
            <v>PT. DANONE BISCUITS INDONESIA</v>
          </cell>
        </row>
      </sheetData>
      <sheetData sheetId="6739">
        <row r="7">
          <cell r="E7" t="str">
            <v>PT. DANONE BISCUITS INDONESIA</v>
          </cell>
        </row>
      </sheetData>
      <sheetData sheetId="6740">
        <row r="7">
          <cell r="E7" t="str">
            <v>PT. DANONE BISCUITS INDONESIA</v>
          </cell>
        </row>
      </sheetData>
      <sheetData sheetId="6741">
        <row r="7">
          <cell r="E7" t="str">
            <v>PT. DANONE BISCUITS INDONESIA</v>
          </cell>
        </row>
      </sheetData>
      <sheetData sheetId="6742">
        <row r="7">
          <cell r="E7" t="str">
            <v>PT. DANONE BISCUITS INDONESIA</v>
          </cell>
        </row>
      </sheetData>
      <sheetData sheetId="6743">
        <row r="7">
          <cell r="E7" t="str">
            <v>PT. DANONE BISCUITS INDONESIA</v>
          </cell>
        </row>
      </sheetData>
      <sheetData sheetId="6744">
        <row r="7">
          <cell r="E7" t="str">
            <v>PT. DANONE BISCUITS INDONESIA</v>
          </cell>
        </row>
      </sheetData>
      <sheetData sheetId="6745">
        <row r="7">
          <cell r="E7" t="str">
            <v>PT. DANONE BISCUITS INDONESIA</v>
          </cell>
        </row>
      </sheetData>
      <sheetData sheetId="6746">
        <row r="7">
          <cell r="E7" t="str">
            <v>PT. DANONE BISCUITS INDONESIA</v>
          </cell>
        </row>
      </sheetData>
      <sheetData sheetId="6747">
        <row r="7">
          <cell r="E7" t="str">
            <v>PT. DANONE BISCUITS INDONESIA</v>
          </cell>
        </row>
      </sheetData>
      <sheetData sheetId="6748">
        <row r="7">
          <cell r="E7" t="str">
            <v>PT. DANONE BISCUITS INDONESIA</v>
          </cell>
        </row>
      </sheetData>
      <sheetData sheetId="6749">
        <row r="7">
          <cell r="E7" t="str">
            <v>PT. DANONE BISCUITS INDONESIA</v>
          </cell>
        </row>
      </sheetData>
      <sheetData sheetId="6750">
        <row r="7">
          <cell r="E7" t="str">
            <v>PT. DANONE BISCUITS INDONESIA</v>
          </cell>
        </row>
      </sheetData>
      <sheetData sheetId="6751">
        <row r="7">
          <cell r="E7" t="str">
            <v>PT. DANONE BISCUITS INDONESIA</v>
          </cell>
        </row>
      </sheetData>
      <sheetData sheetId="6752">
        <row r="7">
          <cell r="E7" t="str">
            <v>PT. DANONE BISCUITS INDONESIA</v>
          </cell>
        </row>
      </sheetData>
      <sheetData sheetId="6753">
        <row r="7">
          <cell r="E7" t="str">
            <v>PT. DANONE BISCUITS INDONESIA</v>
          </cell>
        </row>
      </sheetData>
      <sheetData sheetId="6754">
        <row r="7">
          <cell r="E7" t="str">
            <v>PT. DANONE BISCUITS INDONESIA</v>
          </cell>
        </row>
      </sheetData>
      <sheetData sheetId="6755">
        <row r="7">
          <cell r="E7" t="str">
            <v>PT. DANONE BISCUITS INDONESIA</v>
          </cell>
        </row>
      </sheetData>
      <sheetData sheetId="6756">
        <row r="7">
          <cell r="E7" t="str">
            <v>PT. DANONE BISCUITS INDONESIA</v>
          </cell>
        </row>
      </sheetData>
      <sheetData sheetId="6757">
        <row r="7">
          <cell r="E7" t="str">
            <v>PT. DANONE BISCUITS INDONESIA</v>
          </cell>
        </row>
      </sheetData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>
        <row r="7">
          <cell r="E7" t="str">
            <v>PT. DANONE BISCUITS INDONESIA</v>
          </cell>
        </row>
      </sheetData>
      <sheetData sheetId="6838">
        <row r="7">
          <cell r="E7" t="str">
            <v>PT. DANONE BISCUITS INDONESIA</v>
          </cell>
        </row>
      </sheetData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>
        <row r="7">
          <cell r="E7" t="str">
            <v>PT. DANONE BISCUITS INDONESIA</v>
          </cell>
        </row>
      </sheetData>
      <sheetData sheetId="6858">
        <row r="7">
          <cell r="E7" t="str">
            <v>PT. DANONE BISCUITS INDONESIA</v>
          </cell>
        </row>
      </sheetData>
      <sheetData sheetId="6859">
        <row r="7">
          <cell r="E7" t="str">
            <v>PT. DANONE BISCUITS INDONESIA</v>
          </cell>
        </row>
      </sheetData>
      <sheetData sheetId="6860">
        <row r="7">
          <cell r="E7" t="str">
            <v>PT. DANONE BISCUITS INDONESIA</v>
          </cell>
        </row>
      </sheetData>
      <sheetData sheetId="6861">
        <row r="7">
          <cell r="E7" t="str">
            <v>PT. DANONE BISCUITS INDONESIA</v>
          </cell>
        </row>
      </sheetData>
      <sheetData sheetId="6862">
        <row r="7">
          <cell r="E7" t="str">
            <v>PT. DANONE BISCUITS INDONESIA</v>
          </cell>
        </row>
      </sheetData>
      <sheetData sheetId="6863">
        <row r="7">
          <cell r="E7" t="str">
            <v>PT. DANONE BISCUITS INDONESIA</v>
          </cell>
        </row>
      </sheetData>
      <sheetData sheetId="6864">
        <row r="7">
          <cell r="E7" t="str">
            <v>PT. DANONE BISCUITS INDONESIA</v>
          </cell>
        </row>
      </sheetData>
      <sheetData sheetId="6865">
        <row r="7">
          <cell r="E7" t="str">
            <v>PT. DANONE BISCUITS INDONESIA</v>
          </cell>
        </row>
      </sheetData>
      <sheetData sheetId="6866">
        <row r="7">
          <cell r="E7" t="str">
            <v>PT. DANONE BISCUITS INDONESIA</v>
          </cell>
        </row>
      </sheetData>
      <sheetData sheetId="6867">
        <row r="7">
          <cell r="E7" t="str">
            <v>PT. DANONE BISCUITS INDONESIA</v>
          </cell>
        </row>
      </sheetData>
      <sheetData sheetId="6868">
        <row r="7">
          <cell r="E7" t="str">
            <v>PT. DANONE BISCUITS INDONESIA</v>
          </cell>
        </row>
      </sheetData>
      <sheetData sheetId="6869">
        <row r="7">
          <cell r="E7" t="str">
            <v>PT. DANONE BISCUITS INDONESIA</v>
          </cell>
        </row>
      </sheetData>
      <sheetData sheetId="6870">
        <row r="7">
          <cell r="E7" t="str">
            <v>PT. DANONE BISCUITS INDONESIA</v>
          </cell>
        </row>
      </sheetData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>
        <row r="7">
          <cell r="E7" t="str">
            <v>PT. DANONE BISCUITS INDONESIA</v>
          </cell>
        </row>
      </sheetData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>
        <row r="7">
          <cell r="E7" t="str">
            <v>PT. DANONE BISCUITS INDONESIA</v>
          </cell>
        </row>
      </sheetData>
      <sheetData sheetId="6940">
        <row r="37">
          <cell r="D37">
            <v>0</v>
          </cell>
        </row>
      </sheetData>
      <sheetData sheetId="6941">
        <row r="37">
          <cell r="D37">
            <v>0</v>
          </cell>
        </row>
      </sheetData>
      <sheetData sheetId="6942">
        <row r="7">
          <cell r="E7" t="str">
            <v>PT. DANONE BISCUITS INDONESIA</v>
          </cell>
        </row>
      </sheetData>
      <sheetData sheetId="6943">
        <row r="7">
          <cell r="E7" t="str">
            <v>PT. DANONE BISCUITS INDONESIA</v>
          </cell>
        </row>
      </sheetData>
      <sheetData sheetId="6944">
        <row r="7">
          <cell r="E7" t="str">
            <v>PT. DANONE BISCUITS INDONESIA</v>
          </cell>
        </row>
      </sheetData>
      <sheetData sheetId="6945">
        <row r="7">
          <cell r="E7" t="str">
            <v>PT. DANONE BISCUITS INDONESIA</v>
          </cell>
        </row>
      </sheetData>
      <sheetData sheetId="6946">
        <row r="7">
          <cell r="E7" t="str">
            <v>PT. DANONE BISCUITS INDONESIA</v>
          </cell>
        </row>
      </sheetData>
      <sheetData sheetId="6947">
        <row r="7">
          <cell r="E7" t="str">
            <v>PT. DANONE BISCUITS INDONESIA</v>
          </cell>
        </row>
      </sheetData>
      <sheetData sheetId="6948">
        <row r="7">
          <cell r="E7" t="str">
            <v>PT. DANONE BISCUITS INDONESIA</v>
          </cell>
        </row>
      </sheetData>
      <sheetData sheetId="6949">
        <row r="7">
          <cell r="E7" t="str">
            <v>PT. DANONE BISCUITS INDONESIA</v>
          </cell>
        </row>
      </sheetData>
      <sheetData sheetId="6950">
        <row r="7">
          <cell r="E7" t="str">
            <v>PT. DANONE BISCUITS INDONESIA</v>
          </cell>
        </row>
      </sheetData>
      <sheetData sheetId="6951">
        <row r="7">
          <cell r="E7" t="str">
            <v>PT. DANONE BISCUITS INDONESIA</v>
          </cell>
        </row>
      </sheetData>
      <sheetData sheetId="6952">
        <row r="7">
          <cell r="E7" t="str">
            <v>PT. DANONE BISCUITS INDONESIA</v>
          </cell>
        </row>
      </sheetData>
      <sheetData sheetId="6953">
        <row r="7">
          <cell r="E7" t="str">
            <v>PT. DANONE BISCUITS INDONESIA</v>
          </cell>
        </row>
      </sheetData>
      <sheetData sheetId="6954">
        <row r="7">
          <cell r="E7" t="str">
            <v>PT. DANONE BISCUITS INDONESIA</v>
          </cell>
        </row>
      </sheetData>
      <sheetData sheetId="6955">
        <row r="37">
          <cell r="D37">
            <v>0</v>
          </cell>
        </row>
      </sheetData>
      <sheetData sheetId="6956">
        <row r="7">
          <cell r="E7" t="str">
            <v>PT. DANONE BISCUITS INDONESIA</v>
          </cell>
        </row>
      </sheetData>
      <sheetData sheetId="6957">
        <row r="7">
          <cell r="E7" t="str">
            <v>PT. DANONE BISCUITS INDONESIA</v>
          </cell>
        </row>
      </sheetData>
      <sheetData sheetId="6958">
        <row r="7">
          <cell r="E7" t="str">
            <v>PT. DANONE BISCUITS INDONESIA</v>
          </cell>
        </row>
      </sheetData>
      <sheetData sheetId="6959"/>
      <sheetData sheetId="6960"/>
      <sheetData sheetId="6961"/>
      <sheetData sheetId="6962"/>
      <sheetData sheetId="6963"/>
      <sheetData sheetId="6964">
        <row r="7">
          <cell r="E7" t="str">
            <v>PT. DANONE BISCUITS INDONESIA</v>
          </cell>
        </row>
      </sheetData>
      <sheetData sheetId="6965">
        <row r="7">
          <cell r="E7" t="str">
            <v>PT. DANONE BISCUITS INDONESIA</v>
          </cell>
        </row>
      </sheetData>
      <sheetData sheetId="6966">
        <row r="7">
          <cell r="E7" t="str">
            <v>PT. DANONE BISCUITS INDONESIA</v>
          </cell>
        </row>
      </sheetData>
      <sheetData sheetId="6967">
        <row r="7">
          <cell r="E7" t="str">
            <v>PT. DANONE BISCUITS INDONESIA</v>
          </cell>
        </row>
      </sheetData>
      <sheetData sheetId="6968">
        <row r="7">
          <cell r="E7" t="str">
            <v>PT. DANONE BISCUITS INDONESIA</v>
          </cell>
        </row>
      </sheetData>
      <sheetData sheetId="6969">
        <row r="7">
          <cell r="E7" t="str">
            <v>PT. DANONE BISCUITS INDONESIA</v>
          </cell>
        </row>
      </sheetData>
      <sheetData sheetId="6970">
        <row r="7">
          <cell r="E7" t="str">
            <v>PT. DANONE BISCUITS INDONESIA</v>
          </cell>
        </row>
      </sheetData>
      <sheetData sheetId="6971"/>
      <sheetData sheetId="6972"/>
      <sheetData sheetId="6973">
        <row r="7">
          <cell r="E7" t="str">
            <v>PT. DANONE BISCUITS INDONESIA</v>
          </cell>
        </row>
      </sheetData>
      <sheetData sheetId="6974">
        <row r="7">
          <cell r="E7" t="str">
            <v>PT. DANONE BISCUITS INDONESIA</v>
          </cell>
        </row>
      </sheetData>
      <sheetData sheetId="6975">
        <row r="7">
          <cell r="E7" t="str">
            <v>PT. DANONE BISCUITS INDONESIA</v>
          </cell>
        </row>
      </sheetData>
      <sheetData sheetId="6976">
        <row r="7">
          <cell r="E7" t="str">
            <v>PT. DANONE BISCUITS INDONESIA</v>
          </cell>
        </row>
      </sheetData>
      <sheetData sheetId="6977">
        <row r="7">
          <cell r="E7" t="str">
            <v>PT. DANONE BISCUITS INDONESIA</v>
          </cell>
        </row>
      </sheetData>
      <sheetData sheetId="6978"/>
      <sheetData sheetId="6979">
        <row r="37">
          <cell r="D37">
            <v>0</v>
          </cell>
        </row>
      </sheetData>
      <sheetData sheetId="6980">
        <row r="7">
          <cell r="E7" t="str">
            <v>PT. DANONE BISCUITS INDONESIA</v>
          </cell>
        </row>
      </sheetData>
      <sheetData sheetId="6981">
        <row r="37">
          <cell r="D37">
            <v>0</v>
          </cell>
        </row>
      </sheetData>
      <sheetData sheetId="6982"/>
      <sheetData sheetId="6983"/>
      <sheetData sheetId="6984"/>
      <sheetData sheetId="6985"/>
      <sheetData sheetId="6986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>
        <row r="7">
          <cell r="E7" t="str">
            <v>PT. DANONE BISCUITS INDONESIA</v>
          </cell>
        </row>
      </sheetData>
      <sheetData sheetId="7032">
        <row r="7">
          <cell r="E7" t="str">
            <v>PT. DANONE BISCUITS INDONESIA</v>
          </cell>
        </row>
      </sheetData>
      <sheetData sheetId="7033">
        <row r="7">
          <cell r="E7" t="str">
            <v>PT. DANONE BISCUITS INDONESIA</v>
          </cell>
        </row>
      </sheetData>
      <sheetData sheetId="7034">
        <row r="7">
          <cell r="E7" t="str">
            <v>PT. DANONE BISCUITS INDONESIA</v>
          </cell>
        </row>
      </sheetData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>
        <row r="7">
          <cell r="E7" t="str">
            <v>PT. DANONE BISCUITS INDONESIA</v>
          </cell>
        </row>
      </sheetData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>
        <row r="7">
          <cell r="E7" t="str">
            <v>PT. DANONE BISCUITS INDONESIA</v>
          </cell>
        </row>
      </sheetData>
      <sheetData sheetId="7632">
        <row r="7">
          <cell r="E7" t="str">
            <v>PT. DANONE BISCUITS INDONESIA</v>
          </cell>
        </row>
      </sheetData>
      <sheetData sheetId="7633">
        <row r="7">
          <cell r="E7" t="str">
            <v>PT. DANONE BISCUITS INDONESIA</v>
          </cell>
        </row>
      </sheetData>
      <sheetData sheetId="7634">
        <row r="7">
          <cell r="E7" t="str">
            <v>PT. DANONE BISCUITS INDONESIA</v>
          </cell>
        </row>
      </sheetData>
      <sheetData sheetId="7635">
        <row r="7">
          <cell r="E7" t="str">
            <v>PT. DANONE BISCUITS INDONESIA</v>
          </cell>
        </row>
      </sheetData>
      <sheetData sheetId="7636">
        <row r="7">
          <cell r="E7" t="str">
            <v>PT. DANONE BISCUITS INDONESIA</v>
          </cell>
        </row>
      </sheetData>
      <sheetData sheetId="7637">
        <row r="7">
          <cell r="E7" t="str">
            <v>PT. DANONE BISCUITS INDONESIA</v>
          </cell>
        </row>
      </sheetData>
      <sheetData sheetId="7638">
        <row r="7">
          <cell r="E7" t="str">
            <v>PT. DANONE BISCUITS INDONESIA</v>
          </cell>
        </row>
      </sheetData>
      <sheetData sheetId="7639">
        <row r="7">
          <cell r="E7" t="str">
            <v>PT. DANONE BISCUITS INDONESIA</v>
          </cell>
        </row>
      </sheetData>
      <sheetData sheetId="7640">
        <row r="7">
          <cell r="E7" t="str">
            <v>PT. DANONE BISCUITS INDONESIA</v>
          </cell>
        </row>
      </sheetData>
      <sheetData sheetId="7641">
        <row r="7">
          <cell r="E7" t="str">
            <v>PT. DANONE BISCUITS INDONESIA</v>
          </cell>
        </row>
      </sheetData>
      <sheetData sheetId="7642">
        <row r="7">
          <cell r="E7" t="str">
            <v>PT. DANONE BISCUITS INDONESIA</v>
          </cell>
        </row>
      </sheetData>
      <sheetData sheetId="7643">
        <row r="7">
          <cell r="E7" t="str">
            <v>PT. DANONE BISCUITS INDONESIA</v>
          </cell>
        </row>
      </sheetData>
      <sheetData sheetId="7644">
        <row r="7">
          <cell r="E7" t="str">
            <v>PT. DANONE BISCUITS INDONESIA</v>
          </cell>
        </row>
      </sheetData>
      <sheetData sheetId="7645">
        <row r="7">
          <cell r="E7" t="str">
            <v>PT. DANONE BISCUITS INDONESIA</v>
          </cell>
        </row>
      </sheetData>
      <sheetData sheetId="7646">
        <row r="7">
          <cell r="E7" t="str">
            <v>PT. DANONE BISCUITS INDONESIA</v>
          </cell>
        </row>
      </sheetData>
      <sheetData sheetId="7647">
        <row r="7">
          <cell r="E7" t="str">
            <v>PT. DANONE BISCUITS INDONESIA</v>
          </cell>
        </row>
      </sheetData>
      <sheetData sheetId="7648">
        <row r="7">
          <cell r="E7" t="str">
            <v>PT. DANONE BISCUITS INDONESIA</v>
          </cell>
        </row>
      </sheetData>
      <sheetData sheetId="7649">
        <row r="7">
          <cell r="E7" t="str">
            <v>PT. DANONE BISCUITS INDONESIA</v>
          </cell>
        </row>
      </sheetData>
      <sheetData sheetId="7650">
        <row r="7">
          <cell r="E7" t="str">
            <v>PT. DANONE BISCUITS INDONESIA</v>
          </cell>
        </row>
      </sheetData>
      <sheetData sheetId="7651"/>
      <sheetData sheetId="7652"/>
      <sheetData sheetId="7653">
        <row r="7">
          <cell r="E7" t="str">
            <v>PT. DANONE BISCUITS INDONESIA</v>
          </cell>
        </row>
      </sheetData>
      <sheetData sheetId="7654">
        <row r="37">
          <cell r="D37">
            <v>0</v>
          </cell>
        </row>
      </sheetData>
      <sheetData sheetId="7655">
        <row r="37">
          <cell r="D37">
            <v>0</v>
          </cell>
        </row>
      </sheetData>
      <sheetData sheetId="7656">
        <row r="37">
          <cell r="D37">
            <v>0</v>
          </cell>
        </row>
      </sheetData>
      <sheetData sheetId="7657">
        <row r="37">
          <cell r="D37">
            <v>0</v>
          </cell>
        </row>
      </sheetData>
      <sheetData sheetId="7658">
        <row r="37">
          <cell r="D37">
            <v>0</v>
          </cell>
        </row>
      </sheetData>
      <sheetData sheetId="7659">
        <row r="37">
          <cell r="D37">
            <v>0</v>
          </cell>
        </row>
      </sheetData>
      <sheetData sheetId="7660">
        <row r="37">
          <cell r="D37">
            <v>0</v>
          </cell>
        </row>
      </sheetData>
      <sheetData sheetId="7661"/>
      <sheetData sheetId="7662">
        <row r="37">
          <cell r="D37">
            <v>0</v>
          </cell>
        </row>
      </sheetData>
      <sheetData sheetId="7663">
        <row r="37">
          <cell r="D37">
            <v>0</v>
          </cell>
        </row>
      </sheetData>
      <sheetData sheetId="7664">
        <row r="37">
          <cell r="D37">
            <v>0</v>
          </cell>
        </row>
      </sheetData>
      <sheetData sheetId="7665">
        <row r="37">
          <cell r="D37">
            <v>0</v>
          </cell>
        </row>
      </sheetData>
      <sheetData sheetId="7666">
        <row r="37">
          <cell r="D37">
            <v>0</v>
          </cell>
        </row>
      </sheetData>
      <sheetData sheetId="7667">
        <row r="37">
          <cell r="D37">
            <v>0</v>
          </cell>
        </row>
      </sheetData>
      <sheetData sheetId="7668">
        <row r="37">
          <cell r="D37">
            <v>0</v>
          </cell>
        </row>
      </sheetData>
      <sheetData sheetId="7669">
        <row r="37">
          <cell r="D37">
            <v>0</v>
          </cell>
        </row>
      </sheetData>
      <sheetData sheetId="7670">
        <row r="7">
          <cell r="E7" t="str">
            <v>PT. DANONE BISCUITS INDONESIA</v>
          </cell>
        </row>
      </sheetData>
      <sheetData sheetId="7671">
        <row r="37">
          <cell r="D37">
            <v>0</v>
          </cell>
        </row>
      </sheetData>
      <sheetData sheetId="7672">
        <row r="37">
          <cell r="D37">
            <v>0</v>
          </cell>
        </row>
      </sheetData>
      <sheetData sheetId="7673">
        <row r="37">
          <cell r="D37">
            <v>0</v>
          </cell>
        </row>
      </sheetData>
      <sheetData sheetId="7674">
        <row r="7">
          <cell r="E7" t="str">
            <v>PT. DANONE BISCUITS INDONESIA</v>
          </cell>
        </row>
      </sheetData>
      <sheetData sheetId="7675">
        <row r="7">
          <cell r="E7" t="str">
            <v>PT. DANONE BISCUITS INDONESIA</v>
          </cell>
        </row>
      </sheetData>
      <sheetData sheetId="7676">
        <row r="7">
          <cell r="E7" t="str">
            <v>PT. DANONE BISCUITS INDONESIA</v>
          </cell>
        </row>
      </sheetData>
      <sheetData sheetId="7677">
        <row r="7">
          <cell r="E7" t="str">
            <v>PT. DANONE BISCUITS INDONESIA</v>
          </cell>
        </row>
      </sheetData>
      <sheetData sheetId="7678">
        <row r="7">
          <cell r="E7" t="str">
            <v>PT. DANONE BISCUITS INDONESIA</v>
          </cell>
        </row>
      </sheetData>
      <sheetData sheetId="7679">
        <row r="7">
          <cell r="E7" t="str">
            <v>PT. DANONE BISCUITS INDONESIA</v>
          </cell>
        </row>
      </sheetData>
      <sheetData sheetId="7680">
        <row r="7">
          <cell r="E7" t="str">
            <v>PT. DANONE BISCUITS INDONESIA</v>
          </cell>
        </row>
      </sheetData>
      <sheetData sheetId="7681">
        <row r="7">
          <cell r="E7" t="str">
            <v>PT. DANONE BISCUITS INDONESIA</v>
          </cell>
        </row>
      </sheetData>
      <sheetData sheetId="7682">
        <row r="7">
          <cell r="E7" t="str">
            <v>PT. DANONE BISCUITS INDONESIA</v>
          </cell>
        </row>
      </sheetData>
      <sheetData sheetId="7683">
        <row r="7">
          <cell r="E7" t="str">
            <v>PT. DANONE BISCUITS INDONESIA</v>
          </cell>
        </row>
      </sheetData>
      <sheetData sheetId="7684">
        <row r="7">
          <cell r="E7" t="str">
            <v>PT. DANONE BISCUITS INDONESIA</v>
          </cell>
        </row>
      </sheetData>
      <sheetData sheetId="7685">
        <row r="7">
          <cell r="E7" t="str">
            <v>PT. DANONE BISCUITS INDONESIA</v>
          </cell>
        </row>
      </sheetData>
      <sheetData sheetId="7686">
        <row r="7">
          <cell r="E7" t="str">
            <v>PT. DANONE BISCUITS INDONESIA</v>
          </cell>
        </row>
      </sheetData>
      <sheetData sheetId="7687">
        <row r="7">
          <cell r="E7" t="str">
            <v>PT. DANONE BISCUITS INDONESIA</v>
          </cell>
        </row>
      </sheetData>
      <sheetData sheetId="7688">
        <row r="7">
          <cell r="E7" t="str">
            <v>PT. DANONE BISCUITS INDONESIA</v>
          </cell>
        </row>
      </sheetData>
      <sheetData sheetId="7689">
        <row r="7">
          <cell r="E7" t="str">
            <v>PT. DANONE BISCUITS INDONESIA</v>
          </cell>
        </row>
      </sheetData>
      <sheetData sheetId="7690">
        <row r="7">
          <cell r="E7" t="str">
            <v>PT. DANONE BISCUITS INDONESIA</v>
          </cell>
        </row>
      </sheetData>
      <sheetData sheetId="7691">
        <row r="7">
          <cell r="E7" t="str">
            <v>PT. DANONE BISCUITS INDONESIA</v>
          </cell>
        </row>
      </sheetData>
      <sheetData sheetId="7692">
        <row r="7">
          <cell r="E7" t="str">
            <v>PT. DANONE BISCUITS INDONESIA</v>
          </cell>
        </row>
      </sheetData>
      <sheetData sheetId="7693">
        <row r="7">
          <cell r="E7" t="str">
            <v>PT. DANONE BISCUITS INDONESIA</v>
          </cell>
        </row>
      </sheetData>
      <sheetData sheetId="7694">
        <row r="7">
          <cell r="E7" t="str">
            <v>PT. DANONE BISCUITS INDONESIA</v>
          </cell>
        </row>
      </sheetData>
      <sheetData sheetId="7695">
        <row r="7">
          <cell r="E7" t="str">
            <v>PT. DANONE BISCUITS INDONESIA</v>
          </cell>
        </row>
      </sheetData>
      <sheetData sheetId="7696">
        <row r="7">
          <cell r="E7" t="str">
            <v>PT. DANONE BISCUITS INDONESIA</v>
          </cell>
        </row>
      </sheetData>
      <sheetData sheetId="7697">
        <row r="7">
          <cell r="E7" t="str">
            <v>PT. DANONE BISCUITS INDONESIA</v>
          </cell>
        </row>
      </sheetData>
      <sheetData sheetId="7698">
        <row r="7">
          <cell r="E7" t="str">
            <v>PT. DANONE BISCUITS INDONESIA</v>
          </cell>
        </row>
      </sheetData>
      <sheetData sheetId="7699">
        <row r="7">
          <cell r="E7" t="str">
            <v>PT. DANONE BISCUITS INDONESIA</v>
          </cell>
        </row>
      </sheetData>
      <sheetData sheetId="7700">
        <row r="7">
          <cell r="E7" t="str">
            <v>PT. DANONE BISCUITS INDONESIA</v>
          </cell>
        </row>
      </sheetData>
      <sheetData sheetId="7701">
        <row r="7">
          <cell r="E7" t="str">
            <v>PT. DANONE BISCUITS INDONESIA</v>
          </cell>
        </row>
      </sheetData>
      <sheetData sheetId="7702">
        <row r="7">
          <cell r="E7" t="str">
            <v>PT. DANONE BISCUITS INDONESIA</v>
          </cell>
        </row>
      </sheetData>
      <sheetData sheetId="7703">
        <row r="7">
          <cell r="E7" t="str">
            <v>PT. DANONE BISCUITS INDONESIA</v>
          </cell>
        </row>
      </sheetData>
      <sheetData sheetId="7704">
        <row r="7">
          <cell r="E7" t="str">
            <v>PT. DANONE BISCUITS INDONESIA</v>
          </cell>
        </row>
      </sheetData>
      <sheetData sheetId="7705">
        <row r="7">
          <cell r="E7" t="str">
            <v>PT. DANONE BISCUITS INDONESIA</v>
          </cell>
        </row>
      </sheetData>
      <sheetData sheetId="7706">
        <row r="7">
          <cell r="E7" t="str">
            <v>PT. DANONE BISCUITS INDONESIA</v>
          </cell>
        </row>
      </sheetData>
      <sheetData sheetId="7707">
        <row r="7">
          <cell r="E7" t="str">
            <v>PT. DANONE BISCUITS INDONESIA</v>
          </cell>
        </row>
      </sheetData>
      <sheetData sheetId="7708">
        <row r="7">
          <cell r="E7" t="str">
            <v>PT. DANONE BISCUITS INDONESIA</v>
          </cell>
        </row>
      </sheetData>
      <sheetData sheetId="7709">
        <row r="7">
          <cell r="E7" t="str">
            <v>PT. DANONE BISCUITS INDONESIA</v>
          </cell>
        </row>
      </sheetData>
      <sheetData sheetId="7710">
        <row r="7">
          <cell r="E7" t="str">
            <v>PT. DANONE BISCUITS INDONESIA</v>
          </cell>
        </row>
      </sheetData>
      <sheetData sheetId="7711">
        <row r="7">
          <cell r="E7" t="str">
            <v>PT. DANONE BISCUITS INDONESIA</v>
          </cell>
        </row>
      </sheetData>
      <sheetData sheetId="7712">
        <row r="7">
          <cell r="E7" t="str">
            <v>PT. DANONE BISCUITS INDONESIA</v>
          </cell>
        </row>
      </sheetData>
      <sheetData sheetId="7713">
        <row r="7">
          <cell r="E7" t="str">
            <v>PT. DANONE BISCUITS INDONESIA</v>
          </cell>
        </row>
      </sheetData>
      <sheetData sheetId="7714">
        <row r="37">
          <cell r="D37">
            <v>0</v>
          </cell>
        </row>
      </sheetData>
      <sheetData sheetId="7715">
        <row r="7">
          <cell r="E7" t="str">
            <v>PT. DANONE BISCUITS INDONESIA</v>
          </cell>
        </row>
      </sheetData>
      <sheetData sheetId="7716">
        <row r="7">
          <cell r="E7" t="str">
            <v>PT. DANONE BISCUITS INDONESIA</v>
          </cell>
        </row>
      </sheetData>
      <sheetData sheetId="7717">
        <row r="7">
          <cell r="E7" t="str">
            <v>PT. DANONE BISCUITS INDONESIA</v>
          </cell>
        </row>
      </sheetData>
      <sheetData sheetId="7718">
        <row r="7">
          <cell r="E7" t="str">
            <v>PT. DANONE BISCUITS INDONESIA</v>
          </cell>
        </row>
      </sheetData>
      <sheetData sheetId="7719">
        <row r="7">
          <cell r="E7" t="str">
            <v>PT. DANONE BISCUITS INDONESIA</v>
          </cell>
        </row>
      </sheetData>
      <sheetData sheetId="7720">
        <row r="7">
          <cell r="E7" t="str">
            <v>PT. DANONE BISCUITS INDONESIA</v>
          </cell>
        </row>
      </sheetData>
      <sheetData sheetId="7721">
        <row r="7">
          <cell r="E7" t="str">
            <v>PT. DANONE BISCUITS INDONESIA</v>
          </cell>
        </row>
      </sheetData>
      <sheetData sheetId="7722">
        <row r="7">
          <cell r="E7" t="str">
            <v>PT. DANONE BISCUITS INDONESIA</v>
          </cell>
        </row>
      </sheetData>
      <sheetData sheetId="7723">
        <row r="37">
          <cell r="D37">
            <v>0</v>
          </cell>
        </row>
      </sheetData>
      <sheetData sheetId="7724">
        <row r="7">
          <cell r="E7" t="str">
            <v>PT. DANONE BISCUITS INDONESIA</v>
          </cell>
        </row>
      </sheetData>
      <sheetData sheetId="7725">
        <row r="7">
          <cell r="E7" t="str">
            <v>PT. DANONE BISCUITS INDONESIA</v>
          </cell>
        </row>
      </sheetData>
      <sheetData sheetId="7726">
        <row r="7">
          <cell r="E7" t="str">
            <v>PT. DANONE BISCUITS INDONESIA</v>
          </cell>
        </row>
      </sheetData>
      <sheetData sheetId="7727">
        <row r="7">
          <cell r="E7" t="str">
            <v>PT. DANONE BISCUITS INDONESIA</v>
          </cell>
        </row>
      </sheetData>
      <sheetData sheetId="7728">
        <row r="7">
          <cell r="E7" t="str">
            <v>PT. DANONE BISCUITS INDONESIA</v>
          </cell>
        </row>
      </sheetData>
      <sheetData sheetId="7729">
        <row r="7">
          <cell r="E7" t="str">
            <v>PT. DANONE BISCUITS INDONESIA</v>
          </cell>
        </row>
      </sheetData>
      <sheetData sheetId="7730">
        <row r="7">
          <cell r="E7" t="str">
            <v>PT. DANONE BISCUITS INDONESIA</v>
          </cell>
        </row>
      </sheetData>
      <sheetData sheetId="7731">
        <row r="7">
          <cell r="E7" t="str">
            <v>PT. DANONE BISCUITS INDONESIA</v>
          </cell>
        </row>
      </sheetData>
      <sheetData sheetId="7732">
        <row r="7">
          <cell r="E7" t="str">
            <v>PT. DANONE BISCUITS INDONESIA</v>
          </cell>
        </row>
      </sheetData>
      <sheetData sheetId="7733">
        <row r="7">
          <cell r="E7" t="str">
            <v>PT. DANONE BISCUITS INDONESIA</v>
          </cell>
        </row>
      </sheetData>
      <sheetData sheetId="7734">
        <row r="7">
          <cell r="E7" t="str">
            <v>PT. DANONE BISCUITS INDONESIA</v>
          </cell>
        </row>
      </sheetData>
      <sheetData sheetId="7735">
        <row r="7">
          <cell r="E7" t="str">
            <v>PT. DANONE BISCUITS INDONESIA</v>
          </cell>
        </row>
      </sheetData>
      <sheetData sheetId="7736">
        <row r="7">
          <cell r="E7" t="str">
            <v>PT. DANONE BISCUITS INDONESIA</v>
          </cell>
        </row>
      </sheetData>
      <sheetData sheetId="7737">
        <row r="37">
          <cell r="D37">
            <v>0</v>
          </cell>
        </row>
      </sheetData>
      <sheetData sheetId="7738">
        <row r="7">
          <cell r="E7" t="str">
            <v>PT. DANONE BISCUITS INDONESIA</v>
          </cell>
        </row>
      </sheetData>
      <sheetData sheetId="7739">
        <row r="7">
          <cell r="E7" t="str">
            <v>PT. DANONE BISCUITS INDONESIA</v>
          </cell>
        </row>
      </sheetData>
      <sheetData sheetId="7740">
        <row r="7">
          <cell r="E7" t="str">
            <v>PT. DANONE BISCUITS INDONESIA</v>
          </cell>
        </row>
      </sheetData>
      <sheetData sheetId="7741">
        <row r="7">
          <cell r="E7" t="str">
            <v>PT. DANONE BISCUITS INDONESIA</v>
          </cell>
        </row>
      </sheetData>
      <sheetData sheetId="7742">
        <row r="7">
          <cell r="E7" t="str">
            <v>PT. DANONE BISCUITS INDONESIA</v>
          </cell>
        </row>
      </sheetData>
      <sheetData sheetId="7743">
        <row r="7">
          <cell r="E7" t="str">
            <v>PT. DANONE BISCUITS INDONESIA</v>
          </cell>
        </row>
      </sheetData>
      <sheetData sheetId="7744">
        <row r="7">
          <cell r="E7" t="str">
            <v>PT. DANONE BISCUITS INDONESIA</v>
          </cell>
        </row>
      </sheetData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>
        <row r="37">
          <cell r="D37">
            <v>0</v>
          </cell>
        </row>
      </sheetData>
      <sheetData sheetId="7763">
        <row r="37">
          <cell r="D37">
            <v>0</v>
          </cell>
        </row>
      </sheetData>
      <sheetData sheetId="7764">
        <row r="37">
          <cell r="D37">
            <v>0</v>
          </cell>
        </row>
      </sheetData>
      <sheetData sheetId="7765">
        <row r="37">
          <cell r="D37">
            <v>0</v>
          </cell>
        </row>
      </sheetData>
      <sheetData sheetId="7766">
        <row r="7">
          <cell r="E7" t="str">
            <v>PT. DANONE BISCUITS INDONESIA</v>
          </cell>
        </row>
      </sheetData>
      <sheetData sheetId="7767">
        <row r="7">
          <cell r="E7" t="str">
            <v>PT. DANONE BISCUITS INDONESIA</v>
          </cell>
        </row>
      </sheetData>
      <sheetData sheetId="7768">
        <row r="7">
          <cell r="E7" t="str">
            <v>PT. DANONE BISCUITS INDONESIA</v>
          </cell>
        </row>
      </sheetData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>
        <row r="37">
          <cell r="D37">
            <v>0</v>
          </cell>
        </row>
      </sheetData>
      <sheetData sheetId="7808">
        <row r="37">
          <cell r="D37">
            <v>0</v>
          </cell>
        </row>
      </sheetData>
      <sheetData sheetId="7809">
        <row r="37">
          <cell r="D37">
            <v>0</v>
          </cell>
        </row>
      </sheetData>
      <sheetData sheetId="7810">
        <row r="37">
          <cell r="D37">
            <v>0</v>
          </cell>
        </row>
      </sheetData>
      <sheetData sheetId="7811">
        <row r="37">
          <cell r="D37">
            <v>0</v>
          </cell>
        </row>
      </sheetData>
      <sheetData sheetId="7812">
        <row r="37">
          <cell r="D37">
            <v>0</v>
          </cell>
        </row>
      </sheetData>
      <sheetData sheetId="7813">
        <row r="37">
          <cell r="D37">
            <v>0</v>
          </cell>
        </row>
      </sheetData>
      <sheetData sheetId="7814">
        <row r="37">
          <cell r="D37">
            <v>0</v>
          </cell>
        </row>
      </sheetData>
      <sheetData sheetId="7815">
        <row r="7">
          <cell r="E7" t="str">
            <v>PT. DANONE BISCUITS INDONESIA</v>
          </cell>
        </row>
      </sheetData>
      <sheetData sheetId="7816">
        <row r="7">
          <cell r="E7" t="str">
            <v>PT. DANONE BISCUITS INDONESIA</v>
          </cell>
        </row>
      </sheetData>
      <sheetData sheetId="7817">
        <row r="7">
          <cell r="E7" t="str">
            <v>PT. DANONE BISCUITS INDONESIA</v>
          </cell>
        </row>
      </sheetData>
      <sheetData sheetId="7818">
        <row r="7">
          <cell r="E7" t="str">
            <v>PT. DANONE BISCUITS INDONESIA</v>
          </cell>
        </row>
      </sheetData>
      <sheetData sheetId="7819">
        <row r="7">
          <cell r="E7" t="str">
            <v>PT. DANONE BISCUITS INDONESIA</v>
          </cell>
        </row>
      </sheetData>
      <sheetData sheetId="7820">
        <row r="7">
          <cell r="E7" t="str">
            <v>PT. DANONE BISCUITS INDONESIA</v>
          </cell>
        </row>
      </sheetData>
      <sheetData sheetId="7821">
        <row r="7">
          <cell r="E7" t="str">
            <v>PT. DANONE BISCUITS INDONESIA</v>
          </cell>
        </row>
      </sheetData>
      <sheetData sheetId="7822">
        <row r="7">
          <cell r="E7" t="str">
            <v>PT. DANONE BISCUITS INDONESIA</v>
          </cell>
        </row>
      </sheetData>
      <sheetData sheetId="7823">
        <row r="7">
          <cell r="E7" t="str">
            <v>PT. DANONE BISCUITS INDONESIA</v>
          </cell>
        </row>
      </sheetData>
      <sheetData sheetId="7824">
        <row r="7">
          <cell r="E7" t="str">
            <v>PT. DANONE BISCUITS INDONESIA</v>
          </cell>
        </row>
      </sheetData>
      <sheetData sheetId="7825">
        <row r="7">
          <cell r="E7" t="str">
            <v>PT. DANONE BISCUITS INDONESIA</v>
          </cell>
        </row>
      </sheetData>
      <sheetData sheetId="7826">
        <row r="7">
          <cell r="E7" t="str">
            <v>PT. DANONE BISCUITS INDONESIA</v>
          </cell>
        </row>
      </sheetData>
      <sheetData sheetId="7827">
        <row r="7">
          <cell r="E7" t="str">
            <v>PT. DANONE BISCUITS INDONESIA</v>
          </cell>
        </row>
      </sheetData>
      <sheetData sheetId="7828">
        <row r="7">
          <cell r="E7" t="str">
            <v>PT. DANONE BISCUITS INDONESIA</v>
          </cell>
        </row>
      </sheetData>
      <sheetData sheetId="7829">
        <row r="7">
          <cell r="E7" t="str">
            <v>PT. DANONE BISCUITS INDONESIA</v>
          </cell>
        </row>
      </sheetData>
      <sheetData sheetId="7830">
        <row r="7">
          <cell r="E7" t="str">
            <v>PT. DANONE BISCUITS INDONESIA</v>
          </cell>
        </row>
      </sheetData>
      <sheetData sheetId="7831">
        <row r="7">
          <cell r="E7" t="str">
            <v>PT. DANONE BISCUITS INDONESIA</v>
          </cell>
        </row>
      </sheetData>
      <sheetData sheetId="7832">
        <row r="7">
          <cell r="E7" t="str">
            <v>PT. DANONE BISCUITS INDONESIA</v>
          </cell>
        </row>
      </sheetData>
      <sheetData sheetId="7833">
        <row r="7">
          <cell r="E7" t="str">
            <v>PT. DANONE BISCUITS INDONESIA</v>
          </cell>
        </row>
      </sheetData>
      <sheetData sheetId="7834">
        <row r="7">
          <cell r="E7" t="str">
            <v>PT. DANONE BISCUITS INDONESIA</v>
          </cell>
        </row>
      </sheetData>
      <sheetData sheetId="7835">
        <row r="7">
          <cell r="E7" t="str">
            <v>PT. DANONE BISCUITS INDONESIA</v>
          </cell>
        </row>
      </sheetData>
      <sheetData sheetId="7836">
        <row r="7">
          <cell r="E7" t="str">
            <v>PT. DANONE BISCUITS INDONESIA</v>
          </cell>
        </row>
      </sheetData>
      <sheetData sheetId="7837">
        <row r="7">
          <cell r="E7" t="str">
            <v>PT. DANONE BISCUITS INDONESIA</v>
          </cell>
        </row>
      </sheetData>
      <sheetData sheetId="7838">
        <row r="7">
          <cell r="E7" t="str">
            <v>PT. DANONE BISCUITS INDONESIA</v>
          </cell>
        </row>
      </sheetData>
      <sheetData sheetId="7839">
        <row r="7">
          <cell r="E7" t="str">
            <v>PT. DANONE BISCUITS INDONESIA</v>
          </cell>
        </row>
      </sheetData>
      <sheetData sheetId="7840">
        <row r="7">
          <cell r="E7" t="str">
            <v>PT. DANONE BISCUITS INDONESIA</v>
          </cell>
        </row>
      </sheetData>
      <sheetData sheetId="7841">
        <row r="7">
          <cell r="E7" t="str">
            <v>PT. DANONE BISCUITS INDONESIA</v>
          </cell>
        </row>
      </sheetData>
      <sheetData sheetId="7842">
        <row r="7">
          <cell r="E7" t="str">
            <v>PT. DANONE BISCUITS INDONESIA</v>
          </cell>
        </row>
      </sheetData>
      <sheetData sheetId="7843">
        <row r="7">
          <cell r="E7" t="str">
            <v>PT. DANONE BISCUITS INDONESIA</v>
          </cell>
        </row>
      </sheetData>
      <sheetData sheetId="7844">
        <row r="7">
          <cell r="E7" t="str">
            <v>PT. DANONE BISCUITS INDONESIA</v>
          </cell>
        </row>
      </sheetData>
      <sheetData sheetId="7845">
        <row r="7">
          <cell r="E7" t="str">
            <v>PT. DANONE BISCUITS INDONESIA</v>
          </cell>
        </row>
      </sheetData>
      <sheetData sheetId="7846">
        <row r="7">
          <cell r="E7" t="str">
            <v>PT. DANONE BISCUITS INDONESIA</v>
          </cell>
        </row>
      </sheetData>
      <sheetData sheetId="7847">
        <row r="7">
          <cell r="E7" t="str">
            <v>PT. DANONE BISCUITS INDONESIA</v>
          </cell>
        </row>
      </sheetData>
      <sheetData sheetId="7848">
        <row r="7">
          <cell r="E7" t="str">
            <v>PT. DANONE BISCUITS INDONESIA</v>
          </cell>
        </row>
      </sheetData>
      <sheetData sheetId="7849">
        <row r="7">
          <cell r="E7" t="str">
            <v>PT. DANONE BISCUITS INDONESIA</v>
          </cell>
        </row>
      </sheetData>
      <sheetData sheetId="7850">
        <row r="7">
          <cell r="E7" t="str">
            <v>PT. DANONE BISCUITS INDONESIA</v>
          </cell>
        </row>
      </sheetData>
      <sheetData sheetId="7851">
        <row r="7">
          <cell r="E7" t="str">
            <v>PT. DANONE BISCUITS INDONESIA</v>
          </cell>
        </row>
      </sheetData>
      <sheetData sheetId="7852">
        <row r="7">
          <cell r="E7" t="str">
            <v>PT. DANONE BISCUITS INDONESIA</v>
          </cell>
        </row>
      </sheetData>
      <sheetData sheetId="7853">
        <row r="7">
          <cell r="E7" t="str">
            <v>PT. DANONE BISCUITS INDONESIA</v>
          </cell>
        </row>
      </sheetData>
      <sheetData sheetId="7854">
        <row r="7">
          <cell r="E7" t="str">
            <v>PT. DANONE BISCUITS INDONESIA</v>
          </cell>
        </row>
      </sheetData>
      <sheetData sheetId="7855">
        <row r="7">
          <cell r="E7" t="str">
            <v>PT. DANONE BISCUITS INDONESIA</v>
          </cell>
        </row>
      </sheetData>
      <sheetData sheetId="7856">
        <row r="7">
          <cell r="E7" t="str">
            <v>PT. DANONE BISCUITS INDONESIA</v>
          </cell>
        </row>
      </sheetData>
      <sheetData sheetId="7857">
        <row r="7">
          <cell r="E7" t="str">
            <v>PT. DANONE BISCUITS INDONESIA</v>
          </cell>
        </row>
      </sheetData>
      <sheetData sheetId="7858">
        <row r="7">
          <cell r="E7" t="str">
            <v>PT. DANONE BISCUITS INDONESIA</v>
          </cell>
        </row>
      </sheetData>
      <sheetData sheetId="7859">
        <row r="7">
          <cell r="E7" t="str">
            <v>PT. DANONE BISCUITS INDONESIA</v>
          </cell>
        </row>
      </sheetData>
      <sheetData sheetId="7860">
        <row r="7">
          <cell r="E7" t="str">
            <v>PT. DANONE BISCUITS INDONESIA</v>
          </cell>
        </row>
      </sheetData>
      <sheetData sheetId="7861"/>
      <sheetData sheetId="7862"/>
      <sheetData sheetId="7863">
        <row r="37">
          <cell r="D37">
            <v>0</v>
          </cell>
        </row>
      </sheetData>
      <sheetData sheetId="7864">
        <row r="7">
          <cell r="E7" t="str">
            <v>PT. DANONE BISCUITS INDONESIA</v>
          </cell>
        </row>
      </sheetData>
      <sheetData sheetId="7865">
        <row r="7">
          <cell r="E7" t="str">
            <v>PT. DANONE BISCUITS INDONESIA</v>
          </cell>
        </row>
      </sheetData>
      <sheetData sheetId="7866">
        <row r="7">
          <cell r="E7" t="str">
            <v>PT. DANONE BISCUITS INDONESIA</v>
          </cell>
        </row>
      </sheetData>
      <sheetData sheetId="7867">
        <row r="7">
          <cell r="E7" t="str">
            <v>PT. DANONE BISCUITS INDONESIA</v>
          </cell>
        </row>
      </sheetData>
      <sheetData sheetId="7868">
        <row r="7">
          <cell r="E7" t="str">
            <v>PT. DANONE BISCUITS INDONESIA</v>
          </cell>
        </row>
      </sheetData>
      <sheetData sheetId="7869">
        <row r="7">
          <cell r="E7" t="str">
            <v>PT. DANONE BISCUITS INDONESIA</v>
          </cell>
        </row>
      </sheetData>
      <sheetData sheetId="7870">
        <row r="7">
          <cell r="E7" t="str">
            <v>PT. DANONE BISCUITS INDONESIA</v>
          </cell>
        </row>
      </sheetData>
      <sheetData sheetId="7871">
        <row r="7">
          <cell r="E7" t="str">
            <v>PT. DANONE BISCUITS INDONESIA</v>
          </cell>
        </row>
      </sheetData>
      <sheetData sheetId="7872">
        <row r="7">
          <cell r="E7" t="str">
            <v>PT. DANONE BISCUITS INDONESIA</v>
          </cell>
        </row>
      </sheetData>
      <sheetData sheetId="7873">
        <row r="7">
          <cell r="E7" t="str">
            <v>PT. DANONE BISCUITS INDONESIA</v>
          </cell>
        </row>
      </sheetData>
      <sheetData sheetId="7874">
        <row r="7">
          <cell r="E7" t="str">
            <v>PT. DANONE BISCUITS INDONESIA</v>
          </cell>
        </row>
      </sheetData>
      <sheetData sheetId="7875">
        <row r="7">
          <cell r="E7" t="str">
            <v>PT. DANONE BISCUITS INDONESIA</v>
          </cell>
        </row>
      </sheetData>
      <sheetData sheetId="7876">
        <row r="7">
          <cell r="E7" t="str">
            <v>PT. DANONE BISCUITS INDONESIA</v>
          </cell>
        </row>
      </sheetData>
      <sheetData sheetId="7877">
        <row r="7">
          <cell r="E7" t="str">
            <v>PT. DANONE BISCUITS INDONESIA</v>
          </cell>
        </row>
      </sheetData>
      <sheetData sheetId="7878">
        <row r="7">
          <cell r="E7" t="str">
            <v>PT. DANONE BISCUITS INDONESIA</v>
          </cell>
        </row>
      </sheetData>
      <sheetData sheetId="7879">
        <row r="7">
          <cell r="E7" t="str">
            <v>PT. DANONE BISCUITS INDONESIA</v>
          </cell>
        </row>
      </sheetData>
      <sheetData sheetId="7880">
        <row r="7">
          <cell r="E7" t="str">
            <v>PT. DANONE BISCUITS INDONESIA</v>
          </cell>
        </row>
      </sheetData>
      <sheetData sheetId="7881">
        <row r="7">
          <cell r="E7" t="str">
            <v>PT. DANONE BISCUITS INDONESIA</v>
          </cell>
        </row>
      </sheetData>
      <sheetData sheetId="7882">
        <row r="7">
          <cell r="E7" t="str">
            <v>PT. DANONE BISCUITS INDONESIA</v>
          </cell>
        </row>
      </sheetData>
      <sheetData sheetId="7883"/>
      <sheetData sheetId="7884"/>
      <sheetData sheetId="7885"/>
      <sheetData sheetId="7886"/>
      <sheetData sheetId="7887">
        <row r="37">
          <cell r="D37">
            <v>0</v>
          </cell>
        </row>
      </sheetData>
      <sheetData sheetId="7888">
        <row r="37">
          <cell r="D37">
            <v>0</v>
          </cell>
        </row>
      </sheetData>
      <sheetData sheetId="7889">
        <row r="37">
          <cell r="D37">
            <v>0</v>
          </cell>
        </row>
      </sheetData>
      <sheetData sheetId="7890">
        <row r="37">
          <cell r="D37">
            <v>0</v>
          </cell>
        </row>
      </sheetData>
      <sheetData sheetId="7891">
        <row r="7">
          <cell r="E7" t="str">
            <v>PT. DANONE BISCUITS INDONESIA</v>
          </cell>
        </row>
      </sheetData>
      <sheetData sheetId="7892">
        <row r="7">
          <cell r="E7" t="str">
            <v>PT. DANONE BISCUITS INDONESIA</v>
          </cell>
        </row>
      </sheetData>
      <sheetData sheetId="7893">
        <row r="7">
          <cell r="E7" t="str">
            <v>PT. DANONE BISCUITS INDONESIA</v>
          </cell>
        </row>
      </sheetData>
      <sheetData sheetId="7894"/>
      <sheetData sheetId="7895"/>
      <sheetData sheetId="7896"/>
      <sheetData sheetId="7897"/>
      <sheetData sheetId="7898"/>
      <sheetData sheetId="7899"/>
      <sheetData sheetId="7900"/>
      <sheetData sheetId="7901">
        <row r="37">
          <cell r="D37">
            <v>0</v>
          </cell>
        </row>
      </sheetData>
      <sheetData sheetId="7902">
        <row r="37">
          <cell r="D37">
            <v>0</v>
          </cell>
        </row>
      </sheetData>
      <sheetData sheetId="7903"/>
      <sheetData sheetId="7904"/>
      <sheetData sheetId="7905"/>
      <sheetData sheetId="7906"/>
      <sheetData sheetId="7907"/>
      <sheetData sheetId="7908"/>
      <sheetData sheetId="7909"/>
      <sheetData sheetId="7910">
        <row r="37">
          <cell r="D37">
            <v>0</v>
          </cell>
        </row>
      </sheetData>
      <sheetData sheetId="7911">
        <row r="37">
          <cell r="D37">
            <v>0</v>
          </cell>
        </row>
      </sheetData>
      <sheetData sheetId="7912">
        <row r="37">
          <cell r="D37">
            <v>0</v>
          </cell>
        </row>
      </sheetData>
      <sheetData sheetId="7913">
        <row r="37">
          <cell r="D37">
            <v>0</v>
          </cell>
        </row>
      </sheetData>
      <sheetData sheetId="7914"/>
      <sheetData sheetId="7915">
        <row r="7">
          <cell r="E7" t="str">
            <v>PT. DANONE BISCUITS INDONESIA</v>
          </cell>
        </row>
      </sheetData>
      <sheetData sheetId="7916">
        <row r="7">
          <cell r="E7" t="str">
            <v>PT. DANONE BISCUITS INDONESIA</v>
          </cell>
        </row>
      </sheetData>
      <sheetData sheetId="7917"/>
      <sheetData sheetId="7918"/>
      <sheetData sheetId="7919"/>
      <sheetData sheetId="7920">
        <row r="37">
          <cell r="D37">
            <v>0</v>
          </cell>
        </row>
      </sheetData>
      <sheetData sheetId="7921"/>
      <sheetData sheetId="7922">
        <row r="37">
          <cell r="D37">
            <v>0</v>
          </cell>
        </row>
      </sheetData>
      <sheetData sheetId="7923">
        <row r="37">
          <cell r="D37">
            <v>0</v>
          </cell>
        </row>
      </sheetData>
      <sheetData sheetId="7924">
        <row r="37">
          <cell r="D37">
            <v>0</v>
          </cell>
        </row>
      </sheetData>
      <sheetData sheetId="7925">
        <row r="37">
          <cell r="D37">
            <v>0</v>
          </cell>
        </row>
      </sheetData>
      <sheetData sheetId="7926">
        <row r="37">
          <cell r="D37">
            <v>0</v>
          </cell>
        </row>
      </sheetData>
      <sheetData sheetId="7927">
        <row r="37">
          <cell r="D37">
            <v>0</v>
          </cell>
        </row>
      </sheetData>
      <sheetData sheetId="7928">
        <row r="37">
          <cell r="D37">
            <v>0</v>
          </cell>
        </row>
      </sheetData>
      <sheetData sheetId="7929">
        <row r="37">
          <cell r="D37">
            <v>0</v>
          </cell>
        </row>
      </sheetData>
      <sheetData sheetId="7930"/>
      <sheetData sheetId="7931"/>
      <sheetData sheetId="7932"/>
      <sheetData sheetId="7933"/>
      <sheetData sheetId="7934"/>
      <sheetData sheetId="7935">
        <row r="37">
          <cell r="D37">
            <v>0</v>
          </cell>
        </row>
      </sheetData>
      <sheetData sheetId="7936">
        <row r="37">
          <cell r="D37">
            <v>0</v>
          </cell>
        </row>
      </sheetData>
      <sheetData sheetId="7937">
        <row r="37">
          <cell r="D37">
            <v>0</v>
          </cell>
        </row>
      </sheetData>
      <sheetData sheetId="7938">
        <row r="37">
          <cell r="D37">
            <v>0</v>
          </cell>
        </row>
      </sheetData>
      <sheetData sheetId="7939">
        <row r="37">
          <cell r="D37">
            <v>0</v>
          </cell>
        </row>
      </sheetData>
      <sheetData sheetId="7940">
        <row r="37">
          <cell r="D37">
            <v>0</v>
          </cell>
        </row>
      </sheetData>
      <sheetData sheetId="7941">
        <row r="37">
          <cell r="D37">
            <v>0</v>
          </cell>
        </row>
      </sheetData>
      <sheetData sheetId="7942">
        <row r="37">
          <cell r="D37">
            <v>0</v>
          </cell>
        </row>
      </sheetData>
      <sheetData sheetId="7943">
        <row r="37">
          <cell r="D37">
            <v>0</v>
          </cell>
        </row>
      </sheetData>
      <sheetData sheetId="7944">
        <row r="7">
          <cell r="E7" t="str">
            <v>PT. DANONE BISCUITS INDONESIA</v>
          </cell>
        </row>
      </sheetData>
      <sheetData sheetId="7945">
        <row r="7">
          <cell r="E7" t="str">
            <v>PT. DANONE BISCUITS INDONESIA</v>
          </cell>
        </row>
      </sheetData>
      <sheetData sheetId="7946">
        <row r="7">
          <cell r="E7" t="str">
            <v>PT. DANONE BISCUITS INDONESIA</v>
          </cell>
        </row>
      </sheetData>
      <sheetData sheetId="7947">
        <row r="7">
          <cell r="E7" t="str">
            <v>PT. DANONE BISCUITS INDONESIA</v>
          </cell>
        </row>
      </sheetData>
      <sheetData sheetId="7948">
        <row r="7">
          <cell r="E7" t="str">
            <v>PT. DANONE BISCUITS INDONESIA</v>
          </cell>
        </row>
      </sheetData>
      <sheetData sheetId="7949">
        <row r="7">
          <cell r="E7" t="str">
            <v>PT. DANONE BISCUITS INDONESIA</v>
          </cell>
        </row>
      </sheetData>
      <sheetData sheetId="7950">
        <row r="7">
          <cell r="E7" t="str">
            <v>PT. DANONE BISCUITS INDONESIA</v>
          </cell>
        </row>
      </sheetData>
      <sheetData sheetId="7951">
        <row r="7">
          <cell r="E7" t="str">
            <v>PT. DANONE BISCUITS INDONESIA</v>
          </cell>
        </row>
      </sheetData>
      <sheetData sheetId="7952">
        <row r="7">
          <cell r="E7" t="str">
            <v>PT. DANONE BISCUITS INDONESIA</v>
          </cell>
        </row>
      </sheetData>
      <sheetData sheetId="7953">
        <row r="7">
          <cell r="E7" t="str">
            <v>PT. DANONE BISCUITS INDONESIA</v>
          </cell>
        </row>
      </sheetData>
      <sheetData sheetId="7954">
        <row r="7">
          <cell r="E7" t="str">
            <v>PT. DANONE BISCUITS INDONESIA</v>
          </cell>
        </row>
      </sheetData>
      <sheetData sheetId="7955">
        <row r="7">
          <cell r="E7" t="str">
            <v>PT. DANONE BISCUITS INDONESIA</v>
          </cell>
        </row>
      </sheetData>
      <sheetData sheetId="7956">
        <row r="7">
          <cell r="E7" t="str">
            <v>PT. DANONE BISCUITS INDONESIA</v>
          </cell>
        </row>
      </sheetData>
      <sheetData sheetId="7957">
        <row r="7">
          <cell r="E7" t="str">
            <v>PT. DANONE BISCUITS INDONESIA</v>
          </cell>
        </row>
      </sheetData>
      <sheetData sheetId="7958">
        <row r="7">
          <cell r="E7" t="str">
            <v>PT. DANONE BISCUITS INDONESIA</v>
          </cell>
        </row>
      </sheetData>
      <sheetData sheetId="7959">
        <row r="7">
          <cell r="E7" t="str">
            <v>PT. DANONE BISCUITS INDONESIA</v>
          </cell>
        </row>
      </sheetData>
      <sheetData sheetId="7960">
        <row r="7">
          <cell r="E7" t="str">
            <v>PT. DANONE BISCUITS INDONESIA</v>
          </cell>
        </row>
      </sheetData>
      <sheetData sheetId="7961">
        <row r="7">
          <cell r="E7" t="str">
            <v>PT. DANONE BISCUITS INDONESIA</v>
          </cell>
        </row>
      </sheetData>
      <sheetData sheetId="7962">
        <row r="7">
          <cell r="E7" t="str">
            <v>PT. DANONE BISCUITS INDONESIA</v>
          </cell>
        </row>
      </sheetData>
      <sheetData sheetId="7963">
        <row r="7">
          <cell r="E7" t="str">
            <v>PT. DANONE BISCUITS INDONESIA</v>
          </cell>
        </row>
      </sheetData>
      <sheetData sheetId="7964">
        <row r="7">
          <cell r="E7" t="str">
            <v>PT. DANONE BISCUITS INDONESIA</v>
          </cell>
        </row>
      </sheetData>
      <sheetData sheetId="7965">
        <row r="7">
          <cell r="E7" t="str">
            <v>PT. DANONE BISCUITS INDONESIA</v>
          </cell>
        </row>
      </sheetData>
      <sheetData sheetId="7966">
        <row r="37">
          <cell r="D37">
            <v>0</v>
          </cell>
        </row>
      </sheetData>
      <sheetData sheetId="7967">
        <row r="37">
          <cell r="D37">
            <v>0</v>
          </cell>
        </row>
      </sheetData>
      <sheetData sheetId="7968">
        <row r="37">
          <cell r="D37">
            <v>0</v>
          </cell>
        </row>
      </sheetData>
      <sheetData sheetId="7969">
        <row r="37">
          <cell r="D37">
            <v>0</v>
          </cell>
        </row>
      </sheetData>
      <sheetData sheetId="7970">
        <row r="7">
          <cell r="E7" t="str">
            <v>PT. DANONE BISCUITS INDONESIA</v>
          </cell>
        </row>
      </sheetData>
      <sheetData sheetId="7971">
        <row r="7">
          <cell r="E7" t="str">
            <v>PT. DANONE BISCUITS INDONESIA</v>
          </cell>
        </row>
      </sheetData>
      <sheetData sheetId="7972">
        <row r="7">
          <cell r="E7" t="str">
            <v>PT. DANONE BISCUITS INDONESIA</v>
          </cell>
        </row>
      </sheetData>
      <sheetData sheetId="7973">
        <row r="37">
          <cell r="D37">
            <v>0</v>
          </cell>
        </row>
      </sheetData>
      <sheetData sheetId="7974">
        <row r="7">
          <cell r="E7" t="str">
            <v>PT. DANONE BISCUITS INDONESIA</v>
          </cell>
        </row>
      </sheetData>
      <sheetData sheetId="7975">
        <row r="7">
          <cell r="E7" t="str">
            <v>PT. DANONE BISCUITS INDONESIA</v>
          </cell>
        </row>
      </sheetData>
      <sheetData sheetId="7976">
        <row r="7">
          <cell r="E7" t="str">
            <v>PT. DANONE BISCUITS INDONESIA</v>
          </cell>
        </row>
      </sheetData>
      <sheetData sheetId="7977">
        <row r="37">
          <cell r="D37">
            <v>0</v>
          </cell>
        </row>
      </sheetData>
      <sheetData sheetId="7978">
        <row r="37">
          <cell r="D37">
            <v>0</v>
          </cell>
        </row>
      </sheetData>
      <sheetData sheetId="7979">
        <row r="37">
          <cell r="D37">
            <v>0</v>
          </cell>
        </row>
      </sheetData>
      <sheetData sheetId="7980">
        <row r="37">
          <cell r="D37">
            <v>0</v>
          </cell>
        </row>
      </sheetData>
      <sheetData sheetId="7981">
        <row r="37">
          <cell r="D37">
            <v>0</v>
          </cell>
        </row>
      </sheetData>
      <sheetData sheetId="7982">
        <row r="37">
          <cell r="D37">
            <v>0</v>
          </cell>
        </row>
      </sheetData>
      <sheetData sheetId="7983">
        <row r="37">
          <cell r="D37">
            <v>0</v>
          </cell>
        </row>
      </sheetData>
      <sheetData sheetId="7984">
        <row r="7">
          <cell r="E7" t="str">
            <v>PT. DANONE BISCUITS INDONESIA</v>
          </cell>
        </row>
      </sheetData>
      <sheetData sheetId="7985">
        <row r="7">
          <cell r="E7" t="str">
            <v>PT. DANONE BISCUITS INDONESIA</v>
          </cell>
        </row>
      </sheetData>
      <sheetData sheetId="7986">
        <row r="7">
          <cell r="E7" t="str">
            <v>PT. DANONE BISCUITS INDONESIA</v>
          </cell>
        </row>
      </sheetData>
      <sheetData sheetId="7987">
        <row r="7">
          <cell r="E7" t="str">
            <v>PT. DANONE BISCUITS INDONESIA</v>
          </cell>
        </row>
      </sheetData>
      <sheetData sheetId="7988">
        <row r="7">
          <cell r="E7" t="str">
            <v>PT. DANONE BISCUITS INDONESIA</v>
          </cell>
        </row>
      </sheetData>
      <sheetData sheetId="7989">
        <row r="7">
          <cell r="E7" t="str">
            <v>PT. DANONE BISCUITS INDONESIA</v>
          </cell>
        </row>
      </sheetData>
      <sheetData sheetId="7990">
        <row r="7">
          <cell r="E7" t="str">
            <v>PT. DANONE BISCUITS INDONESIA</v>
          </cell>
        </row>
      </sheetData>
      <sheetData sheetId="7991">
        <row r="7">
          <cell r="E7" t="str">
            <v>PT. DANONE BISCUITS INDONESIA</v>
          </cell>
        </row>
      </sheetData>
      <sheetData sheetId="7992">
        <row r="37">
          <cell r="D37">
            <v>0</v>
          </cell>
        </row>
      </sheetData>
      <sheetData sheetId="7993">
        <row r="7">
          <cell r="E7" t="str">
            <v>PT. DANONE BISCUITS INDONESIA</v>
          </cell>
        </row>
      </sheetData>
      <sheetData sheetId="7994">
        <row r="7">
          <cell r="E7" t="str">
            <v>PT. DANONE BISCUITS INDONESIA</v>
          </cell>
        </row>
      </sheetData>
      <sheetData sheetId="7995">
        <row r="7">
          <cell r="E7" t="str">
            <v>PT. DANONE BISCUITS INDONESIA</v>
          </cell>
        </row>
      </sheetData>
      <sheetData sheetId="7996">
        <row r="7">
          <cell r="E7" t="str">
            <v>PT. DANONE BISCUITS INDONESIA</v>
          </cell>
        </row>
      </sheetData>
      <sheetData sheetId="7997">
        <row r="7">
          <cell r="E7" t="str">
            <v>PT. DANONE BISCUITS INDONESIA</v>
          </cell>
        </row>
      </sheetData>
      <sheetData sheetId="7998">
        <row r="7">
          <cell r="E7" t="str">
            <v>PT. DANONE BISCUITS INDONESIA</v>
          </cell>
        </row>
      </sheetData>
      <sheetData sheetId="7999">
        <row r="7">
          <cell r="E7" t="str">
            <v>PT. DANONE BISCUITS INDONESIA</v>
          </cell>
        </row>
      </sheetData>
      <sheetData sheetId="8000">
        <row r="7">
          <cell r="E7" t="str">
            <v>PT. DANONE BISCUITS INDONESIA</v>
          </cell>
        </row>
      </sheetData>
      <sheetData sheetId="8001">
        <row r="37">
          <cell r="D37">
            <v>0</v>
          </cell>
        </row>
      </sheetData>
      <sheetData sheetId="8002">
        <row r="7">
          <cell r="E7" t="str">
            <v>PT. DANONE BISCUITS INDONESIA</v>
          </cell>
        </row>
      </sheetData>
      <sheetData sheetId="8003">
        <row r="7">
          <cell r="E7" t="str">
            <v>PT. DANONE BISCUITS INDONESIA</v>
          </cell>
        </row>
      </sheetData>
      <sheetData sheetId="8004">
        <row r="7">
          <cell r="E7" t="str">
            <v>PT. DANONE BISCUITS INDONESIA</v>
          </cell>
        </row>
      </sheetData>
      <sheetData sheetId="8005">
        <row r="7">
          <cell r="E7" t="str">
            <v>PT. DANONE BISCUITS INDONESIA</v>
          </cell>
        </row>
      </sheetData>
      <sheetData sheetId="8006">
        <row r="37">
          <cell r="D37">
            <v>0</v>
          </cell>
        </row>
      </sheetData>
      <sheetData sheetId="8007"/>
      <sheetData sheetId="8008"/>
      <sheetData sheetId="8009">
        <row r="7">
          <cell r="E7" t="str">
            <v>PT. DANONE BISCUITS INDONESIA</v>
          </cell>
        </row>
      </sheetData>
      <sheetData sheetId="8010">
        <row r="37">
          <cell r="D37">
            <v>0</v>
          </cell>
        </row>
      </sheetData>
      <sheetData sheetId="8011"/>
      <sheetData sheetId="8012">
        <row r="7">
          <cell r="E7" t="str">
            <v>PT. DANONE BISCUITS INDONESIA</v>
          </cell>
        </row>
      </sheetData>
      <sheetData sheetId="8013">
        <row r="7">
          <cell r="E7" t="str">
            <v>PT. DANONE BISCUITS INDONESIA</v>
          </cell>
        </row>
      </sheetData>
      <sheetData sheetId="8014">
        <row r="7">
          <cell r="E7" t="str">
            <v>PT. DANONE BISCUITS INDONESIA</v>
          </cell>
        </row>
      </sheetData>
      <sheetData sheetId="8015">
        <row r="7">
          <cell r="E7" t="str">
            <v>PT. DANONE BISCUITS INDONESIA</v>
          </cell>
        </row>
      </sheetData>
      <sheetData sheetId="8016">
        <row r="7">
          <cell r="E7" t="str">
            <v>PT. DANONE BISCUITS INDONESIA</v>
          </cell>
        </row>
      </sheetData>
      <sheetData sheetId="8017">
        <row r="7">
          <cell r="E7" t="str">
            <v>PT. DANONE BISCUITS INDONESIA</v>
          </cell>
        </row>
      </sheetData>
      <sheetData sheetId="8018">
        <row r="7">
          <cell r="E7" t="str">
            <v>PT. DANONE BISCUITS INDONESIA</v>
          </cell>
        </row>
      </sheetData>
      <sheetData sheetId="8019"/>
      <sheetData sheetId="8020"/>
      <sheetData sheetId="8021">
        <row r="7">
          <cell r="E7" t="str">
            <v>PT. DANONE BISCUITS INDONESIA</v>
          </cell>
        </row>
      </sheetData>
      <sheetData sheetId="8022">
        <row r="7">
          <cell r="E7" t="str">
            <v>PT. DANONE BISCUITS INDONESIA</v>
          </cell>
        </row>
      </sheetData>
      <sheetData sheetId="8023">
        <row r="7">
          <cell r="E7" t="str">
            <v>PT. DANONE BISCUITS INDONESIA</v>
          </cell>
        </row>
      </sheetData>
      <sheetData sheetId="8024"/>
      <sheetData sheetId="8025"/>
      <sheetData sheetId="8026"/>
      <sheetData sheetId="8027"/>
      <sheetData sheetId="8028"/>
      <sheetData sheetId="8029"/>
      <sheetData sheetId="8030">
        <row r="7">
          <cell r="E7" t="str">
            <v>PT. DANONE BISCUITS INDONESIA</v>
          </cell>
        </row>
      </sheetData>
      <sheetData sheetId="8031">
        <row r="7">
          <cell r="E7" t="str">
            <v>PT. DANONE BISCUITS INDONESIA</v>
          </cell>
        </row>
      </sheetData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>
        <row r="7">
          <cell r="E7" t="str">
            <v>PT. DANONE BISCUITS INDONESIA</v>
          </cell>
        </row>
      </sheetData>
      <sheetData sheetId="8055">
        <row r="7">
          <cell r="E7" t="str">
            <v>PT. DANONE BISCUITS INDONESIA</v>
          </cell>
        </row>
      </sheetData>
      <sheetData sheetId="8056">
        <row r="7">
          <cell r="E7" t="str">
            <v>PT. DANONE BISCUITS INDONESIA</v>
          </cell>
        </row>
      </sheetData>
      <sheetData sheetId="8057"/>
      <sheetData sheetId="8058"/>
      <sheetData sheetId="8059"/>
      <sheetData sheetId="8060">
        <row r="7">
          <cell r="E7" t="str">
            <v>PT. DANONE BISCUITS INDONESIA</v>
          </cell>
        </row>
      </sheetData>
      <sheetData sheetId="8061">
        <row r="37">
          <cell r="D37">
            <v>0</v>
          </cell>
        </row>
      </sheetData>
      <sheetData sheetId="8062">
        <row r="37">
          <cell r="D37">
            <v>0</v>
          </cell>
        </row>
      </sheetData>
      <sheetData sheetId="8063">
        <row r="37">
          <cell r="D37">
            <v>0</v>
          </cell>
        </row>
      </sheetData>
      <sheetData sheetId="8064">
        <row r="37">
          <cell r="D37">
            <v>0</v>
          </cell>
        </row>
      </sheetData>
      <sheetData sheetId="8065">
        <row r="37">
          <cell r="D37">
            <v>0</v>
          </cell>
        </row>
      </sheetData>
      <sheetData sheetId="8066">
        <row r="37">
          <cell r="D37">
            <v>0</v>
          </cell>
        </row>
      </sheetData>
      <sheetData sheetId="8067">
        <row r="37">
          <cell r="D37">
            <v>0</v>
          </cell>
        </row>
      </sheetData>
      <sheetData sheetId="8068">
        <row r="37">
          <cell r="D37">
            <v>0</v>
          </cell>
        </row>
      </sheetData>
      <sheetData sheetId="8069">
        <row r="7">
          <cell r="E7" t="str">
            <v>PT. DANONE BISCUITS INDONESIA</v>
          </cell>
        </row>
      </sheetData>
      <sheetData sheetId="8070">
        <row r="7">
          <cell r="E7" t="str">
            <v>PT. DANONE BISCUITS INDONESIA</v>
          </cell>
        </row>
      </sheetData>
      <sheetData sheetId="8071">
        <row r="7">
          <cell r="E7" t="str">
            <v>PT. DANONE BISCUITS INDONESIA</v>
          </cell>
        </row>
      </sheetData>
      <sheetData sheetId="8072">
        <row r="7">
          <cell r="E7" t="str">
            <v>PT. DANONE BISCUITS INDONESIA</v>
          </cell>
        </row>
      </sheetData>
      <sheetData sheetId="8073">
        <row r="7">
          <cell r="E7" t="str">
            <v>PT. DANONE BISCUITS INDONESIA</v>
          </cell>
        </row>
      </sheetData>
      <sheetData sheetId="8074">
        <row r="7">
          <cell r="E7" t="str">
            <v>PT. DANONE BISCUITS INDONESIA</v>
          </cell>
        </row>
      </sheetData>
      <sheetData sheetId="8075">
        <row r="7">
          <cell r="E7" t="str">
            <v>PT. DANONE BISCUITS INDONESIA</v>
          </cell>
        </row>
      </sheetData>
      <sheetData sheetId="8076">
        <row r="7">
          <cell r="E7" t="str">
            <v>PT. DANONE BISCUITS INDONESIA</v>
          </cell>
        </row>
      </sheetData>
      <sheetData sheetId="8077">
        <row r="7">
          <cell r="E7" t="str">
            <v>PT. DANONE BISCUITS INDONESIA</v>
          </cell>
        </row>
      </sheetData>
      <sheetData sheetId="8078">
        <row r="7">
          <cell r="E7" t="str">
            <v>PT. DANONE BISCUITS INDONESIA</v>
          </cell>
        </row>
      </sheetData>
      <sheetData sheetId="8079">
        <row r="7">
          <cell r="E7" t="str">
            <v>PT. DANONE BISCUITS INDONESIA</v>
          </cell>
        </row>
      </sheetData>
      <sheetData sheetId="8080">
        <row r="7">
          <cell r="E7" t="str">
            <v>PT. DANONE BISCUITS INDONESIA</v>
          </cell>
        </row>
      </sheetData>
      <sheetData sheetId="8081">
        <row r="7">
          <cell r="E7" t="str">
            <v>PT. DANONE BISCUITS INDONESIA</v>
          </cell>
        </row>
      </sheetData>
      <sheetData sheetId="8082">
        <row r="7">
          <cell r="E7" t="str">
            <v>PT. DANONE BISCUITS INDONESIA</v>
          </cell>
        </row>
      </sheetData>
      <sheetData sheetId="8083">
        <row r="7">
          <cell r="E7" t="str">
            <v>PT. DANONE BISCUITS INDONESIA</v>
          </cell>
        </row>
      </sheetData>
      <sheetData sheetId="8084">
        <row r="7">
          <cell r="E7" t="str">
            <v>PT. DANONE BISCUITS INDONESIA</v>
          </cell>
        </row>
      </sheetData>
      <sheetData sheetId="8085">
        <row r="7">
          <cell r="E7" t="str">
            <v>PT. DANONE BISCUITS INDONESIA</v>
          </cell>
        </row>
      </sheetData>
      <sheetData sheetId="8086">
        <row r="7">
          <cell r="E7" t="str">
            <v>PT. DANONE BISCUITS INDONESIA</v>
          </cell>
        </row>
      </sheetData>
      <sheetData sheetId="8087">
        <row r="7">
          <cell r="E7" t="str">
            <v>PT. DANONE BISCUITS INDONESIA</v>
          </cell>
        </row>
      </sheetData>
      <sheetData sheetId="8088">
        <row r="7">
          <cell r="E7" t="str">
            <v>PT. DANONE BISCUITS INDONESIA</v>
          </cell>
        </row>
      </sheetData>
      <sheetData sheetId="8089">
        <row r="7">
          <cell r="E7" t="str">
            <v>PT. DANONE BISCUITS INDONESIA</v>
          </cell>
        </row>
      </sheetData>
      <sheetData sheetId="8090">
        <row r="7">
          <cell r="E7" t="str">
            <v>PT. DANONE BISCUITS INDONESIA</v>
          </cell>
        </row>
      </sheetData>
      <sheetData sheetId="8091">
        <row r="7">
          <cell r="E7" t="str">
            <v>PT. DANONE BISCUITS INDONESIA</v>
          </cell>
        </row>
      </sheetData>
      <sheetData sheetId="8092">
        <row r="7">
          <cell r="E7" t="str">
            <v>PT. DANONE BISCUITS INDONESIA</v>
          </cell>
        </row>
      </sheetData>
      <sheetData sheetId="8093">
        <row r="7">
          <cell r="E7" t="str">
            <v>PT. DANONE BISCUITS INDONESIA</v>
          </cell>
        </row>
      </sheetData>
      <sheetData sheetId="8094">
        <row r="7">
          <cell r="E7" t="str">
            <v>PT. DANONE BISCUITS INDONESIA</v>
          </cell>
        </row>
      </sheetData>
      <sheetData sheetId="8095">
        <row r="7">
          <cell r="E7" t="str">
            <v>PT. DANONE BISCUITS INDONESIA</v>
          </cell>
        </row>
      </sheetData>
      <sheetData sheetId="8096">
        <row r="7">
          <cell r="E7" t="str">
            <v>PT. DANONE BISCUITS INDONESIA</v>
          </cell>
        </row>
      </sheetData>
      <sheetData sheetId="8097">
        <row r="7">
          <cell r="E7" t="str">
            <v>PT. DANONE BISCUITS INDONESIA</v>
          </cell>
        </row>
      </sheetData>
      <sheetData sheetId="8098">
        <row r="7">
          <cell r="E7" t="str">
            <v>PT. DANONE BISCUITS INDONESIA</v>
          </cell>
        </row>
      </sheetData>
      <sheetData sheetId="8099">
        <row r="7">
          <cell r="E7" t="str">
            <v>PT. DANONE BISCUITS INDONESIA</v>
          </cell>
        </row>
      </sheetData>
      <sheetData sheetId="8100">
        <row r="7">
          <cell r="E7" t="str">
            <v>PT. DANONE BISCUITS INDONESIA</v>
          </cell>
        </row>
      </sheetData>
      <sheetData sheetId="8101">
        <row r="7">
          <cell r="E7" t="str">
            <v>PT. DANONE BISCUITS INDONESIA</v>
          </cell>
        </row>
      </sheetData>
      <sheetData sheetId="8102">
        <row r="37">
          <cell r="D37">
            <v>0</v>
          </cell>
        </row>
      </sheetData>
      <sheetData sheetId="8103">
        <row r="7">
          <cell r="E7" t="str">
            <v>PT. DANONE BISCUITS INDONESIA</v>
          </cell>
        </row>
      </sheetData>
      <sheetData sheetId="8104">
        <row r="7">
          <cell r="E7" t="str">
            <v>PT. DANONE BISCUITS INDONESIA</v>
          </cell>
        </row>
      </sheetData>
      <sheetData sheetId="8105">
        <row r="7">
          <cell r="E7" t="str">
            <v>PT. DANONE BISCUITS INDONESIA</v>
          </cell>
        </row>
      </sheetData>
      <sheetData sheetId="8106">
        <row r="7">
          <cell r="E7" t="str">
            <v>PT. DANONE BISCUITS INDONESIA</v>
          </cell>
        </row>
      </sheetData>
      <sheetData sheetId="8107">
        <row r="7">
          <cell r="E7" t="str">
            <v>PT. DANONE BISCUITS INDONESIA</v>
          </cell>
        </row>
      </sheetData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>
        <row r="37">
          <cell r="D37">
            <v>0</v>
          </cell>
        </row>
      </sheetData>
      <sheetData sheetId="8156"/>
      <sheetData sheetId="8157"/>
      <sheetData sheetId="8158"/>
      <sheetData sheetId="8159">
        <row r="37">
          <cell r="D37">
            <v>0</v>
          </cell>
        </row>
      </sheetData>
      <sheetData sheetId="8160">
        <row r="37">
          <cell r="D37">
            <v>0</v>
          </cell>
        </row>
      </sheetData>
      <sheetData sheetId="8161">
        <row r="37">
          <cell r="D37">
            <v>0</v>
          </cell>
        </row>
      </sheetData>
      <sheetData sheetId="8162">
        <row r="37">
          <cell r="D37">
            <v>0</v>
          </cell>
        </row>
      </sheetData>
      <sheetData sheetId="8163">
        <row r="37">
          <cell r="D37">
            <v>0</v>
          </cell>
        </row>
      </sheetData>
      <sheetData sheetId="8164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>
        <row r="7">
          <cell r="E7" t="str">
            <v>PT. DANONE BISCUITS INDONESIA</v>
          </cell>
        </row>
      </sheetData>
      <sheetData sheetId="8204">
        <row r="7">
          <cell r="E7" t="str">
            <v>PT. DANONE BISCUITS INDONESIA</v>
          </cell>
        </row>
      </sheetData>
      <sheetData sheetId="8205"/>
      <sheetData sheetId="8206"/>
      <sheetData sheetId="8207"/>
      <sheetData sheetId="8208"/>
      <sheetData sheetId="8209">
        <row r="37">
          <cell r="D37">
            <v>0</v>
          </cell>
        </row>
      </sheetData>
      <sheetData sheetId="8210">
        <row r="37">
          <cell r="D37">
            <v>0</v>
          </cell>
        </row>
      </sheetData>
      <sheetData sheetId="8211">
        <row r="7">
          <cell r="E7" t="str">
            <v>PT. DANONE BISCUITS INDONESIA</v>
          </cell>
        </row>
      </sheetData>
      <sheetData sheetId="8212">
        <row r="7">
          <cell r="E7" t="str">
            <v>PT. DANONE BISCUITS INDONESIA</v>
          </cell>
        </row>
      </sheetData>
      <sheetData sheetId="8213">
        <row r="7">
          <cell r="E7" t="str">
            <v>PT. DANONE BISCUITS INDONESIA</v>
          </cell>
        </row>
      </sheetData>
      <sheetData sheetId="8214">
        <row r="7">
          <cell r="E7" t="str">
            <v>PT. DANONE BISCUITS INDONESIA</v>
          </cell>
        </row>
      </sheetData>
      <sheetData sheetId="8215">
        <row r="37">
          <cell r="D37">
            <v>0</v>
          </cell>
        </row>
      </sheetData>
      <sheetData sheetId="8216"/>
      <sheetData sheetId="8217">
        <row r="7">
          <cell r="E7" t="str">
            <v>PT. DANONE BISCUITS INDONESIA</v>
          </cell>
        </row>
      </sheetData>
      <sheetData sheetId="8218">
        <row r="7">
          <cell r="E7" t="str">
            <v>PT. DANONE BISCUITS INDONESIA</v>
          </cell>
        </row>
      </sheetData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>
        <row r="7">
          <cell r="E7" t="str">
            <v>PT. DANONE BISCUITS INDONESIA</v>
          </cell>
        </row>
      </sheetData>
      <sheetData sheetId="8233">
        <row r="7">
          <cell r="E7" t="str">
            <v>PT. DANONE BISCUITS INDONESIA</v>
          </cell>
        </row>
      </sheetData>
      <sheetData sheetId="8234"/>
      <sheetData sheetId="8235">
        <row r="7">
          <cell r="E7" t="str">
            <v>PT. DANONE BISCUITS INDONESIA</v>
          </cell>
        </row>
      </sheetData>
      <sheetData sheetId="8236">
        <row r="7">
          <cell r="E7" t="str">
            <v>PT. DANONE BISCUITS INDONESIA</v>
          </cell>
        </row>
      </sheetData>
      <sheetData sheetId="8237">
        <row r="7">
          <cell r="E7" t="str">
            <v>PT. DANONE BISCUITS INDONESIA</v>
          </cell>
        </row>
      </sheetData>
      <sheetData sheetId="8238"/>
      <sheetData sheetId="8239">
        <row r="7">
          <cell r="E7" t="str">
            <v>PT. DANONE BISCUITS INDONESIA</v>
          </cell>
        </row>
      </sheetData>
      <sheetData sheetId="8240"/>
      <sheetData sheetId="8241">
        <row r="7">
          <cell r="E7" t="str">
            <v>PT. DANONE BISCUITS INDONESIA</v>
          </cell>
        </row>
      </sheetData>
      <sheetData sheetId="8242">
        <row r="7">
          <cell r="E7" t="str">
            <v>PT. DANONE BISCUITS INDONESIA</v>
          </cell>
        </row>
      </sheetData>
      <sheetData sheetId="8243">
        <row r="7">
          <cell r="E7" t="str">
            <v>PT. DANONE BISCUITS INDONESIA</v>
          </cell>
        </row>
      </sheetData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>
        <row r="7">
          <cell r="E7" t="str">
            <v>PT. DANONE BISCUITS INDONESIA</v>
          </cell>
        </row>
      </sheetData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>
        <row r="37">
          <cell r="D37">
            <v>0</v>
          </cell>
        </row>
      </sheetData>
      <sheetData sheetId="8307">
        <row r="37">
          <cell r="D37">
            <v>0</v>
          </cell>
        </row>
      </sheetData>
      <sheetData sheetId="8308">
        <row r="37">
          <cell r="D37">
            <v>0</v>
          </cell>
        </row>
      </sheetData>
      <sheetData sheetId="8309">
        <row r="37">
          <cell r="D37">
            <v>0</v>
          </cell>
        </row>
      </sheetData>
      <sheetData sheetId="8310">
        <row r="37">
          <cell r="D37">
            <v>0</v>
          </cell>
        </row>
      </sheetData>
      <sheetData sheetId="8311">
        <row r="37">
          <cell r="D37">
            <v>0</v>
          </cell>
        </row>
      </sheetData>
      <sheetData sheetId="8312">
        <row r="37">
          <cell r="D37">
            <v>0</v>
          </cell>
        </row>
      </sheetData>
      <sheetData sheetId="8313">
        <row r="37">
          <cell r="D37">
            <v>0</v>
          </cell>
        </row>
      </sheetData>
      <sheetData sheetId="8314">
        <row r="7">
          <cell r="E7" t="str">
            <v>PT. DANONE BISCUITS INDONESIA</v>
          </cell>
        </row>
      </sheetData>
      <sheetData sheetId="8315">
        <row r="7">
          <cell r="E7" t="str">
            <v>PT. DANONE BISCUITS INDONESIA</v>
          </cell>
        </row>
      </sheetData>
      <sheetData sheetId="8316">
        <row r="7">
          <cell r="E7" t="str">
            <v>PT. DANONE BISCUITS INDONESIA</v>
          </cell>
        </row>
      </sheetData>
      <sheetData sheetId="8317">
        <row r="7">
          <cell r="E7" t="str">
            <v>PT. DANONE BISCUITS INDONESIA</v>
          </cell>
        </row>
      </sheetData>
      <sheetData sheetId="8318">
        <row r="7">
          <cell r="E7" t="str">
            <v>PT. DANONE BISCUITS INDONESIA</v>
          </cell>
        </row>
      </sheetData>
      <sheetData sheetId="8319">
        <row r="7">
          <cell r="E7" t="str">
            <v>PT. DANONE BISCUITS INDONESIA</v>
          </cell>
        </row>
      </sheetData>
      <sheetData sheetId="8320">
        <row r="7">
          <cell r="E7" t="str">
            <v>PT. DANONE BISCUITS INDONESIA</v>
          </cell>
        </row>
      </sheetData>
      <sheetData sheetId="8321">
        <row r="7">
          <cell r="E7" t="str">
            <v>PT. DANONE BISCUITS INDONESIA</v>
          </cell>
        </row>
      </sheetData>
      <sheetData sheetId="8322">
        <row r="7">
          <cell r="E7" t="str">
            <v>PT. DANONE BISCUITS INDONESIA</v>
          </cell>
        </row>
      </sheetData>
      <sheetData sheetId="8323">
        <row r="7">
          <cell r="E7" t="str">
            <v>PT. DANONE BISCUITS INDONESIA</v>
          </cell>
        </row>
      </sheetData>
      <sheetData sheetId="8324">
        <row r="7">
          <cell r="E7" t="str">
            <v>PT. DANONE BISCUITS INDONESIA</v>
          </cell>
        </row>
      </sheetData>
      <sheetData sheetId="8325">
        <row r="7">
          <cell r="E7" t="str">
            <v>PT. DANONE BISCUITS INDONESIA</v>
          </cell>
        </row>
      </sheetData>
      <sheetData sheetId="8326">
        <row r="7">
          <cell r="E7" t="str">
            <v>PT. DANONE BISCUITS INDONESIA</v>
          </cell>
        </row>
      </sheetData>
      <sheetData sheetId="8327">
        <row r="7">
          <cell r="E7" t="str">
            <v>PT. DANONE BISCUITS INDONESIA</v>
          </cell>
        </row>
      </sheetData>
      <sheetData sheetId="8328">
        <row r="7">
          <cell r="E7" t="str">
            <v>PT. DANONE BISCUITS INDONESIA</v>
          </cell>
        </row>
      </sheetData>
      <sheetData sheetId="8329">
        <row r="7">
          <cell r="E7" t="str">
            <v>PT. DANONE BISCUITS INDONESIA</v>
          </cell>
        </row>
      </sheetData>
      <sheetData sheetId="8330">
        <row r="7">
          <cell r="E7" t="str">
            <v>PT. DANONE BISCUITS INDONESIA</v>
          </cell>
        </row>
      </sheetData>
      <sheetData sheetId="8331">
        <row r="7">
          <cell r="E7" t="str">
            <v>PT. DANONE BISCUITS INDONESIA</v>
          </cell>
        </row>
      </sheetData>
      <sheetData sheetId="8332">
        <row r="7">
          <cell r="E7" t="str">
            <v>PT. DANONE BISCUITS INDONESIA</v>
          </cell>
        </row>
      </sheetData>
      <sheetData sheetId="8333">
        <row r="7">
          <cell r="E7" t="str">
            <v>PT. DANONE BISCUITS INDONESIA</v>
          </cell>
        </row>
      </sheetData>
      <sheetData sheetId="8334">
        <row r="7">
          <cell r="E7" t="str">
            <v>PT. DANONE BISCUITS INDONESIA</v>
          </cell>
        </row>
      </sheetData>
      <sheetData sheetId="8335">
        <row r="7">
          <cell r="E7" t="str">
            <v>PT. DANONE BISCUITS INDONESIA</v>
          </cell>
        </row>
      </sheetData>
      <sheetData sheetId="8336"/>
      <sheetData sheetId="8337">
        <row r="37">
          <cell r="D37">
            <v>0</v>
          </cell>
        </row>
      </sheetData>
      <sheetData sheetId="8338">
        <row r="37">
          <cell r="D37">
            <v>0</v>
          </cell>
        </row>
      </sheetData>
      <sheetData sheetId="8339">
        <row r="37">
          <cell r="D37">
            <v>0</v>
          </cell>
        </row>
      </sheetData>
      <sheetData sheetId="8340"/>
      <sheetData sheetId="8341">
        <row r="7">
          <cell r="E7" t="str">
            <v>PT. DANONE BISCUITS INDONESIA</v>
          </cell>
        </row>
      </sheetData>
      <sheetData sheetId="8342">
        <row r="7">
          <cell r="E7" t="str">
            <v>PT. DANONE BISCUITS INDONESIA</v>
          </cell>
        </row>
      </sheetData>
      <sheetData sheetId="8343">
        <row r="37">
          <cell r="D37">
            <v>0</v>
          </cell>
        </row>
      </sheetData>
      <sheetData sheetId="8344"/>
      <sheetData sheetId="8345">
        <row r="7">
          <cell r="E7" t="str">
            <v>PT. DANONE BISCUITS INDONESIA</v>
          </cell>
        </row>
      </sheetData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>
        <row r="7">
          <cell r="E7" t="str">
            <v>PT. DANONE BISCUITS INDONESIA</v>
          </cell>
        </row>
      </sheetData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>
        <row r="7">
          <cell r="E7" t="str">
            <v>PT. DANONE BISCUITS INDONESIA</v>
          </cell>
        </row>
      </sheetData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>
        <row r="7">
          <cell r="E7" t="str">
            <v>PT. DANONE BISCUITS INDONESIA</v>
          </cell>
        </row>
      </sheetData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>
        <row r="37">
          <cell r="D37">
            <v>0</v>
          </cell>
        </row>
      </sheetData>
      <sheetData sheetId="8518">
        <row r="37">
          <cell r="D37">
            <v>0</v>
          </cell>
        </row>
      </sheetData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>
        <row r="7">
          <cell r="E7" t="str">
            <v>PT. DANONE BISCUITS INDONESIA</v>
          </cell>
        </row>
      </sheetData>
      <sheetData sheetId="8545">
        <row r="7">
          <cell r="E7" t="str">
            <v>PT. DANONE BISCUITS INDONESIA</v>
          </cell>
        </row>
      </sheetData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>
        <row r="7">
          <cell r="E7" t="str">
            <v>PT. DANONE BISCUITS INDONESIA</v>
          </cell>
        </row>
      </sheetData>
      <sheetData sheetId="8565">
        <row r="7">
          <cell r="E7" t="str">
            <v>PT. DANONE BISCUITS INDONESIA</v>
          </cell>
        </row>
      </sheetData>
      <sheetData sheetId="8566">
        <row r="7">
          <cell r="E7" t="str">
            <v>PT. DANONE BISCUITS INDONESIA</v>
          </cell>
        </row>
      </sheetData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Setup"/>
      <sheetName val="MK(7ｶ国+5,7,12万台)"/>
    </sheetNames>
    <sheetDataSet>
      <sheetData sheetId="0" refreshError="1"/>
      <sheetData sheetId="1" refreshError="1">
        <row r="25">
          <cell r="B25" t="str">
            <v>01. Revenue - Accruals</v>
          </cell>
        </row>
        <row r="26">
          <cell r="B26" t="str">
            <v>02. Revenue - Correction of OFS-i SO.</v>
          </cell>
        </row>
        <row r="27">
          <cell r="B27" t="str">
            <v>03. Revenue - Provisions</v>
          </cell>
        </row>
        <row r="28">
          <cell r="B28" t="str">
            <v>04. Revenue - Reclass</v>
          </cell>
        </row>
        <row r="29">
          <cell r="B29" t="str">
            <v>05. Revenue - Deferred</v>
          </cell>
        </row>
        <row r="30">
          <cell r="B30" t="str">
            <v>06. Revenue - Others</v>
          </cell>
        </row>
        <row r="31">
          <cell r="B31" t="str">
            <v>07. Accruals - All expenses</v>
          </cell>
        </row>
        <row r="32">
          <cell r="B32" t="str">
            <v>08. Provisions - All expenses.</v>
          </cell>
        </row>
        <row r="33">
          <cell r="B33" t="str">
            <v>09. Correction of Error - Payroll related</v>
          </cell>
        </row>
        <row r="34">
          <cell r="B34" t="str">
            <v>10. Correction of Error - Inventory</v>
          </cell>
        </row>
        <row r="35">
          <cell r="B35" t="str">
            <v>11. Correction of Error - Fixed Assets</v>
          </cell>
        </row>
        <row r="36">
          <cell r="B36" t="str">
            <v>12. Correction of Error - AP</v>
          </cell>
        </row>
        <row r="37">
          <cell r="B37" t="str">
            <v>13. Correction of Error - SWPS</v>
          </cell>
        </row>
        <row r="38">
          <cell r="B38" t="str">
            <v>14. Correction of Error - Others.</v>
          </cell>
        </row>
        <row r="39">
          <cell r="B39" t="str">
            <v>15. Recharges - Internal</v>
          </cell>
        </row>
        <row r="40">
          <cell r="B40" t="str">
            <v>16. Recharges - Client</v>
          </cell>
        </row>
        <row r="41">
          <cell r="B41" t="str">
            <v>17. Intercompany</v>
          </cell>
        </row>
        <row r="42">
          <cell r="B42" t="str">
            <v>18. Local shared cost allocations</v>
          </cell>
        </row>
        <row r="43">
          <cell r="B43" t="str">
            <v>19. Non-op</v>
          </cell>
        </row>
        <row r="44">
          <cell r="B44" t="str">
            <v xml:space="preserve">21. Prepayment </v>
          </cell>
        </row>
        <row r="45">
          <cell r="B45" t="str">
            <v xml:space="preserve">22. Tax and related </v>
          </cell>
        </row>
        <row r="46">
          <cell r="B46" t="str">
            <v xml:space="preserve">23. Compensation others </v>
          </cell>
        </row>
        <row r="47">
          <cell r="B47" t="str">
            <v>24. Currency revaluation JVs</v>
          </cell>
        </row>
      </sheetData>
      <sheetData sheetId="2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-1771.P1"/>
      <sheetName val="FE-1771.P1"/>
      <sheetName val="FI-1771.P2"/>
      <sheetName val="FE-1771.P2"/>
      <sheetName val="FI-1771-I (2)"/>
      <sheetName val="FE-1771-I (2)"/>
      <sheetName val="FI-1771-II (2)"/>
      <sheetName val="FE-1771-II (2)"/>
      <sheetName val="FI-1771-III (2)"/>
      <sheetName val="FE-1771-III (2)"/>
      <sheetName val="FI-1771-IV (2)"/>
      <sheetName val="FE-1771-IV (2)"/>
      <sheetName val="FI-1771-V (2)"/>
      <sheetName val="FE-1771-V (2)"/>
      <sheetName val="FI-1771-VI (2)"/>
      <sheetName val="FE-1771-VI (2)"/>
      <sheetName val="DAFTARL"/>
      <sheetName val="NERACA"/>
      <sheetName val="LR"/>
      <sheetName val="Iktisar koreksi"/>
      <sheetName val="Iktisar koreksi -E"/>
      <sheetName val="DEPRECIATION"/>
      <sheetName val="DEPRECIATION (E)"/>
      <sheetName val="PPh25"/>
      <sheetName val="PPh 23"/>
      <sheetName val="EXPENSELIST"/>
      <sheetName val="Art.25 Inst."/>
      <sheetName val="Art.25 Inst. (E)"/>
      <sheetName val="GeneralInfo"/>
      <sheetName val="Marshal"/>
      <sheetName val="Reconcile23"/>
      <sheetName val="Sheet3"/>
      <sheetName val="Sheet2"/>
      <sheetName val="Sheet1"/>
      <sheetName val="DATA21"/>
      <sheetName val="Irregular Income"/>
      <sheetName val="FE-1770.P1"/>
      <sheetName val="Ex-Rate"/>
      <sheetName val="status"/>
      <sheetName val="A"/>
      <sheetName val="Links"/>
      <sheetName val="Lead"/>
      <sheetName val="ledger02"/>
      <sheetName val="GL"/>
      <sheetName val="INCOME STATEMENT"/>
      <sheetName val="BWD"/>
      <sheetName val="Coef"/>
      <sheetName val="Database"/>
      <sheetName val="FKT_PJK"/>
      <sheetName val="Menu"/>
      <sheetName val="Project Listing"/>
      <sheetName val="BDO"/>
      <sheetName val="PAJE"/>
      <sheetName val="TB"/>
      <sheetName val="AJE"/>
      <sheetName val="DH_RI_SI Exceptions"/>
      <sheetName val="WHT_21"/>
      <sheetName val="Power99-1a"/>
      <sheetName val="PAJE-2009"/>
      <sheetName val="Information"/>
      <sheetName val="DAFTAR"/>
      <sheetName val="ListAcc"/>
      <sheetName val="Drop Down"/>
      <sheetName val="LRK"/>
      <sheetName val="PEND+BIAYA"/>
      <sheetName val="NONCAB"/>
      <sheetName val="lr treas"/>
      <sheetName val="Summary"/>
      <sheetName val="Premi Iuran"/>
      <sheetName val="TBM"/>
      <sheetName val="total"/>
      <sheetName val="ID"/>
      <sheetName val="rab_50"/>
      <sheetName val="IDR Transactions"/>
      <sheetName val="Properties"/>
      <sheetName val="P&amp;L98"/>
      <sheetName val="LabData203_204"/>
      <sheetName val="FE_1770_P1"/>
      <sheetName val="FI-1771_P1"/>
      <sheetName val="FE-1771_P1"/>
      <sheetName val="FI-1771_P2"/>
      <sheetName val="FE-1771_P2"/>
      <sheetName val="FI-1771-I_(2)"/>
      <sheetName val="FE-1771-I_(2)"/>
      <sheetName val="FI-1771-II_(2)"/>
      <sheetName val="FE-1771-II_(2)"/>
      <sheetName val="FI-1771-III_(2)"/>
      <sheetName val="FE-1771-III_(2)"/>
      <sheetName val="FI-1771-IV_(2)"/>
      <sheetName val="FE-1771-IV_(2)"/>
      <sheetName val="FI-1771-V_(2)"/>
      <sheetName val="FE-1771-V_(2)"/>
      <sheetName val="FI-1771-VI_(2)"/>
      <sheetName val="FE-1771-VI_(2)"/>
      <sheetName val="Iktisar_koreksi"/>
      <sheetName val="Iktisar_koreksi_-E"/>
      <sheetName val="DEPRECIATION_(E)"/>
      <sheetName val="PPh_23"/>
      <sheetName val="Art_25_Inst_"/>
      <sheetName val="Art_25_Inst__(E)"/>
      <sheetName val="Permanent info"/>
      <sheetName val="Table Array"/>
      <sheetName val="F1771-2"/>
      <sheetName val="May"/>
      <sheetName val="Parameters"/>
      <sheetName val="Tax Rate"/>
      <sheetName val="tc"/>
      <sheetName val="(Global Parameters)"/>
      <sheetName val="data Slip"/>
      <sheetName val="LPP-2"/>
      <sheetName val="Konstanta"/>
      <sheetName val="Professionals Standard"/>
      <sheetName val="INFO"/>
      <sheetName val="07-230420"/>
      <sheetName val="L4-Info"/>
      <sheetName val="PM-PL"/>
      <sheetName val="Cost Range"/>
      <sheetName val="IS"/>
      <sheetName val="BS"/>
      <sheetName val="Data"/>
      <sheetName val="BS final"/>
      <sheetName val="602 LEDGER"/>
      <sheetName val="Biaya Departemen"/>
      <sheetName val="I.4.1 (2)"/>
      <sheetName val="F1771-V"/>
      <sheetName val="ee_data"/>
      <sheetName val="10"/>
      <sheetName val="LB Desember 2000"/>
      <sheetName val="Data WP"/>
      <sheetName val="412src2"/>
      <sheetName val="BTS-L4-L5-1C"/>
      <sheetName val="Credit-22"/>
      <sheetName val="Setup"/>
      <sheetName val="DataLayout"/>
      <sheetName val="Daily Market Data"/>
      <sheetName val="April 1st 2006- Dec 2006"/>
      <sheetName val="recap"/>
      <sheetName val="15 - BS, IS Level"/>
      <sheetName val="CRITERI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Array"/>
    </sheetNames>
    <sheetDataSet>
      <sheetData sheetId="0">
        <row r="3">
          <cell r="B3">
            <v>1</v>
          </cell>
          <cell r="C3" t="str">
            <v>Platform</v>
          </cell>
        </row>
        <row r="4">
          <cell r="B4">
            <v>2</v>
          </cell>
          <cell r="C4" t="str">
            <v>Ops Marketing</v>
          </cell>
        </row>
        <row r="5">
          <cell r="B5">
            <v>3</v>
          </cell>
          <cell r="C5" t="str">
            <v>Credit/Note</v>
          </cell>
        </row>
        <row r="6">
          <cell r="B6">
            <v>4</v>
          </cell>
          <cell r="C6" t="str">
            <v>FinPlan</v>
          </cell>
        </row>
        <row r="7">
          <cell r="B7">
            <v>5</v>
          </cell>
          <cell r="C7" t="str">
            <v>Cap. Market</v>
          </cell>
        </row>
        <row r="8">
          <cell r="B8">
            <v>6</v>
          </cell>
          <cell r="C8" t="str">
            <v>FXP</v>
          </cell>
        </row>
        <row r="9">
          <cell r="B9">
            <v>7</v>
          </cell>
          <cell r="C9" t="str">
            <v>Remittance</v>
          </cell>
        </row>
        <row r="10">
          <cell r="B10">
            <v>8</v>
          </cell>
          <cell r="C10" t="str">
            <v>Personnel</v>
          </cell>
        </row>
        <row r="11">
          <cell r="B11">
            <v>9</v>
          </cell>
          <cell r="C11" t="str">
            <v>Control Serv</v>
          </cell>
        </row>
        <row r="12">
          <cell r="B12">
            <v>10</v>
          </cell>
          <cell r="C12" t="str">
            <v>Operations</v>
          </cell>
        </row>
        <row r="13">
          <cell r="B13">
            <v>11</v>
          </cell>
          <cell r="C13" t="str">
            <v>Trade Fin / LC</v>
          </cell>
        </row>
        <row r="14">
          <cell r="B14">
            <v>12</v>
          </cell>
          <cell r="C14" t="str">
            <v>Cash/CR/TD</v>
          </cell>
        </row>
        <row r="15">
          <cell r="B15">
            <v>13</v>
          </cell>
          <cell r="C15" t="str">
            <v>DPC / GBS</v>
          </cell>
        </row>
        <row r="16">
          <cell r="B16">
            <v>14</v>
          </cell>
          <cell r="C16" t="str">
            <v>Telex</v>
          </cell>
        </row>
        <row r="17">
          <cell r="B17">
            <v>15</v>
          </cell>
          <cell r="C17" t="str">
            <v>DPC/GBS-BY FTE</v>
          </cell>
        </row>
        <row r="18">
          <cell r="B18">
            <v>16</v>
          </cell>
          <cell r="C18" t="str">
            <v>General Affair</v>
          </cell>
        </row>
        <row r="19">
          <cell r="B19">
            <v>17</v>
          </cell>
          <cell r="C19" t="str">
            <v>Acct/Exp/Test Key</v>
          </cell>
        </row>
        <row r="20">
          <cell r="B20">
            <v>18</v>
          </cell>
          <cell r="C20" t="str">
            <v>IPB</v>
          </cell>
        </row>
        <row r="21">
          <cell r="B21">
            <v>19</v>
          </cell>
          <cell r="C21" t="str">
            <v>NRI</v>
          </cell>
        </row>
        <row r="22">
          <cell r="B22">
            <v>20</v>
          </cell>
          <cell r="C22" t="str">
            <v>Mgr Office</v>
          </cell>
        </row>
        <row r="23">
          <cell r="B23">
            <v>21</v>
          </cell>
          <cell r="C23" t="str">
            <v>BY SPACE</v>
          </cell>
        </row>
        <row r="24">
          <cell r="B24">
            <v>22</v>
          </cell>
          <cell r="C24" t="str">
            <v>Court execution</v>
          </cell>
        </row>
      </sheetData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0000001"/>
      <sheetName val="PGCOM USD"/>
      <sheetName val="SALES"/>
      <sheetName val="FDIN"/>
      <sheetName val="FDM"/>
      <sheetName val="FD Interconnect"/>
      <sheetName val="JVC"/>
      <sheetName val="FUJI FINE(YEN)"/>
      <sheetName val="MKI"/>
      <sheetName val="PTSONY"/>
      <sheetName val="NSS"/>
      <sheetName val="FD JAPAN"/>
      <sheetName val="FUJI FINE(IDR)"/>
      <sheetName val="PT SONY"/>
      <sheetName val="SHARP"/>
      <sheetName val="NOBLE(BATAM)"/>
      <sheetName val="OMRON"/>
      <sheetName val="PT. PG COM"/>
      <sheetName val="EWINDO"/>
      <sheetName val="SANDEN"/>
      <sheetName val="REPORT-PR12 (2)"/>
      <sheetName val="SANWA"/>
      <sheetName val="REPORT-PR12"/>
      <sheetName val="Account Code"/>
      <sheetName val="JVC COMMISS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2">
          <cell r="A2" t="str">
            <v>DA001</v>
          </cell>
        </row>
        <row r="3">
          <cell r="A3" t="str">
            <v>DC001</v>
          </cell>
        </row>
        <row r="4">
          <cell r="A4" t="str">
            <v>DC002</v>
          </cell>
        </row>
        <row r="5">
          <cell r="A5" t="str">
            <v>DC003</v>
          </cell>
        </row>
        <row r="6">
          <cell r="A6" t="str">
            <v>DC004</v>
          </cell>
        </row>
        <row r="7">
          <cell r="A7" t="str">
            <v>DE001</v>
          </cell>
          <cell r="B7" t="str">
            <v>EWINDO</v>
          </cell>
        </row>
        <row r="8">
          <cell r="A8" t="str">
            <v>DE002</v>
          </cell>
        </row>
        <row r="9">
          <cell r="A9" t="str">
            <v>DF001</v>
          </cell>
          <cell r="B9" t="str">
            <v>FD.JAPAN</v>
          </cell>
        </row>
        <row r="10">
          <cell r="A10" t="str">
            <v>DF002</v>
          </cell>
          <cell r="B10" t="str">
            <v>FDI</v>
          </cell>
        </row>
        <row r="11">
          <cell r="A11" t="str">
            <v>DF003</v>
          </cell>
          <cell r="B11" t="str">
            <v>FUJI FINE (IDR)</v>
          </cell>
        </row>
        <row r="12">
          <cell r="A12" t="str">
            <v>DF004</v>
          </cell>
          <cell r="B12" t="str">
            <v>FUJI FINE (YEN)</v>
          </cell>
        </row>
        <row r="13">
          <cell r="A13" t="str">
            <v>DF005</v>
          </cell>
          <cell r="B13" t="str">
            <v>FD INDUSTRI (M)</v>
          </cell>
        </row>
        <row r="14">
          <cell r="A14" t="str">
            <v>DF006</v>
          </cell>
          <cell r="B14" t="str">
            <v>FDIN</v>
          </cell>
        </row>
        <row r="15">
          <cell r="A15" t="str">
            <v>DH001</v>
          </cell>
        </row>
        <row r="16">
          <cell r="A16" t="str">
            <v>DH002</v>
          </cell>
        </row>
        <row r="17">
          <cell r="A17" t="str">
            <v>DH003</v>
          </cell>
        </row>
        <row r="18">
          <cell r="A18" t="str">
            <v>DJ001</v>
          </cell>
          <cell r="B18" t="str">
            <v>JVC</v>
          </cell>
        </row>
        <row r="19">
          <cell r="A19" t="str">
            <v>DJ002</v>
          </cell>
        </row>
        <row r="20">
          <cell r="A20" t="str">
            <v>DK001</v>
          </cell>
        </row>
        <row r="21">
          <cell r="A21" t="str">
            <v>DM001</v>
          </cell>
          <cell r="B21" t="str">
            <v>MKI</v>
          </cell>
        </row>
        <row r="22">
          <cell r="A22" t="str">
            <v>DM002</v>
          </cell>
        </row>
        <row r="23">
          <cell r="A23" t="str">
            <v>DN001</v>
          </cell>
          <cell r="B23" t="str">
            <v>NOBLE(BATAM)</v>
          </cell>
        </row>
        <row r="24">
          <cell r="A24" t="str">
            <v>DN002</v>
          </cell>
          <cell r="B24" t="str">
            <v>NSS</v>
          </cell>
        </row>
        <row r="25">
          <cell r="A25" t="str">
            <v>DO001</v>
          </cell>
          <cell r="B25" t="str">
            <v>OMRON</v>
          </cell>
        </row>
        <row r="26">
          <cell r="A26" t="str">
            <v>DP001</v>
          </cell>
          <cell r="B26" t="str">
            <v xml:space="preserve">PGCOM </v>
          </cell>
        </row>
        <row r="27">
          <cell r="A27" t="str">
            <v>DP002</v>
          </cell>
          <cell r="B27" t="str">
            <v>P. T. SONY</v>
          </cell>
        </row>
        <row r="28">
          <cell r="A28" t="str">
            <v>DP003</v>
          </cell>
          <cell r="B28" t="str">
            <v>PGCOM  USD</v>
          </cell>
        </row>
        <row r="29">
          <cell r="A29" t="str">
            <v>DS001</v>
          </cell>
          <cell r="B29" t="str">
            <v>SHARP</v>
          </cell>
        </row>
        <row r="30">
          <cell r="A30" t="str">
            <v>DS002</v>
          </cell>
          <cell r="B30" t="str">
            <v>SANDEN</v>
          </cell>
        </row>
        <row r="31">
          <cell r="A31" t="str">
            <v>DS003</v>
          </cell>
          <cell r="B31" t="str">
            <v>SANWA</v>
          </cell>
        </row>
        <row r="32">
          <cell r="A32" t="str">
            <v>DS004</v>
          </cell>
        </row>
        <row r="33">
          <cell r="A33" t="str">
            <v>DS005</v>
          </cell>
        </row>
        <row r="34">
          <cell r="A34" t="str">
            <v>DS006</v>
          </cell>
        </row>
        <row r="35">
          <cell r="A35" t="str">
            <v>DS007</v>
          </cell>
        </row>
        <row r="36">
          <cell r="A36" t="str">
            <v>DS008</v>
          </cell>
        </row>
        <row r="37">
          <cell r="A37" t="str">
            <v>DT001</v>
          </cell>
        </row>
        <row r="38">
          <cell r="A38" t="str">
            <v>DT002</v>
          </cell>
        </row>
        <row r="39">
          <cell r="A39" t="str">
            <v>DT003</v>
          </cell>
        </row>
        <row r="40">
          <cell r="A40" t="str">
            <v>DT004</v>
          </cell>
        </row>
        <row r="41">
          <cell r="A41" t="str">
            <v>DT005</v>
          </cell>
        </row>
        <row r="42">
          <cell r="A42" t="str">
            <v>DT006</v>
          </cell>
        </row>
      </sheetData>
      <sheetData sheetId="25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manent info"/>
      <sheetName val="A"/>
      <sheetName val="B"/>
      <sheetName val="Balancesheets-I"/>
      <sheetName val="Balancesheet-E"/>
      <sheetName val="Marshal"/>
      <sheetName val="Attachement"/>
      <sheetName val="Lampiran"/>
      <sheetName val="TB1197"/>
      <sheetName val="list FA"/>
      <sheetName val="penyusutan (E)"/>
      <sheetName val="penyusutan(I)"/>
      <sheetName val="Summary fiscal depr(E)"/>
      <sheetName val="Sheet8"/>
      <sheetName val="FI-1771-P1"/>
      <sheetName val="FI-1771-P2"/>
      <sheetName val="FI-1771-I"/>
      <sheetName val="Sheet4"/>
      <sheetName val="Sheet3"/>
      <sheetName val="Sheet2"/>
      <sheetName val="Sheet1"/>
      <sheetName val="Summary fiscal depr(I)"/>
      <sheetName val="Lead"/>
      <sheetName val="MATERIALFINAL"/>
      <sheetName val="Information"/>
      <sheetName val="GeneralInfo"/>
      <sheetName val="3 - M &amp; T-Series Products"/>
      <sheetName val="Ex-Rate"/>
      <sheetName val="Account Code"/>
      <sheetName val="Links"/>
      <sheetName val="Irregular Income"/>
      <sheetName val="FE-1770.P1"/>
      <sheetName val="B1"/>
      <sheetName val="Parameters"/>
      <sheetName val="Menu"/>
      <sheetName val="FKT_PJK"/>
      <sheetName val="LLL10"/>
      <sheetName val="Account Payable"/>
      <sheetName val="Revenue (10)"/>
      <sheetName val="Loan"/>
      <sheetName val="Fin Exp"/>
      <sheetName val="STOCKHAM TAX DATA_RAW"/>
      <sheetName val="Table"/>
      <sheetName val="Table Array"/>
      <sheetName val="Cornov1-1999"/>
      <sheetName val="BWD"/>
      <sheetName val="DATA21"/>
      <sheetName val="B28(old version)"/>
      <sheetName val="Drop Down List"/>
      <sheetName val="Macro1"/>
      <sheetName val="L"/>
      <sheetName val="DH_RI_SI Exceptions"/>
      <sheetName val="Rates"/>
      <sheetName val="CC"/>
      <sheetName val="LU"/>
      <sheetName val="REK"/>
      <sheetName val="INDRCT DTL"/>
      <sheetName val="Local"/>
      <sheetName val="SMain"/>
      <sheetName val="SProperty"/>
      <sheetName val="Trial Balance"/>
      <sheetName val="AN_EL(16.0)"/>
      <sheetName val="Summary"/>
      <sheetName val="data"/>
      <sheetName val="Permanent_info"/>
      <sheetName val="list_FA"/>
      <sheetName val="penyusutan_(E)"/>
      <sheetName val="Summary_fiscal_depr(E)"/>
      <sheetName val="Summary_fiscal_depr(I)"/>
      <sheetName val="3_-_M_&amp;_T-Series_Products"/>
      <sheetName val="dectbl"/>
      <sheetName val="tabel"/>
      <sheetName val="lamphp"/>
      <sheetName val="May"/>
      <sheetName val="Family"/>
    </sheetNames>
    <sheetDataSet>
      <sheetData sheetId="0" refreshError="1">
        <row r="7">
          <cell r="E7" t="str">
            <v>PT MAITLAND SMITH INDONESIA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"/>
      <sheetName val="Chart2"/>
      <sheetName val="total cost"/>
      <sheetName val="base"/>
      <sheetName val="SUMMARY"/>
      <sheetName val="100"/>
      <sheetName val="110"/>
      <sheetName val="130"/>
      <sheetName val="135"/>
      <sheetName val="136"/>
      <sheetName val="140"/>
      <sheetName val="145"/>
      <sheetName val="146"/>
      <sheetName val="150"/>
      <sheetName val="160"/>
      <sheetName val="165"/>
      <sheetName val="175"/>
      <sheetName val="180"/>
      <sheetName val="Marshal"/>
      <sheetName val="MTD_Flash_Report"/>
      <sheetName val="Power"/>
      <sheetName val="70 China (actual incl Optimor)"/>
      <sheetName val="MASTER"/>
      <sheetName val="CVR"/>
      <sheetName val="Orders"/>
      <sheetName val="STOCKHAM TAX DATA_RAW"/>
      <sheetName val="MSC Product Characteristics"/>
      <sheetName val="Monat"/>
      <sheetName val="DFR CT"/>
      <sheetName val="MSC-L5"/>
      <sheetName val="Control"/>
      <sheetName val="AN_EL(16.0)"/>
      <sheetName val="Trial"/>
      <sheetName val="TB"/>
      <sheetName val="BSliRp"/>
      <sheetName val="input sheet"/>
      <sheetName val="Permanent info"/>
      <sheetName val="BTS-L4-L5-1C"/>
      <sheetName val="GM ANALYSIS 2001"/>
      <sheetName val="KAS $"/>
      <sheetName val="Macro5"/>
      <sheetName val="Table Array"/>
      <sheetName val="monthly"/>
      <sheetName val="LIST 99"/>
      <sheetName val="TAX SUMMARY"/>
      <sheetName val="Input"/>
      <sheetName val="INDEX"/>
      <sheetName val="total_cost"/>
      <sheetName val="Ex-Rate"/>
      <sheetName val="FE_1770_P1"/>
      <sheetName val="NAP"/>
      <sheetName val="IS"/>
      <sheetName val="Instr + GQL ORM"/>
      <sheetName val="LOOKUP"/>
      <sheetName val="Type"/>
      <sheetName val="WMSO.3"/>
      <sheetName val="WMSO.7"/>
      <sheetName val="WMSO.1"/>
      <sheetName val="Cover - Flash"/>
      <sheetName val="fiscal depr(E)"/>
      <sheetName val="Parameter"/>
      <sheetName val="MSC_Product_Characteristics"/>
      <sheetName val="70_China_(actual_incl_Optimor)"/>
      <sheetName val="DFR_CT"/>
      <sheetName val="STOCKHAM_TAX_DATA_RAW"/>
      <sheetName val="AN_EL(16_0)"/>
      <sheetName val="input_sheet"/>
      <sheetName val="Permanent_info"/>
      <sheetName val="GM_ANALYSIS_2001"/>
      <sheetName val="KAS_$"/>
      <sheetName val="Table_Array"/>
      <sheetName val="Ex_Rate"/>
      <sheetName val="cov"/>
      <sheetName val="data (2)"/>
      <sheetName val="PEMAKAIAN PAKAN &amp; OBAT"/>
      <sheetName val="PL"/>
      <sheetName val="ledger02"/>
      <sheetName val="GeneralInfo"/>
      <sheetName val="DATA"/>
      <sheetName val="AccountChart"/>
      <sheetName val="Day"/>
      <sheetName val="11-12"/>
      <sheetName val="Sheet2"/>
      <sheetName val="KRM Cashflows by mth"/>
      <sheetName val="F1771-IV"/>
      <sheetName val="F1771-V"/>
      <sheetName val="2-asi-00"/>
      <sheetName val="Sheet1"/>
      <sheetName val="RATE"/>
      <sheetName val="Sales - Ind. Life"/>
      <sheetName val="OpsHighlite"/>
      <sheetName val="0220"/>
      <sheetName val="BTR"/>
      <sheetName val="BGR"/>
      <sheetName val="BKS"/>
      <sheetName val="total_cost1"/>
      <sheetName val="MSC_Product_Characteristics1"/>
      <sheetName val="AN_EL(16_0)1"/>
      <sheetName val="70_China_(actual_incl_Optimor)1"/>
      <sheetName val="STOCKHAM_TAX_DATA_RAW1"/>
      <sheetName val="input_sheet1"/>
      <sheetName val="LIST_99"/>
      <sheetName val="DFR_CT1"/>
      <sheetName val="GM_ANALYSIS_20011"/>
      <sheetName val="KAS_$1"/>
      <sheetName val="Table_Array1"/>
      <sheetName val="Permanent_info1"/>
      <sheetName val="Instr_+_GQL_ORM"/>
      <sheetName val="fiscal_depr(E)"/>
      <sheetName val="TAX_SUMMARY"/>
      <sheetName val="WMSO_3"/>
      <sheetName val="WMSO_7"/>
      <sheetName val="WMSO_1"/>
      <sheetName val="Cover_-_Flash"/>
      <sheetName val="data_(2)"/>
      <sheetName val="NCastalone"/>
      <sheetName val="JAN 2001"/>
      <sheetName val="Opening"/>
      <sheetName val="TAX LIST"/>
      <sheetName val="MPO Shit Rota"/>
      <sheetName val="All_Table"/>
      <sheetName val="Metals"/>
      <sheetName val="CA"/>
      <sheetName val="DIST"/>
      <sheetName val="MONTHLY PROJ GP - MAY 2004"/>
      <sheetName val="MBOPEX09 YTD"/>
      <sheetName val="TIRE DIVISION"/>
      <sheetName val="ocean voyage"/>
      <sheetName val="국산화"/>
      <sheetName val="Macro1"/>
      <sheetName val="Konstanta"/>
      <sheetName val="d_com"/>
      <sheetName val="LBR-LBRN"/>
      <sheetName val="Sheet5"/>
      <sheetName val="Lookup Lists"/>
      <sheetName val="Detail_FA"/>
      <sheetName val="Links"/>
      <sheetName val="Lead"/>
      <sheetName val="M"/>
      <sheetName val="Movements"/>
      <sheetName val="StockCodes"/>
      <sheetName val="Irregular Income"/>
      <sheetName val="FE-1770.P1"/>
      <sheetName val="社員リスト"/>
      <sheetName val="Region Code"/>
      <sheetName val="Product Group Code"/>
      <sheetName val="Company Code"/>
      <sheetName val="Internal Account Code"/>
      <sheetName val="month"/>
      <sheetName val="#REF!"/>
      <sheetName val="Monthly Recap"/>
      <sheetName val="Mar"/>
      <sheetName val="Data Entry"/>
      <sheetName val="TaxDat"/>
      <sheetName val="IMPUT PENERIMAAN BAG PRODUKSI"/>
      <sheetName val="MALE"/>
      <sheetName val="SING"/>
      <sheetName val="SRI L"/>
      <sheetName val="VIET"/>
      <sheetName val="REGDATA"/>
      <sheetName val="Mapping Tables"/>
      <sheetName val="table"/>
      <sheetName val="Movement FA - Report"/>
      <sheetName val="Summary Leasing"/>
      <sheetName val="Mapping Breakdown Asset"/>
      <sheetName val="名簿データ"/>
      <sheetName val="E-9.3(PBC)"/>
      <sheetName val="List"/>
      <sheetName val="D4"/>
      <sheetName val="D6"/>
      <sheetName val="D7"/>
      <sheetName val="D8"/>
      <sheetName val="UTI"/>
      <sheetName val="AvsBsys"/>
      <sheetName val="Worksheet"/>
      <sheetName val="CCSC"/>
      <sheetName val="Asset Verification"/>
      <sheetName val="KRM_Cashflows_by_mth"/>
      <sheetName val="Sales_-_Ind__Life"/>
      <sheetName val="total_cost3"/>
      <sheetName val="MSC_Product_Characteristics3"/>
      <sheetName val="AN_EL(16_0)3"/>
      <sheetName val="input_sheet3"/>
      <sheetName val="LIST_992"/>
      <sheetName val="70_China_(actual_incl_Optimor)3"/>
      <sheetName val="STOCKHAM_TAX_DATA_RAW3"/>
      <sheetName val="DFR_CT3"/>
      <sheetName val="GM_ANALYSIS_20013"/>
      <sheetName val="KAS_$3"/>
      <sheetName val="Table_Array3"/>
      <sheetName val="Permanent_info3"/>
      <sheetName val="Instr_+_GQL_ORM2"/>
      <sheetName val="fiscal_depr(E)2"/>
      <sheetName val="TAX_SUMMARY2"/>
      <sheetName val="WMSO_32"/>
      <sheetName val="WMSO_72"/>
      <sheetName val="WMSO_12"/>
      <sheetName val="Cover_-_Flash2"/>
      <sheetName val="data_(2)2"/>
      <sheetName val="KRM_Cashflows_by_mth2"/>
      <sheetName val="Sales_-_Ind__Life2"/>
      <sheetName val="total_cost2"/>
      <sheetName val="MSC_Product_Characteristics2"/>
      <sheetName val="AN_EL(16_0)2"/>
      <sheetName val="input_sheet2"/>
      <sheetName val="LIST_991"/>
      <sheetName val="70_China_(actual_incl_Optimor)2"/>
      <sheetName val="STOCKHAM_TAX_DATA_RAW2"/>
      <sheetName val="DFR_CT2"/>
      <sheetName val="GM_ANALYSIS_20012"/>
      <sheetName val="KAS_$2"/>
      <sheetName val="Table_Array2"/>
      <sheetName val="Permanent_info2"/>
      <sheetName val="Instr_+_GQL_ORM1"/>
      <sheetName val="fiscal_depr(E)1"/>
      <sheetName val="TAX_SUMMARY1"/>
      <sheetName val="WMSO_31"/>
      <sheetName val="WMSO_71"/>
      <sheetName val="WMSO_11"/>
      <sheetName val="Cover_-_Flash1"/>
      <sheetName val="data_(2)1"/>
      <sheetName val="KRM_Cashflows_by_mth1"/>
      <sheetName val="Sales_-_Ind__Life1"/>
      <sheetName val="total_cost4"/>
      <sheetName val="MSC_Product_Characteristics4"/>
      <sheetName val="AN_EL(16_0)4"/>
      <sheetName val="input_sheet4"/>
      <sheetName val="LIST_993"/>
      <sheetName val="70_China_(actual_incl_Optimor)4"/>
      <sheetName val="STOCKHAM_TAX_DATA_RAW4"/>
      <sheetName val="DFR_CT4"/>
      <sheetName val="GM_ANALYSIS_20014"/>
      <sheetName val="KAS_$4"/>
      <sheetName val="Table_Array4"/>
      <sheetName val="Permanent_info4"/>
      <sheetName val="Instr_+_GQL_ORM3"/>
      <sheetName val="fiscal_depr(E)3"/>
      <sheetName val="TAX_SUMMARY3"/>
      <sheetName val="WMSO_33"/>
      <sheetName val="WMSO_73"/>
      <sheetName val="WMSO_13"/>
      <sheetName val="Cover_-_Flash3"/>
      <sheetName val="data_(2)3"/>
      <sheetName val="KRM_Cashflows_by_mth3"/>
      <sheetName val="Sales_-_Ind__Life3"/>
      <sheetName val="total_cost5"/>
      <sheetName val="MSC_Product_Characteristics5"/>
      <sheetName val="AN_EL(16_0)5"/>
      <sheetName val="input_sheet5"/>
      <sheetName val="LIST_994"/>
      <sheetName val="70_China_(actual_incl_Optimor)5"/>
      <sheetName val="STOCKHAM_TAX_DATA_RAW5"/>
      <sheetName val="DFR_CT5"/>
      <sheetName val="GM_ANALYSIS_20015"/>
      <sheetName val="KAS_$5"/>
      <sheetName val="Table_Array5"/>
      <sheetName val="Permanent_info5"/>
      <sheetName val="Instr_+_GQL_ORM4"/>
      <sheetName val="fiscal_depr(E)4"/>
      <sheetName val="TAX_SUMMARY4"/>
      <sheetName val="WMSO_34"/>
      <sheetName val="WMSO_74"/>
      <sheetName val="WMSO_14"/>
      <sheetName val="Cover_-_Flash4"/>
      <sheetName val="data_(2)4"/>
      <sheetName val="KRM_Cashflows_by_mth4"/>
      <sheetName val="Sales_-_Ind__Life4"/>
      <sheetName val="JAN_2001"/>
      <sheetName val="total_cost6"/>
      <sheetName val="MSC_Product_Characteristics6"/>
      <sheetName val="AN_EL(16_0)6"/>
      <sheetName val="input_sheet6"/>
      <sheetName val="LIST_995"/>
      <sheetName val="70_China_(actual_incl_Optimor)6"/>
      <sheetName val="STOCKHAM_TAX_DATA_RAW6"/>
      <sheetName val="DFR_CT6"/>
      <sheetName val="GM_ANALYSIS_20016"/>
      <sheetName val="KAS_$6"/>
      <sheetName val="Table_Array6"/>
      <sheetName val="Permanent_info6"/>
      <sheetName val="Instr_+_GQL_ORM5"/>
      <sheetName val="fiscal_depr(E)5"/>
      <sheetName val="TAX_SUMMARY5"/>
      <sheetName val="WMSO_35"/>
      <sheetName val="WMSO_75"/>
      <sheetName val="WMSO_15"/>
      <sheetName val="Cover_-_Flash5"/>
      <sheetName val="data_(2)5"/>
      <sheetName val="KRM_Cashflows_by_mth5"/>
      <sheetName val="Sales_-_Ind__Life5"/>
      <sheetName val="JAN_20011"/>
      <sheetName val="BS"/>
      <sheetName val="KEND"/>
      <sheetName val="SheetGMP"/>
      <sheetName val="SheetGMT"/>
      <sheetName val="Stop"/>
      <sheetName val="Accueil"/>
      <sheetName val="data_val"/>
      <sheetName val="Sales - MTD"/>
      <sheetName val="MENU"/>
      <sheetName val="Verteil.schlüssel"/>
      <sheetName val="Farmer-Pond-Monodon"/>
      <sheetName val="Comp equip"/>
      <sheetName val="MV"/>
      <sheetName val="B1"/>
      <sheetName val="Constants"/>
      <sheetName val="FKT_PJK"/>
      <sheetName val="RSS9801"/>
      <sheetName val="RELASI"/>
      <sheetName val="MPI"/>
      <sheetName val="TAX_LIST"/>
      <sheetName val="PEMAKAIAN_PAKAN_&amp;_OBAT"/>
      <sheetName val="MPO_Shit_Rota"/>
      <sheetName val="ACTIVOS FINANCIEROS"/>
      <sheetName val="FAKTOR"/>
      <sheetName val="MSE"/>
      <sheetName val="r.shoot"/>
      <sheetName val="Biaya Departemen"/>
      <sheetName val="NOTHIT"/>
      <sheetName val="ACCOUNT NO"/>
      <sheetName val="Agu"/>
      <sheetName val="Apr"/>
      <sheetName val="Des"/>
      <sheetName val="Jan"/>
      <sheetName val="Jul"/>
      <sheetName val="Jun"/>
      <sheetName val="Mei"/>
      <sheetName val="Nov"/>
      <sheetName val="Okt"/>
      <sheetName val="Peb"/>
      <sheetName val="Sep"/>
      <sheetName val="Biaya_Departemen"/>
      <sheetName val="ACCOUNT_NO"/>
      <sheetName val="M rate"/>
      <sheetName val="Ref.3(8111200)"/>
      <sheetName val="Search for Unrecorded Liabilty"/>
      <sheetName val="SO"/>
      <sheetName val="Jan_07"/>
      <sheetName val="I3-CF&amp;Fin"/>
      <sheetName val="I1-Data"/>
      <sheetName val="Main"/>
      <sheetName val="I4-Mutasi"/>
      <sheetName val="I2-Result"/>
      <sheetName val="MONTHLY_PROJ_GP_-_MAY_2004"/>
      <sheetName val="MBOPEX09_YTD"/>
      <sheetName val="TIRE_DIVISION"/>
      <sheetName val="ocean_voyage"/>
      <sheetName val="MONTHLY_PROJ_GP_-_MAY_20041"/>
      <sheetName val="MBOPEX09_YTD1"/>
      <sheetName val="PEMAKAIAN_PAKAN_&amp;_OBAT1"/>
      <sheetName val="TIRE_DIVISION1"/>
      <sheetName val="ocean_voyage1"/>
      <sheetName val="Revenue"/>
      <sheetName val="IMPUT_PENERIMAAN_BAG_PRODUKSI"/>
      <sheetName val="SRI_L"/>
      <sheetName val="Lookup_Lists"/>
      <sheetName val="Asset_Verification"/>
      <sheetName val="Irregular_Income"/>
      <sheetName val="FE-1770_P1"/>
      <sheetName val="piutang normal psrt"/>
      <sheetName val="KURS"/>
      <sheetName val="usd"/>
      <sheetName val="MPO_Shit_Rota1"/>
      <sheetName val="TAX_LIST1"/>
      <sheetName val="PEMAKAIAN_PAKAN_&amp;_OBAT2"/>
      <sheetName val="MPO_Shit_Rota2"/>
      <sheetName val="JAN_20012"/>
      <sheetName val="TAX_LIST2"/>
      <sheetName val="Magic Square"/>
      <sheetName val="H.Satuan"/>
      <sheetName val="단가"/>
      <sheetName val="NP"/>
      <sheetName val="PER ABJAD"/>
      <sheetName val="Parameters"/>
      <sheetName val="BS final"/>
      <sheetName val="COA"/>
      <sheetName val="0"/>
      <sheetName val="total_cost7"/>
      <sheetName val="MSC_Product_Characteristics7"/>
      <sheetName val="AN_EL(16_0)7"/>
      <sheetName val="input_sheet7"/>
      <sheetName val="LIST_996"/>
      <sheetName val="70_China_(actual_incl_Optimor)7"/>
      <sheetName val="STOCKHAM_TAX_DATA_RAW7"/>
      <sheetName val="DFR_CT7"/>
      <sheetName val="GM_ANALYSIS_20017"/>
      <sheetName val="KAS_$7"/>
      <sheetName val="Table_Array7"/>
      <sheetName val="Permanent_info7"/>
      <sheetName val="Instr_+_GQL_ORM6"/>
      <sheetName val="fiscal_depr(E)6"/>
      <sheetName val="TAX_SUMMARY6"/>
      <sheetName val="WMSO_36"/>
      <sheetName val="WMSO_76"/>
      <sheetName val="WMSO_16"/>
      <sheetName val="Cover_-_Flash6"/>
      <sheetName val="data_(2)6"/>
      <sheetName val="KRM_Cashflows_by_mth6"/>
      <sheetName val="Sales_-_Ind__Life6"/>
      <sheetName val="Data_Entry"/>
      <sheetName val="total_cost8"/>
      <sheetName val="MSC_Product_Characteristics8"/>
      <sheetName val="AN_EL(16_0)8"/>
      <sheetName val="input_sheet8"/>
      <sheetName val="LIST_997"/>
      <sheetName val="70_China_(actual_incl_Optimor)8"/>
      <sheetName val="STOCKHAM_TAX_DATA_RAW8"/>
      <sheetName val="DFR_CT8"/>
      <sheetName val="GM_ANALYSIS_20018"/>
      <sheetName val="KAS_$8"/>
      <sheetName val="Table_Array8"/>
      <sheetName val="Permanent_info8"/>
      <sheetName val="Instr_+_GQL_ORM7"/>
      <sheetName val="fiscal_depr(E)7"/>
      <sheetName val="TAX_SUMMARY7"/>
      <sheetName val="WMSO_37"/>
      <sheetName val="WMSO_77"/>
      <sheetName val="WMSO_17"/>
      <sheetName val="Cover_-_Flash7"/>
      <sheetName val="data_(2)7"/>
      <sheetName val="KRM_Cashflows_by_mth7"/>
      <sheetName val="Sales_-_Ind__Life7"/>
      <sheetName val="JAN_20013"/>
      <sheetName val="Lookup_Lists1"/>
      <sheetName val="Data_Entry1"/>
      <sheetName val="total_cost9"/>
      <sheetName val="MSC_Product_Characteristics9"/>
      <sheetName val="AN_EL(16_0)9"/>
      <sheetName val="input_sheet9"/>
      <sheetName val="LIST_998"/>
      <sheetName val="70_China_(actual_incl_Optimor)9"/>
      <sheetName val="STOCKHAM_TAX_DATA_RAW9"/>
      <sheetName val="DFR_CT9"/>
      <sheetName val="GM_ANALYSIS_20019"/>
      <sheetName val="KAS_$9"/>
      <sheetName val="Table_Array9"/>
      <sheetName val="Permanent_info9"/>
      <sheetName val="Instr_+_GQL_ORM8"/>
      <sheetName val="fiscal_depr(E)8"/>
      <sheetName val="TAX_SUMMARY8"/>
      <sheetName val="WMSO_38"/>
      <sheetName val="WMSO_78"/>
      <sheetName val="WMSO_18"/>
      <sheetName val="Cover_-_Flash8"/>
      <sheetName val="data_(2)8"/>
      <sheetName val="KRM_Cashflows_by_mth8"/>
      <sheetName val="Sales_-_Ind__Life8"/>
      <sheetName val="JAN_20014"/>
      <sheetName val="MONTHLY_PROJ_GP_-_MAY_20042"/>
      <sheetName val="MBOPEX09_YTD2"/>
      <sheetName val="TIRE_DIVISION2"/>
      <sheetName val="ocean_voyage2"/>
      <sheetName val="Lookup_Lists2"/>
      <sheetName val="Data_Entry2"/>
      <sheetName val="total_cost10"/>
      <sheetName val="MSC_Product_Characteristics10"/>
      <sheetName val="AN_EL(16_0)10"/>
      <sheetName val="input_sheet10"/>
      <sheetName val="LIST_999"/>
      <sheetName val="70_China_(actual_incl_Optimor10"/>
      <sheetName val="STOCKHAM_TAX_DATA_RAW10"/>
      <sheetName val="DFR_CT10"/>
      <sheetName val="GM_ANALYSIS_200110"/>
      <sheetName val="KAS_$10"/>
      <sheetName val="Table_Array10"/>
      <sheetName val="Permanent_info10"/>
      <sheetName val="Instr_+_GQL_ORM9"/>
      <sheetName val="fiscal_depr(E)9"/>
      <sheetName val="TAX_SUMMARY9"/>
      <sheetName val="WMSO_39"/>
      <sheetName val="WMSO_79"/>
      <sheetName val="WMSO_19"/>
      <sheetName val="Cover_-_Flash9"/>
      <sheetName val="data_(2)9"/>
      <sheetName val="KRM_Cashflows_by_mth9"/>
      <sheetName val="Sales_-_Ind__Life9"/>
      <sheetName val="JAN_20015"/>
      <sheetName val="PEMAKAIAN_PAKAN_&amp;_OBAT3"/>
      <sheetName val="TAX_LIST3"/>
      <sheetName val="MPO_Shit_Rota3"/>
      <sheetName val="MONTHLY_PROJ_GP_-_MAY_20043"/>
      <sheetName val="MBOPEX09_YTD3"/>
      <sheetName val="TIRE_DIVISION3"/>
      <sheetName val="ocean_voyage3"/>
      <sheetName val="Lookup_Lists3"/>
      <sheetName val="Data_Entry3"/>
      <sheetName val="total_cost11"/>
      <sheetName val="MSC_Product_Characteristics11"/>
      <sheetName val="AN_EL(16_0)11"/>
      <sheetName val="input_sheet11"/>
      <sheetName val="LIST_9910"/>
      <sheetName val="70_China_(actual_incl_Optimor11"/>
      <sheetName val="STOCKHAM_TAX_DATA_RAW11"/>
      <sheetName val="DFR_CT11"/>
      <sheetName val="GM_ANALYSIS_200111"/>
      <sheetName val="KAS_$11"/>
      <sheetName val="Table_Array11"/>
      <sheetName val="Permanent_info11"/>
      <sheetName val="Instr_+_GQL_ORM10"/>
      <sheetName val="fiscal_depr(E)10"/>
      <sheetName val="TAX_SUMMARY10"/>
      <sheetName val="WMSO_310"/>
      <sheetName val="WMSO_710"/>
      <sheetName val="WMSO_110"/>
      <sheetName val="Cover_-_Flash10"/>
      <sheetName val="data_(2)10"/>
      <sheetName val="KRM_Cashflows_by_mth10"/>
      <sheetName val="Sales_-_Ind__Life10"/>
      <sheetName val="JAN_20016"/>
      <sheetName val="PEMAKAIAN_PAKAN_&amp;_OBAT4"/>
      <sheetName val="TAX_LIST4"/>
      <sheetName val="MPO_Shit_Rota4"/>
      <sheetName val="MONTHLY_PROJ_GP_-_MAY_20044"/>
      <sheetName val="MBOPEX09_YTD4"/>
      <sheetName val="TIRE_DIVISION4"/>
      <sheetName val="ocean_voyage4"/>
      <sheetName val="Lookup_Lists4"/>
      <sheetName val="Data_Entry4"/>
      <sheetName val="STD labor"/>
      <sheetName val="FREIGHT"/>
      <sheetName val="jer-lr"/>
      <sheetName val="rekap"/>
      <sheetName val="Option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/>
      <sheetData sheetId="312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/>
      <sheetData sheetId="332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 refreshError="1"/>
      <sheetData sheetId="353"/>
      <sheetData sheetId="354"/>
      <sheetData sheetId="355"/>
      <sheetData sheetId="356"/>
      <sheetData sheetId="357"/>
      <sheetData sheetId="358"/>
      <sheetData sheetId="359" refreshError="1"/>
      <sheetData sheetId="360" refreshError="1"/>
      <sheetData sheetId="361" refreshError="1"/>
      <sheetData sheetId="362"/>
      <sheetData sheetId="363"/>
      <sheetData sheetId="364"/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 refreshError="1"/>
      <sheetData sheetId="519" refreshError="1"/>
      <sheetData sheetId="520" refreshError="1"/>
      <sheetData sheetId="521" refreshError="1"/>
      <sheetData sheetId="52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manent info"/>
      <sheetName val="Marshal"/>
      <sheetName val="F1771"/>
      <sheetName val="F1771-I"/>
      <sheetName val="F1771-II"/>
      <sheetName val="F1771- III"/>
      <sheetName val="F1771-IV"/>
      <sheetName val="F1771- V"/>
      <sheetName val="F1771-VI"/>
      <sheetName val="Depreciation  schedule"/>
      <sheetName val="Depreciation"/>
      <sheetName val="Penyusutan"/>
      <sheetName val="Attachement"/>
      <sheetName val="Gain FA"/>
      <sheetName val="Lampiran"/>
      <sheetName val="WP- Lain"/>
      <sheetName val="ppH22"/>
      <sheetName val="Fiskal"/>
      <sheetName val="Sheet14"/>
      <sheetName val="sAL-REC"/>
      <sheetName val="Cover"/>
      <sheetName val="reconciliation"/>
      <sheetName val="GeneralInfo"/>
      <sheetName val="Permanent_info"/>
      <sheetName val="F1771-_III"/>
      <sheetName val="F1771-_V"/>
      <sheetName val="Depreciation__schedule"/>
      <sheetName val="Gain_FA"/>
      <sheetName val="WP-_Lain"/>
      <sheetName val="Table"/>
      <sheetName val="Sum"/>
      <sheetName val="SUMMARY"/>
      <sheetName val="Sheet2"/>
      <sheetName val="MY_SG&amp;A"/>
      <sheetName val="Sheet1"/>
      <sheetName val="Orders"/>
      <sheetName val="MW"/>
      <sheetName val="POMALAA"/>
      <sheetName val="TB"/>
      <sheetName val="FIXED ASSETS"/>
      <sheetName val="MULTIPERIOD RETURNS"/>
      <sheetName val="Cost Rate &amp; Factor"/>
      <sheetName val="Marshal -1"/>
      <sheetName val="TP"/>
      <sheetName val="DFR CT"/>
      <sheetName val="STOCK"/>
      <sheetName val="TRANP BIBIT"/>
      <sheetName val="BTR"/>
      <sheetName val="BGR"/>
      <sheetName val="BKS"/>
      <sheetName val="KEND"/>
      <sheetName val="Type"/>
      <sheetName val="IS"/>
      <sheetName val="Data"/>
      <sheetName val="01"/>
      <sheetName val="FA FISKAL"/>
      <sheetName val="Mth by Mth KPI's"/>
      <sheetName val="Analysis Data"/>
      <sheetName val="Inputs"/>
      <sheetName val="CA Sheet"/>
      <sheetName val="Irregular Income"/>
      <sheetName val="FE-1770.P1"/>
      <sheetName val="DH_RI_SI Exceptions"/>
      <sheetName val="SheetGMP"/>
      <sheetName val="SheetGMT"/>
      <sheetName val="SMD"/>
      <sheetName val="U.P"/>
      <sheetName val="Ex-Rate"/>
      <sheetName val="LOOKUP"/>
      <sheetName val="Account Code"/>
      <sheetName val="Monthly Recap"/>
      <sheetName val="B1 Data"/>
      <sheetName val="WHT-21"/>
      <sheetName val="HQ"/>
      <sheetName val="U"/>
      <sheetName val="FSA"/>
      <sheetName val="Permanent_info1"/>
      <sheetName val="F1771-_III1"/>
      <sheetName val="F1771-_V1"/>
      <sheetName val="Depreciation__schedule1"/>
      <sheetName val="Gain_FA1"/>
      <sheetName val="WP-_Lain1"/>
      <sheetName val="Cost_Rate_&amp;_Factor"/>
      <sheetName val="FIXED_ASSETS"/>
      <sheetName val="Marshal_-1"/>
      <sheetName val="CIP_USD"/>
      <sheetName val="RATE"/>
      <sheetName val="Macro1"/>
      <sheetName val="MASTER"/>
      <sheetName val="MMR"/>
      <sheetName val="KGCC"/>
      <sheetName val="MSDK"/>
      <sheetName val="Links"/>
      <sheetName val="Lead-BS"/>
      <sheetName val="BS Assum"/>
      <sheetName val="VAT out"/>
      <sheetName val="Prepaid Rent"/>
      <sheetName val="Parameter"/>
      <sheetName val="DATA21"/>
      <sheetName val="gl-cip"/>
      <sheetName val="MTD_Flash_Report"/>
      <sheetName val="Power"/>
      <sheetName val="Front Page"/>
      <sheetName val="Metals"/>
      <sheetName val="CVR"/>
      <sheetName val="recaploan_mop,cop,eop,loan_des "/>
      <sheetName val="COEFF "/>
      <sheetName val="LIST 99"/>
      <sheetName val="MAIN MENU"/>
      <sheetName val="monthly"/>
      <sheetName val="1771"/>
      <sheetName val="소상 &quot;1&quot;"/>
      <sheetName val="Daftar Isi"/>
      <sheetName val="SUPPORT"/>
      <sheetName val="cellular"/>
      <sheetName val="Isolasi Luar Dalam"/>
      <sheetName val="Isolasi Luar"/>
      <sheetName val="Family"/>
      <sheetName val="tabel nilai"/>
      <sheetName val="0"/>
      <sheetName val="NL"/>
      <sheetName val="EXC-R2004"/>
      <sheetName val="ASSUM-COMB-Prop"/>
      <sheetName val="rab_50"/>
      <sheetName val="TRANP_BIBIT"/>
      <sheetName val="CA_Sheet"/>
      <sheetName val="B1_Data"/>
      <sheetName val="MULTIPERIOD_RETURNS"/>
      <sheetName val="Mth_by_Mth_KPI's"/>
      <sheetName val="Analysis_Data"/>
      <sheetName val="#REF"/>
      <sheetName val="B1"/>
      <sheetName val="A3"/>
      <sheetName val="working papers"/>
      <sheetName val="LAPORAN "/>
      <sheetName val="C"/>
      <sheetName val="C1"/>
      <sheetName val="C1.01"/>
      <sheetName val="C2 Cash"/>
      <sheetName val="C2"/>
      <sheetName val="C3"/>
      <sheetName val="C4"/>
      <sheetName val="C5"/>
      <sheetName val="C6"/>
      <sheetName val="C6-1"/>
      <sheetName val="C6-2"/>
      <sheetName val="C6-3"/>
      <sheetName val="C6-4"/>
      <sheetName val="C7"/>
      <sheetName val="Monthly RecapLO"/>
      <sheetName val="TB Client 0607"/>
      <sheetName val="Cisco"/>
      <sheetName val="data (2)"/>
      <sheetName val="1771'98-Adj Rev2"/>
      <sheetName val="Tran0104"/>
      <sheetName val="FA_FISKAL"/>
      <sheetName val="DH_RI_SI_Exceptions"/>
      <sheetName val="U_P"/>
      <sheetName val="cwip"/>
      <sheetName val="2011"/>
      <sheetName val="Opening"/>
      <sheetName val="Rev Accrual Sum"/>
      <sheetName val="SAA"/>
      <sheetName val="LAMKOM"/>
      <sheetName val="F"/>
      <sheetName val="F1"/>
      <sheetName val="F1.01"/>
      <sheetName val="A2-1"/>
      <sheetName val="A2-2"/>
      <sheetName val="F.1 OTHER REC "/>
      <sheetName val="F3"/>
      <sheetName val="F4"/>
      <sheetName val="F5-1"/>
      <sheetName val="F5-2"/>
      <sheetName val="F5-3"/>
      <sheetName val="F5-4"/>
      <sheetName val="F5-5"/>
      <sheetName val="F6"/>
      <sheetName val="F7-1"/>
      <sheetName val="I"/>
      <sheetName val="I1"/>
      <sheetName val="I1.01"/>
      <sheetName val="I.2 INTANGIBLE"/>
      <sheetName val="I3"/>
      <sheetName val="I3.01 addition"/>
      <sheetName val="I.3-01.A ammortization"/>
      <sheetName val="6"/>
      <sheetName val="I3.02"/>
      <sheetName val="I3.03"/>
      <sheetName val="I4"/>
      <sheetName val="I5"/>
      <sheetName val="1999"/>
      <sheetName val="Updated MU2"/>
      <sheetName val="Data-1996"/>
      <sheetName val="Altman Z Score"/>
      <sheetName val="A"/>
      <sheetName val="Smartphone_Symbian Parameters"/>
      <sheetName val="laporan"/>
      <sheetName val="MSC-L5"/>
      <sheetName val="NAP"/>
      <sheetName val="d_com"/>
      <sheetName val="Entity"/>
      <sheetName val="NAME"/>
      <sheetName val="harsat"/>
      <sheetName val=" MS"/>
      <sheetName val="Rincian"/>
      <sheetName val="AJE&amp;RJE"/>
      <sheetName val="WP-Panu'02"/>
      <sheetName val="Input Acts-Fcst"/>
      <sheetName val="General Info"/>
      <sheetName val="Input Acts-Fcst Restate-BB"/>
      <sheetName val="T.B"/>
      <sheetName val="BARSdec05"/>
      <sheetName val="subcont"/>
      <sheetName val="CN Jackaroo"/>
      <sheetName val="Lookup Lists"/>
      <sheetName val="Table Array"/>
      <sheetName val="Control"/>
      <sheetName val="Unit Data Collection"/>
      <sheetName val="recaploan_mop,cop,eop,loan_apr "/>
      <sheetName val="E-9.3(PBC)"/>
      <sheetName val="Permanent_info2"/>
      <sheetName val="F1771-_III2"/>
      <sheetName val="F1771-_V2"/>
      <sheetName val="Depreciation__schedule2"/>
      <sheetName val="Gain_FA2"/>
      <sheetName val="WP-_Lain2"/>
      <sheetName val="Marshal_-11"/>
      <sheetName val="Cost_Rate_&amp;_Factor1"/>
      <sheetName val="FIXED_ASSETS1"/>
      <sheetName val="DFR_CT"/>
      <sheetName val="Irregular_Income"/>
      <sheetName val="FE-1770_P1"/>
      <sheetName val="VAT_out"/>
      <sheetName val="Prepaid_Rent"/>
      <sheetName val="LIST_99"/>
      <sheetName val="Account_Code"/>
      <sheetName val="Monthly_Recap"/>
      <sheetName val="MAIN_MENU"/>
      <sheetName val="Front_Page"/>
      <sheetName val="TRANP_BIBIT1"/>
      <sheetName val="FA_FISKAL1"/>
      <sheetName val="DH_RI_SI_Exceptions1"/>
      <sheetName val="U_P1"/>
      <sheetName val="B1_Data1"/>
      <sheetName val="Mth_by_Mth_KPI's1"/>
      <sheetName val="Analysis_Data1"/>
      <sheetName val="MULTIPERIOD_RETURNS1"/>
      <sheetName val="CA_Sheet1"/>
      <sheetName val="Daftar_Isi"/>
      <sheetName val="COEFF_"/>
      <sheetName val="BS_Assum"/>
      <sheetName val="소상_&quot;1&quot;"/>
      <sheetName val="data_(2)"/>
      <sheetName val="tabel_nilai"/>
      <sheetName val="1771'98-Adj_Rev2"/>
      <sheetName val="recaploan_mop,cop,eop,loan_des_"/>
      <sheetName val="Isolasi_Luar_Dalam"/>
      <sheetName val="Isolasi_Luar"/>
      <sheetName val="working_papers"/>
      <sheetName val="LAPORAN_"/>
      <sheetName val="C1_01"/>
      <sheetName val="C2_Cash"/>
      <sheetName val="F1771-III"/>
      <sheetName val="MATERIALFINAL"/>
      <sheetName val="Master Data"/>
      <sheetName val="Index"/>
      <sheetName val="All"/>
      <sheetName val="LB Plan 97 neu 15531 Best "/>
      <sheetName val="NEGARA"/>
      <sheetName val="recaploan_mop,cop,eop,loan_apr_"/>
      <sheetName val="11-12"/>
      <sheetName val="AGUSTUS05"/>
      <sheetName val="P&amp;L98"/>
      <sheetName val="filetmp"/>
      <sheetName val="Macro5"/>
      <sheetName val="PRB_loadchart"/>
      <sheetName val="FKT_PJK"/>
      <sheetName val="R&amp;D"/>
      <sheetName val="Travel"/>
      <sheetName val="SCORE_RC_Code"/>
      <sheetName val="MAIN"/>
      <sheetName val=""/>
      <sheetName val="NZ data"/>
      <sheetName val="Bankruptcies"/>
      <sheetName val="Hidden"/>
      <sheetName val="rinci"/>
      <sheetName val="BS"/>
      <sheetName val="2002"/>
      <sheetName val="Account Payable"/>
      <sheetName val="Revenue (10)"/>
      <sheetName val="MSC Product Characteristics"/>
      <sheetName val="fiscal depr(E)"/>
      <sheetName val="worksheet"/>
      <sheetName val="Rev_Accrual_Sum"/>
      <sheetName val="TB_Client_0607"/>
      <sheetName val="Altman_Z_Score"/>
      <sheetName val="Smartphone_Symbian_Parameters"/>
      <sheetName val="Lookup_Lists"/>
      <sheetName val="_MS"/>
      <sheetName val="Table_Array"/>
      <sheetName val="Monthly_RecapLO"/>
      <sheetName val="F1_01"/>
      <sheetName val="F_1_OTHER_REC_"/>
      <sheetName val="I1_01"/>
      <sheetName val="I_2_INTANGIBLE"/>
      <sheetName val="I3_01_addition"/>
      <sheetName val="I_3-01_A_ammortization"/>
      <sheetName val="I3_02"/>
      <sheetName val="I3_03"/>
      <sheetName val="Revenue"/>
      <sheetName val="WNS NA 31.03.04"/>
      <sheetName val="WNS UK 31.03.04"/>
      <sheetName val="Con"/>
      <sheetName val="Permanent_info3"/>
      <sheetName val="F1771-_III3"/>
      <sheetName val="F1771-_V3"/>
      <sheetName val="Depreciation__schedule3"/>
      <sheetName val="Gain_FA3"/>
      <sheetName val="WP-_Lain3"/>
      <sheetName val="FIXED_ASSETS2"/>
      <sheetName val="Marshal_-12"/>
      <sheetName val="Cost_Rate_&amp;_Factor2"/>
      <sheetName val="DFR_CT1"/>
      <sheetName val="Irregular_Income1"/>
      <sheetName val="FE-1770_P11"/>
      <sheetName val="VAT_out1"/>
      <sheetName val="Prepaid_Rent1"/>
      <sheetName val="Front_Page1"/>
      <sheetName val="LIST_991"/>
      <sheetName val="Account_Code1"/>
      <sheetName val="MAIN_MENU1"/>
      <sheetName val="Monthly_Recap1"/>
      <sheetName val="Unit_Data_Collection"/>
      <sheetName val="Data Entry"/>
      <sheetName val="Master Stock"/>
      <sheetName val="Master Price List"/>
      <sheetName val="UPAH + ALAT"/>
      <sheetName val="Audited"/>
      <sheetName val="MNR6"/>
      <sheetName val="TRS Chart"/>
      <sheetName val="Company Code"/>
      <sheetName val="Internal Account Code"/>
      <sheetName val="month"/>
      <sheetName val="SAPAdd"/>
      <sheetName val="Menu"/>
      <sheetName val="TB DEC-17"/>
      <sheetName val="GO Salary"/>
      <sheetName val="SELL-SUMM-COST"/>
      <sheetName val="Macros"/>
      <sheetName val="N2.2"/>
      <sheetName val="MALE"/>
      <sheetName val="SING"/>
      <sheetName val="SRI L"/>
      <sheetName val="VIET"/>
      <sheetName val="MYR"/>
      <sheetName val="Penj Sub NPK"/>
      <sheetName val="Info"/>
      <sheetName val="Input Page"/>
      <sheetName val="OLDMAP"/>
      <sheetName val="WWb"/>
      <sheetName val="PEMBELIAN-05"/>
      <sheetName val="F1771-V"/>
      <sheetName val="A u g"/>
      <sheetName val="O c t"/>
      <sheetName val="00 received in 01"/>
      <sheetName val="F e b"/>
      <sheetName val="Per GL J a n"/>
      <sheetName val="Other charges (income)"/>
      <sheetName val="TRANP_BIBIT2"/>
      <sheetName val="FA_FISKAL2"/>
      <sheetName val="DH_RI_SI_Exceptions2"/>
      <sheetName val="U_P2"/>
      <sheetName val="B1_Data2"/>
      <sheetName val="Mth_by_Mth_KPI's2"/>
      <sheetName val="Analysis_Data2"/>
      <sheetName val="MULTIPERIOD_RETURNS2"/>
      <sheetName val="CA_Sheet2"/>
      <sheetName val="Daftar_Isi1"/>
      <sheetName val="COEFF_1"/>
      <sheetName val="BS_Assum1"/>
      <sheetName val="소상_&quot;1&quot;1"/>
      <sheetName val="recaploan_mop,cop,eop,loan_des1"/>
      <sheetName val="tabel_nilai1"/>
      <sheetName val="data_(2)1"/>
      <sheetName val="Isolasi_Luar_Dalam1"/>
      <sheetName val="Isolasi_Luar1"/>
      <sheetName val="1771'98-Adj_Rev21"/>
      <sheetName val="LAPORAN_1"/>
      <sheetName val="working_papers1"/>
      <sheetName val="C1_011"/>
      <sheetName val="C2_Cash1"/>
      <sheetName val="Updated_MU2"/>
      <sheetName val="Input_Acts-Fcst"/>
      <sheetName val="General_Info"/>
      <sheetName val="Input_Acts-Fcst_Restate-BB"/>
      <sheetName val="T_B"/>
      <sheetName val="CN_Jackaroo"/>
      <sheetName val="E-9_3(PBC)"/>
      <sheetName val="Account_Payable"/>
      <sheetName val="Revenue_(10)"/>
      <sheetName val="MSC_Product_Characteristics"/>
      <sheetName val="Master_Data"/>
      <sheetName val="Basic Information"/>
      <sheetName val="G1"/>
      <sheetName val="A1-B ASSET"/>
      <sheetName val="D1"/>
      <sheetName val="S1"/>
      <sheetName val="TB "/>
      <sheetName val="T.1-A PROFIT&amp;LOSS"/>
      <sheetName val="CA"/>
      <sheetName val="Journal Template"/>
      <sheetName val="GIsi di PKU"/>
      <sheetName val="Pro-Base"/>
      <sheetName val="data_val"/>
      <sheetName val="Calc"/>
      <sheetName val="Rekap"/>
      <sheetName val="oktober'96"/>
      <sheetName val="500.10"/>
      <sheetName val="Setup Data"/>
      <sheetName val="Scenario&amp;Sensitivity"/>
      <sheetName val="Mine Assumptions"/>
      <sheetName val="N1 - Lead"/>
      <sheetName val="M-2 Adjusted"/>
      <sheetName val="POTO MAC"/>
      <sheetName val="Tabel PErkiraan"/>
      <sheetName val="H7.1"/>
      <sheetName val="PRODUKSI"/>
      <sheetName val="ACTABLE"/>
      <sheetName val="Exxon Jakarta"/>
      <sheetName val="Analisa Tend (2)"/>
      <sheetName val="Detail_FA"/>
      <sheetName val="Range"/>
      <sheetName val="IA2"/>
      <sheetName val="R2"/>
      <sheetName val="Oct 99"/>
      <sheetName val="sapactivexlhiddensheet"/>
      <sheetName val="TB US"/>
      <sheetName val="master1"/>
      <sheetName val="Farmer-Pond-Monodon"/>
      <sheetName val="Infield Charge (OBP)"/>
      <sheetName val="LP-PENJ-EKSKUTIF-LP-2"/>
      <sheetName val="Buku Besar"/>
      <sheetName val="rekapMM"/>
      <sheetName val="단가"/>
      <sheetName val="S e p"/>
      <sheetName val="M a r"/>
      <sheetName val="M a y"/>
      <sheetName val="J u l"/>
      <sheetName val="A p r"/>
      <sheetName val="J u n"/>
      <sheetName val="N o v"/>
      <sheetName val="J a n"/>
      <sheetName val="DKI"/>
      <sheetName val="?? &quot;1&quot;"/>
      <sheetName val="??_&quot;1&quot;"/>
      <sheetName val="7.1(3)"/>
      <sheetName val="Target 2018_Revisi 31-01-18"/>
      <sheetName val="BARS"/>
      <sheetName val="INV-KTR"/>
      <sheetName val="Multi_Control"/>
      <sheetName val="FURNITUR"/>
      <sheetName val="Akron FA"/>
      <sheetName val="SF_EX"/>
      <sheetName val="Group"/>
      <sheetName val="Rates"/>
      <sheetName val="omzet"/>
      <sheetName val="KKP 01 Audit"/>
      <sheetName val="Kertas kerja dan lap. keuangan"/>
      <sheetName val="ANALISIS"/>
      <sheetName val="Sheet3"/>
      <sheetName val="RF"/>
      <sheetName val="ner6klm-pus"/>
      <sheetName val="COST-SUM"/>
      <sheetName val="MT-C"/>
      <sheetName val="MFRLIST"/>
      <sheetName val="Jakarta"/>
      <sheetName val="AJE_RJE"/>
      <sheetName val="LIST BAGIAN DAN DIVISI"/>
      <sheetName val="Exc. Rate"/>
      <sheetName val="EE-PROP"/>
      <sheetName val="Des"/>
      <sheetName val="Annual-Plan-1998-A-US$-Rupiah-F"/>
      <sheetName val="HARGA MATERIAL"/>
      <sheetName val="ByCC"/>
      <sheetName val="Permanent_info4"/>
      <sheetName val="F1771-_III4"/>
      <sheetName val="F1771-_V4"/>
      <sheetName val="Depreciation__schedule4"/>
      <sheetName val="Gain_FA4"/>
      <sheetName val="WP-_Lain4"/>
      <sheetName val="Account_Code2"/>
      <sheetName val="Monthly_Recap2"/>
      <sheetName val="FIXED_ASSETS3"/>
      <sheetName val="TRANP_BIBIT3"/>
      <sheetName val="Cost_Rate_&amp;_Factor3"/>
      <sheetName val="FA_FISKAL3"/>
      <sheetName val="DH_RI_SI_Exceptions3"/>
      <sheetName val="U_P3"/>
      <sheetName val="B1_Data3"/>
      <sheetName val="Marshal_-13"/>
      <sheetName val="Mth_by_Mth_KPI's3"/>
      <sheetName val="Analysis_Data3"/>
      <sheetName val="MULTIPERIOD_RETURNS3"/>
      <sheetName val="CA_Sheet3"/>
      <sheetName val="DFR_CT2"/>
      <sheetName val="Daftar_Isi2"/>
      <sheetName val="Front_Page2"/>
      <sheetName val="Irregular_Income2"/>
      <sheetName val="FE-1770_P12"/>
      <sheetName val="COEFF_2"/>
      <sheetName val="BS_Assum2"/>
      <sheetName val="소상_&quot;1&quot;2"/>
      <sheetName val="data_(2)2"/>
      <sheetName val="LIST_992"/>
      <sheetName val="VAT_out2"/>
      <sheetName val="Prepaid_Rent2"/>
      <sheetName val="tabel_nilai2"/>
      <sheetName val="MAIN_MENU2"/>
      <sheetName val="1771'98-Adj_Rev22"/>
      <sheetName val="recaploan_mop,cop,eop,loan_des2"/>
      <sheetName val="Isolasi_Luar_Dalam2"/>
      <sheetName val="Isolasi_Luar2"/>
      <sheetName val="working_papers2"/>
      <sheetName val="LAPORAN_2"/>
      <sheetName val="C1_012"/>
      <sheetName val="C2_Cash2"/>
      <sheetName val="TB_Client_06071"/>
      <sheetName val="Lookup_Lists1"/>
      <sheetName val="Altman_Z_Score1"/>
      <sheetName val="Smartphone_Symbian_Parameters1"/>
      <sheetName val="Table_Array1"/>
      <sheetName val="_MS1"/>
      <sheetName val="Updated_MU21"/>
      <sheetName val="Unit_Data_Collection1"/>
      <sheetName val="recaploan_mop,cop,eop,loan_apr1"/>
      <sheetName val="Monthly_RecapLO1"/>
      <sheetName val="F1_011"/>
      <sheetName val="F_1_OTHER_REC_1"/>
      <sheetName val="Input_Acts-Fcst1"/>
      <sheetName val="General_Info1"/>
      <sheetName val="Input_Acts-Fcst_Restate-BB1"/>
      <sheetName val="T_B1"/>
      <sheetName val="CN_Jackaroo1"/>
      <sheetName val="I1_011"/>
      <sheetName val="I_2_INTANGIBLE1"/>
      <sheetName val="I3_01_addition1"/>
      <sheetName val="I_3-01_A_ammortization1"/>
      <sheetName val="I3_021"/>
      <sheetName val="I3_031"/>
      <sheetName val="E-9_3(PBC)1"/>
      <sheetName val="Rev_Accrual_Sum1"/>
      <sheetName val="Master_Data1"/>
      <sheetName val="Account_Payable1"/>
      <sheetName val="Revenue_(10)1"/>
      <sheetName val="MSC_Product_Characteristics1"/>
      <sheetName val="NZ_data"/>
      <sheetName val="A1-B_ASSET"/>
      <sheetName val="TB_"/>
      <sheetName val="T_1-A_PROFIT&amp;LOSS"/>
      <sheetName val="Basic_Information"/>
      <sheetName val="Journal_Template"/>
      <sheetName val="Tabel_PErkiraan"/>
      <sheetName val="GIsi_di_PKU"/>
      <sheetName val="N2_2"/>
      <sheetName val="fiscal_depr(E)"/>
      <sheetName val="A_u_g"/>
      <sheetName val="O_c_t"/>
      <sheetName val="00_received_in_01"/>
      <sheetName val="F_e_b"/>
      <sheetName val="Per_GL_J_a_n"/>
      <sheetName val="Master_Price_List"/>
      <sheetName val="Penj_Sub_NPK"/>
      <sheetName val="Oct_99"/>
      <sheetName val="Company_Code"/>
      <sheetName val="Internal_Account_Code"/>
      <sheetName val="UPAH_+_ALAT"/>
      <sheetName val="Do Nothing"/>
      <sheetName val="Périodes"/>
      <sheetName val="GO_Salary"/>
      <sheetName val="Neraca"/>
      <sheetName val="LAPD"/>
      <sheetName val="N-ASII"/>
      <sheetName val="BBCA"/>
      <sheetName val="BBRI-N"/>
      <sheetName val="BMRI"/>
      <sheetName val="DNKS-N"/>
      <sheetName val="IDSR"/>
      <sheetName val="JIHD-J"/>
      <sheetName val="N-SMGR"/>
      <sheetName val="N-TLKM"/>
      <sheetName val="N-UNTR"/>
      <sheetName val="N-UNVR"/>
      <sheetName val="Lead"/>
      <sheetName val="Gross"/>
      <sheetName val="TrialBalance Q3-2002"/>
      <sheetName val="DCF Inputs"/>
      <sheetName val="AJP"/>
      <sheetName val="WS THT"/>
      <sheetName val="WA THT"/>
      <sheetName val="AN"/>
      <sheetName val="PAN"/>
      <sheetName val="Catt LK"/>
      <sheetName val="LR"/>
      <sheetName val="CF"/>
      <sheetName val="HPeng"/>
      <sheetName val="GajPeg"/>
      <sheetName val="B.Kant"/>
      <sheetName val="gu-2001"/>
      <sheetName val="Daftar Karyawan"/>
      <sheetName val="Metro Toolbox"/>
      <sheetName val="Assumptions"/>
      <sheetName val="budget idr"/>
      <sheetName val="Topsheet"/>
      <sheetName val="JAN 2001"/>
      <sheetName val="Jun"/>
      <sheetName val="WBS-WPL"/>
      <sheetName val="aug02"/>
      <sheetName val="__ &quot;1&quot;"/>
      <sheetName val="___&quot;1&quot;"/>
      <sheetName val="Day"/>
      <sheetName val="Daftar"/>
      <sheetName val="ExchRates"/>
      <sheetName val="LPK"/>
      <sheetName val="Pemisahan"/>
      <sheetName val="BOW"/>
      <sheetName val="CRITIQUE"/>
      <sheetName val="ledger02"/>
      <sheetName val="ASSUMPTION"/>
      <sheetName val="KURS"/>
      <sheetName val="Contents"/>
      <sheetName val="Tabel"/>
      <sheetName val="Kontrol"/>
      <sheetName val="BS final"/>
      <sheetName val="H7_1"/>
      <sheetName val="karylengkap"/>
      <sheetName val="Mar"/>
      <sheetName val="BCT"/>
      <sheetName val=" INCOME STATEMENT"/>
      <sheetName val="dft bns"/>
      <sheetName val="10 yr val"/>
      <sheetName val="UPAH &amp; BAHAN"/>
      <sheetName val="Mesin"/>
      <sheetName val="List"/>
      <sheetName val="A16C"/>
      <sheetName val="FORM 2.3"/>
      <sheetName val="Tai khoan"/>
      <sheetName val="FX Table"/>
      <sheetName val="AccInfors"/>
      <sheetName val="Income Statement-May 2004"/>
      <sheetName val="HUTANG "/>
      <sheetName val="TERM OF PAYMENT"/>
      <sheetName val="WBS2"/>
      <sheetName val="recaploan_mop,cop,eop,loan_jan "/>
      <sheetName val="Setting"/>
      <sheetName val="Entry  HTM"/>
      <sheetName val="TLKM-J"/>
      <sheetName val="jubm-red"/>
      <sheetName val="Lease_Deprec"/>
      <sheetName val="Cost Code"/>
      <sheetName val="master supplier"/>
      <sheetName val="TP_DATABASE"/>
      <sheetName val="BSliRp"/>
      <sheetName val="WBS1"/>
      <sheetName val="Index Logo"/>
      <sheetName val="Consolidation Worksheet"/>
      <sheetName val="Data Client"/>
      <sheetName val="20090803 - ZRPOHIST JAN-JUL"/>
      <sheetName val="ID"/>
      <sheetName val="FORM_2_3"/>
      <sheetName val="Tai_khoan"/>
      <sheetName val="LB_Plan_97_neu_15531_Best_"/>
      <sheetName val="Data_Entry"/>
      <sheetName val="TB_DEC-17"/>
      <sheetName val="TRS_Chart"/>
      <sheetName val="Master_Stock"/>
      <sheetName val="Setup_Data"/>
      <sheetName val="Mine_Assumptions"/>
      <sheetName val="N1_-_Lead"/>
      <sheetName val="M-2_Adjusted"/>
      <sheetName val="Input_Page"/>
      <sheetName val="Other_charges_(income)"/>
      <sheetName val="500_10"/>
      <sheetName val="Analisa_Tend_(2)"/>
      <sheetName val="O2.1"/>
      <sheetName val="MATERIAL"/>
      <sheetName val="RMS FUNGSIONAL"/>
      <sheetName val="RMS - STR (2)"/>
      <sheetName val="SEN_FUNG"/>
      <sheetName val="Dumtk"/>
      <sheetName val="Source"/>
      <sheetName val="Ex_Rate"/>
      <sheetName val="Permanent_info5"/>
      <sheetName val="F1771-_III5"/>
      <sheetName val="F1771-_V5"/>
      <sheetName val="Depreciation__schedule5"/>
      <sheetName val="Gain_FA5"/>
      <sheetName val="WP-_Lain5"/>
      <sheetName val="Mth_by_Mth_KPI's4"/>
      <sheetName val="Analysis_Data4"/>
      <sheetName val="FA_FISKAL4"/>
      <sheetName val="DH_RI_SI_Exceptions4"/>
      <sheetName val="FIXED_ASSETS4"/>
      <sheetName val="TRANP_BIBIT4"/>
      <sheetName val="MULTIPERIOD_RETURNS4"/>
      <sheetName val="Cost_Rate_&amp;_Factor4"/>
      <sheetName val="U_P4"/>
      <sheetName val="Marshal_-14"/>
      <sheetName val="Account_Code3"/>
      <sheetName val="Monthly_Recap3"/>
      <sheetName val="B1_Data4"/>
      <sheetName val="CA_Sheet4"/>
      <sheetName val="DFR_CT3"/>
      <sheetName val="Irregular_Income3"/>
      <sheetName val="FE-1770_P13"/>
      <sheetName val="Isolasi_Luar_Dalam3"/>
      <sheetName val="Isolasi_Luar3"/>
      <sheetName val="VAT_out3"/>
      <sheetName val="Prepaid_Rent3"/>
      <sheetName val="Front_Page3"/>
      <sheetName val="tabel_nilai3"/>
      <sheetName val="LIST_993"/>
      <sheetName val="Daftar_Isi3"/>
      <sheetName val="COEFF_3"/>
      <sheetName val="소상_&quot;1&quot;3"/>
      <sheetName val="BS_Assum3"/>
      <sheetName val="recaploan_mop,cop,eop,loan_des3"/>
      <sheetName val="MAIN_MENU3"/>
      <sheetName val="working_papers3"/>
      <sheetName val="Monthly_RecapLO2"/>
      <sheetName val="Penj_Sub_NPK1"/>
      <sheetName val="Lookup_Lists2"/>
      <sheetName val="data_(2)3"/>
      <sheetName val="_MS2"/>
      <sheetName val="Altman_Z_Score2"/>
      <sheetName val="Smartphone_Symbian_Parameters2"/>
      <sheetName val="1771'98-Adj_Rev23"/>
      <sheetName val="Table_Array2"/>
      <sheetName val="recaploan_mop,cop,eop,loan_apr2"/>
      <sheetName val="TB_Client_06072"/>
      <sheetName val="Updated_MU22"/>
      <sheetName val="LAPORAN_3"/>
      <sheetName val="C1_013"/>
      <sheetName val="C2_Cash3"/>
      <sheetName val="Unit_Data_Collection2"/>
      <sheetName val="F1_012"/>
      <sheetName val="F_1_OTHER_REC_2"/>
      <sheetName val="I1_012"/>
      <sheetName val="I_2_INTANGIBLE2"/>
      <sheetName val="I3_01_addition2"/>
      <sheetName val="I_3-01_A_ammortization2"/>
      <sheetName val="I3_022"/>
      <sheetName val="I3_032"/>
      <sheetName val="Input_Acts-Fcst2"/>
      <sheetName val="General_Info2"/>
      <sheetName val="Input_Acts-Fcst_Restate-BB2"/>
      <sheetName val="Rev_Accrual_Sum2"/>
      <sheetName val="T_B2"/>
      <sheetName val="CN_Jackaroo2"/>
      <sheetName val="UPAH_+_ALAT1"/>
      <sheetName val="Account_Payable2"/>
      <sheetName val="Revenue_(10)2"/>
      <sheetName val="Master_Data2"/>
      <sheetName val="E-9_3(PBC)2"/>
      <sheetName val="MSC_Product_Characteristics2"/>
      <sheetName val="Master_Price_List1"/>
      <sheetName val="GIsi_di_PKU1"/>
      <sheetName val="NZ_data1"/>
      <sheetName val="fiscal_depr(E)1"/>
      <sheetName val="Company_Code1"/>
      <sheetName val="Internal_Account_Code1"/>
      <sheetName val="A1-B_ASSET1"/>
      <sheetName val="Exxon_Jakarta"/>
      <sheetName val="SRI_L"/>
      <sheetName val="Tabel_PErkiraan1"/>
      <sheetName val="POTO_MAC"/>
      <sheetName val="A_u_g1"/>
      <sheetName val="O_c_t1"/>
      <sheetName val="00_received_in_011"/>
      <sheetName val="F_e_b1"/>
      <sheetName val="Per_GL_J_a_n1"/>
      <sheetName val="Infield_Charge_(OBP)"/>
      <sheetName val="TB_1"/>
      <sheetName val="T_1-A_PROFIT&amp;LOSS1"/>
      <sheetName val="WNS_NA_31_03_04"/>
      <sheetName val="WNS_UK_31_03_04"/>
      <sheetName val="Index_Logo"/>
      <sheetName val="Consolidation_Worksheet"/>
      <sheetName val="N2_21"/>
      <sheetName val="GO_Salary1"/>
      <sheetName val="Basic_Information1"/>
      <sheetName val="Journal_Template1"/>
      <sheetName val="Oct_991"/>
      <sheetName val="Buku_Besar"/>
      <sheetName val="KKP_01_Audit"/>
      <sheetName val="Kertas_kerja_dan_lap__keuangan"/>
      <sheetName val="Do_Nothing"/>
      <sheetName val="Notes"/>
      <sheetName val="(40)G&amp;A"/>
      <sheetName val="S7-1"/>
      <sheetName val="DAFBK (2)"/>
      <sheetName val="COA"/>
      <sheetName val="_INCOME_STATEMENT"/>
      <sheetName val="dft_bns"/>
      <sheetName val="10_yr_val"/>
      <sheetName val="UPAH_&amp;_BAHAN"/>
      <sheetName val="NP"/>
      <sheetName val="JadwalFormulasi"/>
      <sheetName val="MoveOut"/>
      <sheetName val="LeadTime"/>
      <sheetName val="N-KLBF"/>
      <sheetName val="LPBNN"/>
      <sheetName val="BELI"/>
      <sheetName val="DYNA-N"/>
      <sheetName val="N-TSPC"/>
      <sheetName val="N-AALI"/>
      <sheetName val="ANTM"/>
      <sheetName val="ANTMN"/>
      <sheetName val="N-GGRM"/>
      <sheetName val="N-HMSP"/>
      <sheetName val="N-INDF"/>
      <sheetName val="N-ISAT"/>
      <sheetName val="RMBA"/>
      <sheetName val="SONA"/>
      <sheetName val="Grouping"/>
      <sheetName val="Slip-May"/>
      <sheetName val="May07"/>
      <sheetName val="Net Trans Sum"/>
      <sheetName val="WNS_NA_31_03_041"/>
      <sheetName val="Net_Trans_Sum"/>
      <sheetName val="WNS_NA_31_03_042"/>
      <sheetName val="Net_Trans_Sum1"/>
      <sheetName val="SP"/>
      <sheetName val="constantes"/>
      <sheetName val="trf-d-w"/>
      <sheetName val="trf d-i"/>
      <sheetName val="TBM"/>
      <sheetName val="Details BS YTD"/>
      <sheetName val="KODE"/>
      <sheetName val="DWP"/>
      <sheetName val="FE-1771$.P1"/>
      <sheetName val="reg"/>
      <sheetName val="KesejahteraanKary&amp;Sumb"/>
      <sheetName val="Resume"/>
      <sheetName val="LabaRugi"/>
      <sheetName val="ASUMSI"/>
      <sheetName val="Persed"/>
      <sheetName val="3800-Interim"/>
      <sheetName val="Biaya Departemen"/>
      <sheetName val="Sales Parameter"/>
      <sheetName val="AGING"/>
      <sheetName val="MONTHLY PROJ GP - MAY 2004"/>
      <sheetName val="April"/>
      <sheetName val="CODE"/>
      <sheetName val="NERACA-05"/>
      <sheetName val="EX RATE"/>
      <sheetName val="NOTHIT"/>
      <sheetName val="412"/>
      <sheetName val="SELISIHKURSSOURCE"/>
      <sheetName val="KAEF"/>
      <sheetName val="SR3-SR4"/>
      <sheetName val="DIST"/>
      <sheetName val="4月Po"/>
      <sheetName val="tb98,oct99&amp;sap99-wpl"/>
      <sheetName val="F-1 F-2"/>
      <sheetName val="IBACOMP.XLS"/>
      <sheetName val="Accounting work"/>
      <sheetName val="상품입력"/>
      <sheetName val="원재료입력"/>
      <sheetName val="Graph Data"/>
      <sheetName val="DEPK2003"/>
      <sheetName val="Sheet5"/>
      <sheetName val="Wil"/>
      <sheetName val="CvrPg"/>
      <sheetName val="Hrg_Sat"/>
      <sheetName val="Proj Summ"/>
      <sheetName val="Rekapitulasi"/>
      <sheetName val="Har_mat"/>
      <sheetName val="BQ ARS"/>
      <sheetName val="Unit Rate"/>
      <sheetName val="MT_an"/>
      <sheetName val="hs_ars"/>
      <sheetName val="Hargamat"/>
      <sheetName val="rekaprab"/>
      <sheetName val="Upah_Bahan"/>
      <sheetName val="ERECTION"/>
      <sheetName val="Grade Options"/>
      <sheetName val="실행철강하도"/>
      <sheetName val="SE"/>
      <sheetName val="Model Print"/>
      <sheetName val="SACA-NT2"/>
      <sheetName val="FO"/>
      <sheetName val="CASSM"/>
      <sheetName val="MSUM"/>
      <sheetName val="FF_FIN"/>
      <sheetName val="MFA"/>
      <sheetName val="FF-2"/>
      <sheetName val="Data WP"/>
      <sheetName val="K4. F&amp;F"/>
      <sheetName val="dftr isi"/>
      <sheetName val="Input"/>
      <sheetName val="I201"/>
      <sheetName val="Mgu 3"/>
      <sheetName val="Mgu 4"/>
      <sheetName val="Produksi Juli08"/>
      <sheetName val="projections"/>
      <sheetName val="Dates"/>
      <sheetName val="PL (MONTHLY)"/>
      <sheetName val="Pkg Summary"/>
      <sheetName val="As"/>
      <sheetName val="Template Data"/>
      <sheetName val="Sch 2.2 - Other Carryovers"/>
      <sheetName val="BQ-E20-02(Rp)"/>
      <sheetName val="Parameters"/>
      <sheetName val="sept2006"/>
      <sheetName val="listes"/>
      <sheetName val="rekap objek blm dipotong"/>
      <sheetName val="GL"/>
      <sheetName val="損益予算Muster"/>
      <sheetName val="vlookup NA"/>
      <sheetName val="FA-LISTING"/>
      <sheetName val="CAPEX BGT"/>
      <sheetName val="Data JE"/>
      <sheetName val="K.2.2.1"/>
      <sheetName val="Param"/>
      <sheetName val="TaxDat"/>
      <sheetName val="BASE 2001"/>
      <sheetName val="LB_Plan_97_neu_15531_Best_1"/>
      <sheetName val="Data_Entry1"/>
      <sheetName val="TB_DEC-171"/>
      <sheetName val="TRS_Chart1"/>
      <sheetName val="Master_Stock1"/>
      <sheetName val="Setup_Data1"/>
      <sheetName val="Mine_Assumptions1"/>
      <sheetName val="N1_-_Lead1"/>
      <sheetName val="M-2_Adjusted1"/>
      <sheetName val="Input_Page1"/>
      <sheetName val="Other_charges_(income)1"/>
      <sheetName val="FORM_2_31"/>
      <sheetName val="Tai_khoan1"/>
      <sheetName val="500_101"/>
      <sheetName val="Analisa_Tend_(2)1"/>
      <sheetName val="20090803_-_ZRPOHIST_JAN-JUL"/>
      <sheetName val="O2_1"/>
      <sheetName val="7_1(3)"/>
      <sheetName val="Target_2018_Revisi_31-01-18"/>
      <sheetName val="Daftar_Karyawan"/>
      <sheetName val="DCF_Inputs"/>
      <sheetName val="JAN_2001"/>
      <sheetName val="master_supplier"/>
      <sheetName val="??_&quot;1&quot;1"/>
      <sheetName val="LIST_BAGIAN_DAN_DIVISI"/>
      <sheetName val="Exc__Rate"/>
      <sheetName val="HARGA_MATERIAL"/>
      <sheetName val="Akron_FA"/>
      <sheetName val="S_e_p"/>
      <sheetName val="M_a_r"/>
      <sheetName val="M_a_y"/>
      <sheetName val="J_u_l"/>
      <sheetName val="A_p_r"/>
      <sheetName val="J_u_n"/>
      <sheetName val="N_o_v"/>
      <sheetName val="J_a_n"/>
      <sheetName val="Metro_Toolbox"/>
      <sheetName val="2.1-Company PL"/>
      <sheetName val="SE-C"/>
      <sheetName val="GLdownload"/>
      <sheetName val="Sheet8"/>
      <sheetName val="Product Detail"/>
      <sheetName val="GMBNov Dec Actuals"/>
      <sheetName val="loan database"/>
      <sheetName val="Repayment Summary"/>
      <sheetName val="KU-Ajt'03"/>
      <sheetName val="KB-Ajt'03"/>
      <sheetName val="KS-Ajt'03"/>
      <sheetName val="KT-Ajt'03"/>
      <sheetName val="Mill-Ajt'03"/>
      <sheetName val="412src2"/>
      <sheetName val="AR APR'02"/>
      <sheetName val="KAS $"/>
      <sheetName val="DailyOvertime"/>
      <sheetName val="panther"/>
      <sheetName val="Driver"/>
      <sheetName val="9a. Projected P&amp;L - Calcutta"/>
      <sheetName val="Fiskal vs Comm (2007)"/>
      <sheetName val="SPT-05"/>
      <sheetName val="HB"/>
      <sheetName val="ANALISA"/>
      <sheetName val="List PT"/>
      <sheetName val="gvl"/>
      <sheetName val="AN_EL_16_0_"/>
      <sheetName val="Suggestions Made Per Person"/>
      <sheetName val="Total Suggestions Made"/>
      <sheetName val="PM AKTIF PASIF"/>
      <sheetName val="PERBANDINGAN 2"/>
      <sheetName val="Bgn"/>
      <sheetName val="1214 Kartu"/>
      <sheetName val="N-BBNI"/>
      <sheetName val="N-BNII"/>
      <sheetName val="DSUC"/>
      <sheetName val="N-GJTL"/>
      <sheetName val="N-JIHD"/>
      <sheetName val="PYFA"/>
      <sheetName val="EVOLUTION"/>
      <sheetName val="DataOI"/>
      <sheetName val="klasse A-I"/>
      <sheetName val="isbs"/>
      <sheetName val="BASE"/>
      <sheetName val="Myob"/>
      <sheetName val="USD t"/>
      <sheetName val="BUT-1"/>
      <sheetName val="HEX-A"/>
      <sheetName val="HEX-E"/>
      <sheetName val="I-BUT"/>
      <sheetName val="RD I-BUT"/>
      <sheetName val="rugi-laba"/>
    </sheetNames>
    <sheetDataSet>
      <sheetData sheetId="0" refreshError="1">
        <row r="7">
          <cell r="E7" t="str">
            <v>PT INTERNATIONAL COATINGS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>
        <row r="7">
          <cell r="E7" t="str">
            <v>PT INTERNATIONAL COATINGS</v>
          </cell>
        </row>
      </sheetData>
      <sheetData sheetId="225">
        <row r="7">
          <cell r="E7" t="str">
            <v>PT INTERNATIONAL COATINGS</v>
          </cell>
        </row>
      </sheetData>
      <sheetData sheetId="226">
        <row r="7">
          <cell r="E7" t="str">
            <v>PT INTERNATIONAL COATINGS</v>
          </cell>
        </row>
      </sheetData>
      <sheetData sheetId="227">
        <row r="7">
          <cell r="E7" t="str">
            <v>PT INTERNATIONAL COATINGS</v>
          </cell>
        </row>
      </sheetData>
      <sheetData sheetId="228">
        <row r="7">
          <cell r="E7" t="str">
            <v>PT INTERNATIONAL COATINGS</v>
          </cell>
        </row>
      </sheetData>
      <sheetData sheetId="229">
        <row r="7">
          <cell r="E7" t="str">
            <v>PT INTERNATIONAL COATINGS</v>
          </cell>
        </row>
      </sheetData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>
        <row r="7">
          <cell r="E7" t="str">
            <v>PT INTERNATIONAL COATINGS</v>
          </cell>
        </row>
      </sheetData>
      <sheetData sheetId="315">
        <row r="7">
          <cell r="E7" t="str">
            <v>PT INTERNATIONAL COATINGS</v>
          </cell>
        </row>
      </sheetData>
      <sheetData sheetId="316">
        <row r="7">
          <cell r="E7" t="str">
            <v>PT INTERNATIONAL COATINGS</v>
          </cell>
        </row>
      </sheetData>
      <sheetData sheetId="317">
        <row r="7">
          <cell r="E7" t="str">
            <v>PT INTERNATIONAL COATINGS</v>
          </cell>
        </row>
      </sheetData>
      <sheetData sheetId="318">
        <row r="7">
          <cell r="E7" t="str">
            <v>PT INTERNATIONAL COATINGS</v>
          </cell>
        </row>
      </sheetData>
      <sheetData sheetId="319">
        <row r="7">
          <cell r="E7" t="str">
            <v>PT INTERNATIONAL COATINGS</v>
          </cell>
        </row>
      </sheetData>
      <sheetData sheetId="320">
        <row r="7">
          <cell r="E7" t="str">
            <v>PT INTERNATIONAL COATINGS</v>
          </cell>
        </row>
      </sheetData>
      <sheetData sheetId="321">
        <row r="7">
          <cell r="E7" t="str">
            <v>PT INTERNATIONAL COATINGS</v>
          </cell>
        </row>
      </sheetData>
      <sheetData sheetId="322">
        <row r="7">
          <cell r="E7" t="str">
            <v>PT INTERNATIONAL COATINGS</v>
          </cell>
        </row>
      </sheetData>
      <sheetData sheetId="323">
        <row r="7">
          <cell r="E7" t="str">
            <v>PT INTERNATIONAL COATINGS</v>
          </cell>
        </row>
      </sheetData>
      <sheetData sheetId="324">
        <row r="7">
          <cell r="E7" t="str">
            <v>PT INTERNATIONAL COATINGS</v>
          </cell>
        </row>
      </sheetData>
      <sheetData sheetId="325">
        <row r="7">
          <cell r="E7" t="str">
            <v>PT INTERNATIONAL COATINGS</v>
          </cell>
        </row>
      </sheetData>
      <sheetData sheetId="326">
        <row r="7">
          <cell r="E7" t="str">
            <v>PT INTERNATIONAL COATINGS</v>
          </cell>
        </row>
      </sheetData>
      <sheetData sheetId="327">
        <row r="7">
          <cell r="E7" t="str">
            <v>PT INTERNATIONAL COATINGS</v>
          </cell>
        </row>
      </sheetData>
      <sheetData sheetId="328">
        <row r="7">
          <cell r="E7" t="str">
            <v>PT INTERNATIONAL COATINGS</v>
          </cell>
        </row>
      </sheetData>
      <sheetData sheetId="329">
        <row r="7">
          <cell r="E7" t="str">
            <v>PT INTERNATIONAL COATINGS</v>
          </cell>
        </row>
      </sheetData>
      <sheetData sheetId="330">
        <row r="7">
          <cell r="E7" t="str">
            <v>PT INTERNATIONAL COATINGS</v>
          </cell>
        </row>
      </sheetData>
      <sheetData sheetId="331">
        <row r="7">
          <cell r="E7" t="str">
            <v>PT INTERNATIONAL COATINGS</v>
          </cell>
        </row>
      </sheetData>
      <sheetData sheetId="332">
        <row r="7">
          <cell r="E7" t="str">
            <v>PT INTERNATIONAL COATINGS</v>
          </cell>
        </row>
      </sheetData>
      <sheetData sheetId="333">
        <row r="7">
          <cell r="E7" t="str">
            <v>PT INTERNATIONAL COATINGS</v>
          </cell>
        </row>
      </sheetData>
      <sheetData sheetId="334" refreshError="1"/>
      <sheetData sheetId="335" refreshError="1"/>
      <sheetData sheetId="336" refreshError="1"/>
      <sheetData sheetId="337" refreshError="1"/>
      <sheetData sheetId="338"/>
      <sheetData sheetId="339"/>
      <sheetData sheetId="340"/>
      <sheetData sheetId="34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>
        <row r="7">
          <cell r="E7" t="str">
            <v>PT INTERNATIONAL COATINGS</v>
          </cell>
        </row>
      </sheetData>
      <sheetData sheetId="370">
        <row r="7">
          <cell r="E7" t="str">
            <v>PT INTERNATIONAL COATINGS</v>
          </cell>
        </row>
      </sheetData>
      <sheetData sheetId="371">
        <row r="7">
          <cell r="E7" t="str">
            <v>PT INTERNATIONAL COATINGS</v>
          </cell>
        </row>
      </sheetData>
      <sheetData sheetId="372">
        <row r="7">
          <cell r="E7" t="str">
            <v>PT INTERNATIONAL COATINGS</v>
          </cell>
        </row>
      </sheetData>
      <sheetData sheetId="373">
        <row r="7">
          <cell r="E7" t="str">
            <v>PT INTERNATIONAL COATINGS</v>
          </cell>
        </row>
      </sheetData>
      <sheetData sheetId="374">
        <row r="7">
          <cell r="E7" t="str">
            <v>PT INTERNATIONAL COATINGS</v>
          </cell>
        </row>
      </sheetData>
      <sheetData sheetId="375">
        <row r="7">
          <cell r="E7" t="str">
            <v>PT INTERNATIONAL COATINGS</v>
          </cell>
        </row>
      </sheetData>
      <sheetData sheetId="376">
        <row r="7">
          <cell r="E7" t="str">
            <v>PT INTERNATIONAL COATINGS</v>
          </cell>
        </row>
      </sheetData>
      <sheetData sheetId="377">
        <row r="7">
          <cell r="E7" t="str">
            <v>PT INTERNATIONAL COATINGS</v>
          </cell>
        </row>
      </sheetData>
      <sheetData sheetId="378">
        <row r="7">
          <cell r="E7" t="str">
            <v>PT INTERNATIONAL COATINGS</v>
          </cell>
        </row>
      </sheetData>
      <sheetData sheetId="379">
        <row r="7">
          <cell r="E7" t="str">
            <v>PT INTERNATIONAL COATINGS</v>
          </cell>
        </row>
      </sheetData>
      <sheetData sheetId="380">
        <row r="7">
          <cell r="E7" t="str">
            <v>PT INTERNATIONAL COATINGS</v>
          </cell>
        </row>
      </sheetData>
      <sheetData sheetId="381">
        <row r="7">
          <cell r="E7" t="str">
            <v>PT INTERNATIONAL COATINGS</v>
          </cell>
        </row>
      </sheetData>
      <sheetData sheetId="382">
        <row r="7">
          <cell r="E7" t="str">
            <v>PT INTERNATIONAL COATINGS</v>
          </cell>
        </row>
      </sheetData>
      <sheetData sheetId="383">
        <row r="7">
          <cell r="E7" t="str">
            <v>PT INTERNATIONAL COATINGS</v>
          </cell>
        </row>
      </sheetData>
      <sheetData sheetId="384"/>
      <sheetData sheetId="385"/>
      <sheetData sheetId="386"/>
      <sheetData sheetId="387">
        <row r="7">
          <cell r="E7" t="str">
            <v>PT INTERNATIONAL COATINGS</v>
          </cell>
        </row>
      </sheetData>
      <sheetData sheetId="388">
        <row r="7">
          <cell r="E7" t="str">
            <v>PT INTERNATIONAL COATINGS</v>
          </cell>
        </row>
      </sheetData>
      <sheetData sheetId="389">
        <row r="7">
          <cell r="E7" t="str">
            <v>PT INTERNATIONAL COATINGS</v>
          </cell>
        </row>
      </sheetData>
      <sheetData sheetId="390">
        <row r="7">
          <cell r="E7" t="str">
            <v>PT INTERNATIONAL COATINGS</v>
          </cell>
        </row>
      </sheetData>
      <sheetData sheetId="391">
        <row r="7">
          <cell r="E7" t="str">
            <v>PT INTERNATIONAL COATINGS</v>
          </cell>
        </row>
      </sheetData>
      <sheetData sheetId="392">
        <row r="7">
          <cell r="E7" t="str">
            <v>PT INTERNATIONAL COATINGS</v>
          </cell>
        </row>
      </sheetData>
      <sheetData sheetId="393">
        <row r="7">
          <cell r="E7" t="str">
            <v>PT INTERNATIONAL COATINGS</v>
          </cell>
        </row>
      </sheetData>
      <sheetData sheetId="394">
        <row r="7">
          <cell r="E7" t="str">
            <v>PT INTERNATIONAL COATINGS</v>
          </cell>
        </row>
      </sheetData>
      <sheetData sheetId="395">
        <row r="7">
          <cell r="E7" t="str">
            <v>PT INTERNATIONAL COATINGS</v>
          </cell>
        </row>
      </sheetData>
      <sheetData sheetId="396">
        <row r="7">
          <cell r="E7" t="str">
            <v>PT INTERNATIONAL COATINGS</v>
          </cell>
        </row>
      </sheetData>
      <sheetData sheetId="397">
        <row r="7">
          <cell r="E7" t="str">
            <v>PT INTERNATIONAL COATINGS</v>
          </cell>
        </row>
      </sheetData>
      <sheetData sheetId="398">
        <row r="7">
          <cell r="E7" t="str">
            <v>PT INTERNATIONAL COATINGS</v>
          </cell>
        </row>
      </sheetData>
      <sheetData sheetId="399">
        <row r="7">
          <cell r="E7" t="str">
            <v>PT INTERNATIONAL COATINGS</v>
          </cell>
        </row>
      </sheetData>
      <sheetData sheetId="400">
        <row r="7">
          <cell r="E7" t="str">
            <v>PT INTERNATIONAL COATINGS</v>
          </cell>
        </row>
      </sheetData>
      <sheetData sheetId="401">
        <row r="7">
          <cell r="E7" t="str">
            <v>PT INTERNATIONAL COATINGS</v>
          </cell>
        </row>
      </sheetData>
      <sheetData sheetId="402">
        <row r="7">
          <cell r="E7" t="str">
            <v>PT INTERNATIONAL COATINGS</v>
          </cell>
        </row>
      </sheetData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>
        <row r="7">
          <cell r="E7" t="str">
            <v>PT INTERNATIONAL COATINGS</v>
          </cell>
        </row>
      </sheetData>
      <sheetData sheetId="486">
        <row r="7">
          <cell r="E7" t="str">
            <v>PT INTERNATIONAL COATINGS</v>
          </cell>
        </row>
      </sheetData>
      <sheetData sheetId="487">
        <row r="7">
          <cell r="E7">
            <v>0</v>
          </cell>
        </row>
      </sheetData>
      <sheetData sheetId="488">
        <row r="7">
          <cell r="E7" t="str">
            <v>PT INTERNATIONAL COATINGS</v>
          </cell>
        </row>
      </sheetData>
      <sheetData sheetId="489">
        <row r="7">
          <cell r="E7" t="str">
            <v>PT INTERNATIONAL COATINGS</v>
          </cell>
        </row>
      </sheetData>
      <sheetData sheetId="490">
        <row r="7">
          <cell r="E7" t="str">
            <v>PT INTERNATIONAL COATINGS</v>
          </cell>
        </row>
      </sheetData>
      <sheetData sheetId="491">
        <row r="7">
          <cell r="E7" t="str">
            <v>PT INTERNATIONAL COATINGS</v>
          </cell>
        </row>
      </sheetData>
      <sheetData sheetId="492">
        <row r="7">
          <cell r="E7" t="str">
            <v>PT INTERNATIONAL COATINGS</v>
          </cell>
        </row>
      </sheetData>
      <sheetData sheetId="493">
        <row r="7">
          <cell r="E7" t="str">
            <v>PT INTERNATIONAL COATINGS</v>
          </cell>
        </row>
      </sheetData>
      <sheetData sheetId="494">
        <row r="7">
          <cell r="E7" t="str">
            <v>PT INTERNATIONAL COATINGS</v>
          </cell>
        </row>
      </sheetData>
      <sheetData sheetId="495">
        <row r="7">
          <cell r="E7" t="str">
            <v>PT INTERNATIONAL COATINGS</v>
          </cell>
        </row>
      </sheetData>
      <sheetData sheetId="496">
        <row r="7">
          <cell r="E7" t="str">
            <v>PT INTERNATIONAL COATINGS</v>
          </cell>
        </row>
      </sheetData>
      <sheetData sheetId="497">
        <row r="7">
          <cell r="E7" t="str">
            <v>PT INTERNATIONAL COATINGS</v>
          </cell>
        </row>
      </sheetData>
      <sheetData sheetId="498">
        <row r="7">
          <cell r="E7" t="str">
            <v>PT INTERNATIONAL COATINGS</v>
          </cell>
        </row>
      </sheetData>
      <sheetData sheetId="499">
        <row r="7">
          <cell r="E7" t="str">
            <v>PT INTERNATIONAL COATINGS</v>
          </cell>
        </row>
      </sheetData>
      <sheetData sheetId="500">
        <row r="7">
          <cell r="E7" t="str">
            <v>PT INTERNATIONAL COATINGS</v>
          </cell>
        </row>
      </sheetData>
      <sheetData sheetId="501">
        <row r="7">
          <cell r="E7" t="str">
            <v>PT INTERNATIONAL COATINGS</v>
          </cell>
        </row>
      </sheetData>
      <sheetData sheetId="502">
        <row r="7">
          <cell r="E7" t="str">
            <v>PT INTERNATIONAL COATINGS</v>
          </cell>
        </row>
      </sheetData>
      <sheetData sheetId="503">
        <row r="7">
          <cell r="E7" t="str">
            <v>PT INTERNATIONAL COATINGS</v>
          </cell>
        </row>
      </sheetData>
      <sheetData sheetId="504">
        <row r="7">
          <cell r="E7" t="str">
            <v>PT INTERNATIONAL COATINGS</v>
          </cell>
        </row>
      </sheetData>
      <sheetData sheetId="505">
        <row r="7">
          <cell r="E7" t="str">
            <v>PT INTERNATIONAL COATINGS</v>
          </cell>
        </row>
      </sheetData>
      <sheetData sheetId="506">
        <row r="7">
          <cell r="E7">
            <v>0</v>
          </cell>
        </row>
      </sheetData>
      <sheetData sheetId="507">
        <row r="7">
          <cell r="E7" t="str">
            <v>PT INTERNATIONAL COATINGS</v>
          </cell>
        </row>
      </sheetData>
      <sheetData sheetId="508">
        <row r="7">
          <cell r="E7" t="str">
            <v>PT INTERNATIONAL COATINGS</v>
          </cell>
        </row>
      </sheetData>
      <sheetData sheetId="509">
        <row r="7">
          <cell r="E7" t="str">
            <v>PT INTERNATIONAL COATINGS</v>
          </cell>
        </row>
      </sheetData>
      <sheetData sheetId="510">
        <row r="7">
          <cell r="E7" t="str">
            <v>PT INTERNATIONAL COATINGS</v>
          </cell>
        </row>
      </sheetData>
      <sheetData sheetId="511">
        <row r="7">
          <cell r="E7" t="str">
            <v>PT INTERNATIONAL COATINGS</v>
          </cell>
        </row>
      </sheetData>
      <sheetData sheetId="512">
        <row r="7">
          <cell r="E7" t="str">
            <v>PT INTERNATIONAL COATINGS</v>
          </cell>
        </row>
      </sheetData>
      <sheetData sheetId="513">
        <row r="7">
          <cell r="E7" t="str">
            <v>PT INTERNATIONAL COATINGS</v>
          </cell>
        </row>
      </sheetData>
      <sheetData sheetId="514">
        <row r="7">
          <cell r="E7" t="str">
            <v>PT INTERNATIONAL COATINGS</v>
          </cell>
        </row>
      </sheetData>
      <sheetData sheetId="515">
        <row r="7">
          <cell r="E7" t="str">
            <v>PT INTERNATIONAL COATINGS</v>
          </cell>
        </row>
      </sheetData>
      <sheetData sheetId="516">
        <row r="7">
          <cell r="E7" t="str">
            <v>PT INTERNATIONAL COATINGS</v>
          </cell>
        </row>
      </sheetData>
      <sheetData sheetId="517">
        <row r="7">
          <cell r="E7" t="str">
            <v>PT INTERNATIONAL COATINGS</v>
          </cell>
        </row>
      </sheetData>
      <sheetData sheetId="518">
        <row r="7">
          <cell r="E7" t="str">
            <v>PT INTERNATIONAL COATINGS</v>
          </cell>
        </row>
      </sheetData>
      <sheetData sheetId="519">
        <row r="7">
          <cell r="E7" t="str">
            <v>PT INTERNATIONAL COATINGS</v>
          </cell>
        </row>
      </sheetData>
      <sheetData sheetId="520">
        <row r="7">
          <cell r="E7" t="str">
            <v>PT INTERNATIONAL COATINGS</v>
          </cell>
        </row>
      </sheetData>
      <sheetData sheetId="521">
        <row r="7">
          <cell r="E7" t="str">
            <v>PT INTERNATIONAL COATINGS</v>
          </cell>
        </row>
      </sheetData>
      <sheetData sheetId="522">
        <row r="7">
          <cell r="E7" t="str">
            <v>PT INTERNATIONAL COATINGS</v>
          </cell>
        </row>
      </sheetData>
      <sheetData sheetId="523">
        <row r="7">
          <cell r="E7" t="str">
            <v>PT INTERNATIONAL COATINGS</v>
          </cell>
        </row>
      </sheetData>
      <sheetData sheetId="524">
        <row r="7">
          <cell r="E7" t="str">
            <v>PT INTERNATIONAL COATINGS</v>
          </cell>
        </row>
      </sheetData>
      <sheetData sheetId="525">
        <row r="7">
          <cell r="E7" t="str">
            <v>PT INTERNATIONAL COATINGS</v>
          </cell>
        </row>
      </sheetData>
      <sheetData sheetId="526">
        <row r="7">
          <cell r="E7" t="str">
            <v>PT INTERNATIONAL COATINGS</v>
          </cell>
        </row>
      </sheetData>
      <sheetData sheetId="527">
        <row r="7">
          <cell r="E7" t="str">
            <v>PT INTERNATIONAL COATINGS</v>
          </cell>
        </row>
      </sheetData>
      <sheetData sheetId="528">
        <row r="7">
          <cell r="E7" t="str">
            <v>PT INTERNATIONAL COATINGS</v>
          </cell>
        </row>
      </sheetData>
      <sheetData sheetId="529">
        <row r="7">
          <cell r="E7" t="str">
            <v>PT INTERNATIONAL COATINGS</v>
          </cell>
        </row>
      </sheetData>
      <sheetData sheetId="530">
        <row r="7">
          <cell r="E7" t="str">
            <v>PT INTERNATIONAL COATINGS</v>
          </cell>
        </row>
      </sheetData>
      <sheetData sheetId="531">
        <row r="7">
          <cell r="E7" t="str">
            <v>PT INTERNATIONAL COATINGS</v>
          </cell>
        </row>
      </sheetData>
      <sheetData sheetId="532">
        <row r="7">
          <cell r="E7">
            <v>0</v>
          </cell>
        </row>
      </sheetData>
      <sheetData sheetId="533">
        <row r="7">
          <cell r="E7" t="str">
            <v>PT INTERNATIONAL COATINGS</v>
          </cell>
        </row>
      </sheetData>
      <sheetData sheetId="534">
        <row r="7">
          <cell r="E7" t="str">
            <v>PT INTERNATIONAL COATINGS</v>
          </cell>
        </row>
      </sheetData>
      <sheetData sheetId="535">
        <row r="7">
          <cell r="E7" t="str">
            <v>PT INTERNATIONAL COATINGS</v>
          </cell>
        </row>
      </sheetData>
      <sheetData sheetId="536">
        <row r="7">
          <cell r="E7" t="str">
            <v>PT INTERNATIONAL COATINGS</v>
          </cell>
        </row>
      </sheetData>
      <sheetData sheetId="537">
        <row r="7">
          <cell r="E7" t="str">
            <v>PT INTERNATIONAL COATINGS</v>
          </cell>
        </row>
      </sheetData>
      <sheetData sheetId="538">
        <row r="7">
          <cell r="E7" t="str">
            <v>PT INTERNATIONAL COATINGS</v>
          </cell>
        </row>
      </sheetData>
      <sheetData sheetId="539">
        <row r="7">
          <cell r="E7" t="str">
            <v>PT INTERNATIONAL COATINGS</v>
          </cell>
        </row>
      </sheetData>
      <sheetData sheetId="540">
        <row r="7">
          <cell r="E7" t="str">
            <v>PT INTERNATIONAL COATINGS</v>
          </cell>
        </row>
      </sheetData>
      <sheetData sheetId="541">
        <row r="7">
          <cell r="E7" t="str">
            <v>PT INTERNATIONAL COATINGS</v>
          </cell>
        </row>
      </sheetData>
      <sheetData sheetId="542">
        <row r="7">
          <cell r="E7" t="str">
            <v>PT INTERNATIONAL COATINGS</v>
          </cell>
        </row>
      </sheetData>
      <sheetData sheetId="543">
        <row r="7">
          <cell r="E7">
            <v>0</v>
          </cell>
        </row>
      </sheetData>
      <sheetData sheetId="544">
        <row r="7">
          <cell r="E7" t="str">
            <v>PT INTERNATIONAL COATINGS</v>
          </cell>
        </row>
      </sheetData>
      <sheetData sheetId="545">
        <row r="7">
          <cell r="E7" t="str">
            <v>PT INTERNATIONAL COATINGS</v>
          </cell>
        </row>
      </sheetData>
      <sheetData sheetId="546">
        <row r="7">
          <cell r="E7" t="str">
            <v>PT INTERNATIONAL COATINGS</v>
          </cell>
        </row>
      </sheetData>
      <sheetData sheetId="547">
        <row r="7">
          <cell r="E7" t="str">
            <v>PT INTERNATIONAL COATINGS</v>
          </cell>
        </row>
      </sheetData>
      <sheetData sheetId="548">
        <row r="7">
          <cell r="E7" t="str">
            <v>PT INTERNATIONAL COATINGS</v>
          </cell>
        </row>
      </sheetData>
      <sheetData sheetId="549">
        <row r="7">
          <cell r="E7" t="str">
            <v>PT INTERNATIONAL COATINGS</v>
          </cell>
        </row>
      </sheetData>
      <sheetData sheetId="550">
        <row r="7">
          <cell r="E7" t="str">
            <v>PT INTERNATIONAL COATINGS</v>
          </cell>
        </row>
      </sheetData>
      <sheetData sheetId="551">
        <row r="7">
          <cell r="E7" t="str">
            <v>PT INTERNATIONAL COATINGS</v>
          </cell>
        </row>
      </sheetData>
      <sheetData sheetId="552">
        <row r="7">
          <cell r="E7" t="str">
            <v>PT INTERNATIONAL COATINGS</v>
          </cell>
        </row>
      </sheetData>
      <sheetData sheetId="553">
        <row r="7">
          <cell r="E7" t="str">
            <v>PT INTERNATIONAL COATINGS</v>
          </cell>
        </row>
      </sheetData>
      <sheetData sheetId="554">
        <row r="7">
          <cell r="E7" t="str">
            <v>PT INTERNATIONAL COATINGS</v>
          </cell>
        </row>
      </sheetData>
      <sheetData sheetId="555">
        <row r="7">
          <cell r="E7" t="str">
            <v>PT INTERNATIONAL COATINGS</v>
          </cell>
        </row>
      </sheetData>
      <sheetData sheetId="556">
        <row r="7">
          <cell r="E7" t="str">
            <v>PT INTERNATIONAL COATINGS</v>
          </cell>
        </row>
      </sheetData>
      <sheetData sheetId="557"/>
      <sheetData sheetId="558"/>
      <sheetData sheetId="559"/>
      <sheetData sheetId="560">
        <row r="7">
          <cell r="E7" t="str">
            <v>PT INTERNATIONAL COATINGS</v>
          </cell>
        </row>
      </sheetData>
      <sheetData sheetId="561">
        <row r="7">
          <cell r="E7" t="str">
            <v>PT INTERNATIONAL COATINGS</v>
          </cell>
        </row>
      </sheetData>
      <sheetData sheetId="562">
        <row r="7">
          <cell r="E7" t="str">
            <v>PT INTERNATIONAL COATINGS</v>
          </cell>
        </row>
      </sheetData>
      <sheetData sheetId="563">
        <row r="7">
          <cell r="E7" t="str">
            <v>PT INTERNATIONAL COATINGS</v>
          </cell>
        </row>
      </sheetData>
      <sheetData sheetId="564">
        <row r="7">
          <cell r="E7" t="str">
            <v>PT INTERNATIONAL COATINGS</v>
          </cell>
        </row>
      </sheetData>
      <sheetData sheetId="565">
        <row r="7">
          <cell r="E7" t="str">
            <v>PT INTERNATIONAL COATINGS</v>
          </cell>
        </row>
      </sheetData>
      <sheetData sheetId="566">
        <row r="7">
          <cell r="E7" t="str">
            <v>PT INTERNATIONAL COATINGS</v>
          </cell>
        </row>
      </sheetData>
      <sheetData sheetId="567">
        <row r="7">
          <cell r="E7" t="str">
            <v>PT INTERNATIONAL COATINGS</v>
          </cell>
        </row>
      </sheetData>
      <sheetData sheetId="568">
        <row r="7">
          <cell r="E7" t="str">
            <v>PT INTERNATIONAL COATINGS</v>
          </cell>
        </row>
      </sheetData>
      <sheetData sheetId="569">
        <row r="7">
          <cell r="E7" t="str">
            <v>PT INTERNATIONAL COATINGS</v>
          </cell>
        </row>
      </sheetData>
      <sheetData sheetId="570">
        <row r="7">
          <cell r="E7" t="str">
            <v>PT INTERNATIONAL COATINGS</v>
          </cell>
        </row>
      </sheetData>
      <sheetData sheetId="571">
        <row r="7">
          <cell r="E7" t="str">
            <v>PT INTERNATIONAL COATINGS</v>
          </cell>
        </row>
      </sheetData>
      <sheetData sheetId="572">
        <row r="7">
          <cell r="E7" t="str">
            <v>PT INTERNATIONAL COATINGS</v>
          </cell>
        </row>
      </sheetData>
      <sheetData sheetId="573">
        <row r="7">
          <cell r="E7" t="str">
            <v>PT INTERNATIONAL COATINGS</v>
          </cell>
        </row>
      </sheetData>
      <sheetData sheetId="574">
        <row r="7">
          <cell r="E7" t="str">
            <v>PT INTERNATIONAL COATINGS</v>
          </cell>
        </row>
      </sheetData>
      <sheetData sheetId="575">
        <row r="7">
          <cell r="E7" t="str">
            <v>PT INTERNATIONAL COATINGS</v>
          </cell>
        </row>
      </sheetData>
      <sheetData sheetId="576">
        <row r="7">
          <cell r="E7" t="str">
            <v>PT INTERNATIONAL COATINGS</v>
          </cell>
        </row>
      </sheetData>
      <sheetData sheetId="577" refreshError="1"/>
      <sheetData sheetId="578" refreshError="1"/>
      <sheetData sheetId="579">
        <row r="7">
          <cell r="E7" t="str">
            <v>PT INTERNATIONAL COATINGS</v>
          </cell>
        </row>
      </sheetData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>
        <row r="7">
          <cell r="E7">
            <v>0</v>
          </cell>
        </row>
      </sheetData>
      <sheetData sheetId="598">
        <row r="7">
          <cell r="E7">
            <v>0</v>
          </cell>
        </row>
      </sheetData>
      <sheetData sheetId="599">
        <row r="7">
          <cell r="E7">
            <v>0</v>
          </cell>
        </row>
      </sheetData>
      <sheetData sheetId="600">
        <row r="7">
          <cell r="E7">
            <v>0</v>
          </cell>
        </row>
      </sheetData>
      <sheetData sheetId="601">
        <row r="7">
          <cell r="E7" t="str">
            <v>PT INTERNATIONAL COATINGS</v>
          </cell>
        </row>
      </sheetData>
      <sheetData sheetId="602">
        <row r="7">
          <cell r="E7">
            <v>0</v>
          </cell>
        </row>
      </sheetData>
      <sheetData sheetId="603"/>
      <sheetData sheetId="604">
        <row r="7">
          <cell r="E7" t="str">
            <v>PT INTERNATIONAL COATINGS</v>
          </cell>
        </row>
      </sheetData>
      <sheetData sheetId="605">
        <row r="7">
          <cell r="E7">
            <v>0</v>
          </cell>
        </row>
      </sheetData>
      <sheetData sheetId="606">
        <row r="7">
          <cell r="E7">
            <v>0</v>
          </cell>
        </row>
      </sheetData>
      <sheetData sheetId="607">
        <row r="7">
          <cell r="E7">
            <v>0</v>
          </cell>
        </row>
      </sheetData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/>
      <sheetData sheetId="670"/>
      <sheetData sheetId="671">
        <row r="7">
          <cell r="E7">
            <v>0</v>
          </cell>
        </row>
      </sheetData>
      <sheetData sheetId="672">
        <row r="7">
          <cell r="E7">
            <v>0</v>
          </cell>
        </row>
      </sheetData>
      <sheetData sheetId="673">
        <row r="7">
          <cell r="E7" t="str">
            <v>PT INTERNATIONAL COATINGS</v>
          </cell>
        </row>
      </sheetData>
      <sheetData sheetId="674"/>
      <sheetData sheetId="675">
        <row r="7">
          <cell r="E7" t="str">
            <v>PT INTERNATIONAL COATINGS</v>
          </cell>
        </row>
      </sheetData>
      <sheetData sheetId="676">
        <row r="7">
          <cell r="E7">
            <v>0</v>
          </cell>
        </row>
      </sheetData>
      <sheetData sheetId="677">
        <row r="7">
          <cell r="E7">
            <v>0</v>
          </cell>
        </row>
      </sheetData>
      <sheetData sheetId="678">
        <row r="7">
          <cell r="E7">
            <v>0</v>
          </cell>
        </row>
      </sheetData>
      <sheetData sheetId="679"/>
      <sheetData sheetId="680"/>
      <sheetData sheetId="681">
        <row r="7">
          <cell r="E7">
            <v>0</v>
          </cell>
        </row>
      </sheetData>
      <sheetData sheetId="682">
        <row r="7">
          <cell r="E7" t="str">
            <v>PT INTERNATIONAL COATINGS</v>
          </cell>
        </row>
      </sheetData>
      <sheetData sheetId="683">
        <row r="7">
          <cell r="E7">
            <v>0</v>
          </cell>
        </row>
      </sheetData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>
        <row r="7">
          <cell r="E7" t="str">
            <v>PT INTERNATIONAL COATINGS</v>
          </cell>
        </row>
      </sheetData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>
        <row r="7">
          <cell r="E7" t="str">
            <v>PT INTERNATIONAL COATINGS</v>
          </cell>
        </row>
      </sheetData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>
        <row r="7">
          <cell r="E7" t="str">
            <v>PT INTERNATIONAL COATINGS</v>
          </cell>
        </row>
      </sheetData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>
        <row r="7">
          <cell r="E7" t="str">
            <v>PT INTERNATIONAL COATINGS</v>
          </cell>
        </row>
      </sheetData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>
        <row r="7">
          <cell r="E7" t="str">
            <v>PT INTERNATIONAL COATINGS</v>
          </cell>
        </row>
      </sheetData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>
        <row r="7">
          <cell r="E7" t="str">
            <v>PT INTERNATIONAL COATINGS</v>
          </cell>
        </row>
      </sheetData>
      <sheetData sheetId="769"/>
      <sheetData sheetId="770"/>
      <sheetData sheetId="771"/>
      <sheetData sheetId="772"/>
      <sheetData sheetId="773"/>
      <sheetData sheetId="774">
        <row r="7">
          <cell r="E7" t="str">
            <v>PT INTERNATIONAL COATINGS</v>
          </cell>
        </row>
      </sheetData>
      <sheetData sheetId="775"/>
      <sheetData sheetId="776">
        <row r="7">
          <cell r="E7" t="str">
            <v>PT INTERNATIONAL COATINGS</v>
          </cell>
        </row>
      </sheetData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>
        <row r="7">
          <cell r="E7" t="str">
            <v>PT INTERNATIONAL COATINGS</v>
          </cell>
        </row>
      </sheetData>
      <sheetData sheetId="790"/>
      <sheetData sheetId="791"/>
      <sheetData sheetId="792"/>
      <sheetData sheetId="793"/>
      <sheetData sheetId="794"/>
      <sheetData sheetId="795"/>
      <sheetData sheetId="796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>
        <row r="7">
          <cell r="E7" t="str">
            <v>PT INTERNATIONAL COATINGS</v>
          </cell>
        </row>
      </sheetData>
      <sheetData sheetId="803"/>
      <sheetData sheetId="804"/>
      <sheetData sheetId="805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/>
      <sheetData sheetId="858" refreshError="1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e Up 23"/>
      <sheetName val="PPh-25"/>
      <sheetName val="PPh 23,4(2),15, 26"/>
      <sheetName val="Sheet2"/>
      <sheetName val="PPh-26"/>
      <sheetName val="PPh-21"/>
      <sheetName val="PPh 23,4(2),15, 26 (2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manent info"/>
      <sheetName val="Marshal 2"/>
      <sheetName val="ATTACHMENT"/>
      <sheetName val="Lampiran "/>
      <sheetName val="F1771"/>
      <sheetName val="F1771-I"/>
      <sheetName val="F1771-II"/>
      <sheetName val="F1771-III"/>
      <sheetName val="F1771-IV"/>
      <sheetName val="F!771-V"/>
      <sheetName val="1771-VI"/>
      <sheetName val="Sheet4"/>
      <sheetName val="SChDepr"/>
      <sheetName val="rINGKASANdEPRESIASI"/>
      <sheetName val="MAR_REC"/>
      <sheetName val="Sheet1"/>
      <sheetName val="TBM"/>
      <sheetName val="Marshal"/>
      <sheetName val="d_com"/>
      <sheetName val="NAP"/>
      <sheetName val="GeneralInfo"/>
      <sheetName val="Sheet3"/>
      <sheetName val="cov"/>
      <sheetName val="Permanent_info"/>
      <sheetName val="Marshal_2"/>
      <sheetName val="Lampiran_"/>
      <sheetName val="VAT out"/>
      <sheetName val="Ex-Rate"/>
      <sheetName val="VALIDASI"/>
      <sheetName val="Main table"/>
      <sheetName val="new IFS format"/>
      <sheetName val="Detail PNL $"/>
      <sheetName val="data wp"/>
      <sheetName val="ROSS LIST"/>
      <sheetName val="pm"/>
      <sheetName val="Ex_Rate"/>
      <sheetName val="NH-Badan"/>
      <sheetName val="B1"/>
      <sheetName val="master"/>
      <sheetName val="Marshal -1"/>
      <sheetName val="PTCI Alyui Bay Exp -  2004 (Rp)"/>
      <sheetName val="BIA-F"/>
      <sheetName val="BankHolidays"/>
      <sheetName val="WTB"/>
      <sheetName val="LIST 99"/>
      <sheetName val="A"/>
      <sheetName val="Contents"/>
      <sheetName val="monthly"/>
      <sheetName val="BS-after AJE"/>
      <sheetName val="DATA01-08-2004"/>
      <sheetName val="data (2)"/>
      <sheetName val="Jul-97"/>
      <sheetName val="Ranges"/>
      <sheetName val="SAA"/>
      <sheetName val="tabel"/>
      <sheetName val="Total"/>
      <sheetName val="Identitas"/>
      <sheetName val="L2"/>
      <sheetName val="POTO MAC"/>
      <sheetName val="TB"/>
      <sheetName val="Con"/>
      <sheetName val="Daftar Customer"/>
      <sheetName val="Calc. Overview"/>
      <sheetName val="Data Client"/>
      <sheetName val="tabel nilai"/>
      <sheetName val="DATA"/>
      <sheetName val="DIRECT COST"/>
      <sheetName val="Actuals Actuals 501"/>
      <sheetName val="File references"/>
      <sheetName val="Notes"/>
      <sheetName val="BTS-L4-L5-1C"/>
      <sheetName val="output"/>
      <sheetName val="K2-FA"/>
      <sheetName val="DAILY"/>
      <sheetName val="SE-C"/>
      <sheetName val="Option1"/>
      <sheetName val="ledger02"/>
      <sheetName val="Operation 1206-0107"/>
      <sheetName val="Maintenance 1206-0107"/>
      <sheetName val="Irregular Income"/>
      <sheetName val="GL"/>
      <sheetName val="FE-1770.P1"/>
      <sheetName val="Price &amp; Cost"/>
      <sheetName val="finance cost and fees"/>
      <sheetName val="pinjaman ke CFA"/>
      <sheetName val="cashflow"/>
      <sheetName val="Training"/>
      <sheetName val="1999"/>
      <sheetName val="NERACA JUL"/>
      <sheetName val="Oct 99"/>
      <sheetName val="Angka"/>
      <sheetName val="PAJE-2007"/>
      <sheetName val="BTR"/>
      <sheetName val="BGR"/>
      <sheetName val="BKS"/>
      <sheetName val="DATATRANS"/>
      <sheetName val="LabData203_204"/>
      <sheetName val="Table Array"/>
      <sheetName val="Pg7.4"/>
      <sheetName val="Pg2"/>
      <sheetName val="IS"/>
      <sheetName val="SUMMARY NDE"/>
      <sheetName val="APPart"/>
      <sheetName val="ARBkL"/>
      <sheetName val="TotalBi"/>
      <sheetName val="BiSales"/>
      <sheetName val="BiPart"/>
      <sheetName val="BiServis"/>
      <sheetName val="BiAdm"/>
      <sheetName val="rs"/>
      <sheetName val="AUDIT SPK"/>
      <sheetName val="Budget"/>
      <sheetName val="TRF 150"/>
      <sheetName val="kepmenaker150"/>
      <sheetName val="Coa"/>
      <sheetName val="CAJE"/>
      <sheetName val="Credit-22"/>
      <sheetName val="Sheet1 (3)"/>
      <sheetName val="Proposed 2003 Salary Range"/>
      <sheetName val="Adjustment"/>
      <sheetName val="Trad"/>
      <sheetName val="Summary"/>
      <sheetName val="Travel"/>
      <sheetName val="Information"/>
      <sheetName val="FE_1770_P1"/>
      <sheetName val="Feuil1"/>
      <sheetName val="Sheet2"/>
      <sheetName val="Contractual Terms(1)"/>
      <sheetName val="POMALAA"/>
      <sheetName val="FA FISKAL"/>
      <sheetName val="FKT_PJK"/>
      <sheetName val="new_IFS_format"/>
      <sheetName val="VAT_out"/>
      <sheetName val="Main_table"/>
      <sheetName val="data_(2)"/>
      <sheetName val="Detail_PNL_$"/>
      <sheetName val="Factors"/>
      <sheetName val="Var"/>
      <sheetName val="Permanent_info1"/>
      <sheetName val="Marshal_21"/>
      <sheetName val="Lampiran_1"/>
      <sheetName val="Daftar_Customer"/>
      <sheetName val="Calc__Overview"/>
      <sheetName val="Marshal_-1"/>
      <sheetName val="Data_Client"/>
      <sheetName val="SUMMARY_NDE"/>
      <sheetName val="data_wp"/>
      <sheetName val="Operation_1206-0107"/>
      <sheetName val="Maintenance_1206-0107"/>
      <sheetName val="Irregular_Income"/>
      <sheetName val="FE-1770_P1"/>
      <sheetName val="Price_&amp;_Cost"/>
      <sheetName val="finance_cost_and_fees"/>
      <sheetName val="pinjaman_ke_CFA"/>
      <sheetName val="TRF_150"/>
      <sheetName val="dft bns"/>
      <sheetName val="Market Positioning"/>
      <sheetName val="N.Assumptions"/>
      <sheetName val="P.Assumptions"/>
      <sheetName val="WACC (Intl)"/>
      <sheetName val="Permanent_info2"/>
      <sheetName val="Marshal_22"/>
      <sheetName val="Lampiran_2"/>
      <sheetName val="new_IFS_format1"/>
      <sheetName val="VAT_out1"/>
      <sheetName val="Main_table1"/>
      <sheetName val="data_(2)1"/>
      <sheetName val="Detail_PNL_$1"/>
      <sheetName val="Daftar_Customer1"/>
      <sheetName val="PTCI_Alyui_Bay_Exp_-__2004_(Rp)"/>
      <sheetName val="Data_Client1"/>
      <sheetName val="Marshal_-11"/>
      <sheetName val="SUMMARY_NDE1"/>
      <sheetName val="data_wp1"/>
      <sheetName val="Operation_1206-01071"/>
      <sheetName val="Maintenance_1206-01071"/>
      <sheetName val="Irregular_Income1"/>
      <sheetName val="FE-1770_P11"/>
      <sheetName val="Price_&amp;_Cost1"/>
      <sheetName val="finance_cost_and_fees1"/>
      <sheetName val="pinjaman_ke_CFA1"/>
      <sheetName val="Calc__Overview1"/>
      <sheetName val="tabel_nilai"/>
      <sheetName val="DIRECT_COST"/>
      <sheetName val="Actuals_Actuals_501"/>
      <sheetName val="AUDIT_SPK"/>
      <sheetName val="Oct_99"/>
      <sheetName val="FA_FISKAL"/>
      <sheetName val="TRF_1501"/>
      <sheetName val="Sheet1_(3)"/>
      <sheetName val="BS-after_AJE"/>
      <sheetName val="File_references"/>
      <sheetName val="NERACA_JUL"/>
      <sheetName val="Contractual_Terms(1)"/>
      <sheetName val="dft_bns"/>
      <sheetName val="Market_Positioning"/>
      <sheetName val="N_Assumptions"/>
      <sheetName val="P_Assumptions"/>
      <sheetName val="WACC_(Intl)"/>
      <sheetName val="sepdua"/>
      <sheetName val="cons_workpapers"/>
      <sheetName val="Interdata"/>
      <sheetName val="Kontrol"/>
      <sheetName val="Permanent_info3"/>
      <sheetName val="Marshal_23"/>
      <sheetName val="Lampiran_3"/>
      <sheetName val="new_IFS_format2"/>
      <sheetName val="VAT_out2"/>
      <sheetName val="Main_table2"/>
      <sheetName val="data_(2)2"/>
      <sheetName val="Detail_PNL_$2"/>
      <sheetName val="Daftar_Customer2"/>
      <sheetName val="PTCI_Alyui_Bay_Exp_-__2004_(Rp1"/>
      <sheetName val="Marshal_-12"/>
      <sheetName val="SUMMARY_NDE2"/>
      <sheetName val="Calc__Overview2"/>
      <sheetName val="data_wp2"/>
      <sheetName val="Operation_1206-01072"/>
      <sheetName val="Maintenance_1206-01072"/>
      <sheetName val="Irregular_Income2"/>
      <sheetName val="FE-1770_P12"/>
      <sheetName val="Price_&amp;_Cost2"/>
      <sheetName val="finance_cost_and_fees2"/>
      <sheetName val="pinjaman_ke_CFA2"/>
      <sheetName val="Data_Client2"/>
      <sheetName val="tabel_nilai1"/>
      <sheetName val="DIRECT_COST1"/>
      <sheetName val="Actuals_Actuals_5011"/>
      <sheetName val="AUDIT_SPK1"/>
      <sheetName val="Oct_991"/>
      <sheetName val="FA_FISKAL1"/>
      <sheetName val="TRF_1502"/>
      <sheetName val="BS-after_AJE1"/>
      <sheetName val="Sheet1_(3)1"/>
      <sheetName val="File_references1"/>
      <sheetName val="NERACA_JUL1"/>
      <sheetName val="Contractual_Terms(1)1"/>
      <sheetName val="dft_bns1"/>
      <sheetName val="Market_Positioning1"/>
      <sheetName val="N_Assumptions1"/>
      <sheetName val="P_Assumptions1"/>
      <sheetName val="WACC_(Intl)1"/>
      <sheetName val="Lead"/>
      <sheetName val="Account"/>
      <sheetName val="DCF SD JUNI 04"/>
      <sheetName val="Olah"/>
      <sheetName val="DCF"/>
      <sheetName val="GEN EXP JANUARY"/>
      <sheetName val="EX RATE"/>
      <sheetName val="note"/>
      <sheetName val="Parameter"/>
      <sheetName val="NIOF"/>
      <sheetName val="PEGAWAI"/>
      <sheetName val="Links"/>
      <sheetName val="Macro5"/>
      <sheetName val="cal2"/>
      <sheetName val=""/>
      <sheetName val="Rfrce"/>
      <sheetName val="OP_foreign"/>
      <sheetName val="Breakdown"/>
      <sheetName val="DMarg_foreign"/>
      <sheetName val="Global_foreign"/>
      <sheetName val="CPFO"/>
      <sheetName val="Other"/>
      <sheetName val="Count"/>
      <sheetName val="Entry"/>
      <sheetName val="MIC"/>
      <sheetName val="Smry"/>
      <sheetName val="Global_local"/>
      <sheetName val="DATA21"/>
      <sheetName val="General Info"/>
      <sheetName val="C1 NOV"/>
      <sheetName val="3800-Interim"/>
      <sheetName val="2OP-CT"/>
      <sheetName val="1FIX"/>
      <sheetName val="HD"/>
      <sheetName val="1EQU"/>
      <sheetName val="HDF"/>
      <sheetName val="Info"/>
      <sheetName val="Menu"/>
      <sheetName val="RD"/>
      <sheetName val="Calculation"/>
      <sheetName val="SQL"/>
      <sheetName val="Setup Data"/>
      <sheetName val="B.1"/>
      <sheetName val="Orders"/>
      <sheetName val="SET"/>
      <sheetName val="SCORE_RC_Code"/>
      <sheetName val="Fiscal Cal"/>
      <sheetName val="nop"/>
      <sheetName val="Sheet6"/>
    </sheetNames>
    <sheetDataSet>
      <sheetData sheetId="0" refreshError="1">
        <row r="5">
          <cell r="W5" t="str">
            <v>1.001.112.0-053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 refreshError="1"/>
      <sheetData sheetId="200" refreshError="1"/>
      <sheetData sheetId="201" refreshError="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PORT EXP"/>
      <sheetName val="SUPPORT EXP1"/>
      <sheetName val="CENT"/>
      <sheetName val="PONDS"/>
      <sheetName val="FDM+HTC"/>
      <sheetName val="central"/>
      <sheetName val="fm"/>
      <sheetName val="hd"/>
      <sheetName val="pond-site"/>
      <sheetName val="PL (MONTHLY)"/>
      <sheetName val="PL (BY DIVISION)"/>
      <sheetName val="PL (COMPARE)"/>
      <sheetName val="C &amp; E-PL"/>
      <sheetName val="FSD-PL"/>
      <sheetName val="CSD-PL"/>
      <sheetName val="PPD-PL"/>
      <sheetName val="HACTH-PL"/>
      <sheetName val="FMD-PL"/>
      <sheetName val="PL _MONTHLY_"/>
      <sheetName val="data_val"/>
      <sheetName val="Rate"/>
      <sheetName val="Irregular Income"/>
      <sheetName val="JVFORM"/>
      <sheetName val="SUPPORT_EXP"/>
      <sheetName val="SUPPORT_EXP1"/>
      <sheetName val="PL_(MONTHLY)"/>
      <sheetName val="PL_(BY_DIVISION)"/>
      <sheetName val="PL_(COMPARE)"/>
      <sheetName val="C_&amp;_E-PL"/>
      <sheetName val="PL__MONTHLY_"/>
      <sheetName val="SUPPORT_EXP2"/>
      <sheetName val="SUPPORT_EXP11"/>
      <sheetName val="PL_(MONTHLY)1"/>
      <sheetName val="PL_(BY_DIVISION)1"/>
      <sheetName val="PL_(COMPARE)1"/>
      <sheetName val="C_&amp;_E-PL1"/>
      <sheetName val="PL__MONTHLY_1"/>
      <sheetName val="TaxDat"/>
      <sheetName val="SUPPORT_EXP3"/>
      <sheetName val="SUPPORT_EXP12"/>
      <sheetName val="PL_(MONTHLY)2"/>
      <sheetName val="PL_(BY_DIVISION)2"/>
      <sheetName val="PL_(COMPARE)2"/>
      <sheetName val="C_&amp;_E-PL2"/>
      <sheetName val="PL__MONTHLY_2"/>
      <sheetName val="SUPPORT_EXP4"/>
      <sheetName val="SUPPORT_EXP13"/>
      <sheetName val="PL_(MONTHLY)3"/>
      <sheetName val="PL_(BY_DIVISION)3"/>
      <sheetName val="PL_(COMPARE)3"/>
      <sheetName val="C_&amp;_E-PL3"/>
      <sheetName val="PL__MONTHLY_3"/>
      <sheetName val="SUPPORT_EXP5"/>
      <sheetName val="SUPPORT_EXP14"/>
      <sheetName val="PL_(MONTHLY)4"/>
      <sheetName val="PL_(BY_DIVISION)4"/>
      <sheetName val="PL_(COMPARE)4"/>
      <sheetName val="C_&amp;_E-PL4"/>
      <sheetName val="PL__MONTHLY_4"/>
      <sheetName val="SUPPORT_EXP6"/>
      <sheetName val="SUPPORT_EXP15"/>
      <sheetName val="PL_(MONTHLY)5"/>
      <sheetName val="PL_(BY_DIVISION)5"/>
      <sheetName val="PL_(COMPARE)5"/>
      <sheetName val="C_&amp;_E-PL5"/>
      <sheetName val="PL__MONTHLY_5"/>
      <sheetName val="SUPPORT_EXP7"/>
      <sheetName val="SUPPORT_EXP16"/>
      <sheetName val="PL_(MONTHLY)6"/>
      <sheetName val="PL_(BY_DIVISION)6"/>
      <sheetName val="PL_(COMPARE)6"/>
      <sheetName val="C_&amp;_E-PL6"/>
      <sheetName val="PL__MONTHLY_6"/>
      <sheetName val="SUPPORT_EXP8"/>
      <sheetName val="SUPPORT_EXP17"/>
      <sheetName val="PL_(MONTHLY)7"/>
      <sheetName val="PL_(BY_DIVISION)7"/>
      <sheetName val="PL_(COMPARE)7"/>
      <sheetName val="C_&amp;_E-PL7"/>
      <sheetName val="PL__MONTHLY_7"/>
      <sheetName val="SUPPORT_EXP9"/>
      <sheetName val="SUPPORT_EXP18"/>
      <sheetName val="PL_(MONTHLY)8"/>
      <sheetName val="PL_(BY_DIVISION)8"/>
      <sheetName val="PL_(COMPARE)8"/>
      <sheetName val="C_&amp;_E-PL8"/>
      <sheetName val="PL__MONTHLY_8"/>
      <sheetName val="SUPPORT_EXP10"/>
      <sheetName val="SUPPORT_EXP19"/>
      <sheetName val="PL_(MONTHLY)9"/>
      <sheetName val="PL_(BY_DIVISION)9"/>
      <sheetName val="PL_(COMPARE)9"/>
      <sheetName val="C_&amp;_E-PL9"/>
      <sheetName val="PL__MONTHLY_9"/>
      <sheetName val="SUPPORT_EXP20"/>
      <sheetName val="SUPPORT_EXP110"/>
      <sheetName val="PL_(MONTHLY)10"/>
      <sheetName val="PL_(BY_DIVISION)10"/>
      <sheetName val="PL_(COMPARE)10"/>
      <sheetName val="C_&amp;_E-PL10"/>
      <sheetName val="PL__MONTHLY_10"/>
      <sheetName val="SUPPORT_EXP21"/>
      <sheetName val="SUPPORT_EXP111"/>
      <sheetName val="PL_(MONTHLY)11"/>
      <sheetName val="PL_(BY_DIVISION)11"/>
      <sheetName val="PL_(COMPARE)11"/>
      <sheetName val="C_&amp;_E-PL11"/>
      <sheetName val="PL__MONTHLY_11"/>
      <sheetName val="101.00"/>
      <sheetName val="aktdit(WP)"/>
      <sheetName val="GeneralInfo"/>
      <sheetName val="SUPPORT_EXP22"/>
      <sheetName val="SUPPORT_EXP112"/>
      <sheetName val="PL_(MONTHLY)12"/>
      <sheetName val="PL_(BY_DIVISION)12"/>
      <sheetName val="PL_(COMPARE)12"/>
      <sheetName val="C_&amp;_E-PL12"/>
      <sheetName val="PL__MONTHLY_12"/>
      <sheetName val="101_00"/>
      <sheetName val="SUPPORT_EXP23"/>
      <sheetName val="SUPPORT_EXP113"/>
      <sheetName val="PL_(MONTHLY)13"/>
      <sheetName val="PL_(BY_DIVISION)13"/>
      <sheetName val="PL_(COMPARE)13"/>
      <sheetName val="C_&amp;_E-PL13"/>
      <sheetName val="PL__MONTHLY_13"/>
      <sheetName val="101_001"/>
      <sheetName val="MEytd"/>
      <sheetName val="Links"/>
      <sheetName val="LOOKUP"/>
      <sheetName val="B1 Data"/>
      <sheetName val="F1771-IV"/>
      <sheetName val="F1771-V"/>
      <sheetName val="합계"/>
      <sheetName val="TBM"/>
      <sheetName val="Permanent info"/>
      <sheetName val="NS"/>
      <sheetName val="pondwarharvntimaret (2)"/>
      <sheetName val="LAP.SAMPLINGDT "/>
      <sheetName val="PL00"/>
      <sheetName val="C"/>
      <sheetName val="kode SAP-new"/>
      <sheetName val="Form B_2 31"/>
      <sheetName val="APRIL LOSS"/>
      <sheetName val="TOTAL"/>
      <sheetName val="KODEP"/>
      <sheetName val="TARIP"/>
      <sheetName val="d_com"/>
      <sheetName val="K.6DEPOSIT"/>
      <sheetName val="Segment  Unit"/>
      <sheetName val="Planting"/>
      <sheetName val="412src2"/>
      <sheetName val="A1-B ASSET"/>
      <sheetName val="Sheet1"/>
      <sheetName val="P&amp;L98"/>
      <sheetName val="KBB-CIB BANK"/>
      <sheetName val="blok 03"/>
      <sheetName val="31"/>
      <sheetName val="Amdal"/>
      <sheetName val="HARVEST02"/>
      <sheetName val="aju_tr"/>
      <sheetName val="Form A_2"/>
      <sheetName val="SB MONI.2.02"/>
      <sheetName val="Assumption"/>
      <sheetName val="masterkayawan"/>
      <sheetName val="R2H10_018"/>
      <sheetName val="#REF"/>
      <sheetName val="General Info"/>
      <sheetName val="Individual Gross Profit J - Aug"/>
      <sheetName val="KEM NGHIEN GIA CONG"/>
      <sheetName val="Auxiliary"/>
      <sheetName val="Rekap Budget"/>
      <sheetName val="SMU"/>
      <sheetName val="Amt.rvd.HITACHI"/>
      <sheetName val="Slide 1"/>
      <sheetName val="Slide 2"/>
      <sheetName val="slide 3"/>
      <sheetName val="Home"/>
      <sheetName val="SUPPORT"/>
      <sheetName val="Sliding Scale1"/>
      <sheetName val="DbKtr"/>
      <sheetName val=".3 Rollfwd"/>
      <sheetName val="Ex_Rate"/>
      <sheetName val="Volume"/>
      <sheetName val="XREF"/>
      <sheetName val="Setup"/>
      <sheetName val="OTA"/>
      <sheetName val="MATERIALFINAL"/>
      <sheetName val="gu-2001"/>
      <sheetName val="Headcount"/>
      <sheetName val="MacPro"/>
      <sheetName val="PM-PL"/>
      <sheetName val="PopCache"/>
      <sheetName val="FA1999"/>
      <sheetName val="hs pipa"/>
      <sheetName val="Cutleries"/>
      <sheetName val="MASTER"/>
      <sheetName val="Ambil M2"/>
      <sheetName val="Ambil M1"/>
      <sheetName val="Modul 2"/>
      <sheetName val="Modul I"/>
      <sheetName val="REKAPITULASI"/>
      <sheetName val="Sheet2"/>
      <sheetName val="Februari 28 revisi"/>
      <sheetName val="pondwarharvntimaret_(2)"/>
      <sheetName val="LAP_SAMPLINGDT_"/>
      <sheetName val="kode_SAP-new"/>
      <sheetName val="Form_B_2_31"/>
      <sheetName val="APRIL_LOSS"/>
      <sheetName val="KBB-CIB_BANK"/>
      <sheetName val="blok_03"/>
      <sheetName val="Form_A_2"/>
      <sheetName val="SB_MONI_2_02"/>
      <sheetName val="Permanent_info"/>
      <sheetName val="EFECTIF"/>
      <sheetName val="FRYPROD"/>
      <sheetName val="Rekap Piutang"/>
      <sheetName val="Individual_Gross_Profit_J_-_Aug"/>
      <sheetName val="KEM_NGHIEN_GIA_CONG"/>
      <sheetName val="GL"/>
      <sheetName val="FE-1771$.P1"/>
      <sheetName val="FINFO97"/>
      <sheetName val="shop"/>
      <sheetName val="Rates"/>
      <sheetName val="SPI"/>
      <sheetName val="TB after Reval-Server"/>
      <sheetName val="Main"/>
      <sheetName val="ZK70A96E"/>
      <sheetName val="OTHER INCOME &amp; BY PERDIVISI"/>
      <sheetName val="SALESJAN'03"/>
      <sheetName val="SALESMRT'03"/>
      <sheetName val="inven"/>
      <sheetName val="DAFTAR NOMINATIF"/>
      <sheetName val="NEGARA"/>
      <sheetName val="A"/>
      <sheetName val="Codestable"/>
      <sheetName val="COGS"/>
      <sheetName val="Ex-Rate"/>
      <sheetName val="Sheet7"/>
      <sheetName val="KP23"/>
      <sheetName val="Feuil1"/>
      <sheetName val="Local TB 12.31.11"/>
      <sheetName val="SaldoCorona"/>
      <sheetName val="SILICATE"/>
      <sheetName val="RK1"/>
      <sheetName val="Form Inspec SP"/>
      <sheetName val="HARGA MATERIAL"/>
      <sheetName val="WASTE BY MATERIAL"/>
      <sheetName val="ocean voyage"/>
      <sheetName val="bs 2004"/>
      <sheetName val="B"/>
      <sheetName val="BUT-1"/>
      <sheetName val="HEX-A"/>
      <sheetName val="HEX-E"/>
      <sheetName val="I-BUT"/>
      <sheetName val="RD I-BUT"/>
      <sheetName val=" BEP-1999"/>
      <sheetName val="P2"/>
      <sheetName val="Proj Summ"/>
      <sheetName val="MGR-12"/>
      <sheetName val="10"/>
      <sheetName val="budgetsched1-17"/>
      <sheetName val="ptkp"/>
      <sheetName val="Two Step Revenue Testing Master"/>
      <sheetName val="TRADING PROFIT"/>
      <sheetName val="DETAIL"/>
      <sheetName val=" - OFMA"/>
      <sheetName val="Nominals"/>
      <sheetName val="Pesangon _ jml kary"/>
      <sheetName val="tabel nilai"/>
      <sheetName val="OPNAME BAD STOCK"/>
      <sheetName val="Detail WBS Konsol"/>
      <sheetName val="status"/>
      <sheetName val="Desc "/>
      <sheetName val="Manajemen Fee"/>
      <sheetName val="비가동-20"/>
      <sheetName val="Input"/>
      <sheetName val="Stocks"/>
      <sheetName val="analis"/>
      <sheetName val="Vehicle"/>
      <sheetName val="Non-Statistical Sampling Master"/>
      <sheetName val="Global Data"/>
      <sheetName val="原本"/>
      <sheetName val="KP22"/>
      <sheetName val="AM-MARGIN"/>
      <sheetName val="financials"/>
      <sheetName val="II"/>
      <sheetName val="Site-Kaltim"/>
      <sheetName val="F-2"/>
      <sheetName val="OFS Reda ASA-Conso"/>
      <sheetName val="OFS APG "/>
      <sheetName val="OFS CHG"/>
      <sheetName val="OFS BMP"/>
      <sheetName val="OFS JKT"/>
      <sheetName val="OFS TMV"/>
      <sheetName val="OFS ING"/>
      <sheetName val="OFS ASA-HQ"/>
      <sheetName val="OFS Caltex"/>
      <sheetName val="NLsimpro"/>
      <sheetName val="pro ra op"/>
      <sheetName val="grafik"/>
      <sheetName val="Sensitivitas"/>
      <sheetName val="Sch"/>
      <sheetName val="Entry  HTM"/>
      <sheetName val="Equity"/>
      <sheetName val="pl"/>
      <sheetName val="TOWN"/>
      <sheetName val="SysNavigation"/>
      <sheetName val="4.1 Placement w.o.b"/>
      <sheetName val="Fill this out first___"/>
      <sheetName val="Analisa SNI STANDART "/>
      <sheetName val="Estimate"/>
      <sheetName val="MGM11"/>
      <sheetName val="MGM12"/>
      <sheetName val="MGM1"/>
      <sheetName val="MGM4"/>
      <sheetName val="MGM3"/>
      <sheetName val="ops tb"/>
      <sheetName val="SIG_LANGUE"/>
      <sheetName val="시산표"/>
      <sheetName val="Oilpalm Profile"/>
      <sheetName val="OLDMAP"/>
      <sheetName val="By Fcst Group"/>
      <sheetName val="ShareCapital "/>
      <sheetName val="Inventories"/>
      <sheetName val="B28"/>
      <sheetName val="REV"/>
      <sheetName val="list"/>
      <sheetName val="9"/>
      <sheetName val="TB-WP"/>
      <sheetName val="Consolidation"/>
      <sheetName val="Sales"/>
      <sheetName val="RBSB"/>
      <sheetName val="CTIPricing"/>
      <sheetName val="Raw Data"/>
      <sheetName val="divisi sarana"/>
      <sheetName val="ANALISA"/>
      <sheetName val="kode Baru "/>
      <sheetName val="BQ All-2"/>
      <sheetName val="Return Detail"/>
      <sheetName val="직원별 11월"/>
      <sheetName val="rl"/>
      <sheetName val="MTD-REPORT"/>
      <sheetName val="??"/>
      <sheetName val="REF-CRB"/>
      <sheetName val="JJP"/>
      <sheetName val="U1 P&amp;L"/>
      <sheetName val="39"/>
      <sheetName val="Prep04"/>
      <sheetName val="KODE AKUN"/>
      <sheetName val="A.4.3"/>
      <sheetName val="ControlSheet"/>
      <sheetName val="Simulation"/>
      <sheetName val="15"/>
      <sheetName val="Plant&amp; Machinery5810.40"/>
      <sheetName val="Vouching AddFA5810.81"/>
      <sheetName val="analisa bb"/>
      <sheetName val="Perhari"/>
      <sheetName val="Prod OFR 0"/>
      <sheetName val="Monitoring Apar"/>
      <sheetName val=" Line stop w-33 line 1"/>
      <sheetName val="Data Trial"/>
      <sheetName val="PQI"/>
      <sheetName val="Dashboard"/>
      <sheetName val="TSC C"/>
      <sheetName val="Query_Asset"/>
      <sheetName val="GD-BB Kt. A"/>
      <sheetName val="OPNAME GOOD STOCK"/>
      <sheetName val="OPNAME SALES"/>
      <sheetName val="List-Value"/>
      <sheetName val="Sheet8"/>
      <sheetName val="GD-BHN KEMASAN"/>
      <sheetName val="CrtOrg"/>
      <sheetName val="Yield PM"/>
      <sheetName val="Sheet5"/>
      <sheetName val="rekap per produk"/>
      <sheetName val="harga"/>
      <sheetName val="1.Cover"/>
      <sheetName val="BUDGET_1999"/>
      <sheetName val="Rpt13.Oth"/>
      <sheetName val="CODE"/>
      <sheetName val="Sheet4"/>
      <sheetName val="Beli &amp; Retur CPN"/>
      <sheetName val="Cost Center"/>
      <sheetName val="KODE"/>
      <sheetName val="Neraca"/>
      <sheetName val="A11_south_well_list_030902"/>
      <sheetName val="DATAJUAL"/>
      <sheetName val="BELI_0603"/>
      <sheetName val="% Ach Sales 1 "/>
      <sheetName val="Control"/>
      <sheetName val="daftar"/>
      <sheetName val="Resume Group"/>
      <sheetName val="hitung"/>
      <sheetName val="geo-A1"/>
      <sheetName val="geo-A2"/>
      <sheetName val="geo-B"/>
      <sheetName val="Summary Table"/>
      <sheetName val="geo-C1"/>
      <sheetName val="geo-C2"/>
      <sheetName val="prog-C1"/>
      <sheetName val="Supporting"/>
      <sheetName val="DATA UNIT"/>
      <sheetName val="DATA VALUE"/>
      <sheetName val="analisa_bb"/>
      <sheetName val="Prod_OFR_0"/>
      <sheetName val="Monitoring_Apar"/>
      <sheetName val="_Line_stop_w-33_line_1"/>
      <sheetName val="Data_Trial"/>
      <sheetName val="TSC_C"/>
      <sheetName val="OTHER_INCOME_&amp;_BY_PERDIVISI"/>
      <sheetName val="GD-BB_Kt__A"/>
      <sheetName val="OPNAME_GOOD_STOCK"/>
      <sheetName val="OPNAME_SALES"/>
      <sheetName val="Yield_PM"/>
      <sheetName val="GD-BHN_KEMASAN"/>
      <sheetName val="rekap_per_produk"/>
      <sheetName val="1_Cover"/>
      <sheetName val="Beli_&amp;_Retur_CPN"/>
      <sheetName val="Rpt13_Oth"/>
      <sheetName val="Cost_Center"/>
      <sheetName val="Summary_Table"/>
      <sheetName val="%_Ach_Sales_1_"/>
      <sheetName val="Resume_Group"/>
      <sheetName val="konversi"/>
      <sheetName val="Other"/>
      <sheetName val="Daftar Harga"/>
      <sheetName val="HPP_0503"/>
      <sheetName val="Carat"/>
      <sheetName val="DSUC"/>
      <sheetName val="Trial"/>
      <sheetName val="N-INDF"/>
      <sheetName val="MPPA"/>
      <sheetName val="SON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L"/>
      <sheetName val="CC"/>
      <sheetName val="PAJE"/>
      <sheetName val="A.4"/>
      <sheetName val="C"/>
      <sheetName val="E"/>
      <sheetName val="E1"/>
      <sheetName val="F"/>
      <sheetName val="F1"/>
      <sheetName val="F1.1"/>
      <sheetName val="F1.2"/>
      <sheetName val="F2"/>
      <sheetName val="F2.1"/>
      <sheetName val="F3"/>
      <sheetName val="F4"/>
      <sheetName val="F5"/>
      <sheetName val="F6"/>
      <sheetName val="F7"/>
      <sheetName val="FF"/>
      <sheetName val="G"/>
      <sheetName val="G1"/>
      <sheetName val="G2"/>
      <sheetName val="G3"/>
      <sheetName val="G3.1"/>
      <sheetName val="G3.2"/>
      <sheetName val="J"/>
      <sheetName val="J1"/>
      <sheetName val="J1.2"/>
      <sheetName val="J1.1"/>
      <sheetName val="J2"/>
      <sheetName val="K"/>
      <sheetName val="K1"/>
      <sheetName val="K2-FA"/>
      <sheetName val="K3-CIP"/>
      <sheetName val="K4"/>
      <sheetName val="L"/>
      <sheetName val="L1-PDE"/>
      <sheetName val="PDE-Dec.04"/>
      <sheetName val="L1.1"/>
      <sheetName val="L1.2"/>
      <sheetName val="L1.3"/>
      <sheetName val="L1.4"/>
      <sheetName val="L1.5"/>
      <sheetName val="L1.6"/>
      <sheetName val="L1.7"/>
      <sheetName val="L1.8"/>
      <sheetName val="N"/>
      <sheetName val="N1"/>
      <sheetName val="O"/>
      <sheetName val="O1"/>
      <sheetName val="O.2"/>
      <sheetName val="O3"/>
      <sheetName val="04"/>
      <sheetName val="P"/>
      <sheetName val="P1"/>
      <sheetName val="P1.1"/>
      <sheetName val="P2"/>
      <sheetName val="P2.1"/>
      <sheetName val="Q"/>
      <sheetName val="R-DIT"/>
      <sheetName val="R1"/>
      <sheetName val="T"/>
      <sheetName val="U1"/>
      <sheetName val="U1.1"/>
      <sheetName val="U1.2"/>
      <sheetName val="U2"/>
      <sheetName val="U2.1"/>
      <sheetName val="U2.2"/>
      <sheetName val="U3"/>
      <sheetName val="U3.1"/>
      <sheetName val="U3.2"/>
      <sheetName val="M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manent info"/>
    </sheetNames>
    <sheetDataSet>
      <sheetData sheetId="0">
        <row r="7">
          <cell r="E7" t="str">
            <v>BUT SWEDTEL  CONSULTING AB</v>
          </cell>
        </row>
      </sheetData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nfo"/>
      <sheetName val="FI-1771$.P1"/>
      <sheetName val="FI-1771$.P2"/>
      <sheetName val="FI-1771-I$"/>
      <sheetName val="FI-1771-II$"/>
      <sheetName val="FI-1771-III$"/>
      <sheetName val="FI-1771-IV"/>
      <sheetName val="FI-1771-V"/>
      <sheetName val="FI-1771-VI $"/>
      <sheetName val="Marshal"/>
      <sheetName val="Sheet5"/>
      <sheetName val="Sheet4"/>
      <sheetName val="Sheet3"/>
      <sheetName val="Sheet2"/>
      <sheetName val="Sheet1"/>
      <sheetName val="FE-1771-I$"/>
      <sheetName val="FE-1771$.P2"/>
      <sheetName val="FE-1771$.P1"/>
      <sheetName val="FE-1771-II$"/>
      <sheetName val="FE-1771-III$"/>
      <sheetName val="FE-1771-IV"/>
      <sheetName val="FE-1771-V"/>
      <sheetName val="FE-1771-VI$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L"/>
      <sheetName val="CC"/>
      <sheetName val="PAJE"/>
      <sheetName val="A.4"/>
      <sheetName val="C"/>
      <sheetName val="E"/>
      <sheetName val="E1"/>
      <sheetName val="E2"/>
      <sheetName val="F"/>
      <sheetName val="F1"/>
      <sheetName val="F1.1"/>
      <sheetName val="F1.2"/>
      <sheetName val="F2"/>
      <sheetName val="F2.1"/>
      <sheetName val="F3"/>
      <sheetName val="F4"/>
      <sheetName val="F5"/>
      <sheetName val="F6"/>
      <sheetName val="F7"/>
      <sheetName val="FF"/>
      <sheetName val="G"/>
      <sheetName val="G1"/>
      <sheetName val="G2"/>
      <sheetName val="G3"/>
      <sheetName val="G3.1"/>
      <sheetName val="G3.2"/>
      <sheetName val="J"/>
      <sheetName val="J1"/>
      <sheetName val="J1.2"/>
      <sheetName val="J1.1"/>
      <sheetName val="J2"/>
      <sheetName val="K"/>
      <sheetName val="K1"/>
      <sheetName val="K2-FA"/>
      <sheetName val="K3-CIP"/>
      <sheetName val="K4"/>
      <sheetName val="L"/>
      <sheetName val="L1-PDE Oct.05"/>
      <sheetName val="PDE Summ-MS1"/>
      <sheetName val="PDE Summ-MS2"/>
      <sheetName val="PDE Summ-MS3"/>
      <sheetName val="L1.7"/>
      <sheetName val="L1.8"/>
      <sheetName val="N"/>
      <sheetName val="N1"/>
      <sheetName val="O"/>
      <sheetName val="O1"/>
      <sheetName val="O2"/>
      <sheetName val="O3"/>
      <sheetName val="04"/>
      <sheetName val="P"/>
      <sheetName val="P1"/>
      <sheetName val="P1.1"/>
      <sheetName val="Accr Int SCB"/>
      <sheetName val="Accr Int BNP"/>
      <sheetName val="P2"/>
      <sheetName val="P2.1"/>
      <sheetName val="Q"/>
      <sheetName val="R-DIT"/>
      <sheetName val="R1"/>
      <sheetName val="T"/>
      <sheetName val="U1"/>
      <sheetName val="U1.1"/>
      <sheetName val="U1.2"/>
      <sheetName val="U2"/>
      <sheetName val="U2.1"/>
      <sheetName val="U3"/>
      <sheetName val="U3.1"/>
      <sheetName val="U3.2"/>
      <sheetName val="Map"/>
      <sheetName val="PDE-MS1"/>
      <sheetName val="PDE-MS2"/>
      <sheetName val="PDE Sum-MS3"/>
      <sheetName val="TOC Purchase"/>
      <sheetName val="03"/>
      <sheetName val="P2-BNP"/>
      <sheetName val="P2-SCB"/>
      <sheetName val="P2-T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manent info"/>
      <sheetName val="Marshal"/>
      <sheetName val="F1771"/>
      <sheetName val="F1771-I"/>
      <sheetName val="F1771-5"/>
      <sheetName val="F1771-6"/>
      <sheetName val="F1771-2"/>
      <sheetName val="F1771-3"/>
      <sheetName val="Sheet1"/>
      <sheetName val="Komisaris"/>
      <sheetName val="Attachment"/>
      <sheetName val="FB"/>
      <sheetName val="Reconciliation"/>
      <sheetName val="Lampiran"/>
      <sheetName val="shareholders"/>
      <sheetName val="other expense"/>
      <sheetName val="Depreciation RBW (2)"/>
      <sheetName val="F1771_2"/>
      <sheetName val="GeneralInfo"/>
      <sheetName val="Family"/>
      <sheetName val="I-PPh Final"/>
      <sheetName val="K2-FA"/>
      <sheetName val="317932DEC99"/>
      <sheetName val="317932NOV99"/>
      <sheetName val="317932OCT99"/>
      <sheetName val="M(NS)"/>
      <sheetName val="TBM"/>
      <sheetName val="WPL"/>
      <sheetName val="SFKLN"/>
      <sheetName val="Gaji pokok + tunjangan tetap'03"/>
      <sheetName val="Permanent_info"/>
      <sheetName val="other_expense"/>
      <sheetName val="Depreciation_RBW_(2)"/>
      <sheetName val="FE-1771$.P1"/>
      <sheetName val="unit"/>
      <sheetName val="TB"/>
      <sheetName val="PTD"/>
      <sheetName val="F1771-IV"/>
      <sheetName val="ING"/>
      <sheetName val="DETIL"/>
      <sheetName val="PARAMETER"/>
      <sheetName val="pl"/>
      <sheetName val="General Info"/>
      <sheetName val="F1771_3"/>
      <sheetName val="VCELA"/>
      <sheetName val="Supplementary MR"/>
      <sheetName val="RUGILABA"/>
      <sheetName val="A"/>
      <sheetName val="Jual Mtr 10"/>
      <sheetName val="Name List"/>
      <sheetName val="F1771-V"/>
      <sheetName val="Ex_Rate"/>
      <sheetName val="SELISIHKURSSOURCE"/>
      <sheetName val="412"/>
      <sheetName val="B"/>
      <sheetName val="DEPK2003"/>
      <sheetName val="Reff"/>
      <sheetName val="Final"/>
      <sheetName val="NZ Sales Distribution"/>
      <sheetName val="P_L98"/>
      <sheetName val="F1771_II"/>
      <sheetName val="FE_1770_I"/>
      <sheetName val="FE_1770_P1"/>
      <sheetName val="FE_1770_II"/>
      <sheetName val="Data Client"/>
      <sheetName val="XREF"/>
      <sheetName val="Asset"/>
      <sheetName val="PLCKM"/>
      <sheetName val="PO Database@3101"/>
      <sheetName val="Data"/>
      <sheetName val="PEGAWAI"/>
      <sheetName val="WBS-WPL"/>
      <sheetName val="Cover (2)"/>
      <sheetName val="F1771-II"/>
      <sheetName val="F1771-III"/>
      <sheetName val="cov"/>
      <sheetName val="Total Adv Mod Training"/>
      <sheetName val="Mutasi"/>
      <sheetName val="Master"/>
      <sheetName val="omzet"/>
      <sheetName val="PEB"/>
      <sheetName val="INV-KTR"/>
    </sheetNames>
    <sheetDataSet>
      <sheetData sheetId="0">
        <row r="36">
          <cell r="E36">
            <v>0</v>
          </cell>
        </row>
      </sheetData>
      <sheetData sheetId="1">
        <row r="36">
          <cell r="E36">
            <v>0</v>
          </cell>
        </row>
      </sheetData>
      <sheetData sheetId="2">
        <row r="36">
          <cell r="E36">
            <v>0</v>
          </cell>
        </row>
      </sheetData>
      <sheetData sheetId="3">
        <row r="36">
          <cell r="E36">
            <v>0</v>
          </cell>
        </row>
      </sheetData>
      <sheetData sheetId="4">
        <row r="36">
          <cell r="E36">
            <v>0</v>
          </cell>
        </row>
      </sheetData>
      <sheetData sheetId="5">
        <row r="36">
          <cell r="E36">
            <v>0</v>
          </cell>
        </row>
      </sheetData>
      <sheetData sheetId="6" refreshError="1">
        <row r="36">
          <cell r="E36">
            <v>0</v>
          </cell>
        </row>
      </sheetData>
      <sheetData sheetId="7">
        <row r="36">
          <cell r="E36">
            <v>0</v>
          </cell>
        </row>
      </sheetData>
      <sheetData sheetId="8">
        <row r="36">
          <cell r="E36">
            <v>0</v>
          </cell>
        </row>
      </sheetData>
      <sheetData sheetId="9">
        <row r="36">
          <cell r="E36">
            <v>0</v>
          </cell>
        </row>
      </sheetData>
      <sheetData sheetId="10">
        <row r="36">
          <cell r="E36">
            <v>0</v>
          </cell>
        </row>
      </sheetData>
      <sheetData sheetId="11"/>
      <sheetData sheetId="12"/>
      <sheetData sheetId="13"/>
      <sheetData sheetId="14">
        <row r="36">
          <cell r="E36">
            <v>0</v>
          </cell>
        </row>
      </sheetData>
      <sheetData sheetId="15">
        <row r="36">
          <cell r="E36">
            <v>0</v>
          </cell>
        </row>
      </sheetData>
      <sheetData sheetId="16">
        <row r="36">
          <cell r="E36">
            <v>0</v>
          </cell>
        </row>
      </sheetData>
      <sheetData sheetId="17">
        <row r="36">
          <cell r="E36">
            <v>0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"/>
      <sheetName val="Permanent info"/>
      <sheetName val="F1771"/>
      <sheetName val="F1771-I"/>
      <sheetName val="F1771-II"/>
      <sheetName val="F1771-III"/>
      <sheetName val="F1771-IV"/>
      <sheetName val="F1771-V"/>
      <sheetName val="Depreciation  schedule"/>
      <sheetName val="Penyusutan (2)"/>
      <sheetName val="disposal assets"/>
      <sheetName val="Penyusutan"/>
      <sheetName val="Marshal"/>
      <sheetName val="Ref"/>
      <sheetName val="Pre-Op"/>
      <sheetName val="Attachement"/>
      <sheetName val="Lampiran"/>
      <sheetName val="daftar"/>
      <sheetName val="interest"/>
      <sheetName val="pph-25"/>
      <sheetName val="2%donat"/>
      <sheetName val="gol1"/>
      <sheetName val="gol2"/>
      <sheetName val="building"/>
      <sheetName val="disposal"/>
      <sheetName val="details fiscal adjustments"/>
      <sheetName val="rekonFA"/>
      <sheetName val="Sum empcost"/>
      <sheetName val="cover"/>
      <sheetName val="data wp"/>
      <sheetName val="kompensasi"/>
      <sheetName val="transaksi"/>
      <sheetName val="fasilitas"/>
      <sheetName val="cabang"/>
      <sheetName val="provision (3)"/>
      <sheetName val="Recon-Art.21"/>
      <sheetName val="Peny-2002"/>
      <sheetName val="FA-gainloss (2)"/>
      <sheetName val="Summary"/>
      <sheetName val="pengurus"/>
      <sheetName val="fiscal corr"/>
      <sheetName val="BS"/>
      <sheetName val="PL"/>
      <sheetName val="Marshal-2"/>
      <sheetName val="Marshal-3"/>
      <sheetName val="1771"/>
      <sheetName val="1771.2"/>
      <sheetName val="1771-I"/>
      <sheetName val="1771-II"/>
      <sheetName val="1771-III"/>
      <sheetName val="1771-IV"/>
      <sheetName val="1771-V"/>
      <sheetName val="1771-VI"/>
      <sheetName val="1771(E)"/>
      <sheetName val="1771.2(E)"/>
      <sheetName val="1771-I(E)"/>
      <sheetName val="1771-II(E)"/>
      <sheetName val="1771-III(E)"/>
      <sheetName val="1771-IV(E)"/>
      <sheetName val="1771-V(E)"/>
      <sheetName val="1771-VI(E)"/>
      <sheetName val="recon-21"/>
      <sheetName val="Depr-2002"/>
      <sheetName val="Depr-Comp"/>
      <sheetName val="FA-gainloss"/>
      <sheetName val="Attachment"/>
      <sheetName val="peny-2001"/>
      <sheetName val="director"/>
      <sheetName val="Depr-Comp (2)"/>
      <sheetName val="Marshal (3)"/>
      <sheetName val="Marshal (2)"/>
      <sheetName val="provision (2)"/>
      <sheetName val="provision"/>
      <sheetName val="fiscal corr (3)"/>
      <sheetName val="fiscal corr (2)"/>
      <sheetName val="F1771_IV"/>
      <sheetName val="F1771_V"/>
      <sheetName val="Family"/>
      <sheetName val="GeneralInfo"/>
      <sheetName val="CODE"/>
      <sheetName val="TBM"/>
      <sheetName val="fiscal depr(E)"/>
      <sheetName val="F1771-2"/>
      <sheetName val="DETAIL"/>
      <sheetName val="RPMCOST"/>
      <sheetName val="JARS"/>
      <sheetName val="LABELS"/>
      <sheetName val="MNHRS"/>
      <sheetName val="RAWMAT"/>
      <sheetName val="Pagos"/>
      <sheetName val="Factura"/>
      <sheetName val="Selling_Exp"/>
      <sheetName val="CostRecovery - JV"/>
      <sheetName val="Lead"/>
      <sheetName val="Master"/>
      <sheetName val="Worksheet-03"/>
      <sheetName val="Principale"/>
      <sheetName val="Assump"/>
      <sheetName val="Other charges (income)"/>
      <sheetName val="SFKLN"/>
      <sheetName val="WPL"/>
      <sheetName val="Permanent_info"/>
      <sheetName val="Depreciation__schedule"/>
      <sheetName val="Penyusutan_(2)"/>
      <sheetName val="disposal_assets"/>
      <sheetName val="details_fiscal_adjustments"/>
      <sheetName val="Sum_empcost"/>
      <sheetName val="data_wp"/>
      <sheetName val="provision_(3)"/>
      <sheetName val="Recon-Art_21"/>
      <sheetName val="FA-gainloss_(2)"/>
      <sheetName val="fiscal_corr"/>
      <sheetName val="1771_2"/>
      <sheetName val="1771_2(E)"/>
      <sheetName val="Depr-Comp_(2)"/>
      <sheetName val="Marshal_(3)"/>
      <sheetName val="Marshal_(2)"/>
      <sheetName val="provision_(2)"/>
      <sheetName val="fiscal_corr_(3)"/>
      <sheetName val="fiscal_corr_(2)"/>
      <sheetName val="PENJ.NERACA"/>
      <sheetName val="TBS1"/>
      <sheetName val="bill qty"/>
      <sheetName val="fiscal_depr(E)"/>
      <sheetName val="Neraca"/>
      <sheetName val="A"/>
      <sheetName val="data"/>
      <sheetName val="data_val"/>
      <sheetName val="depreciation"/>
      <sheetName val="addition-assets"/>
      <sheetName val="DSR"/>
      <sheetName val="Interdata"/>
      <sheetName val="Journal Template"/>
      <sheetName val="Commercial"/>
      <sheetName val="20-25-MAR"/>
      <sheetName val="1998 CITR"/>
      <sheetName val="Sheet1"/>
      <sheetName val="FA Movement IBIC"/>
      <sheetName val="Cal"/>
      <sheetName val="Mort"/>
      <sheetName val="1"/>
      <sheetName val="WIP DETAIL (GL VS NMP)"/>
      <sheetName val="NO FAKTUR"/>
      <sheetName val="Gaikindo Report"/>
      <sheetName val="Trial Bal"/>
      <sheetName val="Notes to BS"/>
      <sheetName val="Data Sheet"/>
      <sheetName val="TEMP"/>
      <sheetName val="VEN"/>
      <sheetName val="Tickmarks"/>
      <sheetName val="Mutasi Final"/>
      <sheetName val="B7"/>
      <sheetName val="Client Aje"/>
      <sheetName val="Ex-Rate"/>
      <sheetName val="I-BUT"/>
      <sheetName val="12"/>
      <sheetName val="BTL"/>
      <sheetName val="WBS1"/>
      <sheetName val="NY ADMIN"/>
      <sheetName val="Mei 2007"/>
      <sheetName val="EQ"/>
      <sheetName val="P3"/>
      <sheetName val="Rates"/>
      <sheetName val="TAX_LIST"/>
      <sheetName val="Asumsi"/>
      <sheetName val="VALIDASI"/>
      <sheetName val="Additional"/>
      <sheetName val="Depresiasi"/>
      <sheetName val="Instructions"/>
      <sheetName val="Cons"/>
      <sheetName val="3800-Interim"/>
      <sheetName val="FA FISKAL"/>
      <sheetName val="B25-95"/>
      <sheetName val="Accrued (ckrg)"/>
      <sheetName val="RWP 33"/>
      <sheetName val="FA Movement"/>
      <sheetName val="C1 NOV"/>
      <sheetName val="PO"/>
      <sheetName val="WK Local"/>
      <sheetName val="NY_ADMIN"/>
      <sheetName val="Mei_2007"/>
      <sheetName val="FA_FISKAL"/>
      <sheetName val="FA_Movement_IBIC"/>
      <sheetName val="Assumption"/>
      <sheetName val="FF-6"/>
      <sheetName val="FE-1771$.P1"/>
      <sheetName val="Horizon Cost Saves Pkg"/>
      <sheetName val="hitung"/>
      <sheetName val="detailed"/>
      <sheetName val="TableLookup"/>
      <sheetName val="FCastOptg"/>
      <sheetName val="1771-I2_x0000__x0000_"/>
      <sheetName val="Invoice Cross Reference"/>
      <sheetName val="Spec 22104"/>
      <sheetName val="OT August  Drmx  08"/>
      <sheetName val="DATA SLIP"/>
      <sheetName val="LPP-2"/>
      <sheetName val="Quantitatif"/>
      <sheetName val="ASS-UNIT"/>
      <sheetName val="CASH FLOW"/>
      <sheetName val="Simple Coff."/>
      <sheetName val="DCF"/>
      <sheetName val="PopCache"/>
      <sheetName val="Input _EAST"/>
      <sheetName val="Input_TOTAL"/>
      <sheetName val="I-PPh Final"/>
      <sheetName val="1771-I2_x005f_x0000__x005f_x0000_"/>
      <sheetName val="Introduction"/>
      <sheetName val="CostRecovery_-_JV"/>
      <sheetName val="Pnrmanent info"/>
      <sheetName val="CHIPPING"/>
      <sheetName val="1771-I2"/>
      <sheetName val="Prof0201"/>
      <sheetName val="Prof2606"/>
      <sheetName val="CRITERIA3"/>
      <sheetName val="UNITPRICE"/>
      <sheetName val="(ABS) JUL-AGST'07"/>
      <sheetName val="Sheet2"/>
      <sheetName val="AGM"/>
      <sheetName val="K100"/>
      <sheetName val="K101"/>
      <sheetName val="P001"/>
      <sheetName val="G400"/>
      <sheetName val="21"/>
      <sheetName val="Ex_Rate"/>
      <sheetName val="Permanent_info1"/>
      <sheetName val="Depreciation__schedule1"/>
      <sheetName val="Penyusutan_(2)1"/>
      <sheetName val="disposal_assets1"/>
      <sheetName val="details_fiscal_adjustments1"/>
      <sheetName val="Sum_empcost1"/>
      <sheetName val="data_wp1"/>
      <sheetName val="provision_(3)1"/>
      <sheetName val="Recon-Art_211"/>
      <sheetName val="FA-gainloss_(2)1"/>
      <sheetName val="fiscal_corr1"/>
      <sheetName val="1771_21"/>
      <sheetName val="1771_2(E)1"/>
      <sheetName val="Depr-Comp_(2)1"/>
      <sheetName val="Marshal_(3)1"/>
      <sheetName val="Marshal_(2)1"/>
      <sheetName val="provision_(2)1"/>
      <sheetName val="fiscal_corr_(3)1"/>
      <sheetName val="fiscal_corr_(2)1"/>
      <sheetName val="fiscal_depr(E)1"/>
      <sheetName val="Other_charges_(income)"/>
      <sheetName val="I-PPh_Final"/>
      <sheetName val="OT_August__Drmx__08"/>
      <sheetName val="DATA_SLIP"/>
      <sheetName val="(ABS)_JUL-AGST'07"/>
      <sheetName val="FE-1770-I"/>
      <sheetName val="FE-1770.P1"/>
      <sheetName val="FE-1770-II"/>
      <sheetName val="RATE"/>
      <sheetName val="F1771_2"/>
      <sheetName val="JSB"/>
      <sheetName val="KODJA"/>
      <sheetName val="Overall _4_"/>
      <sheetName val="Overall _2_"/>
      <sheetName val="nto71"/>
      <sheetName val="Cruser Sp71"/>
      <sheetName val="Accounts Payable (AA)"/>
      <sheetName val="10-1-1"/>
      <sheetName val="Total_Cost"/>
      <sheetName val="PAJE-2007"/>
      <sheetName val="TBCons KMB04"/>
      <sheetName val="RL"/>
      <sheetName val="PROD.FRY-MONODON"/>
      <sheetName val="CostRecovery_-_JV1"/>
      <sheetName val="Permanent_info2"/>
      <sheetName val="Depreciation__schedule2"/>
      <sheetName val="Penyusutan_(2)2"/>
      <sheetName val="disposal_assets2"/>
      <sheetName val="details_fiscal_adjustments2"/>
      <sheetName val="Sum_empcost2"/>
      <sheetName val="data_wp2"/>
      <sheetName val="provision_(3)2"/>
      <sheetName val="Recon-Art_212"/>
      <sheetName val="FA-gainloss_(2)2"/>
      <sheetName val="fiscal_corr2"/>
      <sheetName val="1771_22"/>
      <sheetName val="1771_2(E)2"/>
      <sheetName val="Depr-Comp_(2)2"/>
      <sheetName val="Marshal_(3)2"/>
      <sheetName val="Marshal_(2)2"/>
      <sheetName val="provision_(2)2"/>
      <sheetName val="fiscal_corr_(3)2"/>
      <sheetName val="fiscal_corr_(2)2"/>
      <sheetName val="fiscal_depr(E)2"/>
      <sheetName val="CostRecovery_-_JV2"/>
      <sheetName val="SE-C"/>
      <sheetName val="Mort-07"/>
      <sheetName val="In_VCTC_DIVA"/>
      <sheetName val="2-asi-00"/>
      <sheetName val="Note"/>
      <sheetName val="rab_50"/>
      <sheetName val="Range"/>
      <sheetName val="Macro5"/>
      <sheetName val="Sheet3"/>
      <sheetName val="sep ST"/>
      <sheetName val="VarianceFY00vsBP"/>
      <sheetName val="960.1123.03cleared"/>
      <sheetName val="Exc. Rate"/>
      <sheetName val="Details"/>
      <sheetName val="Flash var."/>
      <sheetName val="P&amp;L INPUT"/>
      <sheetName val="Portofolio Trading"/>
      <sheetName val="APAC Q1FY09 - Oracle"/>
      <sheetName val="PopCache_Sheet1"/>
      <sheetName val="AR EXPORT"/>
      <sheetName val="CAPALLOW"/>
      <sheetName val="jan book"/>
      <sheetName val="cost recovery"/>
      <sheetName val="Phasing by Month"/>
      <sheetName val="Cost Input Sheet"/>
      <sheetName val="Detail Lead"/>
      <sheetName val="WELLTEST"/>
      <sheetName val="OthAsset roll"/>
      <sheetName val="CoA"/>
      <sheetName val="Ref-As Is GL acc"/>
      <sheetName val="Act"/>
      <sheetName val="Input Sheet"/>
      <sheetName val="Location_Details _2_"/>
      <sheetName val="DEP_$"/>
      <sheetName val="MAP BS"/>
      <sheetName val="TBC05 Net"/>
      <sheetName val="Para_Assumption"/>
      <sheetName val="1721-A1 (terbaru)"/>
      <sheetName val="选择报表"/>
      <sheetName val="lan"/>
      <sheetName val="Q 1"/>
      <sheetName val=" WP SPT 2012 - 23.04.2013.xlsx"/>
      <sheetName val="SUMMARY 2001"/>
      <sheetName val="April"/>
      <sheetName val="Pkgg"/>
      <sheetName val="1771-I2??"/>
      <sheetName val="PENJ_NERACA"/>
      <sheetName val="Workshop Tools"/>
      <sheetName val="REF.ONLY"/>
      <sheetName val="Link"/>
      <sheetName val="Disclaimer"/>
      <sheetName val="Main Menu"/>
      <sheetName val="Chart"/>
      <sheetName val="Schedule Contract &amp; SILO"/>
      <sheetName val="Assumptions"/>
      <sheetName val="Sales and Collections"/>
      <sheetName val="Cost of Sales"/>
      <sheetName val="Operating Expenses "/>
      <sheetName val="Headcount"/>
      <sheetName val="Capital"/>
      <sheetName val="Loans"/>
      <sheetName val="Cash"/>
      <sheetName val="Consolidated_Forecast"/>
      <sheetName val="Est. Income By Rig"/>
      <sheetName val="Loan1"/>
      <sheetName val="Loan2"/>
      <sheetName val="Leasing TA Duri"/>
      <sheetName val="G&amp;A"/>
      <sheetName val="Transport"/>
      <sheetName val="Rental"/>
      <sheetName val="TA Jakarta"/>
      <sheetName val="HES"/>
      <sheetName val="HRD"/>
      <sheetName val="Capex"/>
      <sheetName val="Breakdown Cost-Well Control"/>
      <sheetName val="P &amp; L 1st-Invst-Well Control"/>
      <sheetName val="Asset TA"/>
      <sheetName val="BdgtAsset&amp;Inv"/>
      <sheetName val="Detail COGS"/>
      <sheetName val="Journal_Template"/>
      <sheetName val="NO_FAKTUR"/>
      <sheetName val="Notes_to_BS"/>
      <sheetName val="Trial_Bal"/>
      <sheetName val="Client_Aje"/>
      <sheetName val="1998_CITR"/>
      <sheetName val="Gaikindo_Report"/>
      <sheetName val="Journal_Template1"/>
      <sheetName val="FA_Movement_IBIC1"/>
      <sheetName val="NO_FAKTUR1"/>
      <sheetName val="Notes_to_BS1"/>
      <sheetName val="Trial_Bal1"/>
      <sheetName val="Client_Aje1"/>
      <sheetName val="1998_CITR1"/>
      <sheetName val="Other_charges_(income)1"/>
      <sheetName val="Gaikindo_Report1"/>
      <sheetName val="Data_Sheet"/>
      <sheetName val="Mutasi_Final"/>
      <sheetName val="WIP_DETAIL_(GL_VS_NMP)"/>
      <sheetName val="Accrued_(ckrg)"/>
      <sheetName val="trf multiple dnrks"/>
      <sheetName val="Expenses"/>
      <sheetName val="New format sales"/>
      <sheetName val="RATE-NEW"/>
      <sheetName val="status"/>
      <sheetName val="LE767 GLOBAL CHECKLIST_updated"/>
      <sheetName val="PO &amp; TL_Market Specific"/>
      <sheetName val="Issue Sheet"/>
      <sheetName val="I. SAP Screen"/>
      <sheetName val="II. OTR - BAS G1"/>
      <sheetName val="OTR-Manual"/>
      <sheetName val="III. AR Recon"/>
      <sheetName val="IV. AR"/>
      <sheetName val="V.Zero rated"/>
      <sheetName val="VI. IC Recon 828 to 2213"/>
      <sheetName val="IC Recon 800-2213"/>
      <sheetName val="Capital Purchases BAS"/>
      <sheetName val="VII. AP BAS G11"/>
      <sheetName val="VIII. KN Rec"/>
      <sheetName val="IX ITR"/>
      <sheetName val="X. 12041001"/>
      <sheetName val="XI. Cust Output GST"/>
      <sheetName val="XII Vend Input GST"/>
      <sheetName val="å's ="/>
      <sheetName val="N 100.F Lead"/>
      <sheetName val="WP IC Exp January 2010"/>
      <sheetName val="V.D.5-2"/>
      <sheetName val="TAX LIST"/>
      <sheetName val="Input"/>
      <sheetName val="Table 5"/>
      <sheetName val="2001GeneralInfo"/>
      <sheetName val="BBM-03"/>
      <sheetName val="12-06-ins"/>
      <sheetName val="Links"/>
      <sheetName val="Invoice"/>
      <sheetName val="Revenue"/>
      <sheetName val="User"/>
      <sheetName val="CONTROL"/>
      <sheetName val="MONTH"/>
      <sheetName val="MRC1"/>
      <sheetName val="COST"/>
      <sheetName val="Bal.Sheet"/>
      <sheetName val="OpTrack"/>
      <sheetName val="VAT OUT GL"/>
      <sheetName val="Table"/>
      <sheetName val="CFWork"/>
      <sheetName val="E-9.3(PBC)"/>
      <sheetName val="@GeneralInfo"/>
      <sheetName val="FE-1771$_P1"/>
      <sheetName val="bill_qty"/>
      <sheetName val="NY_ADMIN1"/>
      <sheetName val="Mei_20071"/>
      <sheetName val="FA_FISKAL1"/>
      <sheetName val="RWP_33"/>
      <sheetName val="FA_Movement"/>
      <sheetName val="C1_NOV"/>
      <sheetName val="WK_Local"/>
      <sheetName val="Horizon_Cost_Saves_Pkg"/>
      <sheetName val="Invoice_Cross_Reference"/>
      <sheetName val="Spec_22104"/>
      <sheetName val="A1-11"/>
      <sheetName val="A1-12"/>
      <sheetName val="Drivers"/>
      <sheetName val="Tankers"/>
      <sheetName val="Sources"/>
      <sheetName val="TB"/>
      <sheetName val="dtxl"/>
      <sheetName val="Biaya"/>
      <sheetName val="A. Data Permintaan Produk"/>
      <sheetName val="C. Data Faktur "/>
      <sheetName val="Data Kalender"/>
      <sheetName val="M. Data Biaya Kirim"/>
      <sheetName val="1771-I2_x005f_x005f_x005f_x0000__x005f_x005f_x000"/>
      <sheetName val="P&amp;L"/>
      <sheetName val="trf 7 jht"/>
      <sheetName val="Income Statement"/>
      <sheetName val="console"/>
      <sheetName val="412"/>
      <sheetName val="Information"/>
      <sheetName val="Breakevn"/>
      <sheetName val="jan_book"/>
      <sheetName val="sep_ST"/>
      <sheetName val="Detail_Lead"/>
      <sheetName val="Phasing_by_Month"/>
      <sheetName val="Cost_Input_Sheet"/>
      <sheetName val="cost_recovery"/>
      <sheetName val="Ref-As_Is_GL_acc"/>
      <sheetName val="P&amp;L_INPUT"/>
      <sheetName val="OthAsset_roll"/>
      <sheetName val="Input_Sheet"/>
      <sheetName val="Portofolio_Trading"/>
      <sheetName val="APAC_Q1FY09_-_Oracle"/>
      <sheetName val="PROD_FRY-MONODON"/>
      <sheetName val="Accounts_Payable_(AA)"/>
      <sheetName val="TBCons_KMB04"/>
      <sheetName val="AR_EXPORT"/>
      <sheetName val="1721-A1_(terbaru)"/>
      <sheetName val="Q_1"/>
      <sheetName val="V_D_5-2"/>
      <sheetName val="Location_Details__2_"/>
      <sheetName val="FA_Movement_IBIC2"/>
      <sheetName val="Data_Sheet1"/>
      <sheetName val="Accrued_(ckrg)1"/>
      <sheetName val="WIP_DETAIL_(GL_VS_NMP)1"/>
      <sheetName val="NY_ADMIN2"/>
      <sheetName val="Mei_20072"/>
      <sheetName val="FA_FISKAL2"/>
      <sheetName val="Mutasi_Final1"/>
      <sheetName val="FE-1771$_P11"/>
      <sheetName val="RWP_331"/>
      <sheetName val="WK_Local1"/>
      <sheetName val="FA_Movement1"/>
      <sheetName val="C1_NOV1"/>
      <sheetName val="jan_book1"/>
      <sheetName val="Horizon_Cost_Saves_Pkg1"/>
      <sheetName val="sep_ST1"/>
      <sheetName val="Detail_Lead1"/>
      <sheetName val="Phasing_by_Month1"/>
      <sheetName val="Cost_Input_Sheet1"/>
      <sheetName val="cost_recovery1"/>
      <sheetName val="Ref-As_Is_GL_acc1"/>
      <sheetName val="P&amp;L_INPUT1"/>
      <sheetName val="OthAsset_roll1"/>
      <sheetName val="Input_Sheet1"/>
      <sheetName val="Portofolio_Trading1"/>
      <sheetName val="APAC_Q1FY09_-_Oracle1"/>
      <sheetName val="PROD_FRY-MONODON1"/>
      <sheetName val="Accounts_Payable_(AA)1"/>
      <sheetName val="TBCons_KMB041"/>
      <sheetName val="AR_EXPORT1"/>
      <sheetName val="1721-A1_(terbaru)1"/>
      <sheetName val="Q_11"/>
      <sheetName val="V_D_5-21"/>
      <sheetName val="Location_Details__2_1"/>
      <sheetName val="Permanent_info3"/>
      <sheetName val="details_fiscal_adjustments3"/>
      <sheetName val="Sum_empcost3"/>
      <sheetName val="fiscal_depr(E)3"/>
      <sheetName val="FA_Movement_IBIC3"/>
      <sheetName val="Notes_to_BS2"/>
      <sheetName val="Trial_Bal2"/>
      <sheetName val="Data_Sheet2"/>
      <sheetName val="Journal_Template2"/>
      <sheetName val="NO_FAKTUR2"/>
      <sheetName val="1998_CITR2"/>
      <sheetName val="Client_Aje2"/>
      <sheetName val="Accrued_(ckrg)2"/>
      <sheetName val="Gaikindo_Report2"/>
      <sheetName val="WIP_DETAIL_(GL_VS_NMP)2"/>
      <sheetName val="NY_ADMIN3"/>
      <sheetName val="Mei_20073"/>
      <sheetName val="FA_FISKAL3"/>
      <sheetName val="Other_charges_(income)2"/>
      <sheetName val="Mutasi_Final2"/>
      <sheetName val="FE-1771$_P12"/>
      <sheetName val="RWP_332"/>
      <sheetName val="WK_Local2"/>
      <sheetName val="FA_Movement2"/>
      <sheetName val="C1_NOV2"/>
      <sheetName val="jan_book2"/>
      <sheetName val="Horizon_Cost_Saves_Pkg2"/>
      <sheetName val="sep_ST2"/>
      <sheetName val="Detail_Lead2"/>
      <sheetName val="Phasing_by_Month2"/>
      <sheetName val="Cost_Input_Sheet2"/>
      <sheetName val="cost_recovery2"/>
      <sheetName val="Ref-As_Is_GL_acc2"/>
      <sheetName val="P&amp;L_INPUT2"/>
      <sheetName val="OthAsset_roll2"/>
      <sheetName val="Input_Sheet2"/>
      <sheetName val="Portofolio_Trading2"/>
      <sheetName val="APAC_Q1FY09_-_Oracle2"/>
      <sheetName val="PROD_FRY-MONODON2"/>
      <sheetName val="Accounts_Payable_(AA)2"/>
      <sheetName val="TBCons_KMB042"/>
      <sheetName val="AR_EXPORT2"/>
      <sheetName val="1721-A1_(terbaru)2"/>
      <sheetName val="Q_12"/>
      <sheetName val="V_D_5-22"/>
      <sheetName val="Location_Details__2_2"/>
      <sheetName val="Database"/>
      <sheetName val="BD"/>
      <sheetName val="TABEL23"/>
      <sheetName val="1771-I2__"/>
      <sheetName val="AR Karyawan"/>
      <sheetName val="2.Gaji-Bag"/>
      <sheetName val="Deferred Rev"/>
      <sheetName val="1771-I2_x005f_x005f_x005f_x005f_x005f_x005f_x005f"/>
      <sheetName val="1771-I2_x005f_x005f_x005f_x005f_x005f_x005f_x0000"/>
      <sheetName val="Val_Ind"/>
      <sheetName val="Val_Mean"/>
      <sheetName val="Mult_Decrement"/>
      <sheetName val="Val_Result"/>
      <sheetName val="Plan_Rules"/>
      <sheetName val="uu13"/>
      <sheetName val="tarip"/>
      <sheetName val="Jurnal"/>
      <sheetName val="1200.20"/>
      <sheetName val="Data_Cust (2)"/>
      <sheetName val="Data23"/>
      <sheetName val="Data26"/>
      <sheetName val="LIST"/>
      <sheetName val="IS"/>
      <sheetName val="N.3"/>
      <sheetName val="4.1 Placement w.o.b"/>
      <sheetName val="OFFICE"/>
      <sheetName val="SAP-JKT"/>
      <sheetName val="Kewajiban Lainnya"/>
      <sheetName val="CMA Addition"/>
      <sheetName val="Machinery"/>
      <sheetName val="Feb Audited"/>
      <sheetName val="P &amp; L"/>
      <sheetName val="REV_1702"/>
      <sheetName val="EXC-R2004"/>
      <sheetName val="Jrnl_Kas"/>
      <sheetName val="23"/>
      <sheetName val="United Kingdom"/>
      <sheetName val="combined"/>
      <sheetName val="WACC"/>
      <sheetName val="Cover-01"/>
      <sheetName val="Equity"/>
      <sheetName val="RE reconciliation"/>
      <sheetName val="Account Code"/>
      <sheetName val="General Info"/>
      <sheetName val="Trial"/>
      <sheetName val="ACTIVE EMP SHARP"/>
      <sheetName val="_REF"/>
      <sheetName val="HAS04RND"/>
      <sheetName val="Tab.Daten"/>
      <sheetName val="DetailedHelp"/>
      <sheetName val="6"/>
      <sheetName val="DataValidation"/>
      <sheetName val="2005"/>
      <sheetName val="Combined FA"/>
      <sheetName val="CM Tgl"/>
      <sheetName val="NMN"/>
      <sheetName val="SBM"/>
      <sheetName val="GBSM"/>
      <sheetName val="Meka"/>
      <sheetName val="NTM"/>
      <sheetName val="CODESS"/>
      <sheetName val="WACC_VDF"/>
      <sheetName val="Assumpt_Cons"/>
      <sheetName val="fr BS"/>
      <sheetName val="P&amp;L Adjustment"/>
      <sheetName val="populasi"/>
      <sheetName val="aktdit(WP)"/>
      <sheetName val="Engineering Workload"/>
      <sheetName val="BSLA"/>
      <sheetName val="Depreciation__schedule3"/>
      <sheetName val="Penyusutan_(2)3"/>
      <sheetName val="disposal_assets3"/>
      <sheetName val="data_wp3"/>
      <sheetName val="provision_(3)3"/>
      <sheetName val="Recon-Art_213"/>
      <sheetName val="FA-gainloss_(2)3"/>
      <sheetName val="fiscal_corr3"/>
      <sheetName val="1771_23"/>
      <sheetName val="1771_2(E)3"/>
      <sheetName val="Depr-Comp_(2)3"/>
      <sheetName val="Marshal_(3)3"/>
      <sheetName val="Marshal_(2)3"/>
      <sheetName val="provision_(2)3"/>
      <sheetName val="fiscal_corr_(3)3"/>
      <sheetName val="fiscal_corr_(2)3"/>
      <sheetName val="CostRecovery_-_JV3"/>
      <sheetName val="PENJ_NERACA1"/>
      <sheetName val="CASH_FLOW"/>
      <sheetName val="I-PPh_Final1"/>
      <sheetName val="Input__EAST"/>
      <sheetName val="Simple_Coff_"/>
      <sheetName val="OT_August__Drmx__081"/>
      <sheetName val="DATA_SLIP1"/>
      <sheetName val="(ABS)_JUL-AGST'071"/>
      <sheetName val="Pnrmanent_info"/>
      <sheetName val="REF_ONLY"/>
      <sheetName val="Workshop_Tools"/>
      <sheetName val="FE-1770_P1"/>
      <sheetName val="Flash_var_"/>
      <sheetName val="MAP_BS"/>
      <sheetName val="TBC05_Net"/>
      <sheetName val="_WP_SPT_2012_-_23_04_2013_xlsx"/>
      <sheetName val="SUMMARY_2001"/>
      <sheetName val="960_1123_03cleared"/>
      <sheetName val="Exc__Rate"/>
      <sheetName val="OT_August__Drmx__082"/>
      <sheetName val="DATA_SLIP2"/>
      <sheetName val="(ABS)_JUL-AGST'072"/>
      <sheetName val="I-PPh_Final2"/>
      <sheetName val="Vol_Pd_Tot"/>
      <sheetName val="FJT"/>
      <sheetName val="WI"/>
      <sheetName val="tr"/>
      <sheetName val="S e p"/>
      <sheetName val="M a y"/>
      <sheetName val="J u l"/>
      <sheetName val="N o v"/>
      <sheetName val="O c t"/>
      <sheetName val="M a r"/>
      <sheetName val="F e b"/>
      <sheetName val="J a n"/>
      <sheetName val="00 received in 01"/>
      <sheetName val="A p r"/>
      <sheetName val="A u g"/>
      <sheetName val="WWb"/>
      <sheetName val="PEMBELIAN-05"/>
      <sheetName val="bdrl-usg"/>
      <sheetName val="PEMBELIAN-11"/>
      <sheetName val="Per GL J a n"/>
      <sheetName val="통계자료"/>
      <sheetName val="CC.1"/>
      <sheetName val="FI 30 Jun'06"/>
      <sheetName val="KHUSUS BRAVO II"/>
      <sheetName val="upload"/>
      <sheetName val="Petrosea"/>
      <sheetName val="PEMAKAIAN PAKAN &amp; OBAT"/>
      <sheetName val="Contracts"/>
      <sheetName val="WACC-Temp 2003"/>
      <sheetName val="Curve"/>
      <sheetName val="Wtr &amp; Dist"/>
      <sheetName val="Power plant"/>
      <sheetName val="DATA FORWARDER"/>
      <sheetName val="CC.2"/>
      <sheetName val="CC.3"/>
      <sheetName val="EBITRECS"/>
      <sheetName val="Pg2"/>
      <sheetName val="WBS2"/>
      <sheetName val="Permanent_info4"/>
      <sheetName val="details_fiscal_adjustments4"/>
      <sheetName val="Sum_empcost4"/>
      <sheetName val="FA_Movement_IBIC4"/>
      <sheetName val="fiscal_depr(E)4"/>
      <sheetName val="Journal_Template3"/>
      <sheetName val="NO_FAKTUR3"/>
      <sheetName val="Notes_to_BS3"/>
      <sheetName val="Trial_Bal3"/>
      <sheetName val="1998_CITR3"/>
      <sheetName val="Client_Aje3"/>
      <sheetName val="Accrued_(ckrg)3"/>
      <sheetName val="WIP_DETAIL_(GL_VS_NMP)3"/>
      <sheetName val="Gaikindo_Report3"/>
      <sheetName val="Data_Sheet3"/>
      <sheetName val="NY_ADMIN4"/>
      <sheetName val="Mei_20074"/>
      <sheetName val="FA_FISKAL4"/>
      <sheetName val="Mutasi_Final3"/>
      <sheetName val="FE-1771$_P13"/>
      <sheetName val="Other_charges_(income)3"/>
      <sheetName val="RWP_333"/>
      <sheetName val="WK_Local3"/>
      <sheetName val="FA_Movement3"/>
      <sheetName val="Detail_Lead3"/>
      <sheetName val="sep_ST3"/>
      <sheetName val="C1_NOV3"/>
      <sheetName val="Horizon_Cost_Saves_Pkg3"/>
      <sheetName val="P&amp;L_INPUT3"/>
      <sheetName val="jan_book3"/>
      <sheetName val="OthAsset_roll3"/>
      <sheetName val="PROD_FRY-MONODON3"/>
      <sheetName val="Accounts_Payable_(AA)3"/>
      <sheetName val="Ref-As_Is_GL_acc3"/>
      <sheetName val="AR_EXPORT3"/>
      <sheetName val="Location_Details__2_3"/>
      <sheetName val="Portofolio_Trading3"/>
      <sheetName val="APAC_Q1FY09_-_Oracle3"/>
      <sheetName val="cost_recovery3"/>
      <sheetName val="Phasing_by_Month3"/>
      <sheetName val="Cost_Input_Sheet3"/>
      <sheetName val="TBCons_KMB043"/>
      <sheetName val="1721-A1_(terbaru)3"/>
      <sheetName val="Q_13"/>
      <sheetName val="Input_Sheet3"/>
      <sheetName val="Table_5"/>
      <sheetName val="TAX_LIST1"/>
      <sheetName val="V_D_5-23"/>
      <sheetName val="LE767_GLOBAL_CHECKLIST_updated"/>
      <sheetName val="PO_&amp;_TL_Market_Specific"/>
      <sheetName val="Issue_Sheet"/>
      <sheetName val="I__SAP_Screen"/>
      <sheetName val="II__OTR_-_BAS_G1"/>
      <sheetName val="III__AR_Recon"/>
      <sheetName val="IV__AR"/>
      <sheetName val="V_Zero_rated"/>
      <sheetName val="VI__IC_Recon_828_to_2213"/>
      <sheetName val="IC_Recon_800-2213"/>
      <sheetName val="Capital_Purchases_BAS"/>
      <sheetName val="VII__AP_BAS_G11"/>
      <sheetName val="VIII__KN_Rec"/>
      <sheetName val="IX_ITR"/>
      <sheetName val="X__12041001"/>
      <sheetName val="XI__Cust_Output_GST"/>
      <sheetName val="XII_Vend_Input_GST"/>
      <sheetName val="å's_="/>
      <sheetName val="N_100_F_Lead"/>
      <sheetName val="WP_IC_Exp_January_2010"/>
      <sheetName val="trf_multiple_dnrks"/>
      <sheetName val="New_format_sales"/>
      <sheetName val="Main_Menu"/>
      <sheetName val="Schedule_Contract_&amp;_SILO"/>
      <sheetName val="Sales_and_Collections"/>
      <sheetName val="Cost_of_Sales"/>
      <sheetName val="Operating_Expenses_"/>
      <sheetName val="Est__Income_By_Rig"/>
      <sheetName val="Leasing_TA_Duri"/>
      <sheetName val="TA_Jakarta"/>
      <sheetName val="Breakdown_Cost-Well_Control"/>
      <sheetName val="P_&amp;_L_1st-Invst-Well_Control"/>
      <sheetName val="Asset_TA"/>
      <sheetName val="Detail_COGS"/>
      <sheetName val="United_Kingdom"/>
      <sheetName val="RE_reconciliation"/>
      <sheetName val="1200_20"/>
      <sheetName val="fr_BS"/>
      <sheetName val="P&amp;L_Adjustment"/>
      <sheetName val="Combined_FA"/>
      <sheetName val="CM_Tgl"/>
      <sheetName val="Marshal-SPT"/>
      <sheetName val="Schedule-TB"/>
      <sheetName val="Lamp-14(Manajemen)"/>
      <sheetName val="PC-1"/>
      <sheetName val="UsulPnn"/>
      <sheetName val="ESTIMASI MITRA"/>
      <sheetName val="SE"/>
      <sheetName val="part"/>
      <sheetName val="MFWP"/>
      <sheetName val="sapactivexlhiddensheet"/>
      <sheetName val="Rooms"/>
      <sheetName val="調査シート"/>
      <sheetName val="AJP-AUDITOR"/>
      <sheetName val="TERM OF PAYMENT"/>
      <sheetName val="Matrix"/>
      <sheetName val=" Posting"/>
      <sheetName val="Down Payment Invoice"/>
      <sheetName val="ING"/>
      <sheetName val="Anciliary Revenues"/>
      <sheetName val="ID"/>
      <sheetName val="SUM (2)"/>
      <sheetName val="Constants"/>
      <sheetName val="PA"/>
      <sheetName val="CASH_FLOW1"/>
      <sheetName val="bill_qty1"/>
      <sheetName val="Invoice_Cross_Reference1"/>
      <sheetName val="Spec_221041"/>
      <sheetName val="Overall__4_"/>
      <sheetName val="Overall__2_"/>
      <sheetName val="Cruser_Sp71"/>
      <sheetName val="Down_Payment_Invoice"/>
      <sheetName val="Depreciation__schedule4"/>
      <sheetName val="Penyusutan_(2)4"/>
      <sheetName val="disposal_assets4"/>
      <sheetName val="data_wp4"/>
      <sheetName val="provision_(3)4"/>
      <sheetName val="Recon-Art_214"/>
      <sheetName val="FA-gainloss_(2)4"/>
      <sheetName val="fiscal_corr4"/>
      <sheetName val="1771_24"/>
      <sheetName val="1771_2(E)4"/>
      <sheetName val="Depr-Comp_(2)4"/>
      <sheetName val="Marshal_(3)4"/>
      <sheetName val="Marshal_(2)4"/>
      <sheetName val="provision_(2)4"/>
      <sheetName val="fiscal_corr_(3)4"/>
      <sheetName val="fiscal_corr_(2)4"/>
      <sheetName val="CostRecovery_-_JV4"/>
      <sheetName val="PENJ_NERACA2"/>
      <sheetName val="bill_qty2"/>
      <sheetName val="CASH_FLOW2"/>
      <sheetName val="Invoice_Cross_Reference2"/>
      <sheetName val="Spec_221042"/>
      <sheetName val="Input__EAST1"/>
      <sheetName val="Simple_Coff_1"/>
      <sheetName val="Overall__4_1"/>
      <sheetName val="Overall__2_1"/>
      <sheetName val="Cruser_Sp711"/>
      <sheetName val="Pnrmanent_info1"/>
      <sheetName val="Down_Payment_Invoice1"/>
      <sheetName val="REF_ONLY1"/>
      <sheetName val="Lists"/>
      <sheetName val="Factors"/>
      <sheetName val="Project Summary"/>
      <sheetName val="Batam"/>
      <sheetName val="ParData"/>
      <sheetName val="Donat"/>
      <sheetName val="Demand projections"/>
      <sheetName val="Coverage calcs"/>
      <sheetName val="PM"/>
      <sheetName val="13"/>
      <sheetName val="cons workpapers"/>
      <sheetName val="IGO"/>
      <sheetName val="Volume &amp; OCI vs. PY"/>
      <sheetName val="~By Market_vol"/>
      <sheetName val="Volume &amp; OCI vs. Budget"/>
      <sheetName val="~By Region_vol"/>
      <sheetName val="~Options_vol"/>
      <sheetName val="OperExp"/>
      <sheetName val="PAJE"/>
      <sheetName val="VESLIS97"/>
      <sheetName val="MENU"/>
      <sheetName val="1771-I2_x005f_x0000__x000"/>
      <sheetName val="1771-I2_x005f_x005f_x0000"/>
      <sheetName val="1771-I2_x005f_x005f_x005f"/>
      <sheetName val="1771-I2_x0000"/>
      <sheetName val="1771-I2_x005f"/>
      <sheetName val="1771-I2_x005f_x005f_x005f_x0000__x000"/>
      <sheetName val="1771-I2_x005f_x005f_x005f_x005f_x0000"/>
      <sheetName val="1771-I2_x005f_x005f_x005f_x005f_x005f"/>
      <sheetName val="Smbr-Tknk-DsrHkm"/>
      <sheetName val="AR_Karyawan"/>
      <sheetName val="Pivot"/>
      <sheetName val="Lookups"/>
      <sheetName val="TABEL"/>
      <sheetName val="Additions Interface"/>
      <sheetName val="L I - ATY"/>
      <sheetName val="summary-1"/>
      <sheetName val="quotation"/>
      <sheetName val="PARA"/>
      <sheetName val="dghn"/>
      <sheetName val="FF-5"/>
      <sheetName val="MMIP(JU)"/>
      <sheetName val="F-1&amp;F-2"/>
      <sheetName val="Form 10"/>
      <sheetName val="BARS"/>
      <sheetName val="recl JV437"/>
      <sheetName val="1771-I2_x005f_x0000__x005f_x005f_x000"/>
      <sheetName val="TB-TRANS"/>
      <sheetName val="#REF"/>
      <sheetName val="1771-I2_x0000__x000"/>
      <sheetName val="RevBgt6-7"/>
      <sheetName val="計算式"/>
      <sheetName val="u. Other Exp ( income)"/>
      <sheetName val="PET"/>
      <sheetName val="DATA VALIDATION"/>
      <sheetName val="GLSU Upload"/>
      <sheetName val="Cover Sheet"/>
      <sheetName val="Fin.High"/>
      <sheetName val="2-2022 AP SUBS"/>
      <sheetName val="SheetGMP"/>
      <sheetName val="SheetGMT"/>
      <sheetName val="panther"/>
      <sheetName val="kriteria"/>
      <sheetName val="ocean voyage"/>
      <sheetName val="Permanent_info5"/>
      <sheetName val="details_fiscal_adjustments5"/>
      <sheetName val="Sum_empcost5"/>
      <sheetName val="fiscal_depr(E)5"/>
      <sheetName val="Journal_Template4"/>
      <sheetName val="FA_Movement_IBIC5"/>
      <sheetName val="1998_CITR4"/>
      <sheetName val="Client_Aje4"/>
      <sheetName val="NO_FAKTUR4"/>
      <sheetName val="Gaikindo_Report4"/>
      <sheetName val="Trial_Bal4"/>
      <sheetName val="Notes_to_BS4"/>
      <sheetName val="Data_Sheet4"/>
      <sheetName val="Mutasi_Final4"/>
      <sheetName val="WIP_DETAIL_(GL_VS_NMP)4"/>
      <sheetName val="NY_ADMIN5"/>
      <sheetName val="Mei_20075"/>
      <sheetName val="FA_FISKAL5"/>
      <sheetName val="WK_Local4"/>
      <sheetName val="Other_charges_(income)4"/>
      <sheetName val="Accrued_(ckrg)4"/>
      <sheetName val="Detail_Lead4"/>
      <sheetName val="FA_Movement4"/>
      <sheetName val="OthAsset_roll4"/>
      <sheetName val="C1_NOV4"/>
      <sheetName val="jan_book4"/>
      <sheetName val="RWP_334"/>
      <sheetName val="FE-1771$_P14"/>
      <sheetName val="sep_ST4"/>
      <sheetName val="Horizon_Cost_Saves_Pkg4"/>
      <sheetName val="Input_Sheet4"/>
      <sheetName val="Ref-As_Is_GL_acc4"/>
      <sheetName val="Location_Details__2_4"/>
      <sheetName val="P&amp;L_INPUT4"/>
      <sheetName val="PROD_FRY-MONODON4"/>
      <sheetName val="Portofolio_Trading4"/>
      <sheetName val="APAC_Q1FY09_-_Oracle4"/>
      <sheetName val="Phasing_by_Month4"/>
      <sheetName val="Cost_Input_Sheet4"/>
      <sheetName val="cost_recovery4"/>
      <sheetName val="Table_51"/>
      <sheetName val="TAX_LIST2"/>
      <sheetName val="AR_EXPORT4"/>
      <sheetName val="Accounts_Payable_(AA)4"/>
      <sheetName val="TBCons_KMB044"/>
      <sheetName val="MAP_BS1"/>
      <sheetName val="TBC05_Net1"/>
      <sheetName val="Q_14"/>
      <sheetName val="_WP_SPT_2012_-_23_04_2013_xlsx1"/>
      <sheetName val="SUMMARY_20011"/>
      <sheetName val="1721-A1_(terbaru)4"/>
      <sheetName val="LE767_GLOBAL_CHECKLIST_updated1"/>
      <sheetName val="PO_&amp;_TL_Market_Specific1"/>
      <sheetName val="Issue_Sheet1"/>
      <sheetName val="I__SAP_Screen1"/>
      <sheetName val="II__OTR_-_BAS_G11"/>
      <sheetName val="III__AR_Recon1"/>
      <sheetName val="IV__AR1"/>
      <sheetName val="V_Zero_rated1"/>
      <sheetName val="VI__IC_Recon_828_to_22131"/>
      <sheetName val="IC_Recon_800-22131"/>
      <sheetName val="Capital_Purchases_BAS1"/>
      <sheetName val="VII__AP_BAS_G111"/>
      <sheetName val="VIII__KN_Rec1"/>
      <sheetName val="IX_ITR1"/>
      <sheetName val="X__120410011"/>
      <sheetName val="XI__Cust_Output_GST1"/>
      <sheetName val="XII_Vend_Input_GST1"/>
      <sheetName val="å's_=1"/>
      <sheetName val="N_100_F_Lead1"/>
      <sheetName val="WP_IC_Exp_January_20101"/>
      <sheetName val="V_D_5-24"/>
      <sheetName val="trf_multiple_dnrks1"/>
      <sheetName val="New_format_sales1"/>
      <sheetName val="United_Kingdom1"/>
      <sheetName val="RE_reconciliation1"/>
      <sheetName val="CM_Tgl1"/>
      <sheetName val="Main_Menu1"/>
      <sheetName val="Schedule_Contract_&amp;_SILO1"/>
      <sheetName val="Sales_and_Collections1"/>
      <sheetName val="Cost_of_Sales1"/>
      <sheetName val="Operating_Expenses_1"/>
      <sheetName val="Est__Income_By_Rig1"/>
      <sheetName val="Leasing_TA_Duri1"/>
      <sheetName val="TA_Jakarta1"/>
      <sheetName val="Breakdown_Cost-Well_Control1"/>
      <sheetName val="P_&amp;_L_1st-Invst-Well_Control1"/>
      <sheetName val="Asset_TA1"/>
      <sheetName val="Detail_COGS1"/>
      <sheetName val="1200_201"/>
      <sheetName val="Combined_FA1"/>
      <sheetName val="fr_BS1"/>
      <sheetName val="P&amp;L_Adjustment1"/>
      <sheetName val="Income_Statement"/>
      <sheetName val="Account_Code"/>
      <sheetName val="CC_1"/>
      <sheetName val="CC_2"/>
      <sheetName val="CC_3"/>
      <sheetName val="ESTIMASI_MITRA"/>
      <sheetName val="S_e_p"/>
      <sheetName val="M_a_y"/>
      <sheetName val="J_u_l"/>
      <sheetName val="N_o_v"/>
      <sheetName val="O_c_t"/>
      <sheetName val="M_a_r"/>
      <sheetName val="F_e_b"/>
      <sheetName val="J_a_n"/>
      <sheetName val="00_received_in_01"/>
      <sheetName val="A_p_r"/>
      <sheetName val="A_u_g"/>
      <sheetName val="Per_GL_J_a_n"/>
      <sheetName val="Data_Cust_(2)"/>
      <sheetName val="N_3"/>
      <sheetName val="4_1_Placement_w_o_b"/>
      <sheetName val="Kewajiban_Lainnya"/>
      <sheetName val="2_Gaji-Bag"/>
      <sheetName val="ocean_voyage"/>
      <sheetName val="Permanent_info6"/>
      <sheetName val="details_fiscal_adjustments6"/>
      <sheetName val="Sum_empcost6"/>
      <sheetName val="fiscal_depr(E)6"/>
      <sheetName val="Journal_Template5"/>
      <sheetName val="FA_Movement_IBIC6"/>
      <sheetName val="1998_CITR5"/>
      <sheetName val="Client_Aje5"/>
      <sheetName val="NO_FAKTUR5"/>
      <sheetName val="Gaikindo_Report5"/>
      <sheetName val="Trial_Bal5"/>
      <sheetName val="Notes_to_BS5"/>
      <sheetName val="Data_Sheet5"/>
      <sheetName val="Mutasi_Final5"/>
      <sheetName val="WIP_DETAIL_(GL_VS_NMP)5"/>
      <sheetName val="NY_ADMIN6"/>
      <sheetName val="Mei_20076"/>
      <sheetName val="FA_FISKAL6"/>
      <sheetName val="data_wp5"/>
      <sheetName val="WK_Local5"/>
      <sheetName val="Other_charges_(income)5"/>
      <sheetName val="Accrued_(ckrg)5"/>
      <sheetName val="Detail_Lead5"/>
      <sheetName val="FA_Movement5"/>
      <sheetName val="OthAsset_roll5"/>
      <sheetName val="C1_NOV5"/>
      <sheetName val="jan_book5"/>
      <sheetName val="RWP_335"/>
      <sheetName val="FE-1771$_P15"/>
      <sheetName val="sep_ST5"/>
      <sheetName val="Horizon_Cost_Saves_Pkg5"/>
      <sheetName val="Input_Sheet5"/>
      <sheetName val="Ref-As_Is_GL_acc5"/>
      <sheetName val="Location_Details__2_5"/>
      <sheetName val="P&amp;L_INPUT5"/>
      <sheetName val="PROD_FRY-MONODON5"/>
      <sheetName val="Portofolio_Trading5"/>
      <sheetName val="APAC_Q1FY09_-_Oracle5"/>
      <sheetName val="Phasing_by_Month5"/>
      <sheetName val="Cost_Input_Sheet5"/>
      <sheetName val="cost_recovery5"/>
      <sheetName val="Table_52"/>
      <sheetName val="TAX_LIST3"/>
      <sheetName val="AR_EXPORT5"/>
      <sheetName val="Accounts_Payable_(AA)5"/>
      <sheetName val="TBCons_KMB045"/>
      <sheetName val="Pnrmanent_info2"/>
      <sheetName val="MAP_BS2"/>
      <sheetName val="TBC05_Net2"/>
      <sheetName val="Q_15"/>
      <sheetName val="_WP_SPT_2012_-_23_04_2013_xlsx2"/>
      <sheetName val="SUMMARY_20012"/>
      <sheetName val="1721-A1_(terbaru)5"/>
      <sheetName val="LE767_GLOBAL_CHECKLIST_updated2"/>
      <sheetName val="PO_&amp;_TL_Market_Specific2"/>
      <sheetName val="Issue_Sheet2"/>
      <sheetName val="I__SAP_Screen2"/>
      <sheetName val="II__OTR_-_BAS_G12"/>
      <sheetName val="III__AR_Recon2"/>
      <sheetName val="IV__AR2"/>
      <sheetName val="V_Zero_rated2"/>
      <sheetName val="VI__IC_Recon_828_to_22132"/>
      <sheetName val="IC_Recon_800-22132"/>
      <sheetName val="Capital_Purchases_BAS2"/>
      <sheetName val="VII__AP_BAS_G112"/>
      <sheetName val="VIII__KN_Rec2"/>
      <sheetName val="IX_ITR2"/>
      <sheetName val="X__120410012"/>
      <sheetName val="XI__Cust_Output_GST2"/>
      <sheetName val="XII_Vend_Input_GST2"/>
      <sheetName val="å's_=2"/>
      <sheetName val="Input__EAST2"/>
      <sheetName val="Simple_Coff_2"/>
      <sheetName val="N_100_F_Lead2"/>
      <sheetName val="WP_IC_Exp_January_20102"/>
      <sheetName val="V_D_5-25"/>
      <sheetName val="trf_multiple_dnrks2"/>
      <sheetName val="New_format_sales2"/>
      <sheetName val="REF_ONLY2"/>
      <sheetName val="United_Kingdom2"/>
      <sheetName val="RE_reconciliation2"/>
      <sheetName val="CM_Tgl2"/>
      <sheetName val="Main_Menu2"/>
      <sheetName val="Schedule_Contract_&amp;_SILO2"/>
      <sheetName val="Sales_and_Collections2"/>
      <sheetName val="Cost_of_Sales2"/>
      <sheetName val="Operating_Expenses_2"/>
      <sheetName val="Est__Income_By_Rig2"/>
      <sheetName val="Leasing_TA_Duri2"/>
      <sheetName val="TA_Jakarta2"/>
      <sheetName val="Breakdown_Cost-Well_Control2"/>
      <sheetName val="P_&amp;_L_1st-Invst-Well_Control2"/>
      <sheetName val="Asset_TA2"/>
      <sheetName val="Detail_COGS2"/>
      <sheetName val="1200_202"/>
      <sheetName val="Combined_FA2"/>
      <sheetName val="fr_BS2"/>
      <sheetName val="P&amp;L_Adjustment2"/>
      <sheetName val="Income_Statement1"/>
      <sheetName val="Account_Code1"/>
      <sheetName val="CC_11"/>
      <sheetName val="CC_21"/>
      <sheetName val="CC_31"/>
      <sheetName val="ESTIMASI_MITRA1"/>
      <sheetName val="S_e_p1"/>
      <sheetName val="M_a_y1"/>
      <sheetName val="J_u_l1"/>
      <sheetName val="N_o_v1"/>
      <sheetName val="O_c_t1"/>
      <sheetName val="M_a_r1"/>
      <sheetName val="F_e_b1"/>
      <sheetName val="J_a_n1"/>
      <sheetName val="00_received_in_011"/>
      <sheetName val="A_p_r1"/>
      <sheetName val="A_u_g1"/>
      <sheetName val="Per_GL_J_a_n1"/>
      <sheetName val="Data_Cust_(2)1"/>
      <sheetName val="N_31"/>
      <sheetName val="4_1_Placement_w_o_b1"/>
      <sheetName val="Kewajiban_Lainnya1"/>
      <sheetName val="Flash_var_1"/>
      <sheetName val="960_1123_03cleared1"/>
      <sheetName val="Workshop_Tools1"/>
      <sheetName val="FE-1770_P11"/>
      <sheetName val="Exc__Rate1"/>
      <sheetName val="2_Gaji-Bag1"/>
      <sheetName val="ocean_voyage1"/>
      <sheetName val="Rincian beban operasi"/>
      <sheetName val="CC_12"/>
      <sheetName val="CC_22"/>
      <sheetName val="CC_32"/>
      <sheetName val="trf_multiple_dnrks3"/>
      <sheetName val="Table_53"/>
      <sheetName val="TAX_LIST4"/>
      <sheetName val="MAP_BS3"/>
      <sheetName val="_WP_SPT_2012_-_23_04_2013_xlsx3"/>
      <sheetName val="SUMMARY_20013"/>
      <sheetName val="New_format_sales3"/>
      <sheetName val="TBC05_Net3"/>
      <sheetName val="PENJ_NERACA3"/>
      <sheetName val="CASH_FLOW3"/>
      <sheetName val="Pnrmanent_info3"/>
      <sheetName val="Input__EAST3"/>
      <sheetName val="bill_qty3"/>
      <sheetName val="Simple_Coff_3"/>
      <sheetName val="I-PPh_Final3"/>
      <sheetName val="OT_August__Drmx__083"/>
      <sheetName val="DATA_SLIP3"/>
      <sheetName val="1200_203"/>
      <sheetName val="CC_13"/>
      <sheetName val="CC_23"/>
      <sheetName val="CC_33"/>
      <sheetName val="United_Kingdom3"/>
      <sheetName val="RE_reconciliation3"/>
      <sheetName val="LE767_GLOBAL_CHECKLIST_updated3"/>
      <sheetName val="PO_&amp;_TL_Market_Specific3"/>
      <sheetName val="Issue_Sheet3"/>
      <sheetName val="I__SAP_Screen3"/>
      <sheetName val="II__OTR_-_BAS_G13"/>
      <sheetName val="III__AR_Recon3"/>
      <sheetName val="IV__AR3"/>
      <sheetName val="V_Zero_rated3"/>
      <sheetName val="VI__IC_Recon_828_to_22133"/>
      <sheetName val="IC_Recon_800-22133"/>
      <sheetName val="Capital_Purchases_BAS3"/>
      <sheetName val="VII__AP_BAS_G113"/>
      <sheetName val="VIII__KN_Rec3"/>
      <sheetName val="IX_ITR3"/>
      <sheetName val="X__120410013"/>
      <sheetName val="XI__Cust_Output_GST3"/>
      <sheetName val="XII_Vend_Input_GST3"/>
      <sheetName val="å's_=3"/>
      <sheetName val="Invoice_Cross_Reference3"/>
      <sheetName val="Spec_221043"/>
      <sheetName val="N_100_F_Lead3"/>
      <sheetName val="WP_IC_Exp_January_20103"/>
      <sheetName val="fr_BS3"/>
      <sheetName val="P&amp;L_Adjustment3"/>
      <sheetName val="Main_Menu3"/>
      <sheetName val="Schedule_Contract_&amp;_SILO3"/>
      <sheetName val="Sales_and_Collections3"/>
      <sheetName val="Cost_of_Sales3"/>
      <sheetName val="Operating_Expenses_3"/>
      <sheetName val="Est__Income_By_Rig3"/>
      <sheetName val="Leasing_TA_Duri3"/>
      <sheetName val="TA_Jakarta3"/>
      <sheetName val="Breakdown_Cost-Well_Control3"/>
      <sheetName val="P_&amp;_L_1st-Invst-Well_Control3"/>
      <sheetName val="Asset_TA3"/>
      <sheetName val="Detail_COGS3"/>
      <sheetName val="CM_Tgl3"/>
      <sheetName val="Combined_FA3"/>
      <sheetName val="Permanent_info9"/>
      <sheetName val="details_fiscal_adjustments9"/>
      <sheetName val="Sum_empcost9"/>
      <sheetName val="Data_Sheet7"/>
      <sheetName val="Trial_Bal8"/>
      <sheetName val="Notes_to_BS8"/>
      <sheetName val="Mutasi_Final7"/>
      <sheetName val="fiscal_depr(E)8"/>
      <sheetName val="1998_CITR8"/>
      <sheetName val="NY_ADMIN7"/>
      <sheetName val="Mei_20077"/>
      <sheetName val="FA_Movement_IBIC8"/>
      <sheetName val="Client_Aje8"/>
      <sheetName val="Journal_Template8"/>
      <sheetName val="WIP_DETAIL_(GL_VS_NMP)7"/>
      <sheetName val="NO_FAKTUR8"/>
      <sheetName val="Gaikindo_Report8"/>
      <sheetName val="data_wp7"/>
      <sheetName val="Accounts_Payable_(AA)6"/>
      <sheetName val="1721-A1_(terbaru)6"/>
      <sheetName val="FA_Movement7"/>
      <sheetName val="Other_charges_(income)8"/>
      <sheetName val="WK_Local6"/>
      <sheetName val="FA_FISKAL7"/>
      <sheetName val="Accrued_(ckrg)7"/>
      <sheetName val="PROD_FRY-MONODON6"/>
      <sheetName val="TBCons_KMB046"/>
      <sheetName val="FE-1771$_P16"/>
      <sheetName val="RWP_336"/>
      <sheetName val="sep_ST6"/>
      <sheetName val="trf_multiple_dnrks6"/>
      <sheetName val="Q_16"/>
      <sheetName val="Horizon_Cost_Saves_Pkg6"/>
      <sheetName val="cost_recovery6"/>
      <sheetName val="Detail_Lead6"/>
      <sheetName val="Phasing_by_Month6"/>
      <sheetName val="Cost_Input_Sheet6"/>
      <sheetName val="C1_NOV6"/>
      <sheetName val="P&amp;L_INPUT6"/>
      <sheetName val="Portofolio_Trading6"/>
      <sheetName val="APAC_Q1FY09_-_Oracle6"/>
      <sheetName val="jan_book6"/>
      <sheetName val="Ref-As_Is_GL_acc6"/>
      <sheetName val="OthAsset_roll6"/>
      <sheetName val="Input_Sheet6"/>
      <sheetName val="Table_56"/>
      <sheetName val="TAX_LIST7"/>
      <sheetName val="Location_Details__2_6"/>
      <sheetName val="AR_EXPORT6"/>
      <sheetName val="MAP_BS6"/>
      <sheetName val="_WP_SPT_2012_-_23_04_2013_xlsx6"/>
      <sheetName val="SUMMARY_20016"/>
      <sheetName val="New_format_sales6"/>
      <sheetName val="TBC05_Net6"/>
      <sheetName val="Depreciation__schedule7"/>
      <sheetName val="Penyusutan_(2)7"/>
      <sheetName val="disposal_assets7"/>
      <sheetName val="provision_(3)7"/>
      <sheetName val="Recon-Art_217"/>
      <sheetName val="FA-gainloss_(2)7"/>
      <sheetName val="fiscal_corr7"/>
      <sheetName val="1771_27"/>
      <sheetName val="1771_2(E)7"/>
      <sheetName val="Depr-Comp_(2)7"/>
      <sheetName val="Marshal_(3)7"/>
      <sheetName val="Marshal_(2)7"/>
      <sheetName val="provision_(2)7"/>
      <sheetName val="fiscal_corr_(3)7"/>
      <sheetName val="fiscal_corr_(2)7"/>
      <sheetName val="CostRecovery_-_JV7"/>
      <sheetName val="PENJ_NERACA6"/>
      <sheetName val="CASH_FLOW6"/>
      <sheetName val="Pnrmanent_info6"/>
      <sheetName val="Input__EAST6"/>
      <sheetName val="bill_qty6"/>
      <sheetName val="Simple_Coff_6"/>
      <sheetName val="I-PPh_Final6"/>
      <sheetName val="OT_August__Drmx__086"/>
      <sheetName val="DATA_SLIP6"/>
      <sheetName val="1200_206"/>
      <sheetName val="CC_16"/>
      <sheetName val="CC_26"/>
      <sheetName val="CC_36"/>
      <sheetName val="United_Kingdom6"/>
      <sheetName val="RE_reconciliation6"/>
      <sheetName val="V_D_5-26"/>
      <sheetName val="LE767_GLOBAL_CHECKLIST_updated6"/>
      <sheetName val="PO_&amp;_TL_Market_Specific6"/>
      <sheetName val="Issue_Sheet6"/>
      <sheetName val="I__SAP_Screen6"/>
      <sheetName val="II__OTR_-_BAS_G16"/>
      <sheetName val="III__AR_Recon6"/>
      <sheetName val="IV__AR6"/>
      <sheetName val="V_Zero_rated6"/>
      <sheetName val="VI__IC_Recon_828_to_22136"/>
      <sheetName val="IC_Recon_800-22136"/>
      <sheetName val="Capital_Purchases_BAS6"/>
      <sheetName val="VII__AP_BAS_G116"/>
      <sheetName val="VIII__KN_Rec6"/>
      <sheetName val="IX_ITR6"/>
      <sheetName val="X__120410016"/>
      <sheetName val="XI__Cust_Output_GST6"/>
      <sheetName val="XII_Vend_Input_GST6"/>
      <sheetName val="å's_=6"/>
      <sheetName val="Invoice_Cross_Reference6"/>
      <sheetName val="Spec_221046"/>
      <sheetName val="N_100_F_Lead6"/>
      <sheetName val="WP_IC_Exp_January_20106"/>
      <sheetName val="fr_BS6"/>
      <sheetName val="P&amp;L_Adjustment6"/>
      <sheetName val="Main_Menu6"/>
      <sheetName val="Schedule_Contract_&amp;_SILO6"/>
      <sheetName val="Sales_and_Collections6"/>
      <sheetName val="Cost_of_Sales6"/>
      <sheetName val="Operating_Expenses_6"/>
      <sheetName val="Est__Income_By_Rig6"/>
      <sheetName val="Leasing_TA_Duri6"/>
      <sheetName val="TA_Jakarta6"/>
      <sheetName val="Breakdown_Cost-Well_Control6"/>
      <sheetName val="P_&amp;_L_1st-Invst-Well_Control6"/>
      <sheetName val="Asset_TA6"/>
      <sheetName val="Detail_COGS6"/>
      <sheetName val="CM_Tgl6"/>
      <sheetName val="Combined_FA6"/>
      <sheetName val="Permanent_info7"/>
      <sheetName val="details_fiscal_adjustments7"/>
      <sheetName val="Sum_empcost7"/>
      <sheetName val="Trial_Bal6"/>
      <sheetName val="Notes_to_BS6"/>
      <sheetName val="1998_CITR6"/>
      <sheetName val="Client_Aje6"/>
      <sheetName val="Journal_Template6"/>
      <sheetName val="NO_FAKTUR6"/>
      <sheetName val="Gaikindo_Report6"/>
      <sheetName val="Other_charges_(income)6"/>
      <sheetName val="trf_multiple_dnrks4"/>
      <sheetName val="Table_54"/>
      <sheetName val="TAX_LIST5"/>
      <sheetName val="MAP_BS4"/>
      <sheetName val="_WP_SPT_2012_-_23_04_2013_xlsx4"/>
      <sheetName val="SUMMARY_20014"/>
      <sheetName val="New_format_sales4"/>
      <sheetName val="TBC05_Net4"/>
      <sheetName val="Depreciation__schedule5"/>
      <sheetName val="Penyusutan_(2)5"/>
      <sheetName val="disposal_assets5"/>
      <sheetName val="provision_(3)5"/>
      <sheetName val="Recon-Art_215"/>
      <sheetName val="FA-gainloss_(2)5"/>
      <sheetName val="fiscal_corr5"/>
      <sheetName val="1771_25"/>
      <sheetName val="1771_2(E)5"/>
      <sheetName val="Depr-Comp_(2)5"/>
      <sheetName val="Marshal_(3)5"/>
      <sheetName val="Marshal_(2)5"/>
      <sheetName val="provision_(2)5"/>
      <sheetName val="fiscal_corr_(3)5"/>
      <sheetName val="fiscal_corr_(2)5"/>
      <sheetName val="CostRecovery_-_JV5"/>
      <sheetName val="PENJ_NERACA4"/>
      <sheetName val="CASH_FLOW4"/>
      <sheetName val="Pnrmanent_info4"/>
      <sheetName val="Input__EAST4"/>
      <sheetName val="bill_qty4"/>
      <sheetName val="Simple_Coff_4"/>
      <sheetName val="I-PPh_Final4"/>
      <sheetName val="OT_August__Drmx__084"/>
      <sheetName val="DATA_SLIP4"/>
      <sheetName val="1200_204"/>
      <sheetName val="CC_14"/>
      <sheetName val="CC_24"/>
      <sheetName val="CC_34"/>
      <sheetName val="United_Kingdom4"/>
      <sheetName val="RE_reconciliation4"/>
      <sheetName val="LE767_GLOBAL_CHECKLIST_updated4"/>
      <sheetName val="PO_&amp;_TL_Market_Specific4"/>
      <sheetName val="Issue_Sheet4"/>
      <sheetName val="I__SAP_Screen4"/>
      <sheetName val="II__OTR_-_BAS_G14"/>
      <sheetName val="III__AR_Recon4"/>
      <sheetName val="IV__AR4"/>
      <sheetName val="V_Zero_rated4"/>
      <sheetName val="VI__IC_Recon_828_to_22134"/>
      <sheetName val="IC_Recon_800-22134"/>
      <sheetName val="Capital_Purchases_BAS4"/>
      <sheetName val="VII__AP_BAS_G114"/>
      <sheetName val="VIII__KN_Rec4"/>
      <sheetName val="IX_ITR4"/>
      <sheetName val="X__120410014"/>
      <sheetName val="XI__Cust_Output_GST4"/>
      <sheetName val="XII_Vend_Input_GST4"/>
      <sheetName val="å's_=4"/>
      <sheetName val="Invoice_Cross_Reference4"/>
      <sheetName val="Spec_221044"/>
      <sheetName val="N_100_F_Lead4"/>
      <sheetName val="WP_IC_Exp_January_20104"/>
      <sheetName val="fr_BS4"/>
      <sheetName val="P&amp;L_Adjustment4"/>
      <sheetName val="Main_Menu4"/>
      <sheetName val="Schedule_Contract_&amp;_SILO4"/>
      <sheetName val="Sales_and_Collections4"/>
      <sheetName val="Cost_of_Sales4"/>
      <sheetName val="Operating_Expenses_4"/>
      <sheetName val="Est__Income_By_Rig4"/>
      <sheetName val="Leasing_TA_Duri4"/>
      <sheetName val="TA_Jakarta4"/>
      <sheetName val="Breakdown_Cost-Well_Control4"/>
      <sheetName val="P_&amp;_L_1st-Invst-Well_Control4"/>
      <sheetName val="Asset_TA4"/>
      <sheetName val="Detail_COGS4"/>
      <sheetName val="CM_Tgl4"/>
      <sheetName val="Combined_FA4"/>
      <sheetName val="Permanent_info8"/>
      <sheetName val="details_fiscal_adjustments8"/>
      <sheetName val="Sum_empcost8"/>
      <sheetName val="Data_Sheet6"/>
      <sheetName val="Trial_Bal7"/>
      <sheetName val="Notes_to_BS7"/>
      <sheetName val="Mutasi_Final6"/>
      <sheetName val="fiscal_depr(E)7"/>
      <sheetName val="1998_CITR7"/>
      <sheetName val="FA_Movement_IBIC7"/>
      <sheetName val="Client_Aje7"/>
      <sheetName val="Journal_Template7"/>
      <sheetName val="WIP_DETAIL_(GL_VS_NMP)6"/>
      <sheetName val="NO_FAKTUR7"/>
      <sheetName val="Gaikindo_Report7"/>
      <sheetName val="data_wp6"/>
      <sheetName val="FA_Movement6"/>
      <sheetName val="Other_charges_(income)7"/>
      <sheetName val="Accrued_(ckrg)6"/>
      <sheetName val="trf_multiple_dnrks5"/>
      <sheetName val="Table_55"/>
      <sheetName val="TAX_LIST6"/>
      <sheetName val="MAP_BS5"/>
      <sheetName val="_WP_SPT_2012_-_23_04_2013_xlsx5"/>
      <sheetName val="SUMMARY_20015"/>
      <sheetName val="New_format_sales5"/>
      <sheetName val="TBC05_Net5"/>
      <sheetName val="Depreciation__schedule6"/>
      <sheetName val="Penyusutan_(2)6"/>
      <sheetName val="disposal_assets6"/>
      <sheetName val="provision_(3)6"/>
      <sheetName val="Recon-Art_216"/>
      <sheetName val="FA-gainloss_(2)6"/>
      <sheetName val="fiscal_corr6"/>
      <sheetName val="1771_26"/>
      <sheetName val="1771_2(E)6"/>
      <sheetName val="Depr-Comp_(2)6"/>
      <sheetName val="Marshal_(3)6"/>
      <sheetName val="Marshal_(2)6"/>
      <sheetName val="provision_(2)6"/>
      <sheetName val="fiscal_corr_(3)6"/>
      <sheetName val="fiscal_corr_(2)6"/>
      <sheetName val="CostRecovery_-_JV6"/>
      <sheetName val="PENJ_NERACA5"/>
      <sheetName val="CASH_FLOW5"/>
      <sheetName val="Pnrmanent_info5"/>
      <sheetName val="Input__EAST5"/>
      <sheetName val="bill_qty5"/>
      <sheetName val="Simple_Coff_5"/>
      <sheetName val="I-PPh_Final5"/>
      <sheetName val="OT_August__Drmx__085"/>
      <sheetName val="DATA_SLIP5"/>
      <sheetName val="1200_205"/>
      <sheetName val="CC_15"/>
      <sheetName val="CC_25"/>
      <sheetName val="CC_35"/>
      <sheetName val="United_Kingdom5"/>
      <sheetName val="RE_reconciliation5"/>
      <sheetName val="LE767_GLOBAL_CHECKLIST_updated5"/>
      <sheetName val="PO_&amp;_TL_Market_Specific5"/>
      <sheetName val="Issue_Sheet5"/>
      <sheetName val="I__SAP_Screen5"/>
      <sheetName val="II__OTR_-_BAS_G15"/>
      <sheetName val="III__AR_Recon5"/>
      <sheetName val="IV__AR5"/>
      <sheetName val="V_Zero_rated5"/>
      <sheetName val="VI__IC_Recon_828_to_22135"/>
      <sheetName val="IC_Recon_800-22135"/>
      <sheetName val="Capital_Purchases_BAS5"/>
      <sheetName val="VII__AP_BAS_G115"/>
      <sheetName val="VIII__KN_Rec5"/>
      <sheetName val="IX_ITR5"/>
      <sheetName val="X__120410015"/>
      <sheetName val="XI__Cust_Output_GST5"/>
      <sheetName val="XII_Vend_Input_GST5"/>
      <sheetName val="å's_=5"/>
      <sheetName val="Invoice_Cross_Reference5"/>
      <sheetName val="Spec_221045"/>
      <sheetName val="N_100_F_Lead5"/>
      <sheetName val="WP_IC_Exp_January_20105"/>
      <sheetName val="fr_BS5"/>
      <sheetName val="P&amp;L_Adjustment5"/>
      <sheetName val="Main_Menu5"/>
      <sheetName val="Schedule_Contract_&amp;_SILO5"/>
      <sheetName val="Sales_and_Collections5"/>
      <sheetName val="Cost_of_Sales5"/>
      <sheetName val="Operating_Expenses_5"/>
      <sheetName val="Est__Income_By_Rig5"/>
      <sheetName val="Leasing_TA_Duri5"/>
      <sheetName val="TA_Jakarta5"/>
      <sheetName val="Breakdown_Cost-Well_Control5"/>
      <sheetName val="P_&amp;_L_1st-Invst-Well_Control5"/>
      <sheetName val="Asset_TA5"/>
      <sheetName val="Detail_COGS5"/>
      <sheetName val="CM_Tgl5"/>
      <sheetName val="Combined_FA5"/>
      <sheetName val="Permanent_info10"/>
      <sheetName val="details_fiscal_adjustments10"/>
      <sheetName val="Sum_empcost10"/>
      <sheetName val="Data_Sheet8"/>
      <sheetName val="Trial_Bal9"/>
      <sheetName val="Notes_to_BS9"/>
      <sheetName val="Mutasi_Final8"/>
      <sheetName val="fiscal_depr(E)9"/>
      <sheetName val="1998_CITR9"/>
      <sheetName val="NY_ADMIN8"/>
      <sheetName val="Mei_20078"/>
      <sheetName val="FA_Movement_IBIC9"/>
      <sheetName val="Client_Aje9"/>
      <sheetName val="Journal_Template9"/>
      <sheetName val="WIP_DETAIL_(GL_VS_NMP)8"/>
      <sheetName val="NO_FAKTUR9"/>
      <sheetName val="Gaikindo_Report9"/>
      <sheetName val="data_wp8"/>
      <sheetName val="Accounts_Payable_(AA)7"/>
      <sheetName val="1721-A1_(terbaru)7"/>
      <sheetName val="FA_Movement8"/>
      <sheetName val="Other_charges_(income)9"/>
      <sheetName val="WK_Local7"/>
      <sheetName val="FA_FISKAL8"/>
      <sheetName val="Accrued_(ckrg)8"/>
      <sheetName val="PROD_FRY-MONODON7"/>
      <sheetName val="TBCons_KMB047"/>
      <sheetName val="FE-1771$_P17"/>
      <sheetName val="RWP_337"/>
      <sheetName val="sep_ST7"/>
      <sheetName val="trf_multiple_dnrks7"/>
      <sheetName val="Q_17"/>
      <sheetName val="Horizon_Cost_Saves_Pkg7"/>
      <sheetName val="cost_recovery7"/>
      <sheetName val="Detail_Lead7"/>
      <sheetName val="Phasing_by_Month7"/>
      <sheetName val="Cost_Input_Sheet7"/>
      <sheetName val="C1_NOV7"/>
      <sheetName val="P&amp;L_INPUT7"/>
      <sheetName val="Portofolio_Trading7"/>
      <sheetName val="APAC_Q1FY09_-_Oracle7"/>
      <sheetName val="jan_book7"/>
      <sheetName val="Ref-As_Is_GL_acc7"/>
      <sheetName val="OthAsset_roll7"/>
      <sheetName val="Input_Sheet7"/>
      <sheetName val="Table_57"/>
      <sheetName val="TAX_LIST8"/>
      <sheetName val="Location_Details__2_7"/>
      <sheetName val="AR_EXPORT7"/>
      <sheetName val="MAP_BS7"/>
      <sheetName val="_WP_SPT_2012_-_23_04_2013_xlsx7"/>
      <sheetName val="SUMMARY_20017"/>
      <sheetName val="New_format_sales7"/>
      <sheetName val="TBC05_Net7"/>
      <sheetName val="Depreciation__schedule8"/>
      <sheetName val="Penyusutan_(2)8"/>
      <sheetName val="disposal_assets8"/>
      <sheetName val="provision_(3)8"/>
      <sheetName val="Recon-Art_218"/>
      <sheetName val="FA-gainloss_(2)8"/>
      <sheetName val="fiscal_corr8"/>
      <sheetName val="1771_28"/>
      <sheetName val="1771_2(E)8"/>
      <sheetName val="Depr-Comp_(2)8"/>
      <sheetName val="Marshal_(3)8"/>
      <sheetName val="Marshal_(2)8"/>
      <sheetName val="provision_(2)8"/>
      <sheetName val="fiscal_corr_(3)8"/>
      <sheetName val="fiscal_corr_(2)8"/>
      <sheetName val="CostRecovery_-_JV8"/>
      <sheetName val="PENJ_NERACA7"/>
      <sheetName val="CASH_FLOW7"/>
      <sheetName val="Pnrmanent_info7"/>
      <sheetName val="Input__EAST7"/>
      <sheetName val="bill_qty7"/>
      <sheetName val="Simple_Coff_7"/>
      <sheetName val="I-PPh_Final7"/>
      <sheetName val="OT_August__Drmx__087"/>
      <sheetName val="DATA_SLIP7"/>
      <sheetName val="1200_207"/>
      <sheetName val="CC_17"/>
      <sheetName val="CC_27"/>
      <sheetName val="CC_37"/>
      <sheetName val="United_Kingdom7"/>
      <sheetName val="RE_reconciliation7"/>
      <sheetName val="V_D_5-27"/>
      <sheetName val="LE767_GLOBAL_CHECKLIST_updated7"/>
      <sheetName val="PO_&amp;_TL_Market_Specific7"/>
      <sheetName val="Issue_Sheet7"/>
      <sheetName val="I__SAP_Screen7"/>
      <sheetName val="II__OTR_-_BAS_G17"/>
      <sheetName val="III__AR_Recon7"/>
      <sheetName val="IV__AR7"/>
      <sheetName val="V_Zero_rated7"/>
      <sheetName val="VI__IC_Recon_828_to_22137"/>
      <sheetName val="IC_Recon_800-22137"/>
      <sheetName val="Capital_Purchases_BAS7"/>
      <sheetName val="VII__AP_BAS_G117"/>
      <sheetName val="VIII__KN_Rec7"/>
      <sheetName val="IX_ITR7"/>
      <sheetName val="X__120410017"/>
      <sheetName val="XI__Cust_Output_GST7"/>
      <sheetName val="XII_Vend_Input_GST7"/>
      <sheetName val="å's_=7"/>
      <sheetName val="Invoice_Cross_Reference7"/>
      <sheetName val="Spec_221047"/>
      <sheetName val="N_100_F_Lead7"/>
      <sheetName val="WP_IC_Exp_January_20107"/>
      <sheetName val="fr_BS7"/>
      <sheetName val="P&amp;L_Adjustment7"/>
      <sheetName val="Main_Menu7"/>
      <sheetName val="Schedule_Contract_&amp;_SILO7"/>
      <sheetName val="Sales_and_Collections7"/>
      <sheetName val="Cost_of_Sales7"/>
      <sheetName val="Operating_Expenses_7"/>
      <sheetName val="Est__Income_By_Rig7"/>
      <sheetName val="Leasing_TA_Duri7"/>
      <sheetName val="TA_Jakarta7"/>
      <sheetName val="Breakdown_Cost-Well_Control7"/>
      <sheetName val="P_&amp;_L_1st-Invst-Well_Control7"/>
      <sheetName val="Asset_TA7"/>
      <sheetName val="Detail_COGS7"/>
      <sheetName val="CM_Tgl7"/>
      <sheetName val="Combined_FA7"/>
      <sheetName val="Permanent_info11"/>
      <sheetName val="details_fiscal_adjustments11"/>
      <sheetName val="Sum_empcost11"/>
      <sheetName val="Data_Sheet9"/>
      <sheetName val="Trial_Bal10"/>
      <sheetName val="Notes_to_BS10"/>
      <sheetName val="Mutasi_Final9"/>
      <sheetName val="fiscal_depr(E)10"/>
      <sheetName val="1998_CITR10"/>
      <sheetName val="NY_ADMIN9"/>
      <sheetName val="Mei_20079"/>
      <sheetName val="FA_Movement_IBIC10"/>
      <sheetName val="Client_Aje10"/>
      <sheetName val="Journal_Template10"/>
      <sheetName val="WIP_DETAIL_(GL_VS_NMP)9"/>
      <sheetName val="NO_FAKTUR10"/>
      <sheetName val="Gaikindo_Report10"/>
      <sheetName val="data_wp9"/>
      <sheetName val="Accounts_Payable_(AA)8"/>
      <sheetName val="1721-A1_(terbaru)8"/>
      <sheetName val="FA_Movement9"/>
      <sheetName val="Other_charges_(income)10"/>
      <sheetName val="WK_Local8"/>
      <sheetName val="FA_FISKAL9"/>
      <sheetName val="Accrued_(ckrg)9"/>
      <sheetName val="PROD_FRY-MONODON8"/>
      <sheetName val="TBCons_KMB048"/>
      <sheetName val="FE-1771$_P18"/>
      <sheetName val="RWP_338"/>
      <sheetName val="sep_ST8"/>
      <sheetName val="trf_multiple_dnrks8"/>
      <sheetName val="Q_18"/>
      <sheetName val="Horizon_Cost_Saves_Pkg8"/>
      <sheetName val="cost_recovery8"/>
      <sheetName val="Detail_Lead8"/>
      <sheetName val="Phasing_by_Month8"/>
      <sheetName val="Cost_Input_Sheet8"/>
      <sheetName val="C1_NOV8"/>
      <sheetName val="P&amp;L_INPUT8"/>
      <sheetName val="Portofolio_Trading8"/>
      <sheetName val="APAC_Q1FY09_-_Oracle8"/>
      <sheetName val="jan_book8"/>
      <sheetName val="Ref-As_Is_GL_acc8"/>
      <sheetName val="OthAsset_roll8"/>
      <sheetName val="Input_Sheet8"/>
      <sheetName val="Table_58"/>
      <sheetName val="TAX_LIST9"/>
      <sheetName val="Location_Details__2_8"/>
      <sheetName val="AR_EXPORT8"/>
      <sheetName val="MAP_BS8"/>
      <sheetName val="_WP_SPT_2012_-_23_04_2013_xlsx8"/>
      <sheetName val="SUMMARY_20018"/>
      <sheetName val="New_format_sales8"/>
      <sheetName val="TBC05_Net8"/>
      <sheetName val="Depreciation__schedule9"/>
      <sheetName val="Penyusutan_(2)9"/>
      <sheetName val="disposal_assets9"/>
      <sheetName val="provision_(3)9"/>
      <sheetName val="Recon-Art_219"/>
      <sheetName val="FA-gainloss_(2)9"/>
      <sheetName val="fiscal_corr9"/>
      <sheetName val="1771_29"/>
      <sheetName val="1771_2(E)9"/>
      <sheetName val="Depr-Comp_(2)9"/>
      <sheetName val="Marshal_(3)9"/>
      <sheetName val="Marshal_(2)9"/>
      <sheetName val="provision_(2)9"/>
      <sheetName val="fiscal_corr_(3)9"/>
      <sheetName val="fiscal_corr_(2)9"/>
      <sheetName val="CostRecovery_-_JV9"/>
      <sheetName val="PENJ_NERACA8"/>
      <sheetName val="CASH_FLOW8"/>
      <sheetName val="Pnrmanent_info8"/>
      <sheetName val="Input__EAST8"/>
      <sheetName val="bill_qty8"/>
      <sheetName val="Simple_Coff_8"/>
      <sheetName val="I-PPh_Final8"/>
      <sheetName val="OT_August__Drmx__088"/>
      <sheetName val="DATA_SLIP8"/>
      <sheetName val="1200_208"/>
      <sheetName val="CC_18"/>
      <sheetName val="CC_28"/>
      <sheetName val="CC_38"/>
      <sheetName val="United_Kingdom8"/>
      <sheetName val="RE_reconciliation8"/>
      <sheetName val="V_D_5-28"/>
      <sheetName val="LE767_GLOBAL_CHECKLIST_updated8"/>
      <sheetName val="PO_&amp;_TL_Market_Specific8"/>
      <sheetName val="Issue_Sheet8"/>
      <sheetName val="I__SAP_Screen8"/>
      <sheetName val="II__OTR_-_BAS_G18"/>
      <sheetName val="III__AR_Recon8"/>
      <sheetName val="IV__AR8"/>
      <sheetName val="V_Zero_rated8"/>
      <sheetName val="VI__IC_Recon_828_to_22138"/>
      <sheetName val="IC_Recon_800-22138"/>
      <sheetName val="Capital_Purchases_BAS8"/>
      <sheetName val="VII__AP_BAS_G118"/>
      <sheetName val="VIII__KN_Rec8"/>
      <sheetName val="IX_ITR8"/>
      <sheetName val="X__120410018"/>
      <sheetName val="XI__Cust_Output_GST8"/>
      <sheetName val="XII_Vend_Input_GST8"/>
      <sheetName val="å's_=8"/>
      <sheetName val="Invoice_Cross_Reference8"/>
      <sheetName val="Spec_221048"/>
      <sheetName val="N_100_F_Lead8"/>
      <sheetName val="WP_IC_Exp_January_20108"/>
      <sheetName val="fr_BS8"/>
      <sheetName val="P&amp;L_Adjustment8"/>
      <sheetName val="Main_Menu8"/>
      <sheetName val="Schedule_Contract_&amp;_SILO8"/>
      <sheetName val="Sales_and_Collections8"/>
      <sheetName val="Cost_of_Sales8"/>
      <sheetName val="Operating_Expenses_8"/>
      <sheetName val="Est__Income_By_Rig8"/>
      <sheetName val="Leasing_TA_Duri8"/>
      <sheetName val="TA_Jakarta8"/>
      <sheetName val="Breakdown_Cost-Well_Control8"/>
      <sheetName val="P_&amp;_L_1st-Invst-Well_Control8"/>
      <sheetName val="Asset_TA8"/>
      <sheetName val="Detail_COGS8"/>
      <sheetName val="CM_Tgl8"/>
      <sheetName val="Combined_FA8"/>
      <sheetName val=""/>
      <sheetName val="11-FX rates"/>
      <sheetName val="H.Satuan"/>
      <sheetName val="Performance Dashboard Data"/>
      <sheetName val="RM&amp;S"/>
      <sheetName val="GMBNov Dec Actuals"/>
      <sheetName val="ASSET"/>
      <sheetName val="Table Array"/>
      <sheetName val="Overview"/>
      <sheetName val="SUM - Uncorrected"/>
      <sheetName val="SUM - Corrected"/>
      <sheetName val="SUM - Disclosures"/>
      <sheetName val="MAPP"/>
      <sheetName val="Penyusutan Kendaraan"/>
      <sheetName val="Tanah"/>
      <sheetName val="(1) Mthly CAPEX FY2004"/>
      <sheetName val="Tax Rate"/>
      <sheetName val="5610.1-1 TOP"/>
      <sheetName val="tbl"/>
      <sheetName val="ekspirasi"/>
      <sheetName val="kematian"/>
      <sheetName val="NT"/>
      <sheetName val="tahapan&amp;penarikan"/>
      <sheetName val="analis"/>
      <sheetName val="Table and Names"/>
      <sheetName val="REPORT LOOKUP"/>
      <sheetName val="PL98"/>
      <sheetName val="Sheet1 (2)"/>
      <sheetName val="PREMI"/>
      <sheetName val="SUD"/>
      <sheetName val="Jakarta"/>
      <sheetName val="PB(B)"/>
      <sheetName val="J"/>
      <sheetName val="G101"/>
      <sheetName val="1771-I2_x000"/>
      <sheetName val="Jan"/>
      <sheetName val="317932DEC99"/>
      <sheetName val="317932NOV99"/>
      <sheetName val="317932OCT99"/>
      <sheetName val="PD"/>
      <sheetName val="OLDMAP"/>
      <sheetName val="NAJUR"/>
      <sheetName val="BB-PD"/>
      <sheetName val="omzet"/>
      <sheetName val="Deferred_Rev"/>
      <sheetName val="Des_05"/>
      <sheetName val="Agst"/>
      <sheetName val="tarif"/>
      <sheetName val="Feb"/>
      <sheetName val="Safety 2"/>
      <sheetName val="Profit &amp; Loss Account"/>
      <sheetName val="Tbl_OT"/>
      <sheetName val="Reconciliation"/>
      <sheetName val="PS"/>
      <sheetName val="OST Agustus"/>
      <sheetName val="KK_Cadangan"/>
      <sheetName val="JD"/>
      <sheetName val="Confirmation"/>
      <sheetName val="DATA TRANSFER"/>
      <sheetName val="GJ"/>
      <sheetName val="LP2"/>
      <sheetName val="SPT"/>
      <sheetName val="KPKom"/>
      <sheetName val="SIK"/>
      <sheetName val="SPPP"/>
      <sheetName val="Berkas"/>
      <sheetName val="BCD"/>
      <sheetName val="AnlSPT"/>
      <sheetName val="Rasio"/>
      <sheetName val="APro"/>
      <sheetName val="DbTF"/>
      <sheetName val="DbKtr"/>
      <sheetName val="DbPem"/>
      <sheetName val="Kode"/>
      <sheetName val="DK"/>
      <sheetName val="LPIS"/>
      <sheetName val="PPE Movement"/>
      <sheetName val="Check on 8.10.2003"/>
      <sheetName val="~Options"/>
      <sheetName val="~Database"/>
      <sheetName val="Monthly Recap"/>
      <sheetName val="2934"/>
      <sheetName val="Financial Statement"/>
      <sheetName val="basis"/>
      <sheetName val="AKTIVA1TB"/>
      <sheetName val="F-2"/>
      <sheetName val="วงเครดิต 3"/>
      <sheetName val="Permanent_info14"/>
      <sheetName val="details_fiscal_adjustments14"/>
      <sheetName val="Sum_empcost14"/>
      <sheetName val="Data_Sheet12"/>
      <sheetName val="Trial_Bal13"/>
      <sheetName val="Notes_to_BS13"/>
      <sheetName val="Mutasi_Final12"/>
      <sheetName val="fiscal_depr(E)13"/>
      <sheetName val="1998_CITR13"/>
      <sheetName val="NY_ADMIN12"/>
      <sheetName val="Mei_200712"/>
      <sheetName val="FA_Movement_IBIC13"/>
      <sheetName val="Client_Aje13"/>
      <sheetName val="Journal_Template13"/>
      <sheetName val="WIP_DETAIL_(GL_VS_NMP)12"/>
      <sheetName val="NO_FAKTUR13"/>
      <sheetName val="Gaikindo_Report13"/>
      <sheetName val="data_wp12"/>
      <sheetName val="Accounts_Payable_(AA)11"/>
      <sheetName val="1721-A1_(terbaru)11"/>
      <sheetName val="FA_Movement12"/>
      <sheetName val="Other_charges_(income)13"/>
      <sheetName val="WK_Local11"/>
      <sheetName val="FA_FISKAL12"/>
      <sheetName val="Accrued_(ckrg)12"/>
      <sheetName val="PROD_FRY-MONODON11"/>
      <sheetName val="TBCons_KMB0411"/>
      <sheetName val="FE-1771$_P111"/>
      <sheetName val="RWP_3311"/>
      <sheetName val="sep_ST11"/>
      <sheetName val="trf_multiple_dnrks11"/>
      <sheetName val="Q_111"/>
      <sheetName val="Horizon_Cost_Saves_Pkg11"/>
      <sheetName val="cost_recovery11"/>
      <sheetName val="Detail_Lead11"/>
      <sheetName val="Phasing_by_Month11"/>
      <sheetName val="Cost_Input_Sheet11"/>
      <sheetName val="C1_NOV11"/>
      <sheetName val="P&amp;L_INPUT11"/>
      <sheetName val="Portofolio_Trading11"/>
      <sheetName val="APAC_Q1FY09_-_Oracle11"/>
      <sheetName val="jan_book11"/>
      <sheetName val="Ref-As_Is_GL_acc11"/>
      <sheetName val="OthAsset_roll11"/>
      <sheetName val="Input_Sheet11"/>
      <sheetName val="Table_511"/>
      <sheetName val="TAX_LIST12"/>
      <sheetName val="Location_Details__2_11"/>
      <sheetName val="AR_EXPORT11"/>
      <sheetName val="MAP_BS11"/>
      <sheetName val="_WP_SPT_2012_-_23_04_2013_xls11"/>
      <sheetName val="SUMMARY_200111"/>
      <sheetName val="New_format_sales11"/>
      <sheetName val="TBC05_Net11"/>
      <sheetName val="Depreciation__schedule12"/>
      <sheetName val="Penyusutan_(2)12"/>
      <sheetName val="disposal_assets12"/>
      <sheetName val="provision_(3)12"/>
      <sheetName val="Recon-Art_2112"/>
      <sheetName val="FA-gainloss_(2)12"/>
      <sheetName val="fiscal_corr12"/>
      <sheetName val="1771_212"/>
      <sheetName val="1771_2(E)12"/>
      <sheetName val="Depr-Comp_(2)12"/>
      <sheetName val="Marshal_(3)12"/>
      <sheetName val="Marshal_(2)12"/>
      <sheetName val="provision_(2)12"/>
      <sheetName val="fiscal_corr_(3)12"/>
      <sheetName val="fiscal_corr_(2)12"/>
      <sheetName val="CostRecovery_-_JV12"/>
      <sheetName val="PENJ_NERACA11"/>
      <sheetName val="CASH_FLOW11"/>
      <sheetName val="Pnrmanent_info11"/>
      <sheetName val="Input__EAST11"/>
      <sheetName val="bill_qty11"/>
      <sheetName val="Simple_Coff_11"/>
      <sheetName val="I-PPh_Final11"/>
      <sheetName val="OT_August__Drmx__0811"/>
      <sheetName val="DATA_SLIP11"/>
      <sheetName val="1200_2011"/>
      <sheetName val="CC_111"/>
      <sheetName val="CC_211"/>
      <sheetName val="CC_311"/>
      <sheetName val="United_Kingdom11"/>
      <sheetName val="RE_reconciliation11"/>
      <sheetName val="V_D_5-211"/>
      <sheetName val="LE767_GLOBAL_CHECKLIST_update11"/>
      <sheetName val="PO_&amp;_TL_Market_Specific11"/>
      <sheetName val="Issue_Sheet11"/>
      <sheetName val="I__SAP_Screen11"/>
      <sheetName val="II__OTR_-_BAS_G111"/>
      <sheetName val="III__AR_Recon11"/>
      <sheetName val="IV__AR11"/>
      <sheetName val="V_Zero_rated11"/>
      <sheetName val="VI__IC_Recon_828_to_221311"/>
      <sheetName val="IC_Recon_800-221311"/>
      <sheetName val="Capital_Purchases_BAS11"/>
      <sheetName val="VII__AP_BAS_G1111"/>
      <sheetName val="VIII__KN_Rec11"/>
      <sheetName val="IX_ITR11"/>
      <sheetName val="X__1204100111"/>
      <sheetName val="XI__Cust_Output_GST11"/>
      <sheetName val="XII_Vend_Input_GST11"/>
      <sheetName val="å's_=11"/>
      <sheetName val="Invoice_Cross_Reference11"/>
      <sheetName val="Spec_2210411"/>
      <sheetName val="N_100_F_Lead11"/>
      <sheetName val="WP_IC_Exp_January_201011"/>
      <sheetName val="fr_BS11"/>
      <sheetName val="P&amp;L_Adjustment11"/>
      <sheetName val="Main_Menu11"/>
      <sheetName val="Schedule_Contract_&amp;_SILO11"/>
      <sheetName val="Sales_and_Collections11"/>
      <sheetName val="Cost_of_Sales11"/>
      <sheetName val="Operating_Expenses_11"/>
      <sheetName val="Est__Income_By_Rig11"/>
      <sheetName val="Leasing_TA_Duri11"/>
      <sheetName val="TA_Jakarta11"/>
      <sheetName val="Breakdown_Cost-Well_Control11"/>
      <sheetName val="P_&amp;_L_1st-Invst-Well_Control11"/>
      <sheetName val="Asset_TA11"/>
      <sheetName val="Detail_COGS11"/>
      <sheetName val="CM_Tgl11"/>
      <sheetName val="Combined_FA11"/>
      <sheetName val="Permanent_info13"/>
      <sheetName val="details_fiscal_adjustments13"/>
      <sheetName val="Sum_empcost13"/>
      <sheetName val="Data_Sheet11"/>
      <sheetName val="Trial_Bal12"/>
      <sheetName val="Notes_to_BS12"/>
      <sheetName val="Mutasi_Final11"/>
      <sheetName val="fiscal_depr(E)12"/>
      <sheetName val="1998_CITR12"/>
      <sheetName val="NY_ADMIN11"/>
      <sheetName val="Mei_200711"/>
      <sheetName val="FA_Movement_IBIC12"/>
      <sheetName val="Client_Aje12"/>
      <sheetName val="Journal_Template12"/>
      <sheetName val="WIP_DETAIL_(GL_VS_NMP)11"/>
      <sheetName val="NO_FAKTUR12"/>
      <sheetName val="Gaikindo_Report12"/>
      <sheetName val="data_wp11"/>
      <sheetName val="Accounts_Payable_(AA)10"/>
      <sheetName val="1721-A1_(terbaru)10"/>
      <sheetName val="FA_Movement11"/>
      <sheetName val="Other_charges_(income)12"/>
      <sheetName val="WK_Local10"/>
      <sheetName val="FA_FISKAL11"/>
      <sheetName val="Accrued_(ckrg)11"/>
      <sheetName val="PROD_FRY-MONODON10"/>
      <sheetName val="TBCons_KMB0410"/>
      <sheetName val="FE-1771$_P110"/>
      <sheetName val="RWP_3310"/>
      <sheetName val="sep_ST10"/>
      <sheetName val="trf_multiple_dnrks10"/>
      <sheetName val="Q_110"/>
      <sheetName val="Horizon_Cost_Saves_Pkg10"/>
      <sheetName val="cost_recovery10"/>
      <sheetName val="Detail_Lead10"/>
      <sheetName val="Phasing_by_Month10"/>
      <sheetName val="Cost_Input_Sheet10"/>
      <sheetName val="C1_NOV10"/>
      <sheetName val="P&amp;L_INPUT10"/>
      <sheetName val="Portofolio_Trading10"/>
      <sheetName val="APAC_Q1FY09_-_Oracle10"/>
      <sheetName val="jan_book10"/>
      <sheetName val="Ref-As_Is_GL_acc10"/>
      <sheetName val="OthAsset_roll10"/>
      <sheetName val="Input_Sheet10"/>
      <sheetName val="Table_510"/>
      <sheetName val="TAX_LIST11"/>
      <sheetName val="Location_Details__2_10"/>
      <sheetName val="AR_EXPORT10"/>
      <sheetName val="MAP_BS10"/>
      <sheetName val="_WP_SPT_2012_-_23_04_2013_xls10"/>
      <sheetName val="SUMMARY_200110"/>
      <sheetName val="New_format_sales10"/>
      <sheetName val="TBC05_Net10"/>
      <sheetName val="Depreciation__schedule11"/>
      <sheetName val="Penyusutan_(2)11"/>
      <sheetName val="disposal_assets11"/>
      <sheetName val="provision_(3)11"/>
      <sheetName val="Recon-Art_2111"/>
      <sheetName val="FA-gainloss_(2)11"/>
      <sheetName val="fiscal_corr11"/>
      <sheetName val="1771_211"/>
      <sheetName val="1771_2(E)11"/>
      <sheetName val="Depr-Comp_(2)11"/>
      <sheetName val="Marshal_(3)11"/>
      <sheetName val="Marshal_(2)11"/>
      <sheetName val="provision_(2)11"/>
      <sheetName val="fiscal_corr_(3)11"/>
      <sheetName val="fiscal_corr_(2)11"/>
      <sheetName val="CostRecovery_-_JV11"/>
      <sheetName val="PENJ_NERACA10"/>
      <sheetName val="CASH_FLOW10"/>
      <sheetName val="Pnrmanent_info10"/>
      <sheetName val="Input__EAST10"/>
      <sheetName val="bill_qty10"/>
      <sheetName val="Simple_Coff_10"/>
      <sheetName val="I-PPh_Final10"/>
      <sheetName val="OT_August__Drmx__0810"/>
      <sheetName val="DATA_SLIP10"/>
      <sheetName val="1200_2010"/>
      <sheetName val="CC_110"/>
      <sheetName val="CC_210"/>
      <sheetName val="CC_310"/>
      <sheetName val="United_Kingdom10"/>
      <sheetName val="RE_reconciliation10"/>
      <sheetName val="V_D_5-210"/>
      <sheetName val="LE767_GLOBAL_CHECKLIST_update10"/>
      <sheetName val="PO_&amp;_TL_Market_Specific10"/>
      <sheetName val="Issue_Sheet10"/>
      <sheetName val="I__SAP_Screen10"/>
      <sheetName val="II__OTR_-_BAS_G110"/>
      <sheetName val="III__AR_Recon10"/>
      <sheetName val="IV__AR10"/>
      <sheetName val="V_Zero_rated10"/>
      <sheetName val="VI__IC_Recon_828_to_221310"/>
      <sheetName val="IC_Recon_800-221310"/>
      <sheetName val="Capital_Purchases_BAS10"/>
      <sheetName val="VII__AP_BAS_G1110"/>
      <sheetName val="VIII__KN_Rec10"/>
      <sheetName val="IX_ITR10"/>
      <sheetName val="X__1204100110"/>
      <sheetName val="XI__Cust_Output_GST10"/>
      <sheetName val="XII_Vend_Input_GST10"/>
      <sheetName val="å's_=10"/>
      <sheetName val="Invoice_Cross_Reference10"/>
      <sheetName val="Spec_2210410"/>
      <sheetName val="N_100_F_Lead10"/>
      <sheetName val="WP_IC_Exp_January_201010"/>
      <sheetName val="fr_BS10"/>
      <sheetName val="P&amp;L_Adjustment10"/>
      <sheetName val="Main_Menu10"/>
      <sheetName val="Schedule_Contract_&amp;_SILO10"/>
      <sheetName val="Sales_and_Collections10"/>
      <sheetName val="Cost_of_Sales10"/>
      <sheetName val="Operating_Expenses_10"/>
      <sheetName val="Est__Income_By_Rig10"/>
      <sheetName val="Leasing_TA_Duri10"/>
      <sheetName val="TA_Jakarta10"/>
      <sheetName val="Breakdown_Cost-Well_Control10"/>
      <sheetName val="P_&amp;_L_1st-Invst-Well_Control10"/>
      <sheetName val="Asset_TA10"/>
      <sheetName val="Detail_COGS10"/>
      <sheetName val="CM_Tgl10"/>
      <sheetName val="Combined_FA10"/>
      <sheetName val="Permanent_info12"/>
      <sheetName val="details_fiscal_adjustments12"/>
      <sheetName val="Sum_empcost12"/>
      <sheetName val="Data_Sheet10"/>
      <sheetName val="Trial_Bal11"/>
      <sheetName val="Notes_to_BS11"/>
      <sheetName val="Mutasi_Final10"/>
      <sheetName val="fiscal_depr(E)11"/>
      <sheetName val="1998_CITR11"/>
      <sheetName val="NY_ADMIN10"/>
      <sheetName val="Mei_200710"/>
      <sheetName val="FA_Movement_IBIC11"/>
      <sheetName val="Client_Aje11"/>
      <sheetName val="Journal_Template11"/>
      <sheetName val="WIP_DETAIL_(GL_VS_NMP)10"/>
      <sheetName val="NO_FAKTUR11"/>
      <sheetName val="Gaikindo_Report11"/>
      <sheetName val="data_wp10"/>
      <sheetName val="Accounts_Payable_(AA)9"/>
      <sheetName val="1721-A1_(terbaru)9"/>
      <sheetName val="FA_Movement10"/>
      <sheetName val="Other_charges_(income)11"/>
      <sheetName val="WK_Local9"/>
      <sheetName val="FA_FISKAL10"/>
      <sheetName val="Accrued_(ckrg)10"/>
      <sheetName val="PROD_FRY-MONODON9"/>
      <sheetName val="TBCons_KMB049"/>
      <sheetName val="FE-1771$_P19"/>
      <sheetName val="RWP_339"/>
      <sheetName val="sep_ST9"/>
      <sheetName val="trf_multiple_dnrks9"/>
      <sheetName val="Q_19"/>
      <sheetName val="Horizon_Cost_Saves_Pkg9"/>
      <sheetName val="cost_recovery9"/>
      <sheetName val="Detail_Lead9"/>
      <sheetName val="Phasing_by_Month9"/>
      <sheetName val="Cost_Input_Sheet9"/>
      <sheetName val="C1_NOV9"/>
      <sheetName val="P&amp;L_INPUT9"/>
      <sheetName val="Portofolio_Trading9"/>
      <sheetName val="APAC_Q1FY09_-_Oracle9"/>
      <sheetName val="jan_book9"/>
      <sheetName val="Ref-As_Is_GL_acc9"/>
      <sheetName val="OthAsset_roll9"/>
      <sheetName val="Input_Sheet9"/>
      <sheetName val="Table_59"/>
      <sheetName val="TAX_LIST10"/>
      <sheetName val="Location_Details__2_9"/>
      <sheetName val="AR_EXPORT9"/>
      <sheetName val="MAP_BS9"/>
      <sheetName val="_WP_SPT_2012_-_23_04_2013_xlsx9"/>
      <sheetName val="SUMMARY_20019"/>
      <sheetName val="New_format_sales9"/>
      <sheetName val="TBC05_Net9"/>
      <sheetName val="Depreciation__schedule10"/>
      <sheetName val="Penyusutan_(2)10"/>
      <sheetName val="disposal_assets10"/>
      <sheetName val="provision_(3)10"/>
      <sheetName val="Recon-Art_2110"/>
      <sheetName val="FA-gainloss_(2)10"/>
      <sheetName val="fiscal_corr10"/>
      <sheetName val="1771_210"/>
      <sheetName val="1771_2(E)10"/>
      <sheetName val="Depr-Comp_(2)10"/>
      <sheetName val="Marshal_(3)10"/>
      <sheetName val="Marshal_(2)10"/>
      <sheetName val="provision_(2)10"/>
      <sheetName val="fiscal_corr_(3)10"/>
      <sheetName val="fiscal_corr_(2)10"/>
      <sheetName val="CostRecovery_-_JV10"/>
      <sheetName val="PENJ_NERACA9"/>
      <sheetName val="CASH_FLOW9"/>
      <sheetName val="Pnrmanent_info9"/>
      <sheetName val="Input__EAST9"/>
      <sheetName val="bill_qty9"/>
      <sheetName val="Simple_Coff_9"/>
      <sheetName val="I-PPh_Final9"/>
      <sheetName val="OT_August__Drmx__089"/>
      <sheetName val="DATA_SLIP9"/>
      <sheetName val="1200_209"/>
      <sheetName val="CC_19"/>
      <sheetName val="CC_29"/>
      <sheetName val="CC_39"/>
      <sheetName val="United_Kingdom9"/>
      <sheetName val="RE_reconciliation9"/>
      <sheetName val="V_D_5-29"/>
      <sheetName val="LE767_GLOBAL_CHECKLIST_updated9"/>
      <sheetName val="PO_&amp;_TL_Market_Specific9"/>
      <sheetName val="Issue_Sheet9"/>
      <sheetName val="I__SAP_Screen9"/>
      <sheetName val="II__OTR_-_BAS_G19"/>
      <sheetName val="III__AR_Recon9"/>
      <sheetName val="IV__AR9"/>
      <sheetName val="V_Zero_rated9"/>
      <sheetName val="VI__IC_Recon_828_to_22139"/>
      <sheetName val="IC_Recon_800-22139"/>
      <sheetName val="Capital_Purchases_BAS9"/>
      <sheetName val="VII__AP_BAS_G119"/>
      <sheetName val="VIII__KN_Rec9"/>
      <sheetName val="IX_ITR9"/>
      <sheetName val="X__120410019"/>
      <sheetName val="XI__Cust_Output_GST9"/>
      <sheetName val="XII_Vend_Input_GST9"/>
      <sheetName val="å's_=9"/>
      <sheetName val="Invoice_Cross_Reference9"/>
      <sheetName val="Spec_221049"/>
      <sheetName val="N_100_F_Lead9"/>
      <sheetName val="WP_IC_Exp_January_20109"/>
      <sheetName val="fr_BS9"/>
      <sheetName val="P&amp;L_Adjustment9"/>
      <sheetName val="Main_Menu9"/>
      <sheetName val="Schedule_Contract_&amp;_SILO9"/>
      <sheetName val="Sales_and_Collections9"/>
      <sheetName val="Cost_of_Sales9"/>
      <sheetName val="Operating_Expenses_9"/>
      <sheetName val="Est__Income_By_Rig9"/>
      <sheetName val="Leasing_TA_Duri9"/>
      <sheetName val="TA_Jakarta9"/>
      <sheetName val="Breakdown_Cost-Well_Control9"/>
      <sheetName val="P_&amp;_L_1st-Invst-Well_Control9"/>
      <sheetName val="Asset_TA9"/>
      <sheetName val="Detail_COGS9"/>
      <sheetName val="CM_Tgl9"/>
      <sheetName val="Combined_FA9"/>
      <sheetName val="Permanent_info16"/>
      <sheetName val="details_fiscal_adjustments16"/>
      <sheetName val="Sum_empcost16"/>
      <sheetName val="Data_Sheet14"/>
      <sheetName val="Trial_Bal15"/>
      <sheetName val="Notes_to_BS15"/>
      <sheetName val="Mutasi_Final14"/>
      <sheetName val="fiscal_depr(E)15"/>
      <sheetName val="1998_CITR15"/>
      <sheetName val="NY_ADMIN14"/>
      <sheetName val="Mei_200714"/>
      <sheetName val="FA_Movement_IBIC15"/>
      <sheetName val="Client_Aje15"/>
      <sheetName val="Journal_Template15"/>
      <sheetName val="WIP_DETAIL_(GL_VS_NMP)14"/>
      <sheetName val="NO_FAKTUR15"/>
      <sheetName val="Gaikindo_Report15"/>
      <sheetName val="data_wp14"/>
      <sheetName val="Accounts_Payable_(AA)13"/>
      <sheetName val="1721-A1_(terbaru)13"/>
      <sheetName val="FA_Movement14"/>
      <sheetName val="Other_charges_(income)15"/>
      <sheetName val="WK_Local13"/>
      <sheetName val="FA_FISKAL14"/>
      <sheetName val="Accrued_(ckrg)14"/>
      <sheetName val="PROD_FRY-MONODON13"/>
      <sheetName val="TBCons_KMB0413"/>
      <sheetName val="FE-1771$_P113"/>
      <sheetName val="RWP_3313"/>
      <sheetName val="sep_ST13"/>
      <sheetName val="trf_multiple_dnrks13"/>
      <sheetName val="Q_113"/>
      <sheetName val="Horizon_Cost_Saves_Pkg13"/>
      <sheetName val="cost_recovery13"/>
      <sheetName val="Detail_Lead13"/>
      <sheetName val="Phasing_by_Month13"/>
      <sheetName val="Cost_Input_Sheet13"/>
      <sheetName val="C1_NOV13"/>
      <sheetName val="P&amp;L_INPUT13"/>
      <sheetName val="Portofolio_Trading13"/>
      <sheetName val="APAC_Q1FY09_-_Oracle13"/>
      <sheetName val="jan_book13"/>
      <sheetName val="Ref-As_Is_GL_acc13"/>
      <sheetName val="OthAsset_roll13"/>
      <sheetName val="Input_Sheet13"/>
      <sheetName val="Table_513"/>
      <sheetName val="TAX_LIST14"/>
      <sheetName val="Location_Details__2_13"/>
      <sheetName val="AR_EXPORT13"/>
      <sheetName val="MAP_BS13"/>
      <sheetName val="_WP_SPT_2012_-_23_04_2013_xls13"/>
      <sheetName val="SUMMARY_200113"/>
      <sheetName val="New_format_sales13"/>
      <sheetName val="TBC05_Net13"/>
      <sheetName val="Depreciation__schedule14"/>
      <sheetName val="Penyusutan_(2)14"/>
      <sheetName val="disposal_assets14"/>
      <sheetName val="provision_(3)14"/>
      <sheetName val="Recon-Art_2114"/>
      <sheetName val="FA-gainloss_(2)14"/>
      <sheetName val="fiscal_corr14"/>
      <sheetName val="1771_214"/>
      <sheetName val="1771_2(E)14"/>
      <sheetName val="Depr-Comp_(2)14"/>
      <sheetName val="Marshal_(3)14"/>
      <sheetName val="Marshal_(2)14"/>
      <sheetName val="provision_(2)14"/>
      <sheetName val="fiscal_corr_(3)14"/>
      <sheetName val="fiscal_corr_(2)14"/>
      <sheetName val="CostRecovery_-_JV14"/>
      <sheetName val="PENJ_NERACA13"/>
      <sheetName val="CASH_FLOW13"/>
      <sheetName val="Pnrmanent_info13"/>
      <sheetName val="Input__EAST13"/>
      <sheetName val="bill_qty13"/>
      <sheetName val="Simple_Coff_13"/>
      <sheetName val="I-PPh_Final13"/>
      <sheetName val="OT_August__Drmx__0813"/>
      <sheetName val="DATA_SLIP13"/>
      <sheetName val="1200_2013"/>
      <sheetName val="CC_113"/>
      <sheetName val="CC_213"/>
      <sheetName val="CC_313"/>
      <sheetName val="United_Kingdom13"/>
      <sheetName val="RE_reconciliation13"/>
      <sheetName val="V_D_5-213"/>
      <sheetName val="LE767_GLOBAL_CHECKLIST_update13"/>
      <sheetName val="PO_&amp;_TL_Market_Specific13"/>
      <sheetName val="Issue_Sheet13"/>
      <sheetName val="I__SAP_Screen13"/>
      <sheetName val="II__OTR_-_BAS_G113"/>
      <sheetName val="III__AR_Recon13"/>
      <sheetName val="IV__AR13"/>
      <sheetName val="V_Zero_rated13"/>
      <sheetName val="VI__IC_Recon_828_to_221313"/>
      <sheetName val="IC_Recon_800-221313"/>
      <sheetName val="Capital_Purchases_BAS13"/>
      <sheetName val="VII__AP_BAS_G1113"/>
      <sheetName val="VIII__KN_Rec13"/>
      <sheetName val="IX_ITR13"/>
      <sheetName val="X__1204100113"/>
      <sheetName val="XI__Cust_Output_GST13"/>
      <sheetName val="XII_Vend_Input_GST13"/>
      <sheetName val="å's_=13"/>
      <sheetName val="Permanent_info15"/>
      <sheetName val="details_fiscal_adjustments15"/>
      <sheetName val="Sum_empcost15"/>
      <sheetName val="Data_Sheet13"/>
      <sheetName val="Trial_Bal14"/>
      <sheetName val="Notes_to_BS14"/>
      <sheetName val="Mutasi_Final13"/>
      <sheetName val="fiscal_depr(E)14"/>
      <sheetName val="1998_CITR14"/>
      <sheetName val="NY_ADMIN13"/>
      <sheetName val="Mei_200713"/>
      <sheetName val="FA_Movement_IBIC14"/>
      <sheetName val="Client_Aje14"/>
      <sheetName val="Journal_Template14"/>
      <sheetName val="WIP_DETAIL_(GL_VS_NMP)13"/>
      <sheetName val="NO_FAKTUR14"/>
      <sheetName val="Gaikindo_Report14"/>
      <sheetName val="data_wp13"/>
      <sheetName val="Accounts_Payable_(AA)12"/>
      <sheetName val="1721-A1_(terbaru)12"/>
      <sheetName val="FA_Movement13"/>
      <sheetName val="Other_charges_(income)14"/>
      <sheetName val="WK_Local12"/>
      <sheetName val="FA_FISKAL13"/>
      <sheetName val="Accrued_(ckrg)13"/>
      <sheetName val="PROD_FRY-MONODON12"/>
      <sheetName val="TBCons_KMB0412"/>
      <sheetName val="FE-1771$_P112"/>
      <sheetName val="RWP_3312"/>
      <sheetName val="sep_ST12"/>
      <sheetName val="trf_multiple_dnrks12"/>
      <sheetName val="Q_112"/>
      <sheetName val="Horizon_Cost_Saves_Pkg12"/>
      <sheetName val="cost_recovery12"/>
      <sheetName val="Detail_Lead12"/>
      <sheetName val="Phasing_by_Month12"/>
      <sheetName val="Cost_Input_Sheet12"/>
      <sheetName val="C1_NOV12"/>
      <sheetName val="P&amp;L_INPUT12"/>
      <sheetName val="Portofolio_Trading12"/>
      <sheetName val="APAC_Q1FY09_-_Oracle12"/>
      <sheetName val="jan_book12"/>
      <sheetName val="Ref-As_Is_GL_acc12"/>
      <sheetName val="OthAsset_roll12"/>
      <sheetName val="Input_Sheet12"/>
      <sheetName val="Table_512"/>
      <sheetName val="TAX_LIST13"/>
      <sheetName val="Location_Details__2_12"/>
      <sheetName val="AR_EXPORT12"/>
      <sheetName val="MAP_BS12"/>
      <sheetName val="_WP_SPT_2012_-_23_04_2013_xls12"/>
      <sheetName val="SUMMARY_200112"/>
      <sheetName val="New_format_sales12"/>
      <sheetName val="TBC05_Net12"/>
      <sheetName val="Depreciation__schedule13"/>
      <sheetName val="Penyusutan_(2)13"/>
      <sheetName val="disposal_assets13"/>
      <sheetName val="provision_(3)13"/>
      <sheetName val="Recon-Art_2113"/>
      <sheetName val="FA-gainloss_(2)13"/>
      <sheetName val="fiscal_corr13"/>
      <sheetName val="1771_213"/>
      <sheetName val="1771_2(E)13"/>
      <sheetName val="Depr-Comp_(2)13"/>
      <sheetName val="Marshal_(3)13"/>
      <sheetName val="Marshal_(2)13"/>
      <sheetName val="provision_(2)13"/>
      <sheetName val="fiscal_corr_(3)13"/>
      <sheetName val="fiscal_corr_(2)13"/>
      <sheetName val="CostRecovery_-_JV13"/>
      <sheetName val="PENJ_NERACA12"/>
      <sheetName val="CASH_FLOW12"/>
      <sheetName val="Pnrmanent_info12"/>
      <sheetName val="Input__EAST12"/>
      <sheetName val="bill_qty12"/>
      <sheetName val="Simple_Coff_12"/>
      <sheetName val="I-PPh_Final12"/>
      <sheetName val="OT_August__Drmx__0812"/>
      <sheetName val="DATA_SLIP12"/>
      <sheetName val="1200_2012"/>
      <sheetName val="CC_112"/>
      <sheetName val="CC_212"/>
      <sheetName val="CC_312"/>
      <sheetName val="United_Kingdom12"/>
      <sheetName val="RE_reconciliation12"/>
      <sheetName val="V_D_5-212"/>
      <sheetName val="LE767_GLOBAL_CHECKLIST_update12"/>
      <sheetName val="PO_&amp;_TL_Market_Specific12"/>
      <sheetName val="Issue_Sheet12"/>
      <sheetName val="I__SAP_Screen12"/>
      <sheetName val="II__OTR_-_BAS_G112"/>
      <sheetName val="III__AR_Recon12"/>
      <sheetName val="IV__AR12"/>
      <sheetName val="V_Zero_rated12"/>
      <sheetName val="VI__IC_Recon_828_to_221312"/>
      <sheetName val="IC_Recon_800-221312"/>
      <sheetName val="Capital_Purchases_BAS12"/>
      <sheetName val="VII__AP_BAS_G1112"/>
      <sheetName val="VIII__KN_Rec12"/>
      <sheetName val="IX_ITR12"/>
      <sheetName val="X__1204100112"/>
      <sheetName val="XI__Cust_Output_GST12"/>
      <sheetName val="XII_Vend_Input_GST12"/>
      <sheetName val="å's_=12"/>
      <sheetName val="Invoice_Cross_Reference12"/>
      <sheetName val="Spec_2210412"/>
      <sheetName val="N_100_F_Lead12"/>
      <sheetName val="WP_IC_Exp_January_201012"/>
      <sheetName val="fr_BS12"/>
      <sheetName val="P&amp;L_Adjustment12"/>
      <sheetName val="Main_Menu12"/>
      <sheetName val="Schedule_Contract_&amp;_SILO12"/>
      <sheetName val="Sales_and_Collections12"/>
      <sheetName val="Cost_of_Sales12"/>
      <sheetName val="Operating_Expenses_12"/>
      <sheetName val="Est__Income_By_Rig12"/>
      <sheetName val="Leasing_TA_Duri12"/>
      <sheetName val="TA_Jakarta12"/>
      <sheetName val="Breakdown_Cost-Well_Control12"/>
      <sheetName val="P_&amp;_L_1st-Invst-Well_Control12"/>
      <sheetName val="Asset_TA12"/>
      <sheetName val="Detail_COGS12"/>
      <sheetName val="CM_Tgl12"/>
      <sheetName val="Combined_FA12"/>
      <sheetName val="Permanent_info23"/>
      <sheetName val="details_fiscal_adjustments23"/>
      <sheetName val="Sum_empcost23"/>
      <sheetName val="Data_Sheet21"/>
      <sheetName val="Trial_Bal22"/>
      <sheetName val="Notes_to_BS22"/>
      <sheetName val="Mutasi_Final21"/>
      <sheetName val="fiscal_depr(E)22"/>
      <sheetName val="1998_CITR22"/>
      <sheetName val="NY_ADMIN21"/>
      <sheetName val="Mei_200721"/>
      <sheetName val="FA_Movement_IBIC22"/>
      <sheetName val="Client_Aje22"/>
      <sheetName val="Journal_Template22"/>
      <sheetName val="WIP_DETAIL_(GL_VS_NMP)21"/>
      <sheetName val="NO_FAKTUR22"/>
      <sheetName val="Gaikindo_Report22"/>
      <sheetName val="data_wp21"/>
      <sheetName val="Accounts_Payable_(AA)20"/>
      <sheetName val="1721-A1_(terbaru)20"/>
      <sheetName val="FA_Movement21"/>
      <sheetName val="Other_charges_(income)22"/>
      <sheetName val="WK_Local20"/>
      <sheetName val="FA_FISKAL21"/>
      <sheetName val="Accrued_(ckrg)21"/>
      <sheetName val="PROD_FRY-MONODON20"/>
      <sheetName val="TBCons_KMB0420"/>
      <sheetName val="FE-1771$_P120"/>
      <sheetName val="RWP_3320"/>
      <sheetName val="sep_ST20"/>
      <sheetName val="trf_multiple_dnrks20"/>
      <sheetName val="Q_120"/>
      <sheetName val="Horizon_Cost_Saves_Pkg20"/>
      <sheetName val="cost_recovery20"/>
      <sheetName val="Detail_Lead20"/>
      <sheetName val="Phasing_by_Month20"/>
      <sheetName val="Cost_Input_Sheet20"/>
      <sheetName val="C1_NOV20"/>
      <sheetName val="P&amp;L_INPUT20"/>
      <sheetName val="Portofolio_Trading20"/>
      <sheetName val="APAC_Q1FY09_-_Oracle20"/>
      <sheetName val="jan_book20"/>
      <sheetName val="Ref-As_Is_GL_acc20"/>
      <sheetName val="OthAsset_roll20"/>
      <sheetName val="Input_Sheet20"/>
      <sheetName val="Table_520"/>
      <sheetName val="TAX_LIST21"/>
      <sheetName val="Location_Details__2_20"/>
      <sheetName val="AR_EXPORT20"/>
      <sheetName val="MAP_BS20"/>
      <sheetName val="_WP_SPT_2012_-_23_04_2013_xls20"/>
      <sheetName val="SUMMARY_200120"/>
      <sheetName val="New_format_sales20"/>
      <sheetName val="TBC05_Net20"/>
      <sheetName val="Depreciation__schedule21"/>
      <sheetName val="Penyusutan_(2)21"/>
      <sheetName val="disposal_assets21"/>
      <sheetName val="provision_(3)21"/>
      <sheetName val="Recon-Art_2121"/>
      <sheetName val="FA-gainloss_(2)21"/>
      <sheetName val="fiscal_corr21"/>
      <sheetName val="1771_221"/>
      <sheetName val="1771_2(E)21"/>
      <sheetName val="Depr-Comp_(2)21"/>
      <sheetName val="Marshal_(3)21"/>
      <sheetName val="Marshal_(2)21"/>
      <sheetName val="provision_(2)21"/>
      <sheetName val="fiscal_corr_(3)21"/>
      <sheetName val="fiscal_corr_(2)21"/>
      <sheetName val="CostRecovery_-_JV21"/>
      <sheetName val="PENJ_NERACA20"/>
      <sheetName val="CASH_FLOW20"/>
      <sheetName val="Pnrmanent_info20"/>
      <sheetName val="Input__EAST20"/>
      <sheetName val="bill_qty20"/>
      <sheetName val="Simple_Coff_20"/>
      <sheetName val="I-PPh_Final20"/>
      <sheetName val="OT_August__Drmx__0820"/>
      <sheetName val="DATA_SLIP20"/>
      <sheetName val="1200_2020"/>
      <sheetName val="CC_120"/>
      <sheetName val="CC_220"/>
      <sheetName val="CC_320"/>
      <sheetName val="United_Kingdom20"/>
      <sheetName val="RE_reconciliation20"/>
      <sheetName val="V_D_5-220"/>
      <sheetName val="LE767_GLOBAL_CHECKLIST_update20"/>
      <sheetName val="PO_&amp;_TL_Market_Specific20"/>
      <sheetName val="Issue_Sheet20"/>
      <sheetName val="I__SAP_Screen20"/>
      <sheetName val="II__OTR_-_BAS_G120"/>
      <sheetName val="III__AR_Recon20"/>
      <sheetName val="IV__AR20"/>
      <sheetName val="V_Zero_rated20"/>
      <sheetName val="VI__IC_Recon_828_to_221320"/>
      <sheetName val="IC_Recon_800-221320"/>
      <sheetName val="Capital_Purchases_BAS20"/>
      <sheetName val="VII__AP_BAS_G1120"/>
      <sheetName val="VIII__KN_Rec20"/>
      <sheetName val="IX_ITR20"/>
      <sheetName val="X__1204100120"/>
      <sheetName val="XI__Cust_Output_GST20"/>
      <sheetName val="XII_Vend_Input_GST20"/>
      <sheetName val="å's_=20"/>
      <sheetName val="Invoice_Cross_Reference18"/>
      <sheetName val="Spec_2210418"/>
      <sheetName val="N_100_F_Lead18"/>
      <sheetName val="WP_IC_Exp_January_201018"/>
      <sheetName val="fr_BS18"/>
      <sheetName val="P&amp;L_Adjustment18"/>
      <sheetName val="Main_Menu18"/>
      <sheetName val="Schedule_Contract_&amp;_SILO18"/>
      <sheetName val="Sales_and_Collections18"/>
      <sheetName val="Cost_of_Sales18"/>
      <sheetName val="Operating_Expenses_18"/>
      <sheetName val="Est__Income_By_Rig18"/>
      <sheetName val="Leasing_TA_Duri18"/>
      <sheetName val="TA_Jakarta18"/>
      <sheetName val="Breakdown_Cost-Well_Control18"/>
      <sheetName val="P_&amp;_L_1st-Invst-Well_Control18"/>
      <sheetName val="Asset_TA18"/>
      <sheetName val="Detail_COGS18"/>
      <sheetName val="CM_Tgl18"/>
      <sheetName val="Combined_FA18"/>
      <sheetName val="Permanent_info20"/>
      <sheetName val="details_fiscal_adjustments20"/>
      <sheetName val="Sum_empcost20"/>
      <sheetName val="Data_Sheet18"/>
      <sheetName val="Trial_Bal19"/>
      <sheetName val="Notes_to_BS19"/>
      <sheetName val="Mutasi_Final18"/>
      <sheetName val="fiscal_depr(E)19"/>
      <sheetName val="1998_CITR19"/>
      <sheetName val="NY_ADMIN18"/>
      <sheetName val="Mei_200718"/>
      <sheetName val="FA_Movement_IBIC19"/>
      <sheetName val="Client_Aje19"/>
      <sheetName val="Journal_Template19"/>
      <sheetName val="WIP_DETAIL_(GL_VS_NMP)18"/>
      <sheetName val="NO_FAKTUR19"/>
      <sheetName val="Gaikindo_Report19"/>
      <sheetName val="data_wp18"/>
      <sheetName val="Accounts_Payable_(AA)17"/>
      <sheetName val="1721-A1_(terbaru)17"/>
      <sheetName val="FA_Movement18"/>
      <sheetName val="Other_charges_(income)19"/>
      <sheetName val="WK_Local17"/>
      <sheetName val="FA_FISKAL18"/>
      <sheetName val="Accrued_(ckrg)18"/>
      <sheetName val="PROD_FRY-MONODON17"/>
      <sheetName val="TBCons_KMB0417"/>
      <sheetName val="FE-1771$_P117"/>
      <sheetName val="RWP_3317"/>
      <sheetName val="sep_ST17"/>
      <sheetName val="trf_multiple_dnrks17"/>
      <sheetName val="Q_117"/>
      <sheetName val="Horizon_Cost_Saves_Pkg17"/>
      <sheetName val="cost_recovery17"/>
      <sheetName val="Detail_Lead17"/>
      <sheetName val="Phasing_by_Month17"/>
      <sheetName val="Cost_Input_Sheet17"/>
      <sheetName val="C1_NOV17"/>
      <sheetName val="P&amp;L_INPUT17"/>
      <sheetName val="Portofolio_Trading17"/>
      <sheetName val="APAC_Q1FY09_-_Oracle17"/>
      <sheetName val="jan_book17"/>
      <sheetName val="Ref-As_Is_GL_acc17"/>
      <sheetName val="OthAsset_roll17"/>
      <sheetName val="Input_Sheet17"/>
      <sheetName val="Table_517"/>
      <sheetName val="TAX_LIST18"/>
      <sheetName val="Location_Details__2_17"/>
      <sheetName val="AR_EXPORT17"/>
      <sheetName val="MAP_BS17"/>
      <sheetName val="_WP_SPT_2012_-_23_04_2013_xls17"/>
      <sheetName val="SUMMARY_200117"/>
      <sheetName val="New_format_sales17"/>
      <sheetName val="TBC05_Net17"/>
      <sheetName val="Depreciation__schedule18"/>
      <sheetName val="Penyusutan_(2)18"/>
      <sheetName val="disposal_assets18"/>
      <sheetName val="provision_(3)18"/>
      <sheetName val="Recon-Art_2118"/>
      <sheetName val="FA-gainloss_(2)18"/>
      <sheetName val="fiscal_corr18"/>
      <sheetName val="1771_218"/>
      <sheetName val="1771_2(E)18"/>
      <sheetName val="Depr-Comp_(2)18"/>
      <sheetName val="Marshal_(3)18"/>
      <sheetName val="Marshal_(2)18"/>
      <sheetName val="provision_(2)18"/>
      <sheetName val="fiscal_corr_(3)18"/>
      <sheetName val="fiscal_corr_(2)18"/>
      <sheetName val="CostRecovery_-_JV18"/>
      <sheetName val="PENJ_NERACA17"/>
      <sheetName val="CASH_FLOW17"/>
      <sheetName val="Pnrmanent_info17"/>
      <sheetName val="Input__EAST17"/>
      <sheetName val="bill_qty17"/>
      <sheetName val="Simple_Coff_17"/>
      <sheetName val="I-PPh_Final17"/>
      <sheetName val="OT_August__Drmx__0817"/>
      <sheetName val="DATA_SLIP17"/>
      <sheetName val="1200_2017"/>
      <sheetName val="CC_117"/>
      <sheetName val="CC_217"/>
      <sheetName val="CC_317"/>
      <sheetName val="United_Kingdom17"/>
      <sheetName val="RE_reconciliation17"/>
      <sheetName val="V_D_5-217"/>
      <sheetName val="LE767_GLOBAL_CHECKLIST_update17"/>
      <sheetName val="PO_&amp;_TL_Market_Specific17"/>
      <sheetName val="Issue_Sheet17"/>
      <sheetName val="I__SAP_Screen17"/>
      <sheetName val="II__OTR_-_BAS_G117"/>
      <sheetName val="III__AR_Recon17"/>
      <sheetName val="IV__AR17"/>
      <sheetName val="V_Zero_rated17"/>
      <sheetName val="VI__IC_Recon_828_to_221317"/>
      <sheetName val="IC_Recon_800-221317"/>
      <sheetName val="Capital_Purchases_BAS17"/>
      <sheetName val="VII__AP_BAS_G1117"/>
      <sheetName val="VIII__KN_Rec17"/>
      <sheetName val="IX_ITR17"/>
      <sheetName val="X__1204100117"/>
      <sheetName val="XI__Cust_Output_GST17"/>
      <sheetName val="XII_Vend_Input_GST17"/>
      <sheetName val="å's_=17"/>
      <sheetName val="Invoice_Cross_Reference15"/>
      <sheetName val="Spec_2210415"/>
      <sheetName val="N_100_F_Lead15"/>
      <sheetName val="WP_IC_Exp_January_201015"/>
      <sheetName val="fr_BS15"/>
      <sheetName val="P&amp;L_Adjustment15"/>
      <sheetName val="Main_Menu15"/>
      <sheetName val="Schedule_Contract_&amp;_SILO15"/>
      <sheetName val="Sales_and_Collections15"/>
      <sheetName val="Cost_of_Sales15"/>
      <sheetName val="Operating_Expenses_15"/>
      <sheetName val="Est__Income_By_Rig15"/>
      <sheetName val="Leasing_TA_Duri15"/>
      <sheetName val="TA_Jakarta15"/>
      <sheetName val="Breakdown_Cost-Well_Control15"/>
      <sheetName val="P_&amp;_L_1st-Invst-Well_Control15"/>
      <sheetName val="Asset_TA15"/>
      <sheetName val="Detail_COGS15"/>
      <sheetName val="CM_Tgl15"/>
      <sheetName val="Combined_FA15"/>
      <sheetName val="Permanent_info18"/>
      <sheetName val="details_fiscal_adjustments18"/>
      <sheetName val="Sum_empcost18"/>
      <sheetName val="Data_Sheet16"/>
      <sheetName val="Trial_Bal17"/>
      <sheetName val="Notes_to_BS17"/>
      <sheetName val="Mutasi_Final16"/>
      <sheetName val="fiscal_depr(E)17"/>
      <sheetName val="1998_CITR17"/>
      <sheetName val="NY_ADMIN16"/>
      <sheetName val="Mei_200716"/>
      <sheetName val="FA_Movement_IBIC17"/>
      <sheetName val="Client_Aje17"/>
      <sheetName val="Journal_Template17"/>
      <sheetName val="WIP_DETAIL_(GL_VS_NMP)16"/>
      <sheetName val="NO_FAKTUR17"/>
      <sheetName val="Gaikindo_Report17"/>
      <sheetName val="data_wp16"/>
      <sheetName val="Accounts_Payable_(AA)15"/>
      <sheetName val="1721-A1_(terbaru)15"/>
      <sheetName val="FA_Movement16"/>
      <sheetName val="Other_charges_(income)17"/>
      <sheetName val="WK_Local15"/>
      <sheetName val="FA_FISKAL16"/>
      <sheetName val="Accrued_(ckrg)16"/>
      <sheetName val="PROD_FRY-MONODON15"/>
      <sheetName val="TBCons_KMB0415"/>
      <sheetName val="FE-1771$_P115"/>
      <sheetName val="RWP_3315"/>
      <sheetName val="sep_ST15"/>
      <sheetName val="trf_multiple_dnrks15"/>
      <sheetName val="Q_115"/>
      <sheetName val="Horizon_Cost_Saves_Pkg15"/>
      <sheetName val="cost_recovery15"/>
      <sheetName val="Detail_Lead15"/>
      <sheetName val="Phasing_by_Month15"/>
      <sheetName val="Cost_Input_Sheet15"/>
      <sheetName val="C1_NOV15"/>
      <sheetName val="P&amp;L_INPUT15"/>
      <sheetName val="Portofolio_Trading15"/>
      <sheetName val="APAC_Q1FY09_-_Oracle15"/>
      <sheetName val="jan_book15"/>
      <sheetName val="Ref-As_Is_GL_acc15"/>
      <sheetName val="OthAsset_roll15"/>
      <sheetName val="Input_Sheet15"/>
      <sheetName val="Table_515"/>
      <sheetName val="TAX_LIST16"/>
      <sheetName val="Location_Details__2_15"/>
      <sheetName val="AR_EXPORT15"/>
      <sheetName val="MAP_BS15"/>
      <sheetName val="_WP_SPT_2012_-_23_04_2013_xls15"/>
      <sheetName val="SUMMARY_200115"/>
      <sheetName val="New_format_sales15"/>
      <sheetName val="TBC05_Net15"/>
      <sheetName val="Depreciation__schedule16"/>
      <sheetName val="Penyusutan_(2)16"/>
      <sheetName val="disposal_assets16"/>
      <sheetName val="provision_(3)16"/>
      <sheetName val="Recon-Art_2116"/>
      <sheetName val="FA-gainloss_(2)16"/>
      <sheetName val="fiscal_corr16"/>
      <sheetName val="1771_216"/>
      <sheetName val="1771_2(E)16"/>
      <sheetName val="Depr-Comp_(2)16"/>
      <sheetName val="Marshal_(3)16"/>
      <sheetName val="Marshal_(2)16"/>
      <sheetName val="provision_(2)16"/>
      <sheetName val="fiscal_corr_(3)16"/>
      <sheetName val="fiscal_corr_(2)16"/>
      <sheetName val="CostRecovery_-_JV16"/>
      <sheetName val="PENJ_NERACA15"/>
      <sheetName val="CASH_FLOW15"/>
      <sheetName val="Pnrmanent_info15"/>
      <sheetName val="Input__EAST15"/>
      <sheetName val="bill_qty15"/>
      <sheetName val="Simple_Coff_15"/>
      <sheetName val="I-PPh_Final15"/>
      <sheetName val="OT_August__Drmx__0815"/>
      <sheetName val="DATA_SLIP15"/>
      <sheetName val="1200_2015"/>
      <sheetName val="CC_115"/>
      <sheetName val="CC_215"/>
      <sheetName val="CC_315"/>
      <sheetName val="United_Kingdom15"/>
      <sheetName val="RE_reconciliation15"/>
      <sheetName val="V_D_5-215"/>
      <sheetName val="LE767_GLOBAL_CHECKLIST_update15"/>
      <sheetName val="PO_&amp;_TL_Market_Specific15"/>
      <sheetName val="Issue_Sheet15"/>
      <sheetName val="I__SAP_Screen15"/>
      <sheetName val="II__OTR_-_BAS_G115"/>
      <sheetName val="III__AR_Recon15"/>
      <sheetName val="IV__AR15"/>
      <sheetName val="V_Zero_rated15"/>
      <sheetName val="VI__IC_Recon_828_to_221315"/>
      <sheetName val="IC_Recon_800-221315"/>
      <sheetName val="Capital_Purchases_BAS15"/>
      <sheetName val="VII__AP_BAS_G1115"/>
      <sheetName val="VIII__KN_Rec15"/>
      <sheetName val="IX_ITR15"/>
      <sheetName val="X__1204100115"/>
      <sheetName val="XI__Cust_Output_GST15"/>
      <sheetName val="XII_Vend_Input_GST15"/>
      <sheetName val="å's_=15"/>
      <sheetName val="Invoice_Cross_Reference14"/>
      <sheetName val="Spec_2210414"/>
      <sheetName val="N_100_F_Lead14"/>
      <sheetName val="WP_IC_Exp_January_201014"/>
      <sheetName val="fr_BS14"/>
      <sheetName val="P&amp;L_Adjustment14"/>
      <sheetName val="Main_Menu14"/>
      <sheetName val="Schedule_Contract_&amp;_SILO14"/>
      <sheetName val="Sales_and_Collections14"/>
      <sheetName val="Cost_of_Sales14"/>
      <sheetName val="Operating_Expenses_14"/>
      <sheetName val="Est__Income_By_Rig14"/>
      <sheetName val="Leasing_TA_Duri14"/>
      <sheetName val="TA_Jakarta14"/>
      <sheetName val="Breakdown_Cost-Well_Control14"/>
      <sheetName val="P_&amp;_L_1st-Invst-Well_Control14"/>
      <sheetName val="Asset_TA14"/>
      <sheetName val="Detail_COGS14"/>
      <sheetName val="CM_Tgl14"/>
      <sheetName val="Combined_FA14"/>
      <sheetName val="Permanent_info17"/>
      <sheetName val="details_fiscal_adjustments17"/>
      <sheetName val="Sum_empcost17"/>
      <sheetName val="Data_Sheet15"/>
      <sheetName val="Trial_Bal16"/>
      <sheetName val="Notes_to_BS16"/>
      <sheetName val="Mutasi_Final15"/>
      <sheetName val="fiscal_depr(E)16"/>
      <sheetName val="1998_CITR16"/>
      <sheetName val="NY_ADMIN15"/>
      <sheetName val="Mei_200715"/>
      <sheetName val="FA_Movement_IBIC16"/>
      <sheetName val="Client_Aje16"/>
      <sheetName val="Journal_Template16"/>
      <sheetName val="WIP_DETAIL_(GL_VS_NMP)15"/>
      <sheetName val="NO_FAKTUR16"/>
      <sheetName val="Gaikindo_Report16"/>
      <sheetName val="data_wp15"/>
      <sheetName val="Accounts_Payable_(AA)14"/>
      <sheetName val="1721-A1_(terbaru)14"/>
      <sheetName val="FA_Movement15"/>
      <sheetName val="Other_charges_(income)16"/>
      <sheetName val="WK_Local14"/>
      <sheetName val="FA_FISKAL15"/>
      <sheetName val="Accrued_(ckrg)15"/>
      <sheetName val="PROD_FRY-MONODON14"/>
      <sheetName val="TBCons_KMB0414"/>
      <sheetName val="FE-1771$_P114"/>
      <sheetName val="RWP_3314"/>
      <sheetName val="sep_ST14"/>
      <sheetName val="trf_multiple_dnrks14"/>
      <sheetName val="Q_114"/>
      <sheetName val="Horizon_Cost_Saves_Pkg14"/>
      <sheetName val="cost_recovery14"/>
      <sheetName val="Detail_Lead14"/>
      <sheetName val="Phasing_by_Month14"/>
      <sheetName val="Cost_Input_Sheet14"/>
      <sheetName val="C1_NOV14"/>
      <sheetName val="P&amp;L_INPUT14"/>
      <sheetName val="Portofolio_Trading14"/>
      <sheetName val="APAC_Q1FY09_-_Oracle14"/>
      <sheetName val="jan_book14"/>
      <sheetName val="Ref-As_Is_GL_acc14"/>
      <sheetName val="OthAsset_roll14"/>
      <sheetName val="Input_Sheet14"/>
      <sheetName val="Table_514"/>
      <sheetName val="TAX_LIST15"/>
      <sheetName val="Location_Details__2_14"/>
      <sheetName val="AR_EXPORT14"/>
      <sheetName val="MAP_BS14"/>
      <sheetName val="_WP_SPT_2012_-_23_04_2013_xls14"/>
      <sheetName val="SUMMARY_200114"/>
      <sheetName val="New_format_sales14"/>
      <sheetName val="TBC05_Net14"/>
      <sheetName val="Depreciation__schedule15"/>
      <sheetName val="Penyusutan_(2)15"/>
      <sheetName val="disposal_assets15"/>
      <sheetName val="provision_(3)15"/>
      <sheetName val="Recon-Art_2115"/>
      <sheetName val="FA-gainloss_(2)15"/>
      <sheetName val="fiscal_corr15"/>
      <sheetName val="1771_215"/>
      <sheetName val="1771_2(E)15"/>
      <sheetName val="Depr-Comp_(2)15"/>
      <sheetName val="Marshal_(3)15"/>
      <sheetName val="Marshal_(2)15"/>
      <sheetName val="provision_(2)15"/>
      <sheetName val="fiscal_corr_(3)15"/>
      <sheetName val="fiscal_corr_(2)15"/>
      <sheetName val="CostRecovery_-_JV15"/>
      <sheetName val="PENJ_NERACA14"/>
      <sheetName val="CASH_FLOW14"/>
      <sheetName val="Pnrmanent_info14"/>
      <sheetName val="Input__EAST14"/>
      <sheetName val="bill_qty14"/>
      <sheetName val="Simple_Coff_14"/>
      <sheetName val="I-PPh_Final14"/>
      <sheetName val="OT_August__Drmx__0814"/>
      <sheetName val="DATA_SLIP14"/>
      <sheetName val="1200_2014"/>
      <sheetName val="CC_114"/>
      <sheetName val="CC_214"/>
      <sheetName val="CC_314"/>
      <sheetName val="United_Kingdom14"/>
      <sheetName val="RE_reconciliation14"/>
      <sheetName val="V_D_5-214"/>
      <sheetName val="LE767_GLOBAL_CHECKLIST_update14"/>
      <sheetName val="PO_&amp;_TL_Market_Specific14"/>
      <sheetName val="Issue_Sheet14"/>
      <sheetName val="I__SAP_Screen14"/>
      <sheetName val="II__OTR_-_BAS_G114"/>
      <sheetName val="III__AR_Recon14"/>
      <sheetName val="IV__AR14"/>
      <sheetName val="V_Zero_rated14"/>
      <sheetName val="VI__IC_Recon_828_to_221314"/>
      <sheetName val="IC_Recon_800-221314"/>
      <sheetName val="Capital_Purchases_BAS14"/>
      <sheetName val="VII__AP_BAS_G1114"/>
      <sheetName val="VIII__KN_Rec14"/>
      <sheetName val="IX_ITR14"/>
      <sheetName val="X__1204100114"/>
      <sheetName val="XI__Cust_Output_GST14"/>
      <sheetName val="XII_Vend_Input_GST14"/>
      <sheetName val="å's_=14"/>
      <sheetName val="Invoice_Cross_Reference13"/>
      <sheetName val="Spec_2210413"/>
      <sheetName val="N_100_F_Lead13"/>
      <sheetName val="WP_IC_Exp_January_201013"/>
      <sheetName val="fr_BS13"/>
      <sheetName val="P&amp;L_Adjustment13"/>
      <sheetName val="Main_Menu13"/>
      <sheetName val="Schedule_Contract_&amp;_SILO13"/>
      <sheetName val="Sales_and_Collections13"/>
      <sheetName val="Cost_of_Sales13"/>
      <sheetName val="Operating_Expenses_13"/>
      <sheetName val="Est__Income_By_Rig13"/>
      <sheetName val="Leasing_TA_Duri13"/>
      <sheetName val="TA_Jakarta13"/>
      <sheetName val="Breakdown_Cost-Well_Control13"/>
      <sheetName val="P_&amp;_L_1st-Invst-Well_Control13"/>
      <sheetName val="Asset_TA13"/>
      <sheetName val="Detail_COGS13"/>
      <sheetName val="CM_Tgl13"/>
      <sheetName val="Combined_FA13"/>
      <sheetName val="Permanent_info19"/>
      <sheetName val="details_fiscal_adjustments19"/>
      <sheetName val="Sum_empcost19"/>
      <sheetName val="Data_Sheet17"/>
      <sheetName val="Trial_Bal18"/>
      <sheetName val="Notes_to_BS18"/>
      <sheetName val="Mutasi_Final17"/>
      <sheetName val="fiscal_depr(E)18"/>
      <sheetName val="1998_CITR18"/>
      <sheetName val="NY_ADMIN17"/>
      <sheetName val="Mei_200717"/>
      <sheetName val="FA_Movement_IBIC18"/>
      <sheetName val="Client_Aje18"/>
      <sheetName val="Journal_Template18"/>
      <sheetName val="WIP_DETAIL_(GL_VS_NMP)17"/>
      <sheetName val="NO_FAKTUR18"/>
      <sheetName val="Gaikindo_Report18"/>
      <sheetName val="data_wp17"/>
      <sheetName val="Accounts_Payable_(AA)16"/>
      <sheetName val="1721-A1_(terbaru)16"/>
      <sheetName val="FA_Movement17"/>
      <sheetName val="Other_charges_(income)18"/>
      <sheetName val="WK_Local16"/>
      <sheetName val="FA_FISKAL17"/>
      <sheetName val="Accrued_(ckrg)17"/>
      <sheetName val="PROD_FRY-MONODON16"/>
      <sheetName val="TBCons_KMB0416"/>
      <sheetName val="FE-1771$_P116"/>
      <sheetName val="RWP_3316"/>
      <sheetName val="sep_ST16"/>
      <sheetName val="trf_multiple_dnrks16"/>
      <sheetName val="Q_116"/>
      <sheetName val="Horizon_Cost_Saves_Pkg16"/>
      <sheetName val="cost_recovery16"/>
      <sheetName val="Detail_Lead16"/>
      <sheetName val="Phasing_by_Month16"/>
      <sheetName val="Cost_Input_Sheet16"/>
      <sheetName val="C1_NOV16"/>
      <sheetName val="P&amp;L_INPUT16"/>
      <sheetName val="Portofolio_Trading16"/>
      <sheetName val="APAC_Q1FY09_-_Oracle16"/>
      <sheetName val="jan_book16"/>
      <sheetName val="Ref-As_Is_GL_acc16"/>
      <sheetName val="OthAsset_roll16"/>
      <sheetName val="Input_Sheet16"/>
      <sheetName val="Table_516"/>
      <sheetName val="TAX_LIST17"/>
      <sheetName val="Location_Details__2_16"/>
      <sheetName val="AR_EXPORT16"/>
      <sheetName val="MAP_BS16"/>
      <sheetName val="_WP_SPT_2012_-_23_04_2013_xls16"/>
      <sheetName val="SUMMARY_200116"/>
      <sheetName val="New_format_sales16"/>
      <sheetName val="TBC05_Net16"/>
      <sheetName val="Depreciation__schedule17"/>
      <sheetName val="Penyusutan_(2)17"/>
      <sheetName val="disposal_assets17"/>
      <sheetName val="provision_(3)17"/>
      <sheetName val="Recon-Art_2117"/>
      <sheetName val="FA-gainloss_(2)17"/>
      <sheetName val="fiscal_corr17"/>
      <sheetName val="1771_217"/>
      <sheetName val="1771_2(E)17"/>
      <sheetName val="Depr-Comp_(2)17"/>
      <sheetName val="Marshal_(3)17"/>
      <sheetName val="Marshal_(2)17"/>
      <sheetName val="provision_(2)17"/>
      <sheetName val="fiscal_corr_(3)17"/>
      <sheetName val="fiscal_corr_(2)17"/>
      <sheetName val="CostRecovery_-_JV17"/>
      <sheetName val="PENJ_NERACA16"/>
      <sheetName val="CASH_FLOW16"/>
      <sheetName val="Pnrmanent_info16"/>
      <sheetName val="Input__EAST16"/>
      <sheetName val="bill_qty16"/>
      <sheetName val="Simple_Coff_16"/>
      <sheetName val="I-PPh_Final16"/>
      <sheetName val="OT_August__Drmx__0816"/>
      <sheetName val="DATA_SLIP16"/>
      <sheetName val="1200_2016"/>
      <sheetName val="CC_116"/>
      <sheetName val="CC_216"/>
      <sheetName val="CC_316"/>
      <sheetName val="United_Kingdom16"/>
      <sheetName val="RE_reconciliation16"/>
      <sheetName val="V_D_5-216"/>
      <sheetName val="LE767_GLOBAL_CHECKLIST_update16"/>
      <sheetName val="PO_&amp;_TL_Market_Specific16"/>
      <sheetName val="Issue_Sheet16"/>
      <sheetName val="I__SAP_Screen16"/>
      <sheetName val="II__OTR_-_BAS_G116"/>
      <sheetName val="III__AR_Recon16"/>
      <sheetName val="IV__AR16"/>
      <sheetName val="V_Zero_rated16"/>
      <sheetName val="VI__IC_Recon_828_to_221316"/>
      <sheetName val="IC_Recon_800-221316"/>
      <sheetName val="Capital_Purchases_BAS16"/>
      <sheetName val="VII__AP_BAS_G1116"/>
      <sheetName val="VIII__KN_Rec16"/>
      <sheetName val="IX_ITR16"/>
      <sheetName val="X__1204100116"/>
      <sheetName val="XI__Cust_Output_GST16"/>
      <sheetName val="XII_Vend_Input_GST16"/>
      <sheetName val="å's_=16"/>
      <sheetName val="Permanent_info21"/>
      <sheetName val="details_fiscal_adjustments21"/>
      <sheetName val="Sum_empcost21"/>
      <sheetName val="Data_Sheet19"/>
      <sheetName val="Trial_Bal20"/>
      <sheetName val="Notes_to_BS20"/>
      <sheetName val="Mutasi_Final19"/>
      <sheetName val="fiscal_depr(E)20"/>
      <sheetName val="1998_CITR20"/>
      <sheetName val="NY_ADMIN19"/>
      <sheetName val="Mei_200719"/>
      <sheetName val="FA_Movement_IBIC20"/>
      <sheetName val="Client_Aje20"/>
      <sheetName val="Journal_Template20"/>
      <sheetName val="WIP_DETAIL_(GL_VS_NMP)19"/>
      <sheetName val="NO_FAKTUR20"/>
      <sheetName val="Gaikindo_Report20"/>
      <sheetName val="data_wp19"/>
      <sheetName val="Accounts_Payable_(AA)18"/>
      <sheetName val="1721-A1_(terbaru)18"/>
      <sheetName val="FA_Movement19"/>
      <sheetName val="Other_charges_(income)20"/>
      <sheetName val="WK_Local18"/>
      <sheetName val="FA_FISKAL19"/>
      <sheetName val="Accrued_(ckrg)19"/>
      <sheetName val="PROD_FRY-MONODON18"/>
      <sheetName val="TBCons_KMB0418"/>
      <sheetName val="FE-1771$_P118"/>
      <sheetName val="RWP_3318"/>
      <sheetName val="sep_ST18"/>
      <sheetName val="trf_multiple_dnrks18"/>
      <sheetName val="Q_118"/>
      <sheetName val="Horizon_Cost_Saves_Pkg18"/>
      <sheetName val="cost_recovery18"/>
      <sheetName val="Detail_Lead18"/>
      <sheetName val="Phasing_by_Month18"/>
      <sheetName val="Cost_Input_Sheet18"/>
      <sheetName val="C1_NOV18"/>
      <sheetName val="P&amp;L_INPUT18"/>
      <sheetName val="Portofolio_Trading18"/>
      <sheetName val="APAC_Q1FY09_-_Oracle18"/>
      <sheetName val="jan_book18"/>
      <sheetName val="Ref-As_Is_GL_acc18"/>
      <sheetName val="OthAsset_roll18"/>
      <sheetName val="Input_Sheet18"/>
      <sheetName val="Table_518"/>
      <sheetName val="TAX_LIST19"/>
      <sheetName val="Location_Details__2_18"/>
      <sheetName val="AR_EXPORT18"/>
      <sheetName val="MAP_BS18"/>
      <sheetName val="_WP_SPT_2012_-_23_04_2013_xls18"/>
      <sheetName val="SUMMARY_200118"/>
      <sheetName val="New_format_sales18"/>
      <sheetName val="TBC05_Net18"/>
      <sheetName val="Depreciation__schedule19"/>
      <sheetName val="Penyusutan_(2)19"/>
      <sheetName val="disposal_assets19"/>
      <sheetName val="provision_(3)19"/>
      <sheetName val="Recon-Art_2119"/>
      <sheetName val="FA-gainloss_(2)19"/>
      <sheetName val="fiscal_corr19"/>
      <sheetName val="1771_219"/>
      <sheetName val="1771_2(E)19"/>
      <sheetName val="Depr-Comp_(2)19"/>
      <sheetName val="Marshal_(3)19"/>
      <sheetName val="Marshal_(2)19"/>
      <sheetName val="provision_(2)19"/>
      <sheetName val="fiscal_corr_(3)19"/>
      <sheetName val="fiscal_corr_(2)19"/>
      <sheetName val="CostRecovery_-_JV19"/>
      <sheetName val="PENJ_NERACA18"/>
      <sheetName val="CASH_FLOW18"/>
      <sheetName val="Pnrmanent_info18"/>
      <sheetName val="Input__EAST18"/>
      <sheetName val="bill_qty18"/>
      <sheetName val="Simple_Coff_18"/>
      <sheetName val="I-PPh_Final18"/>
      <sheetName val="OT_August__Drmx__0818"/>
      <sheetName val="DATA_SLIP18"/>
      <sheetName val="1200_2018"/>
      <sheetName val="CC_118"/>
      <sheetName val="CC_218"/>
      <sheetName val="CC_318"/>
      <sheetName val="United_Kingdom18"/>
      <sheetName val="RE_reconciliation18"/>
      <sheetName val="V_D_5-218"/>
      <sheetName val="LE767_GLOBAL_CHECKLIST_update18"/>
      <sheetName val="PO_&amp;_TL_Market_Specific18"/>
      <sheetName val="Issue_Sheet18"/>
      <sheetName val="I__SAP_Screen18"/>
      <sheetName val="II__OTR_-_BAS_G118"/>
      <sheetName val="III__AR_Recon18"/>
      <sheetName val="IV__AR18"/>
      <sheetName val="V_Zero_rated18"/>
      <sheetName val="VI__IC_Recon_828_to_221318"/>
      <sheetName val="IC_Recon_800-221318"/>
      <sheetName val="Capital_Purchases_BAS18"/>
      <sheetName val="VII__AP_BAS_G1118"/>
      <sheetName val="VIII__KN_Rec18"/>
      <sheetName val="IX_ITR18"/>
      <sheetName val="X__1204100118"/>
      <sheetName val="XI__Cust_Output_GST18"/>
      <sheetName val="XII_Vend_Input_GST18"/>
      <sheetName val="å's_=18"/>
      <sheetName val="Invoice_Cross_Reference16"/>
      <sheetName val="Spec_2210416"/>
      <sheetName val="N_100_F_Lead16"/>
      <sheetName val="WP_IC_Exp_January_201016"/>
      <sheetName val="fr_BS16"/>
      <sheetName val="P&amp;L_Adjustment16"/>
      <sheetName val="Main_Menu16"/>
      <sheetName val="Schedule_Contract_&amp;_SILO16"/>
      <sheetName val="Sales_and_Collections16"/>
      <sheetName val="Cost_of_Sales16"/>
      <sheetName val="Operating_Expenses_16"/>
      <sheetName val="Est__Income_By_Rig16"/>
      <sheetName val="Leasing_TA_Duri16"/>
      <sheetName val="TA_Jakarta16"/>
      <sheetName val="Breakdown_Cost-Well_Control16"/>
      <sheetName val="P_&amp;_L_1st-Invst-Well_Control16"/>
      <sheetName val="Asset_TA16"/>
      <sheetName val="Detail_COGS16"/>
      <sheetName val="CM_Tgl16"/>
      <sheetName val="Combined_FA16"/>
      <sheetName val="Permanent_info22"/>
      <sheetName val="details_fiscal_adjustments22"/>
      <sheetName val="Sum_empcost22"/>
      <sheetName val="Data_Sheet20"/>
      <sheetName val="Trial_Bal21"/>
      <sheetName val="Notes_to_BS21"/>
      <sheetName val="Mutasi_Final20"/>
      <sheetName val="fiscal_depr(E)21"/>
      <sheetName val="1998_CITR21"/>
      <sheetName val="NY_ADMIN20"/>
      <sheetName val="Mei_200720"/>
      <sheetName val="FA_Movement_IBIC21"/>
      <sheetName val="Client_Aje21"/>
      <sheetName val="Journal_Template21"/>
      <sheetName val="WIP_DETAIL_(GL_VS_NMP)20"/>
      <sheetName val="NO_FAKTUR21"/>
      <sheetName val="Gaikindo_Report21"/>
      <sheetName val="data_wp20"/>
      <sheetName val="Accounts_Payable_(AA)19"/>
      <sheetName val="1721-A1_(terbaru)19"/>
      <sheetName val="FA_Movement20"/>
      <sheetName val="Other_charges_(income)21"/>
      <sheetName val="WK_Local19"/>
      <sheetName val="FA_FISKAL20"/>
      <sheetName val="Accrued_(ckrg)20"/>
      <sheetName val="PROD_FRY-MONODON19"/>
      <sheetName val="TBCons_KMB0419"/>
      <sheetName val="FE-1771$_P119"/>
      <sheetName val="RWP_3319"/>
      <sheetName val="sep_ST19"/>
      <sheetName val="trf_multiple_dnrks19"/>
      <sheetName val="Q_119"/>
      <sheetName val="Horizon_Cost_Saves_Pkg19"/>
      <sheetName val="cost_recovery19"/>
      <sheetName val="Detail_Lead19"/>
      <sheetName val="Phasing_by_Month19"/>
      <sheetName val="Cost_Input_Sheet19"/>
      <sheetName val="C1_NOV19"/>
      <sheetName val="P&amp;L_INPUT19"/>
      <sheetName val="Portofolio_Trading19"/>
      <sheetName val="APAC_Q1FY09_-_Oracle19"/>
      <sheetName val="jan_book19"/>
      <sheetName val="Ref-As_Is_GL_acc19"/>
      <sheetName val="OthAsset_roll19"/>
      <sheetName val="Input_Sheet19"/>
      <sheetName val="Table_519"/>
      <sheetName val="TAX_LIST20"/>
      <sheetName val="Location_Details__2_19"/>
      <sheetName val="AR_EXPORT19"/>
      <sheetName val="MAP_BS19"/>
      <sheetName val="_WP_SPT_2012_-_23_04_2013_xls19"/>
      <sheetName val="SUMMARY_200119"/>
      <sheetName val="New_format_sales19"/>
      <sheetName val="TBC05_Net19"/>
      <sheetName val="Depreciation__schedule20"/>
      <sheetName val="Penyusutan_(2)20"/>
      <sheetName val="disposal_assets20"/>
      <sheetName val="provision_(3)20"/>
      <sheetName val="Recon-Art_2120"/>
      <sheetName val="FA-gainloss_(2)20"/>
      <sheetName val="fiscal_corr20"/>
      <sheetName val="1771_220"/>
      <sheetName val="1771_2(E)20"/>
      <sheetName val="Depr-Comp_(2)20"/>
      <sheetName val="Marshal_(3)20"/>
      <sheetName val="Marshal_(2)20"/>
      <sheetName val="provision_(2)20"/>
      <sheetName val="fiscal_corr_(3)20"/>
      <sheetName val="fiscal_corr_(2)20"/>
      <sheetName val="CostRecovery_-_JV20"/>
      <sheetName val="PENJ_NERACA19"/>
      <sheetName val="CASH_FLOW19"/>
      <sheetName val="Pnrmanent_info19"/>
      <sheetName val="Input__EAST19"/>
      <sheetName val="bill_qty19"/>
      <sheetName val="Simple_Coff_19"/>
      <sheetName val="I-PPh_Final19"/>
      <sheetName val="OT_August__Drmx__0819"/>
      <sheetName val="DATA_SLIP19"/>
      <sheetName val="1200_2019"/>
      <sheetName val="CC_119"/>
      <sheetName val="CC_219"/>
      <sheetName val="CC_319"/>
      <sheetName val="United_Kingdom19"/>
      <sheetName val="RE_reconciliation19"/>
      <sheetName val="V_D_5-219"/>
      <sheetName val="LE767_GLOBAL_CHECKLIST_update19"/>
      <sheetName val="PO_&amp;_TL_Market_Specific19"/>
      <sheetName val="Issue_Sheet19"/>
      <sheetName val="I__SAP_Screen19"/>
      <sheetName val="II__OTR_-_BAS_G119"/>
      <sheetName val="III__AR_Recon19"/>
      <sheetName val="IV__AR19"/>
      <sheetName val="V_Zero_rated19"/>
      <sheetName val="VI__IC_Recon_828_to_221319"/>
      <sheetName val="IC_Recon_800-221319"/>
      <sheetName val="Capital_Purchases_BAS19"/>
      <sheetName val="VII__AP_BAS_G1119"/>
      <sheetName val="VIII__KN_Rec19"/>
      <sheetName val="IX_ITR19"/>
      <sheetName val="X__1204100119"/>
      <sheetName val="XI__Cust_Output_GST19"/>
      <sheetName val="XII_Vend_Input_GST19"/>
      <sheetName val="å's_=19"/>
      <sheetName val="Invoice_Cross_Reference17"/>
      <sheetName val="Spec_2210417"/>
      <sheetName val="N_100_F_Lead17"/>
      <sheetName val="WP_IC_Exp_January_201017"/>
      <sheetName val="fr_BS17"/>
      <sheetName val="P&amp;L_Adjustment17"/>
      <sheetName val="Main_Menu17"/>
      <sheetName val="Schedule_Contract_&amp;_SILO17"/>
      <sheetName val="Sales_and_Collections17"/>
      <sheetName val="Cost_of_Sales17"/>
      <sheetName val="Operating_Expenses_17"/>
      <sheetName val="Est__Income_By_Rig17"/>
      <sheetName val="Leasing_TA_Duri17"/>
      <sheetName val="TA_Jakarta17"/>
      <sheetName val="Breakdown_Cost-Well_Control17"/>
      <sheetName val="P_&amp;_L_1st-Invst-Well_Control17"/>
      <sheetName val="Asset_TA17"/>
      <sheetName val="Detail_COGS17"/>
      <sheetName val="CM_Tgl17"/>
      <sheetName val="Combined_FA17"/>
      <sheetName val="Permanent_info24"/>
      <sheetName val="details_fiscal_adjustments24"/>
      <sheetName val="Sum_empcost24"/>
      <sheetName val="Data_Sheet22"/>
      <sheetName val="Trial_Bal23"/>
      <sheetName val="Notes_to_BS23"/>
      <sheetName val="Mutasi_Final22"/>
      <sheetName val="fiscal_depr(E)23"/>
      <sheetName val="1998_CITR23"/>
      <sheetName val="NY_ADMIN22"/>
      <sheetName val="Mei_200722"/>
      <sheetName val="FA_Movement_IBIC23"/>
      <sheetName val="Client_Aje23"/>
      <sheetName val="Journal_Template23"/>
      <sheetName val="WIP_DETAIL_(GL_VS_NMP)22"/>
      <sheetName val="NO_FAKTUR23"/>
      <sheetName val="Gaikindo_Report23"/>
      <sheetName val="data_wp22"/>
      <sheetName val="Accounts_Payable_(AA)21"/>
      <sheetName val="1721-A1_(terbaru)21"/>
      <sheetName val="FA_Movement22"/>
      <sheetName val="Other_charges_(income)23"/>
      <sheetName val="WK_Local21"/>
      <sheetName val="FA_FISKAL22"/>
      <sheetName val="Accrued_(ckrg)22"/>
      <sheetName val="PROD_FRY-MONODON21"/>
      <sheetName val="TBCons_KMB0421"/>
      <sheetName val="FE-1771$_P121"/>
      <sheetName val="RWP_3321"/>
      <sheetName val="sep_ST21"/>
      <sheetName val="trf_multiple_dnrks21"/>
      <sheetName val="Q_121"/>
      <sheetName val="Horizon_Cost_Saves_Pkg21"/>
      <sheetName val="cost_recovery21"/>
      <sheetName val="Detail_Lead21"/>
      <sheetName val="Phasing_by_Month21"/>
      <sheetName val="Cost_Input_Sheet21"/>
      <sheetName val="C1_NOV21"/>
      <sheetName val="P&amp;L_INPUT21"/>
      <sheetName val="Portofolio_Trading21"/>
      <sheetName val="APAC_Q1FY09_-_Oracle21"/>
      <sheetName val="jan_book21"/>
      <sheetName val="Ref-As_Is_GL_acc21"/>
      <sheetName val="OthAsset_roll21"/>
      <sheetName val="Input_Sheet21"/>
      <sheetName val="Table_521"/>
      <sheetName val="TAX_LIST22"/>
      <sheetName val="Location_Details__2_21"/>
      <sheetName val="AR_EXPORT21"/>
      <sheetName val="MAP_BS21"/>
      <sheetName val="_WP_SPT_2012_-_23_04_2013_xls21"/>
      <sheetName val="SUMMARY_200121"/>
      <sheetName val="New_format_sales21"/>
      <sheetName val="TBC05_Net21"/>
      <sheetName val="Depreciation__schedule22"/>
      <sheetName val="Penyusutan_(2)22"/>
      <sheetName val="disposal_assets22"/>
      <sheetName val="provision_(3)22"/>
      <sheetName val="Recon-Art_2122"/>
      <sheetName val="FA-gainloss_(2)22"/>
      <sheetName val="fiscal_corr22"/>
      <sheetName val="1771_222"/>
      <sheetName val="1771_2(E)22"/>
      <sheetName val="Depr-Comp_(2)22"/>
      <sheetName val="Marshal_(3)22"/>
      <sheetName val="Marshal_(2)22"/>
      <sheetName val="provision_(2)22"/>
      <sheetName val="fiscal_corr_(3)22"/>
      <sheetName val="fiscal_corr_(2)22"/>
      <sheetName val="CostRecovery_-_JV22"/>
      <sheetName val="PENJ_NERACA21"/>
      <sheetName val="CASH_FLOW21"/>
      <sheetName val="Pnrmanent_info21"/>
      <sheetName val="Input__EAST21"/>
      <sheetName val="bill_qty21"/>
      <sheetName val="Simple_Coff_21"/>
      <sheetName val="I-PPh_Final21"/>
      <sheetName val="OT_August__Drmx__0821"/>
      <sheetName val="DATA_SLIP21"/>
      <sheetName val="1200_2021"/>
      <sheetName val="CC_121"/>
      <sheetName val="CC_221"/>
      <sheetName val="CC_321"/>
      <sheetName val="United_Kingdom21"/>
      <sheetName val="RE_reconciliation21"/>
      <sheetName val="V_D_5-221"/>
      <sheetName val="LE767_GLOBAL_CHECKLIST_update21"/>
      <sheetName val="PO_&amp;_TL_Market_Specific21"/>
      <sheetName val="Issue_Sheet21"/>
      <sheetName val="I__SAP_Screen21"/>
      <sheetName val="II__OTR_-_BAS_G121"/>
      <sheetName val="III__AR_Recon21"/>
      <sheetName val="IV__AR21"/>
      <sheetName val="V_Zero_rated21"/>
      <sheetName val="VI__IC_Recon_828_to_221321"/>
      <sheetName val="IC_Recon_800-221321"/>
      <sheetName val="Capital_Purchases_BAS21"/>
      <sheetName val="VII__AP_BAS_G1121"/>
      <sheetName val="VIII__KN_Rec21"/>
      <sheetName val="IX_ITR21"/>
      <sheetName val="X__1204100121"/>
      <sheetName val="XI__Cust_Output_GST21"/>
      <sheetName val="XII_Vend_Input_GST21"/>
      <sheetName val="å's_=21"/>
      <sheetName val="Invoice_Cross_Reference19"/>
      <sheetName val="Spec_2210419"/>
      <sheetName val="N_100_F_Lead19"/>
      <sheetName val="WP_IC_Exp_January_201019"/>
      <sheetName val="fr_BS19"/>
      <sheetName val="P&amp;L_Adjustment19"/>
      <sheetName val="Main_Menu19"/>
      <sheetName val="Schedule_Contract_&amp;_SILO19"/>
      <sheetName val="Sales_and_Collections19"/>
      <sheetName val="Cost_of_Sales19"/>
      <sheetName val="Operating_Expenses_19"/>
      <sheetName val="Est__Income_By_Rig19"/>
      <sheetName val="Leasing_TA_Duri19"/>
      <sheetName val="TA_Jakarta19"/>
      <sheetName val="Breakdown_Cost-Well_Control19"/>
      <sheetName val="P_&amp;_L_1st-Invst-Well_Control19"/>
      <sheetName val="Asset_TA19"/>
      <sheetName val="Detail_COGS19"/>
      <sheetName val="CM_Tgl19"/>
      <sheetName val="Combined_FA19"/>
      <sheetName val="低值品"/>
      <sheetName val="Permanent_info25"/>
      <sheetName val="details_fiscal_adjustments25"/>
      <sheetName val="Sum_empcost25"/>
      <sheetName val="Data_Sheet23"/>
      <sheetName val="Trial_Bal24"/>
      <sheetName val="Notes_to_BS24"/>
      <sheetName val="Mutasi_Final23"/>
      <sheetName val="fiscal_depr(E)24"/>
      <sheetName val="1998_CITR24"/>
      <sheetName val="NY_ADMIN23"/>
      <sheetName val="Mei_200723"/>
      <sheetName val="FA_Movement_IBIC24"/>
      <sheetName val="Client_Aje24"/>
      <sheetName val="Journal_Template24"/>
      <sheetName val="WIP_DETAIL_(GL_VS_NMP)23"/>
      <sheetName val="NO_FAKTUR24"/>
      <sheetName val="Gaikindo_Report24"/>
      <sheetName val="data_wp23"/>
      <sheetName val="Accounts_Payable_(AA)22"/>
      <sheetName val="1721-A1_(terbaru)22"/>
      <sheetName val="FA_Movement23"/>
      <sheetName val="Other_charges_(income)24"/>
      <sheetName val="WK_Local22"/>
      <sheetName val="FA_FISKAL23"/>
      <sheetName val="Accrued_(ckrg)23"/>
      <sheetName val="PROD_FRY-MONODON22"/>
      <sheetName val="TBCons_KMB0422"/>
      <sheetName val="FE-1771$_P122"/>
      <sheetName val="RWP_3322"/>
      <sheetName val="sep_ST22"/>
      <sheetName val="trf_multiple_dnrks22"/>
      <sheetName val="Q_122"/>
      <sheetName val="Horizon_Cost_Saves_Pkg22"/>
      <sheetName val="cost_recovery22"/>
      <sheetName val="Detail_Lead22"/>
      <sheetName val="Phasing_by_Month22"/>
      <sheetName val="Cost_Input_Sheet22"/>
      <sheetName val="C1_NOV22"/>
      <sheetName val="P&amp;L_INPUT22"/>
      <sheetName val="Portofolio_Trading22"/>
      <sheetName val="APAC_Q1FY09_-_Oracle22"/>
      <sheetName val="jan_book22"/>
      <sheetName val="Ref-As_Is_GL_acc22"/>
      <sheetName val="OthAsset_roll22"/>
      <sheetName val="Input_Sheet22"/>
      <sheetName val="Table_522"/>
      <sheetName val="TAX_LIST23"/>
      <sheetName val="Location_Details__2_22"/>
      <sheetName val="AR_EXPORT22"/>
      <sheetName val="MAP_BS22"/>
      <sheetName val="_WP_SPT_2012_-_23_04_2013_xls22"/>
      <sheetName val="SUMMARY_200122"/>
      <sheetName val="New_format_sales22"/>
      <sheetName val="TBC05_Net22"/>
      <sheetName val="Depreciation__schedule23"/>
      <sheetName val="Penyusutan_(2)23"/>
      <sheetName val="disposal_assets23"/>
      <sheetName val="provision_(3)23"/>
      <sheetName val="Recon-Art_2123"/>
      <sheetName val="FA-gainloss_(2)23"/>
      <sheetName val="fiscal_corr23"/>
      <sheetName val="1771_223"/>
      <sheetName val="1771_2(E)23"/>
      <sheetName val="Depr-Comp_(2)23"/>
      <sheetName val="Marshal_(3)23"/>
      <sheetName val="Marshal_(2)23"/>
      <sheetName val="provision_(2)23"/>
      <sheetName val="fiscal_corr_(3)23"/>
      <sheetName val="fiscal_corr_(2)23"/>
      <sheetName val="CostRecovery_-_JV23"/>
      <sheetName val="PENJ_NERACA22"/>
      <sheetName val="CASH_FLOW22"/>
      <sheetName val="Pnrmanent_info22"/>
      <sheetName val="Input__EAST22"/>
      <sheetName val="bill_qty22"/>
      <sheetName val="Simple_Coff_22"/>
      <sheetName val="I-PPh_Final22"/>
      <sheetName val="OT_August__Drmx__0822"/>
      <sheetName val="DATA_SLIP22"/>
      <sheetName val="1200_2022"/>
      <sheetName val="CC_122"/>
      <sheetName val="CC_222"/>
      <sheetName val="CC_322"/>
      <sheetName val="United_Kingdom22"/>
      <sheetName val="RE_reconciliation22"/>
      <sheetName val="V_D_5-222"/>
      <sheetName val="LE767_GLOBAL_CHECKLIST_update22"/>
      <sheetName val="PO_&amp;_TL_Market_Specific22"/>
      <sheetName val="Issue_Sheet22"/>
      <sheetName val="I__SAP_Screen22"/>
      <sheetName val="II__OTR_-_BAS_G122"/>
      <sheetName val="III__AR_Recon22"/>
      <sheetName val="IV__AR22"/>
      <sheetName val="V_Zero_rated22"/>
      <sheetName val="VI__IC_Recon_828_to_221322"/>
      <sheetName val="IC_Recon_800-221322"/>
      <sheetName val="Capital_Purchases_BAS22"/>
      <sheetName val="VII__AP_BAS_G1122"/>
      <sheetName val="VIII__KN_Rec22"/>
      <sheetName val="IX_ITR22"/>
      <sheetName val="X__1204100122"/>
      <sheetName val="XI__Cust_Output_GST22"/>
      <sheetName val="XII_Vend_Input_GST22"/>
      <sheetName val="å's_=22"/>
      <sheetName val="Invoice_Cross_Reference20"/>
      <sheetName val="Spec_2210420"/>
      <sheetName val="N_100_F_Lead20"/>
      <sheetName val="WP_IC_Exp_January_201020"/>
      <sheetName val="fr_BS20"/>
      <sheetName val="P&amp;L_Adjustment20"/>
      <sheetName val="Main_Menu20"/>
      <sheetName val="Schedule_Contract_&amp;_SILO20"/>
      <sheetName val="Sales_and_Collections20"/>
      <sheetName val="Cost_of_Sales20"/>
      <sheetName val="Operating_Expenses_20"/>
      <sheetName val="Est__Income_By_Rig20"/>
      <sheetName val="Leasing_TA_Duri20"/>
      <sheetName val="TA_Jakarta20"/>
      <sheetName val="Breakdown_Cost-Well_Control20"/>
      <sheetName val="P_&amp;_L_1st-Invst-Well_Control20"/>
      <sheetName val="Asset_TA20"/>
      <sheetName val="Detail_COGS20"/>
      <sheetName val="CM_Tgl20"/>
      <sheetName val="Combined_FA20"/>
      <sheetName val="Planting"/>
      <sheetName val="Section"/>
      <sheetName val="5"/>
      <sheetName val="DbRp"/>
      <sheetName val="Companies"/>
      <sheetName val="FE-1771"/>
      <sheetName val="Cust"/>
      <sheetName val="Formula"/>
      <sheetName val="lampiran konfirmasi 94"/>
      <sheetName val="Dept-Div-Branch"/>
      <sheetName val="UshDeb00"/>
      <sheetName val="Db"/>
      <sheetName val="SAPDb"/>
      <sheetName val="Parameters"/>
      <sheetName val="FIXED_ASSETS"/>
      <sheetName val="(ABS)_JUL-AGST'073"/>
      <sheetName val="Bal_Sheet"/>
      <sheetName val="VAT_OUT_GL"/>
      <sheetName val="E-9_3(PBC)"/>
      <sheetName val="CMA_Addition"/>
      <sheetName val="Engineering_Workload"/>
      <sheetName val="A__Data_Permintaan_Produk"/>
      <sheetName val="C__Data_Faktur_"/>
      <sheetName val="Data_Kalender"/>
      <sheetName val="M__Data_Biaya_Kirim"/>
      <sheetName val="trf_7_jht"/>
      <sheetName val="(ABS)_JUL-AGST'074"/>
      <sheetName val="AR_Karyawan1"/>
      <sheetName val="Bal_Sheet1"/>
      <sheetName val="VAT_OUT_GL1"/>
      <sheetName val="E-9_3(PBC)1"/>
      <sheetName val="Deferred_Rev1"/>
      <sheetName val="CMA_Addition1"/>
      <sheetName val="Engineering_Workload1"/>
      <sheetName val="A__Data_Permintaan_Produk1"/>
      <sheetName val="C__Data_Faktur_1"/>
      <sheetName val="Data_Kalender1"/>
      <sheetName val="M__Data_Biaya_Kirim1"/>
      <sheetName val="trf_7_jht1"/>
      <sheetName val="121-PBC"/>
      <sheetName val="161-PBC"/>
      <sheetName val="Coding"/>
      <sheetName val="Empresas"/>
      <sheetName val="DP-I "/>
      <sheetName val="SC_FIELD"/>
      <sheetName val="BalSheet"/>
      <sheetName val="OFFEREXT"/>
      <sheetName val="cADJcode"/>
      <sheetName val="Currencies"/>
      <sheetName val="dectbl"/>
      <sheetName val="CIP_USD"/>
      <sheetName val="U1.6"/>
      <sheetName val="U1.2"/>
      <sheetName val="U1.5"/>
      <sheetName val="U1.1"/>
      <sheetName val="U1.3"/>
      <sheetName val="R&amp;O Operation "/>
      <sheetName val="8-Liabilities"/>
      <sheetName val="FF-3"/>
      <sheetName val="U110"/>
      <sheetName val="Balance sheet"/>
      <sheetName val="note_defect"/>
      <sheetName val="Currency"/>
      <sheetName val="Non-Statistical Sampling"/>
      <sheetName val="FSA"/>
      <sheetName val="B"/>
      <sheetName val="EYAS Standar"/>
      <sheetName val="Wil"/>
      <sheetName val="BALANCE"/>
      <sheetName val="Resume"/>
      <sheetName val="FE-1771-I"/>
      <sheetName val="Input Reference"/>
      <sheetName val="Inventory Value Reference"/>
      <sheetName val="Bal Sheet"/>
      <sheetName val="BS-ly"/>
      <sheetName val="SET"/>
      <sheetName val="Assumption &amp; Result"/>
      <sheetName val="benefit"/>
      <sheetName val="ByCC"/>
      <sheetName val="Trial Balance Input File"/>
      <sheetName val="A&amp;C"/>
      <sheetName val="Coeff"/>
      <sheetName val="WS IS"/>
      <sheetName val="KKA"/>
      <sheetName val="FPA11"/>
      <sheetName val="Danamon LK"/>
      <sheetName val="ner"/>
      <sheetName val="Posting"/>
      <sheetName val="Posting Adjustment"/>
      <sheetName val="CGSsp"/>
      <sheetName val="CGSgm2"/>
      <sheetName val="Sales"/>
      <sheetName val="62404"/>
      <sheetName val="A1104"/>
      <sheetName val="frek 3.3"/>
      <sheetName val="Scenarios and Sensitivities"/>
      <sheetName val="StCdes"/>
      <sheetName val="Q299-Q200 RevMgn Trends"/>
      <sheetName val="0307 Q3Update"/>
      <sheetName val="Flash"/>
      <sheetName val="Agu"/>
      <sheetName val="Apr"/>
      <sheetName val="Des"/>
      <sheetName val="Jul"/>
      <sheetName val="Jun"/>
      <sheetName val="Mar"/>
      <sheetName val="Mei"/>
      <sheetName val="Nov"/>
      <sheetName val="Okt"/>
      <sheetName val="Peb"/>
      <sheetName val="Sep"/>
      <sheetName val="CGM"/>
      <sheetName val="1771-I2?_x000"/>
      <sheetName val="Aging Sept"/>
      <sheetName val="RM"/>
      <sheetName val="Sby Apr_10_Rvwd"/>
      <sheetName val="Marshal -1"/>
      <sheetName val="Marshal _1"/>
      <sheetName val=" INCOME STATEMENT"/>
      <sheetName val="TEH"/>
      <sheetName val="BS-PL Komersil and Fiskal"/>
      <sheetName val="COGS"/>
      <sheetName val="Ist"/>
      <sheetName val="pnl"/>
      <sheetName val="PNL Statement"/>
      <sheetName val="P&amp;L98"/>
      <sheetName val="IDR"/>
      <sheetName val="Details BS YTD"/>
      <sheetName val="NERACA-05"/>
      <sheetName val="NGUON"/>
    </sheetNames>
    <sheetDataSet>
      <sheetData sheetId="0">
        <row r="7">
          <cell r="E7" t="str">
            <v>PT NEWCREST SUMATRA MINERALS</v>
          </cell>
        </row>
      </sheetData>
      <sheetData sheetId="1">
        <row r="7">
          <cell r="E7" t="str">
            <v>PT NEWCREST SUMATRA MINERALS</v>
          </cell>
        </row>
      </sheetData>
      <sheetData sheetId="2">
        <row r="7">
          <cell r="E7" t="str">
            <v>PT NEWCREST SUMATRA MINERALS</v>
          </cell>
        </row>
      </sheetData>
      <sheetData sheetId="3">
        <row r="7">
          <cell r="E7" t="str">
            <v>PT NEWCREST SUMATRA MINERALS</v>
          </cell>
        </row>
      </sheetData>
      <sheetData sheetId="4">
        <row r="7">
          <cell r="E7" t="str">
            <v>PT NEWCREST SUMATRA MINERALS</v>
          </cell>
        </row>
      </sheetData>
      <sheetData sheetId="5">
        <row r="7">
          <cell r="E7" t="str">
            <v>PT NEWCREST SUMATRA MINERALS</v>
          </cell>
        </row>
      </sheetData>
      <sheetData sheetId="6" refreshError="1">
        <row r="7">
          <cell r="E7" t="str">
            <v>PT NEWCREST SUMATRA MINERALS</v>
          </cell>
        </row>
        <row r="36">
          <cell r="G36">
            <v>0</v>
          </cell>
        </row>
      </sheetData>
      <sheetData sheetId="7" refreshError="1">
        <row r="7">
          <cell r="E7" t="str">
            <v>PT NEWCREST SUMATRA MINERALS</v>
          </cell>
        </row>
        <row r="31">
          <cell r="R31">
            <v>0</v>
          </cell>
        </row>
      </sheetData>
      <sheetData sheetId="8">
        <row r="7">
          <cell r="E7" t="str">
            <v>PT NEWCREST SUMATRA MINERALS</v>
          </cell>
        </row>
      </sheetData>
      <sheetData sheetId="9">
        <row r="7">
          <cell r="E7" t="str">
            <v>PT NEWCREST SUMATRA MINERALS</v>
          </cell>
        </row>
      </sheetData>
      <sheetData sheetId="10">
        <row r="7">
          <cell r="E7" t="str">
            <v>PT NEWCREST SUMATRA MINERALS</v>
          </cell>
        </row>
      </sheetData>
      <sheetData sheetId="11">
        <row r="7">
          <cell r="E7" t="str">
            <v>PT NEWCREST SUMATRA MINERALS</v>
          </cell>
        </row>
      </sheetData>
      <sheetData sheetId="12" refreshError="1"/>
      <sheetData sheetId="13">
        <row r="7">
          <cell r="E7" t="str">
            <v>PT NEWCREST SUMATRA MINERALS</v>
          </cell>
        </row>
      </sheetData>
      <sheetData sheetId="14">
        <row r="7">
          <cell r="E7" t="str">
            <v>PT NEWCREST SUMATRA MINERALS</v>
          </cell>
        </row>
      </sheetData>
      <sheetData sheetId="15">
        <row r="7">
          <cell r="E7" t="str">
            <v>PT NEWCREST SUMATRA MINERALS</v>
          </cell>
        </row>
      </sheetData>
      <sheetData sheetId="16">
        <row r="7">
          <cell r="E7" t="str">
            <v>PT NEWCREST SUMATRA MINERALS</v>
          </cell>
        </row>
      </sheetData>
      <sheetData sheetId="17">
        <row r="7">
          <cell r="E7" t="str">
            <v>PT NEWCREST SUMATRA MINERALS</v>
          </cell>
        </row>
      </sheetData>
      <sheetData sheetId="18">
        <row r="7">
          <cell r="E7" t="str">
            <v>PT NEWCREST SUMATRA MINERALS</v>
          </cell>
        </row>
      </sheetData>
      <sheetData sheetId="19">
        <row r="7">
          <cell r="E7" t="str">
            <v>PT NEWCREST SUMATRA MINERALS</v>
          </cell>
        </row>
      </sheetData>
      <sheetData sheetId="20">
        <row r="7">
          <cell r="E7" t="str">
            <v>PT NEWCREST SUMATRA MINERALS</v>
          </cell>
        </row>
      </sheetData>
      <sheetData sheetId="21">
        <row r="7">
          <cell r="E7" t="str">
            <v>PT NEWCREST SUMATRA MINERALS</v>
          </cell>
        </row>
      </sheetData>
      <sheetData sheetId="22">
        <row r="7">
          <cell r="E7" t="str">
            <v>PT NEWCREST SUMATRA MINERALS</v>
          </cell>
        </row>
      </sheetData>
      <sheetData sheetId="23">
        <row r="7">
          <cell r="E7" t="str">
            <v>PT NEWCREST SUMATRA MINERALS</v>
          </cell>
        </row>
      </sheetData>
      <sheetData sheetId="24">
        <row r="7">
          <cell r="E7" t="str">
            <v>PT NEWCREST SUMATRA MINERALS</v>
          </cell>
        </row>
      </sheetData>
      <sheetData sheetId="25">
        <row r="7">
          <cell r="E7" t="str">
            <v>PT NEWCREST SUMATRA MINERALS</v>
          </cell>
        </row>
      </sheetData>
      <sheetData sheetId="26">
        <row r="7">
          <cell r="E7" t="str">
            <v>PT NEWCREST SUMATRA MINERALS</v>
          </cell>
        </row>
      </sheetData>
      <sheetData sheetId="27">
        <row r="7">
          <cell r="E7" t="str">
            <v>PT NEWCREST SUMATRA MINERALS</v>
          </cell>
        </row>
      </sheetData>
      <sheetData sheetId="28">
        <row r="7">
          <cell r="E7" t="str">
            <v>PT NEWCREST SUMATRA MINERALS</v>
          </cell>
        </row>
      </sheetData>
      <sheetData sheetId="29">
        <row r="7">
          <cell r="E7" t="str">
            <v>PT NEWCREST SUMATRA MINERALS</v>
          </cell>
        </row>
      </sheetData>
      <sheetData sheetId="30">
        <row r="7">
          <cell r="E7" t="str">
            <v>PT NEWCREST SUMATRA MINERALS</v>
          </cell>
        </row>
      </sheetData>
      <sheetData sheetId="31">
        <row r="7">
          <cell r="E7" t="str">
            <v>PT NEWCREST SUMATRA MINERALS</v>
          </cell>
        </row>
      </sheetData>
      <sheetData sheetId="32">
        <row r="7">
          <cell r="E7" t="str">
            <v>PT NEWCREST SUMATRA MINERALS</v>
          </cell>
        </row>
      </sheetData>
      <sheetData sheetId="33">
        <row r="7">
          <cell r="E7" t="str">
            <v>PT NEWCREST SUMATRA MINERALS</v>
          </cell>
        </row>
      </sheetData>
      <sheetData sheetId="34">
        <row r="7">
          <cell r="E7" t="str">
            <v>PT NEWCREST SUMATRA MINERALS</v>
          </cell>
        </row>
      </sheetData>
      <sheetData sheetId="35">
        <row r="7">
          <cell r="E7" t="str">
            <v>PT NEWCREST SUMATRA MINERALS</v>
          </cell>
        </row>
      </sheetData>
      <sheetData sheetId="36">
        <row r="7">
          <cell r="E7" t="str">
            <v>PT NEWCREST SUMATRA MINERALS</v>
          </cell>
        </row>
      </sheetData>
      <sheetData sheetId="37">
        <row r="7">
          <cell r="E7" t="str">
            <v>PT NEWCREST SUMATRA MINERALS</v>
          </cell>
        </row>
      </sheetData>
      <sheetData sheetId="38">
        <row r="7">
          <cell r="E7" t="str">
            <v>PT NEWCREST SUMATRA MINERALS</v>
          </cell>
        </row>
      </sheetData>
      <sheetData sheetId="39">
        <row r="7">
          <cell r="E7" t="str">
            <v>PT NEWCREST SUMATRA MINERALS</v>
          </cell>
        </row>
      </sheetData>
      <sheetData sheetId="40">
        <row r="7">
          <cell r="E7" t="str">
            <v>PT NEWCREST SUMATRA MINERALS</v>
          </cell>
        </row>
      </sheetData>
      <sheetData sheetId="41">
        <row r="7">
          <cell r="E7" t="str">
            <v>PT NEWCREST SUMATRA MINERALS</v>
          </cell>
        </row>
      </sheetData>
      <sheetData sheetId="42">
        <row r="7">
          <cell r="E7" t="str">
            <v>PT NEWCREST SUMATRA MINERALS</v>
          </cell>
        </row>
      </sheetData>
      <sheetData sheetId="43">
        <row r="7">
          <cell r="E7" t="str">
            <v>PT NEWCREST SUMATRA MINERALS</v>
          </cell>
        </row>
      </sheetData>
      <sheetData sheetId="44">
        <row r="7">
          <cell r="E7" t="str">
            <v>PT NEWCREST SUMATRA MINERALS</v>
          </cell>
        </row>
      </sheetData>
      <sheetData sheetId="45">
        <row r="7">
          <cell r="E7" t="str">
            <v>PT NEWCREST SUMATRA MINERALS</v>
          </cell>
        </row>
      </sheetData>
      <sheetData sheetId="46">
        <row r="7">
          <cell r="E7" t="str">
            <v>PT NEWCREST SUMATRA MINERALS</v>
          </cell>
        </row>
      </sheetData>
      <sheetData sheetId="47">
        <row r="7">
          <cell r="E7" t="str">
            <v>PT NEWCREST SUMATRA MINERALS</v>
          </cell>
        </row>
      </sheetData>
      <sheetData sheetId="48">
        <row r="7">
          <cell r="E7" t="str">
            <v>PT NEWCREST SUMATRA MINERALS</v>
          </cell>
        </row>
      </sheetData>
      <sheetData sheetId="49">
        <row r="7">
          <cell r="E7" t="str">
            <v>PT NEWCREST SUMATRA MINERALS</v>
          </cell>
        </row>
      </sheetData>
      <sheetData sheetId="50">
        <row r="7">
          <cell r="E7" t="str">
            <v>PT NEWCREST SUMATRA MINERALS</v>
          </cell>
        </row>
      </sheetData>
      <sheetData sheetId="51">
        <row r="7">
          <cell r="E7" t="str">
            <v>PT NEWCREST SUMATRA MINERALS</v>
          </cell>
        </row>
      </sheetData>
      <sheetData sheetId="52">
        <row r="7">
          <cell r="E7" t="str">
            <v>PT NEWCREST SUMATRA MINERALS</v>
          </cell>
        </row>
      </sheetData>
      <sheetData sheetId="53">
        <row r="7">
          <cell r="E7" t="str">
            <v>PT NEWCREST SUMATRA MINERALS</v>
          </cell>
        </row>
      </sheetData>
      <sheetData sheetId="54">
        <row r="7">
          <cell r="E7" t="str">
            <v>PT NEWCREST SUMATRA MINERALS</v>
          </cell>
        </row>
      </sheetData>
      <sheetData sheetId="55">
        <row r="7">
          <cell r="E7" t="str">
            <v>PT NEWCREST SUMATRA MINERALS</v>
          </cell>
        </row>
      </sheetData>
      <sheetData sheetId="56">
        <row r="7">
          <cell r="E7" t="str">
            <v>PT NEWCREST SUMATRA MINERALS</v>
          </cell>
        </row>
      </sheetData>
      <sheetData sheetId="57">
        <row r="7">
          <cell r="E7" t="str">
            <v>PT NEWCREST SUMATRA MINERALS</v>
          </cell>
        </row>
      </sheetData>
      <sheetData sheetId="58">
        <row r="7">
          <cell r="E7" t="str">
            <v>PT NEWCREST SUMATRA MINERALS</v>
          </cell>
        </row>
      </sheetData>
      <sheetData sheetId="59">
        <row r="7">
          <cell r="E7" t="str">
            <v>PT NEWCREST SUMATRA MINERALS</v>
          </cell>
        </row>
      </sheetData>
      <sheetData sheetId="60">
        <row r="7">
          <cell r="E7" t="str">
            <v>PT NEWCREST SUMATRA MINERALS</v>
          </cell>
        </row>
      </sheetData>
      <sheetData sheetId="61">
        <row r="7">
          <cell r="E7" t="str">
            <v>PT NEWCREST SUMATRA MINERALS</v>
          </cell>
        </row>
      </sheetData>
      <sheetData sheetId="62">
        <row r="7">
          <cell r="E7" t="str">
            <v>PT NEWCREST SUMATRA MINERALS</v>
          </cell>
        </row>
      </sheetData>
      <sheetData sheetId="63">
        <row r="7">
          <cell r="E7" t="str">
            <v>PT NEWCREST SUMATRA MINERALS</v>
          </cell>
        </row>
      </sheetData>
      <sheetData sheetId="64">
        <row r="7">
          <cell r="E7" t="str">
            <v>PT NEWCREST SUMATRA MINERALS</v>
          </cell>
        </row>
      </sheetData>
      <sheetData sheetId="65">
        <row r="7">
          <cell r="E7" t="str">
            <v>PT NEWCREST SUMATRA MINERALS</v>
          </cell>
        </row>
      </sheetData>
      <sheetData sheetId="66">
        <row r="7">
          <cell r="E7" t="str">
            <v>PT NEWCREST SUMATRA MINERALS</v>
          </cell>
        </row>
      </sheetData>
      <sheetData sheetId="67">
        <row r="7">
          <cell r="E7" t="str">
            <v>PT NEWCREST SUMATRA MINERALS</v>
          </cell>
        </row>
      </sheetData>
      <sheetData sheetId="68">
        <row r="7">
          <cell r="E7" t="str">
            <v>PT NEWCREST SUMATRA MINERALS</v>
          </cell>
        </row>
      </sheetData>
      <sheetData sheetId="69">
        <row r="7">
          <cell r="E7" t="str">
            <v>PT NEWCREST SUMATRA MINERALS</v>
          </cell>
        </row>
      </sheetData>
      <sheetData sheetId="70">
        <row r="7">
          <cell r="E7" t="str">
            <v>PT NEWCREST SUMATRA MINERALS</v>
          </cell>
        </row>
      </sheetData>
      <sheetData sheetId="71">
        <row r="7">
          <cell r="E7" t="str">
            <v>PT NEWCREST SUMATRA MINERALS</v>
          </cell>
        </row>
      </sheetData>
      <sheetData sheetId="72">
        <row r="7">
          <cell r="E7" t="str">
            <v>PT NEWCREST SUMATRA MINERALS</v>
          </cell>
        </row>
      </sheetData>
      <sheetData sheetId="73">
        <row r="7">
          <cell r="E7" t="str">
            <v>PT NEWCREST SUMATRA MINERALS</v>
          </cell>
        </row>
      </sheetData>
      <sheetData sheetId="74">
        <row r="7">
          <cell r="E7" t="str">
            <v>PT NEWCREST SUMATRA MINERALS</v>
          </cell>
        </row>
      </sheetData>
      <sheetData sheetId="75">
        <row r="7">
          <cell r="E7" t="str">
            <v>PT NEWCREST SUMATRA MINERALS</v>
          </cell>
        </row>
      </sheetData>
      <sheetData sheetId="76">
        <row r="7">
          <cell r="E7" t="str">
            <v>PT NEWCREST SUMATRA MINERALS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>
        <row r="7">
          <cell r="E7" t="str">
            <v>PT NEWCREST SUMATRA MINERALS</v>
          </cell>
        </row>
      </sheetData>
      <sheetData sheetId="269">
        <row r="36">
          <cell r="G36">
            <v>0</v>
          </cell>
        </row>
      </sheetData>
      <sheetData sheetId="270"/>
      <sheetData sheetId="271">
        <row r="36">
          <cell r="G36">
            <v>0</v>
          </cell>
        </row>
      </sheetData>
      <sheetData sheetId="272">
        <row r="31">
          <cell r="R31">
            <v>0</v>
          </cell>
        </row>
      </sheetData>
      <sheetData sheetId="273">
        <row r="36">
          <cell r="G36">
            <v>0</v>
          </cell>
        </row>
      </sheetData>
      <sheetData sheetId="274">
        <row r="36">
          <cell r="G36">
            <v>0</v>
          </cell>
        </row>
      </sheetData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>
        <row r="36">
          <cell r="G36">
            <v>0</v>
          </cell>
        </row>
      </sheetData>
      <sheetData sheetId="370">
        <row r="36">
          <cell r="G36">
            <v>0</v>
          </cell>
        </row>
      </sheetData>
      <sheetData sheetId="371">
        <row r="36">
          <cell r="G36">
            <v>0</v>
          </cell>
        </row>
      </sheetData>
      <sheetData sheetId="372">
        <row r="31">
          <cell r="R31">
            <v>0</v>
          </cell>
        </row>
      </sheetData>
      <sheetData sheetId="373">
        <row r="36">
          <cell r="G36">
            <v>0</v>
          </cell>
        </row>
      </sheetData>
      <sheetData sheetId="374">
        <row r="31">
          <cell r="R31">
            <v>0</v>
          </cell>
        </row>
      </sheetData>
      <sheetData sheetId="375">
        <row r="36">
          <cell r="G36">
            <v>0</v>
          </cell>
        </row>
      </sheetData>
      <sheetData sheetId="376">
        <row r="7">
          <cell r="E7" t="str">
            <v>PT NEWCREST SUMATRA MINERALS</v>
          </cell>
        </row>
      </sheetData>
      <sheetData sheetId="377">
        <row r="7">
          <cell r="E7" t="str">
            <v>PT NEWCREST SUMATRA MINERALS</v>
          </cell>
        </row>
      </sheetData>
      <sheetData sheetId="378">
        <row r="7">
          <cell r="E7" t="str">
            <v>PT NEWCREST SUMATRA MINERALS</v>
          </cell>
        </row>
      </sheetData>
      <sheetData sheetId="379">
        <row r="7">
          <cell r="E7" t="str">
            <v>PT NEWCREST SUMATRA MINERALS</v>
          </cell>
        </row>
      </sheetData>
      <sheetData sheetId="380">
        <row r="7">
          <cell r="E7" t="str">
            <v>PT NEWCREST SUMATRA MINERALS</v>
          </cell>
        </row>
      </sheetData>
      <sheetData sheetId="381">
        <row r="7">
          <cell r="E7" t="str">
            <v>PT NEWCREST SUMATRA MINERALS</v>
          </cell>
        </row>
      </sheetData>
      <sheetData sheetId="382">
        <row r="7">
          <cell r="E7" t="str">
            <v>PT NEWCREST SUMATRA MINERALS</v>
          </cell>
        </row>
      </sheetData>
      <sheetData sheetId="383">
        <row r="7">
          <cell r="E7" t="str">
            <v>PT NEWCREST SUMATRA MINERALS</v>
          </cell>
        </row>
      </sheetData>
      <sheetData sheetId="384">
        <row r="7">
          <cell r="E7" t="str">
            <v>PT NEWCREST SUMATRA MINERALS</v>
          </cell>
        </row>
      </sheetData>
      <sheetData sheetId="385">
        <row r="31">
          <cell r="R31">
            <v>0</v>
          </cell>
        </row>
      </sheetData>
      <sheetData sheetId="386">
        <row r="36">
          <cell r="G36">
            <v>0</v>
          </cell>
        </row>
      </sheetData>
      <sheetData sheetId="387">
        <row r="36">
          <cell r="G36">
            <v>0</v>
          </cell>
        </row>
      </sheetData>
      <sheetData sheetId="388">
        <row r="36">
          <cell r="G36">
            <v>0</v>
          </cell>
        </row>
      </sheetData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>
        <row r="7">
          <cell r="E7" t="str">
            <v>PT NEWCREST SUMATRA MINERALS</v>
          </cell>
        </row>
      </sheetData>
      <sheetData sheetId="438"/>
      <sheetData sheetId="439">
        <row r="7">
          <cell r="E7" t="str">
            <v>PT NEWCREST SUMATRA MINERALS</v>
          </cell>
        </row>
      </sheetData>
      <sheetData sheetId="440">
        <row r="7">
          <cell r="E7" t="str">
            <v>PT NEWCREST SUMATRA MINERALS</v>
          </cell>
        </row>
      </sheetData>
      <sheetData sheetId="441">
        <row r="7">
          <cell r="E7" t="str">
            <v>PT NEWCREST SUMATRA MINERALS</v>
          </cell>
        </row>
      </sheetData>
      <sheetData sheetId="442">
        <row r="7">
          <cell r="E7" t="str">
            <v>PT NEWCREST SUMATRA MINERALS</v>
          </cell>
        </row>
      </sheetData>
      <sheetData sheetId="443">
        <row r="7">
          <cell r="E7" t="str">
            <v>PT NEWCREST SUMATRA MINERALS</v>
          </cell>
        </row>
      </sheetData>
      <sheetData sheetId="444">
        <row r="7">
          <cell r="E7" t="str">
            <v>PT NEWCREST SUMATRA MINERALS</v>
          </cell>
        </row>
      </sheetData>
      <sheetData sheetId="445">
        <row r="7">
          <cell r="E7" t="str">
            <v>PT NEWCREST SUMATRA MINERALS</v>
          </cell>
        </row>
      </sheetData>
      <sheetData sheetId="446">
        <row r="7">
          <cell r="E7" t="str">
            <v>PT NEWCREST SUMATRA MINERALS</v>
          </cell>
        </row>
      </sheetData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>
        <row r="7">
          <cell r="E7" t="str">
            <v>PT NEWCREST SUMATRA MINERALS</v>
          </cell>
        </row>
      </sheetData>
      <sheetData sheetId="470">
        <row r="7">
          <cell r="E7" t="str">
            <v>PT NEWCREST SUMATRA MINERALS</v>
          </cell>
        </row>
      </sheetData>
      <sheetData sheetId="471">
        <row r="7">
          <cell r="E7" t="str">
            <v>PT NEWCREST SUMATRA MINERALS</v>
          </cell>
        </row>
      </sheetData>
      <sheetData sheetId="472">
        <row r="7">
          <cell r="E7" t="str">
            <v>PT NEWCREST SUMATRA MINERALS</v>
          </cell>
        </row>
      </sheetData>
      <sheetData sheetId="473">
        <row r="7">
          <cell r="E7" t="str">
            <v>PT NEWCREST SUMATRA MINERALS</v>
          </cell>
        </row>
      </sheetData>
      <sheetData sheetId="474">
        <row r="7">
          <cell r="E7" t="str">
            <v>PT NEWCREST SUMATRA MINERALS</v>
          </cell>
        </row>
      </sheetData>
      <sheetData sheetId="475">
        <row r="7">
          <cell r="E7" t="str">
            <v>PT NEWCREST SUMATRA MINERALS</v>
          </cell>
        </row>
      </sheetData>
      <sheetData sheetId="476">
        <row r="7">
          <cell r="E7" t="str">
            <v>PT NEWCREST SUMATRA MINERALS</v>
          </cell>
        </row>
      </sheetData>
      <sheetData sheetId="477">
        <row r="7">
          <cell r="E7" t="str">
            <v>PT NEWCREST SUMATRA MINERALS</v>
          </cell>
        </row>
      </sheetData>
      <sheetData sheetId="478">
        <row r="7">
          <cell r="E7" t="str">
            <v>PT NEWCREST SUMATRA MINERALS</v>
          </cell>
        </row>
      </sheetData>
      <sheetData sheetId="479">
        <row r="7">
          <cell r="E7" t="str">
            <v>PT NEWCREST SUMATRA MINERALS</v>
          </cell>
        </row>
      </sheetData>
      <sheetData sheetId="480">
        <row r="7">
          <cell r="E7" t="str">
            <v>PT NEWCREST SUMATRA MINERALS</v>
          </cell>
        </row>
      </sheetData>
      <sheetData sheetId="481">
        <row r="7">
          <cell r="E7" t="str">
            <v>PT NEWCREST SUMATRA MINERALS</v>
          </cell>
        </row>
      </sheetData>
      <sheetData sheetId="482">
        <row r="7">
          <cell r="E7" t="str">
            <v>PT NEWCREST SUMATRA MINERALS</v>
          </cell>
        </row>
      </sheetData>
      <sheetData sheetId="483">
        <row r="7">
          <cell r="E7" t="str">
            <v>PT NEWCREST SUMATRA MINERALS</v>
          </cell>
        </row>
      </sheetData>
      <sheetData sheetId="484">
        <row r="7">
          <cell r="E7" t="str">
            <v>PT NEWCREST SUMATRA MINERALS</v>
          </cell>
        </row>
      </sheetData>
      <sheetData sheetId="485">
        <row r="7">
          <cell r="E7" t="str">
            <v>PT NEWCREST SUMATRA MINERALS</v>
          </cell>
        </row>
      </sheetData>
      <sheetData sheetId="486">
        <row r="7">
          <cell r="E7" t="str">
            <v>PT NEWCREST SUMATRA MINERALS</v>
          </cell>
        </row>
      </sheetData>
      <sheetData sheetId="487">
        <row r="7">
          <cell r="E7" t="str">
            <v>PT NEWCREST SUMATRA MINERALS</v>
          </cell>
        </row>
      </sheetData>
      <sheetData sheetId="488">
        <row r="7">
          <cell r="E7" t="str">
            <v>PT NEWCREST SUMATRA MINERALS</v>
          </cell>
        </row>
      </sheetData>
      <sheetData sheetId="489">
        <row r="7">
          <cell r="E7" t="str">
            <v>PT NEWCREST SUMATRA MINERALS</v>
          </cell>
        </row>
      </sheetData>
      <sheetData sheetId="490">
        <row r="7">
          <cell r="E7" t="str">
            <v>PT NEWCREST SUMATRA MINERALS</v>
          </cell>
        </row>
      </sheetData>
      <sheetData sheetId="491">
        <row r="7">
          <cell r="E7" t="str">
            <v>PT NEWCREST SUMATRA MINERALS</v>
          </cell>
        </row>
      </sheetData>
      <sheetData sheetId="492">
        <row r="7">
          <cell r="E7" t="str">
            <v>PT NEWCREST SUMATRA MINERALS</v>
          </cell>
        </row>
      </sheetData>
      <sheetData sheetId="493">
        <row r="7">
          <cell r="E7" t="str">
            <v>PT NEWCREST SUMATRA MINERALS</v>
          </cell>
        </row>
      </sheetData>
      <sheetData sheetId="494">
        <row r="7">
          <cell r="E7" t="str">
            <v>PT NEWCREST SUMATRA MINERALS</v>
          </cell>
        </row>
      </sheetData>
      <sheetData sheetId="495">
        <row r="7">
          <cell r="E7" t="str">
            <v>PT NEWCREST SUMATRA MINERALS</v>
          </cell>
        </row>
      </sheetData>
      <sheetData sheetId="496">
        <row r="7">
          <cell r="E7" t="str">
            <v>PT NEWCREST SUMATRA MINERALS</v>
          </cell>
        </row>
      </sheetData>
      <sheetData sheetId="497">
        <row r="7">
          <cell r="E7" t="str">
            <v>PT NEWCREST SUMATRA MINERALS</v>
          </cell>
        </row>
      </sheetData>
      <sheetData sheetId="498">
        <row r="7">
          <cell r="E7" t="str">
            <v>PT NEWCREST SUMATRA MINERALS</v>
          </cell>
        </row>
      </sheetData>
      <sheetData sheetId="499">
        <row r="7">
          <cell r="E7" t="str">
            <v>PT NEWCREST SUMATRA MINERALS</v>
          </cell>
        </row>
      </sheetData>
      <sheetData sheetId="500">
        <row r="7">
          <cell r="E7" t="str">
            <v>PT NEWCREST SUMATRA MINERALS</v>
          </cell>
        </row>
      </sheetData>
      <sheetData sheetId="501">
        <row r="7">
          <cell r="E7" t="str">
            <v>PT NEWCREST SUMATRA MINERALS</v>
          </cell>
        </row>
      </sheetData>
      <sheetData sheetId="502">
        <row r="7">
          <cell r="E7" t="str">
            <v>PT NEWCREST SUMATRA MINERALS</v>
          </cell>
        </row>
      </sheetData>
      <sheetData sheetId="503">
        <row r="7">
          <cell r="E7" t="str">
            <v>PT NEWCREST SUMATRA MINERALS</v>
          </cell>
        </row>
      </sheetData>
      <sheetData sheetId="504">
        <row r="7">
          <cell r="E7" t="str">
            <v>PT NEWCREST SUMATRA MINERALS</v>
          </cell>
        </row>
      </sheetData>
      <sheetData sheetId="505">
        <row r="7">
          <cell r="E7" t="str">
            <v>PT NEWCREST SUMATRA MINERALS</v>
          </cell>
        </row>
      </sheetData>
      <sheetData sheetId="506">
        <row r="7">
          <cell r="E7" t="str">
            <v>PT NEWCREST SUMATRA MINERALS</v>
          </cell>
        </row>
      </sheetData>
      <sheetData sheetId="507">
        <row r="7">
          <cell r="E7" t="str">
            <v>PT NEWCREST SUMATRA MINERALS</v>
          </cell>
        </row>
      </sheetData>
      <sheetData sheetId="508">
        <row r="7">
          <cell r="E7" t="str">
            <v>PT NEWCREST SUMATRA MINERALS</v>
          </cell>
        </row>
      </sheetData>
      <sheetData sheetId="509">
        <row r="7">
          <cell r="E7" t="str">
            <v>PT NEWCREST SUMATRA MINERALS</v>
          </cell>
        </row>
      </sheetData>
      <sheetData sheetId="510">
        <row r="7">
          <cell r="E7" t="str">
            <v>PT NEWCREST SUMATRA MINERALS</v>
          </cell>
        </row>
      </sheetData>
      <sheetData sheetId="511">
        <row r="7">
          <cell r="E7" t="str">
            <v>PT NEWCREST SUMATRA MINERALS</v>
          </cell>
        </row>
      </sheetData>
      <sheetData sheetId="512">
        <row r="7">
          <cell r="E7" t="str">
            <v>PT NEWCREST SUMATRA MINERALS</v>
          </cell>
        </row>
      </sheetData>
      <sheetData sheetId="513">
        <row r="7">
          <cell r="E7" t="str">
            <v>PT NEWCREST SUMATRA MINERALS</v>
          </cell>
        </row>
      </sheetData>
      <sheetData sheetId="514">
        <row r="7">
          <cell r="E7" t="str">
            <v>PT NEWCREST SUMATRA MINERALS</v>
          </cell>
        </row>
      </sheetData>
      <sheetData sheetId="515">
        <row r="7">
          <cell r="E7" t="str">
            <v>PT NEWCREST SUMATRA MINERALS</v>
          </cell>
        </row>
      </sheetData>
      <sheetData sheetId="516">
        <row r="7">
          <cell r="E7" t="str">
            <v>PT NEWCREST SUMATRA MINERALS</v>
          </cell>
        </row>
      </sheetData>
      <sheetData sheetId="517">
        <row r="7">
          <cell r="E7" t="str">
            <v>PT NEWCREST SUMATRA MINERALS</v>
          </cell>
        </row>
      </sheetData>
      <sheetData sheetId="518">
        <row r="7">
          <cell r="E7" t="str">
            <v>PT NEWCREST SUMATRA MINERALS</v>
          </cell>
        </row>
      </sheetData>
      <sheetData sheetId="519">
        <row r="7">
          <cell r="E7" t="str">
            <v>PT NEWCREST SUMATRA MINERALS</v>
          </cell>
        </row>
      </sheetData>
      <sheetData sheetId="520">
        <row r="7">
          <cell r="E7" t="str">
            <v>PT NEWCREST SUMATRA MINERALS</v>
          </cell>
        </row>
      </sheetData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>
        <row r="7">
          <cell r="E7" t="str">
            <v>PT NEWCREST SUMATRA MINERALS</v>
          </cell>
        </row>
      </sheetData>
      <sheetData sheetId="639">
        <row r="7">
          <cell r="E7" t="str">
            <v>PT NEWCREST SUMATRA MINERALS</v>
          </cell>
        </row>
      </sheetData>
      <sheetData sheetId="640">
        <row r="7">
          <cell r="E7" t="str">
            <v>PT NEWCREST SUMATRA MINERALS</v>
          </cell>
        </row>
      </sheetData>
      <sheetData sheetId="641">
        <row r="7">
          <cell r="E7" t="str">
            <v>PT NEWCREST SUMATRA MINERALS</v>
          </cell>
        </row>
      </sheetData>
      <sheetData sheetId="642">
        <row r="7">
          <cell r="E7" t="str">
            <v>PT NEWCREST SUMATRA MINERALS</v>
          </cell>
        </row>
      </sheetData>
      <sheetData sheetId="643">
        <row r="7">
          <cell r="E7" t="str">
            <v>PT NEWCREST SUMATRA MINERALS</v>
          </cell>
        </row>
      </sheetData>
      <sheetData sheetId="644">
        <row r="7">
          <cell r="E7" t="str">
            <v>PT NEWCREST SUMATRA MINERALS</v>
          </cell>
        </row>
      </sheetData>
      <sheetData sheetId="645">
        <row r="7">
          <cell r="E7" t="str">
            <v>PT NEWCREST SUMATRA MINERALS</v>
          </cell>
        </row>
      </sheetData>
      <sheetData sheetId="646">
        <row r="7">
          <cell r="E7" t="str">
            <v>PT NEWCREST SUMATRA MINERALS</v>
          </cell>
        </row>
      </sheetData>
      <sheetData sheetId="647">
        <row r="7">
          <cell r="E7" t="str">
            <v>PT NEWCREST SUMATRA MINERALS</v>
          </cell>
        </row>
      </sheetData>
      <sheetData sheetId="648">
        <row r="7">
          <cell r="E7" t="str">
            <v>PT NEWCREST SUMATRA MINERALS</v>
          </cell>
        </row>
      </sheetData>
      <sheetData sheetId="649">
        <row r="7">
          <cell r="E7" t="str">
            <v>PT NEWCREST SUMATRA MINERALS</v>
          </cell>
        </row>
      </sheetData>
      <sheetData sheetId="650">
        <row r="7">
          <cell r="E7" t="str">
            <v>PT NEWCREST SUMATRA MINERALS</v>
          </cell>
        </row>
      </sheetData>
      <sheetData sheetId="651">
        <row r="7">
          <cell r="E7" t="str">
            <v>PT NEWCREST SUMATRA MINERALS</v>
          </cell>
        </row>
      </sheetData>
      <sheetData sheetId="652">
        <row r="7">
          <cell r="E7" t="str">
            <v>PT NEWCREST SUMATRA MINERALS</v>
          </cell>
        </row>
      </sheetData>
      <sheetData sheetId="653">
        <row r="7">
          <cell r="E7" t="str">
            <v>PT NEWCREST SUMATRA MINERALS</v>
          </cell>
        </row>
      </sheetData>
      <sheetData sheetId="654">
        <row r="7">
          <cell r="E7" t="str">
            <v>PT NEWCREST SUMATRA MINERALS</v>
          </cell>
        </row>
      </sheetData>
      <sheetData sheetId="655">
        <row r="7">
          <cell r="E7" t="str">
            <v>PT NEWCREST SUMATRA MINERALS</v>
          </cell>
        </row>
      </sheetData>
      <sheetData sheetId="656">
        <row r="7">
          <cell r="E7" t="str">
            <v>PT NEWCREST SUMATRA MINERALS</v>
          </cell>
        </row>
      </sheetData>
      <sheetData sheetId="657">
        <row r="7">
          <cell r="E7" t="str">
            <v>PT NEWCREST SUMATRA MINERALS</v>
          </cell>
        </row>
      </sheetData>
      <sheetData sheetId="658">
        <row r="7">
          <cell r="E7" t="str">
            <v>PT NEWCREST SUMATRA MINERALS</v>
          </cell>
        </row>
      </sheetData>
      <sheetData sheetId="659">
        <row r="7">
          <cell r="E7" t="str">
            <v>PT NEWCREST SUMATRA MINERALS</v>
          </cell>
        </row>
      </sheetData>
      <sheetData sheetId="660">
        <row r="7">
          <cell r="E7" t="str">
            <v>PT NEWCREST SUMATRA MINERALS</v>
          </cell>
        </row>
      </sheetData>
      <sheetData sheetId="661">
        <row r="7">
          <cell r="E7" t="str">
            <v>PT NEWCREST SUMATRA MINERALS</v>
          </cell>
        </row>
      </sheetData>
      <sheetData sheetId="662">
        <row r="7">
          <cell r="E7" t="str">
            <v>PT NEWCREST SUMATRA MINERALS</v>
          </cell>
        </row>
      </sheetData>
      <sheetData sheetId="663">
        <row r="7">
          <cell r="E7" t="str">
            <v>PT NEWCREST SUMATRA MINERALS</v>
          </cell>
        </row>
      </sheetData>
      <sheetData sheetId="664">
        <row r="7">
          <cell r="E7" t="str">
            <v>PT NEWCREST SUMATRA MINERALS</v>
          </cell>
        </row>
      </sheetData>
      <sheetData sheetId="665">
        <row r="7">
          <cell r="E7" t="str">
            <v>PT NEWCREST SUMATRA MINERALS</v>
          </cell>
        </row>
      </sheetData>
      <sheetData sheetId="666">
        <row r="7">
          <cell r="E7" t="str">
            <v>PT NEWCREST SUMATRA MINERALS</v>
          </cell>
        </row>
      </sheetData>
      <sheetData sheetId="667">
        <row r="7">
          <cell r="E7" t="str">
            <v>PT NEWCREST SUMATRA MINERALS</v>
          </cell>
        </row>
      </sheetData>
      <sheetData sheetId="668">
        <row r="7">
          <cell r="E7" t="str">
            <v>PT NEWCREST SUMATRA MINERALS</v>
          </cell>
        </row>
      </sheetData>
      <sheetData sheetId="669">
        <row r="7">
          <cell r="E7" t="str">
            <v>PT NEWCREST SUMATRA MINERALS</v>
          </cell>
        </row>
      </sheetData>
      <sheetData sheetId="670">
        <row r="31">
          <cell r="R31">
            <v>0</v>
          </cell>
        </row>
      </sheetData>
      <sheetData sheetId="671">
        <row r="31">
          <cell r="R31">
            <v>0</v>
          </cell>
        </row>
      </sheetData>
      <sheetData sheetId="672">
        <row r="7">
          <cell r="E7" t="str">
            <v>PT NEWCREST SUMATRA MINERALS</v>
          </cell>
        </row>
      </sheetData>
      <sheetData sheetId="673">
        <row r="7">
          <cell r="E7" t="str">
            <v>PT NEWCREST SUMATRA MINERALS</v>
          </cell>
        </row>
      </sheetData>
      <sheetData sheetId="674">
        <row r="7">
          <cell r="E7" t="str">
            <v>PT NEWCREST SUMATRA MINERALS</v>
          </cell>
        </row>
      </sheetData>
      <sheetData sheetId="675">
        <row r="7">
          <cell r="E7" t="str">
            <v>PT NEWCREST SUMATRA MINERALS</v>
          </cell>
        </row>
      </sheetData>
      <sheetData sheetId="676">
        <row r="7">
          <cell r="E7" t="str">
            <v>PT NEWCREST SUMATRA MINERALS</v>
          </cell>
        </row>
      </sheetData>
      <sheetData sheetId="677">
        <row r="7">
          <cell r="E7" t="str">
            <v>PT NEWCREST SUMATRA MINERALS</v>
          </cell>
        </row>
      </sheetData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>
        <row r="7">
          <cell r="E7" t="str">
            <v>PT NEWCREST SUMATRA MINERALS</v>
          </cell>
        </row>
      </sheetData>
      <sheetData sheetId="733">
        <row r="7">
          <cell r="E7" t="str">
            <v>PT NEWCREST SUMATRA MINERALS</v>
          </cell>
        </row>
      </sheetData>
      <sheetData sheetId="734">
        <row r="7">
          <cell r="E7" t="str">
            <v>PT NEWCREST SUMATRA MINERALS</v>
          </cell>
        </row>
      </sheetData>
      <sheetData sheetId="735">
        <row r="7">
          <cell r="E7" t="str">
            <v>PT NEWCREST SUMATRA MINERALS</v>
          </cell>
        </row>
      </sheetData>
      <sheetData sheetId="736">
        <row r="7">
          <cell r="E7" t="str">
            <v>PT NEWCREST SUMATRA MINERALS</v>
          </cell>
        </row>
      </sheetData>
      <sheetData sheetId="737">
        <row r="7">
          <cell r="E7" t="str">
            <v>PT NEWCREST SUMATRA MINERALS</v>
          </cell>
        </row>
      </sheetData>
      <sheetData sheetId="738">
        <row r="7">
          <cell r="E7" t="str">
            <v>PT NEWCREST SUMATRA MINERALS</v>
          </cell>
        </row>
      </sheetData>
      <sheetData sheetId="739">
        <row r="7">
          <cell r="E7" t="str">
            <v>PT NEWCREST SUMATRA MINERALS</v>
          </cell>
        </row>
      </sheetData>
      <sheetData sheetId="740">
        <row r="7">
          <cell r="E7" t="str">
            <v>PT NEWCREST SUMATRA MINERALS</v>
          </cell>
        </row>
      </sheetData>
      <sheetData sheetId="741">
        <row r="7">
          <cell r="E7" t="str">
            <v>PT NEWCREST SUMATRA MINERALS</v>
          </cell>
        </row>
      </sheetData>
      <sheetData sheetId="742">
        <row r="7">
          <cell r="E7" t="str">
            <v>PT NEWCREST SUMATRA MINERALS</v>
          </cell>
        </row>
      </sheetData>
      <sheetData sheetId="743">
        <row r="7">
          <cell r="E7" t="str">
            <v>PT NEWCREST SUMATRA MINERALS</v>
          </cell>
        </row>
      </sheetData>
      <sheetData sheetId="744">
        <row r="7">
          <cell r="E7" t="str">
            <v>PT NEWCREST SUMATRA MINERALS</v>
          </cell>
        </row>
      </sheetData>
      <sheetData sheetId="745">
        <row r="7">
          <cell r="E7" t="str">
            <v>PT NEWCREST SUMATRA MINERALS</v>
          </cell>
        </row>
      </sheetData>
      <sheetData sheetId="746">
        <row r="7">
          <cell r="E7" t="str">
            <v>PT NEWCREST SUMATRA MINERALS</v>
          </cell>
        </row>
      </sheetData>
      <sheetData sheetId="747">
        <row r="7">
          <cell r="E7" t="str">
            <v>PT NEWCREST SUMATRA MINERALS</v>
          </cell>
        </row>
      </sheetData>
      <sheetData sheetId="748">
        <row r="7">
          <cell r="E7" t="str">
            <v>PT NEWCREST SUMATRA MINERALS</v>
          </cell>
        </row>
      </sheetData>
      <sheetData sheetId="749">
        <row r="7">
          <cell r="E7" t="str">
            <v>PT NEWCREST SUMATRA MINERALS</v>
          </cell>
        </row>
      </sheetData>
      <sheetData sheetId="750">
        <row r="7">
          <cell r="E7" t="str">
            <v>PT NEWCREST SUMATRA MINERALS</v>
          </cell>
        </row>
      </sheetData>
      <sheetData sheetId="751">
        <row r="7">
          <cell r="E7" t="str">
            <v>PT NEWCREST SUMATRA MINERALS</v>
          </cell>
        </row>
      </sheetData>
      <sheetData sheetId="752">
        <row r="7">
          <cell r="E7" t="str">
            <v>PT NEWCREST SUMATRA MINERALS</v>
          </cell>
        </row>
      </sheetData>
      <sheetData sheetId="753">
        <row r="7">
          <cell r="E7" t="str">
            <v>PT NEWCREST SUMATRA MINERALS</v>
          </cell>
        </row>
      </sheetData>
      <sheetData sheetId="754">
        <row r="7">
          <cell r="E7" t="str">
            <v>PT NEWCREST SUMATRA MINERALS</v>
          </cell>
        </row>
      </sheetData>
      <sheetData sheetId="755">
        <row r="7">
          <cell r="E7" t="str">
            <v>PT NEWCREST SUMATRA MINERALS</v>
          </cell>
        </row>
      </sheetData>
      <sheetData sheetId="756">
        <row r="7">
          <cell r="E7" t="str">
            <v>PT NEWCREST SUMATRA MINERALS</v>
          </cell>
        </row>
      </sheetData>
      <sheetData sheetId="757"/>
      <sheetData sheetId="758">
        <row r="7">
          <cell r="E7" t="str">
            <v>PT NEWCREST SUMATRA MINERALS</v>
          </cell>
        </row>
      </sheetData>
      <sheetData sheetId="759">
        <row r="7">
          <cell r="E7" t="str">
            <v>PT NEWCREST SUMATRA MINERALS</v>
          </cell>
        </row>
      </sheetData>
      <sheetData sheetId="760">
        <row r="7">
          <cell r="E7" t="str">
            <v>PT NEWCREST SUMATRA MINERALS</v>
          </cell>
        </row>
      </sheetData>
      <sheetData sheetId="761" refreshError="1"/>
      <sheetData sheetId="762" refreshError="1"/>
      <sheetData sheetId="763">
        <row r="7">
          <cell r="E7" t="str">
            <v>PT NEWCREST SUMATRA MINERALS</v>
          </cell>
        </row>
      </sheetData>
      <sheetData sheetId="764">
        <row r="7">
          <cell r="E7" t="str">
            <v>PT NEWCREST SUMATRA MINERALS</v>
          </cell>
        </row>
      </sheetData>
      <sheetData sheetId="765">
        <row r="7">
          <cell r="E7" t="str">
            <v>PT NEWCREST SUMATRA MINERALS</v>
          </cell>
        </row>
      </sheetData>
      <sheetData sheetId="766">
        <row r="7">
          <cell r="E7" t="str">
            <v>PT NEWCREST SUMATRA MINERALS</v>
          </cell>
        </row>
      </sheetData>
      <sheetData sheetId="767">
        <row r="7">
          <cell r="E7" t="str">
            <v>PT NEWCREST SUMATRA MINERALS</v>
          </cell>
        </row>
      </sheetData>
      <sheetData sheetId="768">
        <row r="7">
          <cell r="E7" t="str">
            <v>PT NEWCREST SUMATRA MINERALS</v>
          </cell>
        </row>
      </sheetData>
      <sheetData sheetId="769">
        <row r="7">
          <cell r="E7" t="str">
            <v>PT NEWCREST SUMATRA MINERALS</v>
          </cell>
        </row>
      </sheetData>
      <sheetData sheetId="770">
        <row r="7">
          <cell r="E7" t="str">
            <v>PT NEWCREST SUMATRA MINERALS</v>
          </cell>
        </row>
      </sheetData>
      <sheetData sheetId="771">
        <row r="7">
          <cell r="E7" t="str">
            <v>PT NEWCREST SUMATRA MINERALS</v>
          </cell>
        </row>
      </sheetData>
      <sheetData sheetId="772">
        <row r="7">
          <cell r="E7" t="str">
            <v>PT NEWCREST SUMATRA MINERALS</v>
          </cell>
        </row>
      </sheetData>
      <sheetData sheetId="773">
        <row r="7">
          <cell r="E7" t="str">
            <v>PT NEWCREST SUMATRA MINERALS</v>
          </cell>
        </row>
      </sheetData>
      <sheetData sheetId="774">
        <row r="7">
          <cell r="E7" t="str">
            <v>PT NEWCREST SUMATRA MINERALS</v>
          </cell>
        </row>
      </sheetData>
      <sheetData sheetId="775">
        <row r="7">
          <cell r="E7" t="str">
            <v>PT NEWCREST SUMATRA MINERALS</v>
          </cell>
        </row>
      </sheetData>
      <sheetData sheetId="776">
        <row r="7">
          <cell r="E7" t="str">
            <v>PT NEWCREST SUMATRA MINERALS</v>
          </cell>
        </row>
      </sheetData>
      <sheetData sheetId="777">
        <row r="7">
          <cell r="E7" t="str">
            <v>PT NEWCREST SUMATRA MINERALS</v>
          </cell>
        </row>
      </sheetData>
      <sheetData sheetId="778"/>
      <sheetData sheetId="779"/>
      <sheetData sheetId="780"/>
      <sheetData sheetId="781"/>
      <sheetData sheetId="782"/>
      <sheetData sheetId="783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>
        <row r="7">
          <cell r="E7" t="str">
            <v>PT NEWCREST SUMATRA MINERALS</v>
          </cell>
        </row>
      </sheetData>
      <sheetData sheetId="823">
        <row r="7">
          <cell r="E7" t="str">
            <v>PT NEWCREST SUMATRA MINERALS</v>
          </cell>
        </row>
      </sheetData>
      <sheetData sheetId="824"/>
      <sheetData sheetId="825" refreshError="1"/>
      <sheetData sheetId="826" refreshError="1"/>
      <sheetData sheetId="827" refreshError="1"/>
      <sheetData sheetId="828">
        <row r="7">
          <cell r="E7" t="str">
            <v>PT NEWCREST SUMATRA MINERALS</v>
          </cell>
        </row>
      </sheetData>
      <sheetData sheetId="829">
        <row r="7">
          <cell r="E7" t="str">
            <v>PT NEWCREST SUMATRA MINERALS</v>
          </cell>
        </row>
      </sheetData>
      <sheetData sheetId="830">
        <row r="7">
          <cell r="E7" t="str">
            <v>PT NEWCREST SUMATRA MINERALS</v>
          </cell>
        </row>
      </sheetData>
      <sheetData sheetId="831">
        <row r="7">
          <cell r="E7" t="str">
            <v>PT NEWCREST SUMATRA MINERALS</v>
          </cell>
        </row>
      </sheetData>
      <sheetData sheetId="832">
        <row r="7">
          <cell r="E7" t="str">
            <v>PT NEWCREST SUMATRA MINERALS</v>
          </cell>
        </row>
      </sheetData>
      <sheetData sheetId="833">
        <row r="7">
          <cell r="E7" t="str">
            <v>PT NEWCREST SUMATRA MINERALS</v>
          </cell>
        </row>
      </sheetData>
      <sheetData sheetId="834">
        <row r="7">
          <cell r="E7" t="str">
            <v>PT NEWCREST SUMATRA MINERALS</v>
          </cell>
        </row>
      </sheetData>
      <sheetData sheetId="835">
        <row r="7">
          <cell r="E7" t="str">
            <v>PT NEWCREST SUMATRA MINERALS</v>
          </cell>
        </row>
      </sheetData>
      <sheetData sheetId="836">
        <row r="7">
          <cell r="E7" t="str">
            <v>PT NEWCREST SUMATRA MINERALS</v>
          </cell>
        </row>
      </sheetData>
      <sheetData sheetId="837">
        <row r="7">
          <cell r="E7" t="str">
            <v>PT NEWCREST SUMATRA MINERALS</v>
          </cell>
        </row>
      </sheetData>
      <sheetData sheetId="838">
        <row r="7">
          <cell r="E7" t="str">
            <v>PT NEWCREST SUMATRA MINERALS</v>
          </cell>
        </row>
      </sheetData>
      <sheetData sheetId="839">
        <row r="7">
          <cell r="E7" t="str">
            <v>PT NEWCREST SUMATRA MINERALS</v>
          </cell>
        </row>
      </sheetData>
      <sheetData sheetId="840">
        <row r="7">
          <cell r="E7" t="str">
            <v>PT NEWCREST SUMATRA MINERALS</v>
          </cell>
        </row>
      </sheetData>
      <sheetData sheetId="841">
        <row r="7">
          <cell r="E7" t="str">
            <v>PT NEWCREST SUMATRA MINERALS</v>
          </cell>
        </row>
      </sheetData>
      <sheetData sheetId="842">
        <row r="7">
          <cell r="E7" t="str">
            <v>PT NEWCREST SUMATRA MINERALS</v>
          </cell>
        </row>
      </sheetData>
      <sheetData sheetId="843">
        <row r="7">
          <cell r="E7" t="str">
            <v>PT NEWCREST SUMATRA MINERALS</v>
          </cell>
        </row>
      </sheetData>
      <sheetData sheetId="844">
        <row r="7">
          <cell r="E7" t="str">
            <v>PT NEWCREST SUMATRA MINERALS</v>
          </cell>
        </row>
      </sheetData>
      <sheetData sheetId="845">
        <row r="7">
          <cell r="E7" t="str">
            <v>PT NEWCREST SUMATRA MINERALS</v>
          </cell>
        </row>
      </sheetData>
      <sheetData sheetId="846">
        <row r="7">
          <cell r="E7" t="str">
            <v>PT NEWCREST SUMATRA MINERALS</v>
          </cell>
        </row>
      </sheetData>
      <sheetData sheetId="847">
        <row r="7">
          <cell r="E7" t="str">
            <v>PT NEWCREST SUMATRA MINERALS</v>
          </cell>
        </row>
      </sheetData>
      <sheetData sheetId="848">
        <row r="7">
          <cell r="E7" t="str">
            <v>PT NEWCREST SUMATRA MINERALS</v>
          </cell>
        </row>
      </sheetData>
      <sheetData sheetId="849">
        <row r="7">
          <cell r="E7" t="str">
            <v>PT NEWCREST SUMATRA MINERALS</v>
          </cell>
        </row>
      </sheetData>
      <sheetData sheetId="850">
        <row r="7">
          <cell r="E7" t="str">
            <v>PT NEWCREST SUMATRA MINERALS</v>
          </cell>
        </row>
      </sheetData>
      <sheetData sheetId="851">
        <row r="7">
          <cell r="E7" t="str">
            <v>PT NEWCREST SUMATRA MINERALS</v>
          </cell>
        </row>
      </sheetData>
      <sheetData sheetId="852">
        <row r="7">
          <cell r="E7" t="str">
            <v>PT NEWCREST SUMATRA MINERALS</v>
          </cell>
        </row>
      </sheetData>
      <sheetData sheetId="853">
        <row r="7">
          <cell r="E7" t="str">
            <v>PT NEWCREST SUMATRA MINERALS</v>
          </cell>
        </row>
      </sheetData>
      <sheetData sheetId="854">
        <row r="7">
          <cell r="E7" t="str">
            <v>PT NEWCREST SUMATRA MINERALS</v>
          </cell>
        </row>
      </sheetData>
      <sheetData sheetId="855">
        <row r="7">
          <cell r="E7" t="str">
            <v>PT NEWCREST SUMATRA MINERALS</v>
          </cell>
        </row>
      </sheetData>
      <sheetData sheetId="856">
        <row r="7">
          <cell r="E7" t="str">
            <v>PT NEWCREST SUMATRA MINERALS</v>
          </cell>
        </row>
      </sheetData>
      <sheetData sheetId="857">
        <row r="7">
          <cell r="E7" t="str">
            <v>PT NEWCREST SUMATRA MINERALS</v>
          </cell>
        </row>
      </sheetData>
      <sheetData sheetId="858">
        <row r="7">
          <cell r="E7" t="str">
            <v>PT NEWCREST SUMATRA MINERALS</v>
          </cell>
        </row>
      </sheetData>
      <sheetData sheetId="859">
        <row r="7">
          <cell r="E7" t="str">
            <v>PT NEWCREST SUMATRA MINERALS</v>
          </cell>
        </row>
      </sheetData>
      <sheetData sheetId="860">
        <row r="7">
          <cell r="E7" t="str">
            <v>PT NEWCREST SUMATRA MINERALS</v>
          </cell>
        </row>
      </sheetData>
      <sheetData sheetId="861">
        <row r="7">
          <cell r="E7" t="str">
            <v>PT NEWCREST SUMATRA MINERALS</v>
          </cell>
        </row>
      </sheetData>
      <sheetData sheetId="862">
        <row r="7">
          <cell r="E7" t="str">
            <v>PT NEWCREST SUMATRA MINERALS</v>
          </cell>
        </row>
      </sheetData>
      <sheetData sheetId="863">
        <row r="7">
          <cell r="E7" t="str">
            <v>PT NEWCREST SUMATRA MINERALS</v>
          </cell>
        </row>
      </sheetData>
      <sheetData sheetId="864">
        <row r="7">
          <cell r="E7" t="str">
            <v>PT NEWCREST SUMATRA MINERALS</v>
          </cell>
        </row>
      </sheetData>
      <sheetData sheetId="865">
        <row r="7">
          <cell r="E7" t="str">
            <v>PT NEWCREST SUMATRA MINERALS</v>
          </cell>
        </row>
      </sheetData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>
        <row r="7">
          <cell r="E7" t="str">
            <v>PT NEWCREST SUMATRA MINERALS</v>
          </cell>
        </row>
      </sheetData>
      <sheetData sheetId="931">
        <row r="7">
          <cell r="E7" t="str">
            <v>PT NEWCREST SUMATRA MINERALS</v>
          </cell>
        </row>
      </sheetData>
      <sheetData sheetId="932">
        <row r="7">
          <cell r="E7" t="str">
            <v>PT NEWCREST SUMATRA MINERALS</v>
          </cell>
        </row>
      </sheetData>
      <sheetData sheetId="933">
        <row r="7">
          <cell r="E7" t="str">
            <v>PT NEWCREST SUMATRA MINERALS</v>
          </cell>
        </row>
      </sheetData>
      <sheetData sheetId="934">
        <row r="7">
          <cell r="E7" t="str">
            <v>PT NEWCREST SUMATRA MINERALS</v>
          </cell>
        </row>
      </sheetData>
      <sheetData sheetId="935">
        <row r="7">
          <cell r="E7" t="str">
            <v>PT NEWCREST SUMATRA MINERALS</v>
          </cell>
        </row>
      </sheetData>
      <sheetData sheetId="936">
        <row r="7">
          <cell r="E7" t="str">
            <v>PT NEWCREST SUMATRA MINERALS</v>
          </cell>
        </row>
      </sheetData>
      <sheetData sheetId="937">
        <row r="7">
          <cell r="E7" t="str">
            <v>PT NEWCREST SUMATRA MINERALS</v>
          </cell>
        </row>
      </sheetData>
      <sheetData sheetId="938">
        <row r="7">
          <cell r="E7" t="str">
            <v>PT NEWCREST SUMATRA MINERALS</v>
          </cell>
        </row>
      </sheetData>
      <sheetData sheetId="939">
        <row r="7">
          <cell r="E7" t="str">
            <v>PT NEWCREST SUMATRA MINERALS</v>
          </cell>
        </row>
      </sheetData>
      <sheetData sheetId="940">
        <row r="7">
          <cell r="E7" t="str">
            <v>PT NEWCREST SUMATRA MINERALS</v>
          </cell>
        </row>
      </sheetData>
      <sheetData sheetId="941">
        <row r="7">
          <cell r="E7" t="str">
            <v>PT NEWCREST SUMATRA MINERALS</v>
          </cell>
        </row>
      </sheetData>
      <sheetData sheetId="942">
        <row r="7">
          <cell r="E7" t="str">
            <v>PT NEWCREST SUMATRA MINERALS</v>
          </cell>
        </row>
      </sheetData>
      <sheetData sheetId="943">
        <row r="7">
          <cell r="E7" t="str">
            <v>PT NEWCREST SUMATRA MINERALS</v>
          </cell>
        </row>
      </sheetData>
      <sheetData sheetId="944">
        <row r="7">
          <cell r="E7" t="str">
            <v>PT NEWCREST SUMATRA MINERALS</v>
          </cell>
        </row>
      </sheetData>
      <sheetData sheetId="945">
        <row r="7">
          <cell r="E7" t="str">
            <v>PT NEWCREST SUMATRA MINERALS</v>
          </cell>
        </row>
      </sheetData>
      <sheetData sheetId="946">
        <row r="7">
          <cell r="E7" t="str">
            <v>PT NEWCREST SUMATRA MINERALS</v>
          </cell>
        </row>
      </sheetData>
      <sheetData sheetId="947">
        <row r="7">
          <cell r="E7" t="str">
            <v>PT NEWCREST SUMATRA MINERALS</v>
          </cell>
        </row>
      </sheetData>
      <sheetData sheetId="948">
        <row r="7">
          <cell r="E7" t="str">
            <v>PT NEWCREST SUMATRA MINERALS</v>
          </cell>
        </row>
      </sheetData>
      <sheetData sheetId="949">
        <row r="7">
          <cell r="E7" t="str">
            <v>PT NEWCREST SUMATRA MINERALS</v>
          </cell>
        </row>
      </sheetData>
      <sheetData sheetId="950">
        <row r="7">
          <cell r="E7" t="str">
            <v>PT NEWCREST SUMATRA MINERALS</v>
          </cell>
        </row>
      </sheetData>
      <sheetData sheetId="951">
        <row r="7">
          <cell r="E7" t="str">
            <v>PT NEWCREST SUMATRA MINERALS</v>
          </cell>
        </row>
      </sheetData>
      <sheetData sheetId="952">
        <row r="7">
          <cell r="E7" t="str">
            <v>PT NEWCREST SUMATRA MINERALS</v>
          </cell>
        </row>
      </sheetData>
      <sheetData sheetId="953">
        <row r="7">
          <cell r="E7" t="str">
            <v>PT NEWCREST SUMATRA MINERALS</v>
          </cell>
        </row>
      </sheetData>
      <sheetData sheetId="954"/>
      <sheetData sheetId="955"/>
      <sheetData sheetId="956">
        <row r="7">
          <cell r="E7" t="str">
            <v>PT NEWCREST SUMATRA MINERALS</v>
          </cell>
        </row>
      </sheetData>
      <sheetData sheetId="957">
        <row r="7">
          <cell r="E7" t="str">
            <v>PT NEWCREST SUMATRA MINERALS</v>
          </cell>
        </row>
      </sheetData>
      <sheetData sheetId="958">
        <row r="7">
          <cell r="E7" t="str">
            <v>PT NEWCREST SUMATRA MINERALS</v>
          </cell>
        </row>
      </sheetData>
      <sheetData sheetId="959">
        <row r="7">
          <cell r="E7" t="str">
            <v>PT NEWCREST SUMATRA MINERALS</v>
          </cell>
        </row>
      </sheetData>
      <sheetData sheetId="960">
        <row r="7">
          <cell r="E7" t="str">
            <v>PT NEWCREST SUMATRA MINERALS</v>
          </cell>
        </row>
      </sheetData>
      <sheetData sheetId="961">
        <row r="7">
          <cell r="E7" t="str">
            <v>PT NEWCREST SUMATRA MINERALS</v>
          </cell>
        </row>
      </sheetData>
      <sheetData sheetId="962">
        <row r="7">
          <cell r="E7" t="str">
            <v>PT NEWCREST SUMATRA MINERALS</v>
          </cell>
        </row>
      </sheetData>
      <sheetData sheetId="963">
        <row r="7">
          <cell r="E7" t="str">
            <v>PT NEWCREST SUMATRA MINERALS</v>
          </cell>
        </row>
      </sheetData>
      <sheetData sheetId="964">
        <row r="7">
          <cell r="E7" t="str">
            <v>PT NEWCREST SUMATRA MINERALS</v>
          </cell>
        </row>
      </sheetData>
      <sheetData sheetId="965">
        <row r="7">
          <cell r="E7" t="str">
            <v>PT NEWCREST SUMATRA MINERALS</v>
          </cell>
        </row>
      </sheetData>
      <sheetData sheetId="966">
        <row r="7">
          <cell r="E7" t="str">
            <v>PT NEWCREST SUMATRA MINERALS</v>
          </cell>
        </row>
      </sheetData>
      <sheetData sheetId="967">
        <row r="7">
          <cell r="E7" t="str">
            <v>PT NEWCREST SUMATRA MINERALS</v>
          </cell>
        </row>
      </sheetData>
      <sheetData sheetId="968">
        <row r="7">
          <cell r="E7" t="str">
            <v>PT NEWCREST SUMATRA MINERALS</v>
          </cell>
        </row>
      </sheetData>
      <sheetData sheetId="969">
        <row r="7">
          <cell r="E7" t="str">
            <v>PT NEWCREST SUMATRA MINERALS</v>
          </cell>
        </row>
      </sheetData>
      <sheetData sheetId="970">
        <row r="7">
          <cell r="E7" t="str">
            <v>PT NEWCREST SUMATRA MINERALS</v>
          </cell>
        </row>
      </sheetData>
      <sheetData sheetId="971">
        <row r="7">
          <cell r="E7" t="str">
            <v>PT NEWCREST SUMATRA MINERALS</v>
          </cell>
        </row>
      </sheetData>
      <sheetData sheetId="972">
        <row r="7">
          <cell r="E7" t="str">
            <v>PT NEWCREST SUMATRA MINERALS</v>
          </cell>
        </row>
      </sheetData>
      <sheetData sheetId="973">
        <row r="7">
          <cell r="E7" t="str">
            <v>PT NEWCREST SUMATRA MINERALS</v>
          </cell>
        </row>
      </sheetData>
      <sheetData sheetId="974">
        <row r="7">
          <cell r="E7" t="str">
            <v>PT NEWCREST SUMATRA MINERALS</v>
          </cell>
        </row>
      </sheetData>
      <sheetData sheetId="975">
        <row r="7">
          <cell r="E7" t="str">
            <v>PT NEWCREST SUMATRA MINERALS</v>
          </cell>
        </row>
      </sheetData>
      <sheetData sheetId="976">
        <row r="7">
          <cell r="E7" t="str">
            <v>PT NEWCREST SUMATRA MINERALS</v>
          </cell>
        </row>
      </sheetData>
      <sheetData sheetId="977">
        <row r="7">
          <cell r="E7" t="str">
            <v>PT NEWCREST SUMATRA MINERALS</v>
          </cell>
        </row>
      </sheetData>
      <sheetData sheetId="978">
        <row r="7">
          <cell r="E7" t="str">
            <v>PT NEWCREST SUMATRA MINERALS</v>
          </cell>
        </row>
      </sheetData>
      <sheetData sheetId="979">
        <row r="7">
          <cell r="E7" t="str">
            <v>PT NEWCREST SUMATRA MINERALS</v>
          </cell>
        </row>
      </sheetData>
      <sheetData sheetId="980">
        <row r="7">
          <cell r="E7" t="str">
            <v>PT NEWCREST SUMATRA MINERALS</v>
          </cell>
        </row>
      </sheetData>
      <sheetData sheetId="981">
        <row r="7">
          <cell r="E7" t="str">
            <v>PT NEWCREST SUMATRA MINERALS</v>
          </cell>
        </row>
      </sheetData>
      <sheetData sheetId="982">
        <row r="7">
          <cell r="E7" t="str">
            <v>PT NEWCREST SUMATRA MINERALS</v>
          </cell>
        </row>
      </sheetData>
      <sheetData sheetId="983">
        <row r="7">
          <cell r="E7" t="str">
            <v>PT NEWCREST SUMATRA MINERALS</v>
          </cell>
        </row>
      </sheetData>
      <sheetData sheetId="984">
        <row r="7">
          <cell r="E7" t="str">
            <v>PT NEWCREST SUMATRA MINERALS</v>
          </cell>
        </row>
      </sheetData>
      <sheetData sheetId="985">
        <row r="7">
          <cell r="E7" t="str">
            <v>PT NEWCREST SUMATRA MINERALS</v>
          </cell>
        </row>
      </sheetData>
      <sheetData sheetId="986">
        <row r="7">
          <cell r="E7" t="str">
            <v>PT NEWCREST SUMATRA MINERALS</v>
          </cell>
        </row>
      </sheetData>
      <sheetData sheetId="987">
        <row r="7">
          <cell r="E7" t="str">
            <v>PT NEWCREST SUMATRA MINERALS</v>
          </cell>
        </row>
      </sheetData>
      <sheetData sheetId="988">
        <row r="7">
          <cell r="E7" t="str">
            <v>PT NEWCREST SUMATRA MINERALS</v>
          </cell>
        </row>
      </sheetData>
      <sheetData sheetId="989">
        <row r="7">
          <cell r="E7" t="str">
            <v>PT NEWCREST SUMATRA MINERALS</v>
          </cell>
        </row>
      </sheetData>
      <sheetData sheetId="990">
        <row r="7">
          <cell r="E7" t="str">
            <v>PT NEWCREST SUMATRA MINERALS</v>
          </cell>
        </row>
      </sheetData>
      <sheetData sheetId="991">
        <row r="7">
          <cell r="E7" t="str">
            <v>PT NEWCREST SUMATRA MINERALS</v>
          </cell>
        </row>
      </sheetData>
      <sheetData sheetId="992">
        <row r="7">
          <cell r="E7" t="str">
            <v>PT NEWCREST SUMATRA MINERALS</v>
          </cell>
        </row>
      </sheetData>
      <sheetData sheetId="993">
        <row r="7">
          <cell r="E7" t="str">
            <v>PT NEWCREST SUMATRA MINERALS</v>
          </cell>
        </row>
      </sheetData>
      <sheetData sheetId="994">
        <row r="7">
          <cell r="E7" t="str">
            <v>PT NEWCREST SUMATRA MINERALS</v>
          </cell>
        </row>
      </sheetData>
      <sheetData sheetId="995">
        <row r="7">
          <cell r="E7" t="str">
            <v>PT NEWCREST SUMATRA MINERALS</v>
          </cell>
        </row>
      </sheetData>
      <sheetData sheetId="996">
        <row r="7">
          <cell r="E7" t="str">
            <v>PT NEWCREST SUMATRA MINERALS</v>
          </cell>
        </row>
      </sheetData>
      <sheetData sheetId="997">
        <row r="7">
          <cell r="E7" t="str">
            <v>PT NEWCREST SUMATRA MINERALS</v>
          </cell>
        </row>
      </sheetData>
      <sheetData sheetId="998">
        <row r="7">
          <cell r="E7" t="str">
            <v>PT NEWCREST SUMATRA MINERALS</v>
          </cell>
        </row>
      </sheetData>
      <sheetData sheetId="999">
        <row r="7">
          <cell r="E7" t="str">
            <v>PT NEWCREST SUMATRA MINERALS</v>
          </cell>
        </row>
      </sheetData>
      <sheetData sheetId="1000">
        <row r="7">
          <cell r="E7" t="str">
            <v>PT NEWCREST SUMATRA MINERALS</v>
          </cell>
        </row>
      </sheetData>
      <sheetData sheetId="1001">
        <row r="7">
          <cell r="E7" t="str">
            <v>PT NEWCREST SUMATRA MINERALS</v>
          </cell>
        </row>
      </sheetData>
      <sheetData sheetId="1002">
        <row r="7">
          <cell r="E7" t="str">
            <v>PT NEWCREST SUMATRA MINERALS</v>
          </cell>
        </row>
      </sheetData>
      <sheetData sheetId="1003">
        <row r="7">
          <cell r="E7" t="str">
            <v>PT NEWCREST SUMATRA MINERALS</v>
          </cell>
        </row>
      </sheetData>
      <sheetData sheetId="1004">
        <row r="7">
          <cell r="E7" t="str">
            <v>PT NEWCREST SUMATRA MINERALS</v>
          </cell>
        </row>
      </sheetData>
      <sheetData sheetId="1005">
        <row r="7">
          <cell r="E7" t="str">
            <v>PT NEWCREST SUMATRA MINERALS</v>
          </cell>
        </row>
      </sheetData>
      <sheetData sheetId="1006">
        <row r="7">
          <cell r="E7" t="str">
            <v>PT NEWCREST SUMATRA MINERALS</v>
          </cell>
        </row>
      </sheetData>
      <sheetData sheetId="1007">
        <row r="7">
          <cell r="E7" t="str">
            <v>PT NEWCREST SUMATRA MINERALS</v>
          </cell>
        </row>
      </sheetData>
      <sheetData sheetId="1008">
        <row r="7">
          <cell r="E7" t="str">
            <v>PT NEWCREST SUMATRA MINERALS</v>
          </cell>
        </row>
      </sheetData>
      <sheetData sheetId="1009">
        <row r="7">
          <cell r="E7" t="str">
            <v>PT NEWCREST SUMATRA MINERALS</v>
          </cell>
        </row>
      </sheetData>
      <sheetData sheetId="1010">
        <row r="7">
          <cell r="E7" t="str">
            <v>PT NEWCREST SUMATRA MINERALS</v>
          </cell>
        </row>
      </sheetData>
      <sheetData sheetId="1011">
        <row r="7">
          <cell r="E7" t="str">
            <v>PT NEWCREST SUMATRA MINERALS</v>
          </cell>
        </row>
      </sheetData>
      <sheetData sheetId="1012">
        <row r="7">
          <cell r="E7" t="str">
            <v>PT NEWCREST SUMATRA MINERALS</v>
          </cell>
        </row>
      </sheetData>
      <sheetData sheetId="1013">
        <row r="7">
          <cell r="E7" t="str">
            <v>PT NEWCREST SUMATRA MINERALS</v>
          </cell>
        </row>
      </sheetData>
      <sheetData sheetId="1014">
        <row r="7">
          <cell r="E7" t="str">
            <v>PT NEWCREST SUMATRA MINERALS</v>
          </cell>
        </row>
      </sheetData>
      <sheetData sheetId="1015">
        <row r="7">
          <cell r="E7" t="str">
            <v>PT NEWCREST SUMATRA MINERALS</v>
          </cell>
        </row>
      </sheetData>
      <sheetData sheetId="1016">
        <row r="7">
          <cell r="E7" t="str">
            <v>PT NEWCREST SUMATRA MINERALS</v>
          </cell>
        </row>
      </sheetData>
      <sheetData sheetId="1017">
        <row r="7">
          <cell r="E7" t="str">
            <v>PT NEWCREST SUMATRA MINERALS</v>
          </cell>
        </row>
      </sheetData>
      <sheetData sheetId="1018">
        <row r="7">
          <cell r="E7" t="str">
            <v>PT NEWCREST SUMATRA MINERALS</v>
          </cell>
        </row>
      </sheetData>
      <sheetData sheetId="1019">
        <row r="7">
          <cell r="E7" t="str">
            <v>PT NEWCREST SUMATRA MINERALS</v>
          </cell>
        </row>
      </sheetData>
      <sheetData sheetId="1020">
        <row r="7">
          <cell r="E7" t="str">
            <v>PT NEWCREST SUMATRA MINERALS</v>
          </cell>
        </row>
      </sheetData>
      <sheetData sheetId="1021">
        <row r="7">
          <cell r="E7" t="str">
            <v>PT NEWCREST SUMATRA MINERALS</v>
          </cell>
        </row>
      </sheetData>
      <sheetData sheetId="1022">
        <row r="7">
          <cell r="E7" t="str">
            <v>PT NEWCREST SUMATRA MINERALS</v>
          </cell>
        </row>
      </sheetData>
      <sheetData sheetId="1023">
        <row r="7">
          <cell r="E7" t="str">
            <v>PT NEWCREST SUMATRA MINERALS</v>
          </cell>
        </row>
      </sheetData>
      <sheetData sheetId="1024">
        <row r="7">
          <cell r="E7" t="str">
            <v>PT NEWCREST SUMATRA MINERALS</v>
          </cell>
        </row>
      </sheetData>
      <sheetData sheetId="1025">
        <row r="7">
          <cell r="E7" t="str">
            <v>PT NEWCREST SUMATRA MINERALS</v>
          </cell>
        </row>
      </sheetData>
      <sheetData sheetId="1026">
        <row r="7">
          <cell r="E7" t="str">
            <v>PT NEWCREST SUMATRA MINERALS</v>
          </cell>
        </row>
      </sheetData>
      <sheetData sheetId="1027">
        <row r="7">
          <cell r="E7" t="str">
            <v>PT NEWCREST SUMATRA MINERALS</v>
          </cell>
        </row>
      </sheetData>
      <sheetData sheetId="1028">
        <row r="7">
          <cell r="E7" t="str">
            <v>PT NEWCREST SUMATRA MINERALS</v>
          </cell>
        </row>
      </sheetData>
      <sheetData sheetId="1029">
        <row r="7">
          <cell r="E7" t="str">
            <v>PT NEWCREST SUMATRA MINERALS</v>
          </cell>
        </row>
      </sheetData>
      <sheetData sheetId="1030">
        <row r="7">
          <cell r="E7" t="str">
            <v>PT NEWCREST SUMATRA MINERALS</v>
          </cell>
        </row>
      </sheetData>
      <sheetData sheetId="1031">
        <row r="7">
          <cell r="E7" t="str">
            <v>PT NEWCREST SUMATRA MINERALS</v>
          </cell>
        </row>
      </sheetData>
      <sheetData sheetId="1032">
        <row r="7">
          <cell r="E7" t="str">
            <v>PT NEWCREST SUMATRA MINERALS</v>
          </cell>
        </row>
      </sheetData>
      <sheetData sheetId="1033">
        <row r="7">
          <cell r="E7" t="str">
            <v>PT NEWCREST SUMATRA MINERALS</v>
          </cell>
        </row>
      </sheetData>
      <sheetData sheetId="1034">
        <row r="7">
          <cell r="E7" t="str">
            <v>PT NEWCREST SUMATRA MINERALS</v>
          </cell>
        </row>
      </sheetData>
      <sheetData sheetId="1035">
        <row r="7">
          <cell r="E7" t="str">
            <v>PT NEWCREST SUMATRA MINERALS</v>
          </cell>
        </row>
      </sheetData>
      <sheetData sheetId="1036">
        <row r="7">
          <cell r="E7" t="str">
            <v>PT NEWCREST SUMATRA MINERALS</v>
          </cell>
        </row>
      </sheetData>
      <sheetData sheetId="1037">
        <row r="7">
          <cell r="E7" t="str">
            <v>PT NEWCREST SUMATRA MINERALS</v>
          </cell>
        </row>
      </sheetData>
      <sheetData sheetId="1038">
        <row r="7">
          <cell r="E7" t="str">
            <v>PT NEWCREST SUMATRA MINERALS</v>
          </cell>
        </row>
      </sheetData>
      <sheetData sheetId="1039">
        <row r="7">
          <cell r="E7" t="str">
            <v>PT NEWCREST SUMATRA MINERALS</v>
          </cell>
        </row>
      </sheetData>
      <sheetData sheetId="1040">
        <row r="7">
          <cell r="E7" t="str">
            <v>PT NEWCREST SUMATRA MINERALS</v>
          </cell>
        </row>
      </sheetData>
      <sheetData sheetId="1041">
        <row r="7">
          <cell r="E7" t="str">
            <v>PT NEWCREST SUMATRA MINERALS</v>
          </cell>
        </row>
      </sheetData>
      <sheetData sheetId="1042">
        <row r="7">
          <cell r="E7" t="str">
            <v>PT NEWCREST SUMATRA MINERALS</v>
          </cell>
        </row>
      </sheetData>
      <sheetData sheetId="1043">
        <row r="7">
          <cell r="E7" t="str">
            <v>PT NEWCREST SUMATRA MINERALS</v>
          </cell>
        </row>
      </sheetData>
      <sheetData sheetId="1044">
        <row r="7">
          <cell r="E7" t="str">
            <v>PT NEWCREST SUMATRA MINERALS</v>
          </cell>
        </row>
      </sheetData>
      <sheetData sheetId="1045">
        <row r="7">
          <cell r="E7" t="str">
            <v>PT NEWCREST SUMATRA MINERALS</v>
          </cell>
        </row>
      </sheetData>
      <sheetData sheetId="1046">
        <row r="7">
          <cell r="E7" t="str">
            <v>PT NEWCREST SUMATRA MINERALS</v>
          </cell>
        </row>
      </sheetData>
      <sheetData sheetId="1047">
        <row r="7">
          <cell r="E7" t="str">
            <v>PT NEWCREST SUMATRA MINERALS</v>
          </cell>
        </row>
      </sheetData>
      <sheetData sheetId="1048">
        <row r="7">
          <cell r="E7" t="str">
            <v>PT NEWCREST SUMATRA MINERALS</v>
          </cell>
        </row>
      </sheetData>
      <sheetData sheetId="1049">
        <row r="7">
          <cell r="E7" t="str">
            <v>PT NEWCREST SUMATRA MINERALS</v>
          </cell>
        </row>
      </sheetData>
      <sheetData sheetId="1050">
        <row r="7">
          <cell r="E7" t="str">
            <v>PT NEWCREST SUMATRA MINERALS</v>
          </cell>
        </row>
      </sheetData>
      <sheetData sheetId="1051">
        <row r="7">
          <cell r="E7" t="str">
            <v>PT NEWCREST SUMATRA MINERALS</v>
          </cell>
        </row>
      </sheetData>
      <sheetData sheetId="1052">
        <row r="7">
          <cell r="E7" t="str">
            <v>PT NEWCREST SUMATRA MINERALS</v>
          </cell>
        </row>
      </sheetData>
      <sheetData sheetId="1053">
        <row r="7">
          <cell r="E7" t="str">
            <v>PT NEWCREST SUMATRA MINERALS</v>
          </cell>
        </row>
      </sheetData>
      <sheetData sheetId="1054">
        <row r="7">
          <cell r="E7" t="str">
            <v>PT NEWCREST SUMATRA MINERALS</v>
          </cell>
        </row>
      </sheetData>
      <sheetData sheetId="1055">
        <row r="7">
          <cell r="E7" t="str">
            <v>PT NEWCREST SUMATRA MINERALS</v>
          </cell>
        </row>
      </sheetData>
      <sheetData sheetId="1056">
        <row r="7">
          <cell r="E7" t="str">
            <v>PT NEWCREST SUMATRA MINERALS</v>
          </cell>
        </row>
      </sheetData>
      <sheetData sheetId="1057">
        <row r="7">
          <cell r="E7" t="str">
            <v>PT NEWCREST SUMATRA MINERALS</v>
          </cell>
        </row>
      </sheetData>
      <sheetData sheetId="1058">
        <row r="7">
          <cell r="E7" t="str">
            <v>PT NEWCREST SUMATRA MINERALS</v>
          </cell>
        </row>
      </sheetData>
      <sheetData sheetId="1059">
        <row r="7">
          <cell r="E7" t="str">
            <v>PT NEWCREST SUMATRA MINERALS</v>
          </cell>
        </row>
      </sheetData>
      <sheetData sheetId="1060">
        <row r="7">
          <cell r="E7" t="str">
            <v>PT NEWCREST SUMATRA MINERALS</v>
          </cell>
        </row>
      </sheetData>
      <sheetData sheetId="1061">
        <row r="7">
          <cell r="E7" t="str">
            <v>PT NEWCREST SUMATRA MINERALS</v>
          </cell>
        </row>
      </sheetData>
      <sheetData sheetId="1062">
        <row r="7">
          <cell r="E7" t="str">
            <v>PT NEWCREST SUMATRA MINERALS</v>
          </cell>
        </row>
      </sheetData>
      <sheetData sheetId="1063">
        <row r="7">
          <cell r="E7" t="str">
            <v>PT NEWCREST SUMATRA MINERALS</v>
          </cell>
        </row>
      </sheetData>
      <sheetData sheetId="1064">
        <row r="7">
          <cell r="E7" t="str">
            <v>PT NEWCREST SUMATRA MINERALS</v>
          </cell>
        </row>
      </sheetData>
      <sheetData sheetId="1065">
        <row r="7">
          <cell r="E7" t="str">
            <v>PT NEWCREST SUMATRA MINERALS</v>
          </cell>
        </row>
      </sheetData>
      <sheetData sheetId="1066">
        <row r="7">
          <cell r="E7" t="str">
            <v>PT NEWCREST SUMATRA MINERALS</v>
          </cell>
        </row>
      </sheetData>
      <sheetData sheetId="1067">
        <row r="7">
          <cell r="E7" t="str">
            <v>PT NEWCREST SUMATRA MINERALS</v>
          </cell>
        </row>
      </sheetData>
      <sheetData sheetId="1068">
        <row r="7">
          <cell r="E7" t="str">
            <v>PT NEWCREST SUMATRA MINERALS</v>
          </cell>
        </row>
      </sheetData>
      <sheetData sheetId="1069">
        <row r="7">
          <cell r="E7" t="str">
            <v>PT NEWCREST SUMATRA MINERALS</v>
          </cell>
        </row>
      </sheetData>
      <sheetData sheetId="1070">
        <row r="7">
          <cell r="E7" t="str">
            <v>PT NEWCREST SUMATRA MINERALS</v>
          </cell>
        </row>
      </sheetData>
      <sheetData sheetId="1071">
        <row r="7">
          <cell r="E7" t="str">
            <v>PT NEWCREST SUMATRA MINERALS</v>
          </cell>
        </row>
      </sheetData>
      <sheetData sheetId="1072">
        <row r="7">
          <cell r="E7" t="str">
            <v>PT NEWCREST SUMATRA MINERALS</v>
          </cell>
        </row>
      </sheetData>
      <sheetData sheetId="1073">
        <row r="7">
          <cell r="E7" t="str">
            <v>PT NEWCREST SUMATRA MINERALS</v>
          </cell>
        </row>
      </sheetData>
      <sheetData sheetId="1074">
        <row r="7">
          <cell r="E7" t="str">
            <v>PT NEWCREST SUMATRA MINERALS</v>
          </cell>
        </row>
      </sheetData>
      <sheetData sheetId="1075">
        <row r="7">
          <cell r="E7" t="str">
            <v>PT NEWCREST SUMATRA MINERALS</v>
          </cell>
        </row>
      </sheetData>
      <sheetData sheetId="1076">
        <row r="7">
          <cell r="E7" t="str">
            <v>PT NEWCREST SUMATRA MINERALS</v>
          </cell>
        </row>
      </sheetData>
      <sheetData sheetId="1077">
        <row r="7">
          <cell r="E7" t="str">
            <v>PT NEWCREST SUMATRA MINERALS</v>
          </cell>
        </row>
      </sheetData>
      <sheetData sheetId="1078">
        <row r="7">
          <cell r="E7" t="str">
            <v>PT NEWCREST SUMATRA MINERALS</v>
          </cell>
        </row>
      </sheetData>
      <sheetData sheetId="1079">
        <row r="7">
          <cell r="E7" t="str">
            <v>PT NEWCREST SUMATRA MINERALS</v>
          </cell>
        </row>
      </sheetData>
      <sheetData sheetId="1080">
        <row r="7">
          <cell r="E7" t="str">
            <v>PT NEWCREST SUMATRA MINERALS</v>
          </cell>
        </row>
      </sheetData>
      <sheetData sheetId="1081">
        <row r="7">
          <cell r="E7" t="str">
            <v>PT NEWCREST SUMATRA MINERALS</v>
          </cell>
        </row>
      </sheetData>
      <sheetData sheetId="1082">
        <row r="7">
          <cell r="E7" t="str">
            <v>PT NEWCREST SUMATRA MINERALS</v>
          </cell>
        </row>
      </sheetData>
      <sheetData sheetId="1083">
        <row r="7">
          <cell r="E7" t="str">
            <v>PT NEWCREST SUMATRA MINERALS</v>
          </cell>
        </row>
      </sheetData>
      <sheetData sheetId="1084">
        <row r="7">
          <cell r="E7" t="str">
            <v>PT NEWCREST SUMATRA MINERALS</v>
          </cell>
        </row>
      </sheetData>
      <sheetData sheetId="1085">
        <row r="7">
          <cell r="E7" t="str">
            <v>PT NEWCREST SUMATRA MINERALS</v>
          </cell>
        </row>
      </sheetData>
      <sheetData sheetId="1086">
        <row r="7">
          <cell r="E7" t="str">
            <v>PT NEWCREST SUMATRA MINERALS</v>
          </cell>
        </row>
      </sheetData>
      <sheetData sheetId="1087">
        <row r="7">
          <cell r="E7" t="str">
            <v>PT NEWCREST SUMATRA MINERALS</v>
          </cell>
        </row>
      </sheetData>
      <sheetData sheetId="1088">
        <row r="7">
          <cell r="E7" t="str">
            <v>PT NEWCREST SUMATRA MINERALS</v>
          </cell>
        </row>
      </sheetData>
      <sheetData sheetId="1089">
        <row r="7">
          <cell r="E7" t="str">
            <v>PT NEWCREST SUMATRA MINERALS</v>
          </cell>
        </row>
      </sheetData>
      <sheetData sheetId="1090">
        <row r="7">
          <cell r="E7" t="str">
            <v>PT NEWCREST SUMATRA MINERALS</v>
          </cell>
        </row>
      </sheetData>
      <sheetData sheetId="1091">
        <row r="7">
          <cell r="E7" t="str">
            <v>PT NEWCREST SUMATRA MINERALS</v>
          </cell>
        </row>
      </sheetData>
      <sheetData sheetId="1092">
        <row r="7">
          <cell r="E7" t="str">
            <v>PT NEWCREST SUMATRA MINERALS</v>
          </cell>
        </row>
      </sheetData>
      <sheetData sheetId="1093">
        <row r="7">
          <cell r="E7" t="str">
            <v>PT NEWCREST SUMATRA MINERALS</v>
          </cell>
        </row>
      </sheetData>
      <sheetData sheetId="1094">
        <row r="7">
          <cell r="E7" t="str">
            <v>PT NEWCREST SUMATRA MINERALS</v>
          </cell>
        </row>
      </sheetData>
      <sheetData sheetId="1095">
        <row r="7">
          <cell r="E7" t="str">
            <v>PT NEWCREST SUMATRA MINERALS</v>
          </cell>
        </row>
      </sheetData>
      <sheetData sheetId="1096">
        <row r="7">
          <cell r="E7" t="str">
            <v>PT NEWCREST SUMATRA MINERALS</v>
          </cell>
        </row>
      </sheetData>
      <sheetData sheetId="1097">
        <row r="7">
          <cell r="E7" t="str">
            <v>PT NEWCREST SUMATRA MINERALS</v>
          </cell>
        </row>
      </sheetData>
      <sheetData sheetId="1098">
        <row r="7">
          <cell r="E7" t="str">
            <v>PT NEWCREST SUMATRA MINERALS</v>
          </cell>
        </row>
      </sheetData>
      <sheetData sheetId="1099">
        <row r="7">
          <cell r="E7" t="str">
            <v>PT NEWCREST SUMATRA MINERALS</v>
          </cell>
        </row>
      </sheetData>
      <sheetData sheetId="1100">
        <row r="7">
          <cell r="E7" t="str">
            <v>PT NEWCREST SUMATRA MINERALS</v>
          </cell>
        </row>
      </sheetData>
      <sheetData sheetId="1101">
        <row r="7">
          <cell r="E7" t="str">
            <v>PT NEWCREST SUMATRA MINERALS</v>
          </cell>
        </row>
      </sheetData>
      <sheetData sheetId="1102">
        <row r="7">
          <cell r="E7" t="str">
            <v>PT NEWCREST SUMATRA MINERALS</v>
          </cell>
        </row>
      </sheetData>
      <sheetData sheetId="1103">
        <row r="7">
          <cell r="E7" t="str">
            <v>PT NEWCREST SUMATRA MINERALS</v>
          </cell>
        </row>
      </sheetData>
      <sheetData sheetId="1104">
        <row r="7">
          <cell r="E7" t="str">
            <v>PT NEWCREST SUMATRA MINERALS</v>
          </cell>
        </row>
      </sheetData>
      <sheetData sheetId="1105">
        <row r="7">
          <cell r="E7" t="str">
            <v>PT NEWCREST SUMATRA MINERALS</v>
          </cell>
        </row>
      </sheetData>
      <sheetData sheetId="1106">
        <row r="7">
          <cell r="E7" t="str">
            <v>PT NEWCREST SUMATRA MINERALS</v>
          </cell>
        </row>
      </sheetData>
      <sheetData sheetId="1107">
        <row r="7">
          <cell r="E7" t="str">
            <v>PT NEWCREST SUMATRA MINERALS</v>
          </cell>
        </row>
      </sheetData>
      <sheetData sheetId="1108">
        <row r="7">
          <cell r="E7" t="str">
            <v>PT NEWCREST SUMATRA MINERALS</v>
          </cell>
        </row>
      </sheetData>
      <sheetData sheetId="1109">
        <row r="7">
          <cell r="E7" t="str">
            <v>PT NEWCREST SUMATRA MINERALS</v>
          </cell>
        </row>
      </sheetData>
      <sheetData sheetId="1110">
        <row r="7">
          <cell r="E7" t="str">
            <v>PT NEWCREST SUMATRA MINERALS</v>
          </cell>
        </row>
      </sheetData>
      <sheetData sheetId="1111">
        <row r="7">
          <cell r="E7" t="str">
            <v>PT NEWCREST SUMATRA MINERALS</v>
          </cell>
        </row>
      </sheetData>
      <sheetData sheetId="1112">
        <row r="7">
          <cell r="E7" t="str">
            <v>PT NEWCREST SUMATRA MINERALS</v>
          </cell>
        </row>
      </sheetData>
      <sheetData sheetId="1113">
        <row r="7">
          <cell r="E7" t="str">
            <v>PT NEWCREST SUMATRA MINERALS</v>
          </cell>
        </row>
      </sheetData>
      <sheetData sheetId="1114">
        <row r="7">
          <cell r="E7" t="str">
            <v>PT NEWCREST SUMATRA MINERALS</v>
          </cell>
        </row>
      </sheetData>
      <sheetData sheetId="1115">
        <row r="7">
          <cell r="E7" t="str">
            <v>PT NEWCREST SUMATRA MINERALS</v>
          </cell>
        </row>
      </sheetData>
      <sheetData sheetId="1116">
        <row r="7">
          <cell r="E7" t="str">
            <v>PT NEWCREST SUMATRA MINERALS</v>
          </cell>
        </row>
      </sheetData>
      <sheetData sheetId="1117">
        <row r="7">
          <cell r="E7" t="str">
            <v>PT NEWCREST SUMATRA MINERALS</v>
          </cell>
        </row>
      </sheetData>
      <sheetData sheetId="1118">
        <row r="7">
          <cell r="E7" t="str">
            <v>PT NEWCREST SUMATRA MINERALS</v>
          </cell>
        </row>
      </sheetData>
      <sheetData sheetId="1119">
        <row r="7">
          <cell r="E7" t="str">
            <v>PT NEWCREST SUMATRA MINERALS</v>
          </cell>
        </row>
      </sheetData>
      <sheetData sheetId="1120">
        <row r="7">
          <cell r="E7" t="str">
            <v>PT NEWCREST SUMATRA MINERALS</v>
          </cell>
        </row>
      </sheetData>
      <sheetData sheetId="1121">
        <row r="7">
          <cell r="E7" t="str">
            <v>PT NEWCREST SUMATRA MINERALS</v>
          </cell>
        </row>
      </sheetData>
      <sheetData sheetId="1122">
        <row r="7">
          <cell r="E7" t="str">
            <v>PT NEWCREST SUMATRA MINERALS</v>
          </cell>
        </row>
      </sheetData>
      <sheetData sheetId="1123">
        <row r="7">
          <cell r="E7" t="str">
            <v>PT NEWCREST SUMATRA MINERALS</v>
          </cell>
        </row>
      </sheetData>
      <sheetData sheetId="1124">
        <row r="7">
          <cell r="E7" t="str">
            <v>PT NEWCREST SUMATRA MINERALS</v>
          </cell>
        </row>
      </sheetData>
      <sheetData sheetId="1125">
        <row r="7">
          <cell r="E7" t="str">
            <v>PT NEWCREST SUMATRA MINERALS</v>
          </cell>
        </row>
      </sheetData>
      <sheetData sheetId="1126">
        <row r="7">
          <cell r="E7" t="str">
            <v>PT NEWCREST SUMATRA MINERALS</v>
          </cell>
        </row>
      </sheetData>
      <sheetData sheetId="1127">
        <row r="7">
          <cell r="E7" t="str">
            <v>PT NEWCREST SUMATRA MINERALS</v>
          </cell>
        </row>
      </sheetData>
      <sheetData sheetId="1128">
        <row r="7">
          <cell r="E7" t="str">
            <v>PT NEWCREST SUMATRA MINERALS</v>
          </cell>
        </row>
      </sheetData>
      <sheetData sheetId="1129">
        <row r="7">
          <cell r="E7" t="str">
            <v>PT NEWCREST SUMATRA MINERALS</v>
          </cell>
        </row>
      </sheetData>
      <sheetData sheetId="1130">
        <row r="7">
          <cell r="E7" t="str">
            <v>PT NEWCREST SUMATRA MINERALS</v>
          </cell>
        </row>
      </sheetData>
      <sheetData sheetId="1131">
        <row r="7">
          <cell r="E7" t="str">
            <v>PT NEWCREST SUMATRA MINERALS</v>
          </cell>
        </row>
      </sheetData>
      <sheetData sheetId="1132">
        <row r="7">
          <cell r="E7" t="str">
            <v>PT NEWCREST SUMATRA MINERALS</v>
          </cell>
        </row>
      </sheetData>
      <sheetData sheetId="1133">
        <row r="7">
          <cell r="E7" t="str">
            <v>PT NEWCREST SUMATRA MINERALS</v>
          </cell>
        </row>
      </sheetData>
      <sheetData sheetId="1134">
        <row r="7">
          <cell r="E7" t="str">
            <v>PT NEWCREST SUMATRA MINERALS</v>
          </cell>
        </row>
      </sheetData>
      <sheetData sheetId="1135">
        <row r="7">
          <cell r="E7" t="str">
            <v>PT NEWCREST SUMATRA MINERALS</v>
          </cell>
        </row>
      </sheetData>
      <sheetData sheetId="1136">
        <row r="7">
          <cell r="E7" t="str">
            <v>PT NEWCREST SUMATRA MINERALS</v>
          </cell>
        </row>
      </sheetData>
      <sheetData sheetId="1137">
        <row r="7">
          <cell r="E7" t="str">
            <v>PT NEWCREST SUMATRA MINERALS</v>
          </cell>
        </row>
      </sheetData>
      <sheetData sheetId="1138">
        <row r="7">
          <cell r="E7" t="str">
            <v>PT NEWCREST SUMATRA MINERALS</v>
          </cell>
        </row>
      </sheetData>
      <sheetData sheetId="1139">
        <row r="7">
          <cell r="E7" t="str">
            <v>PT NEWCREST SUMATRA MINERALS</v>
          </cell>
        </row>
      </sheetData>
      <sheetData sheetId="1140">
        <row r="7">
          <cell r="E7" t="str">
            <v>PT NEWCREST SUMATRA MINERALS</v>
          </cell>
        </row>
      </sheetData>
      <sheetData sheetId="1141">
        <row r="7">
          <cell r="E7" t="str">
            <v>PT NEWCREST SUMATRA MINERALS</v>
          </cell>
        </row>
      </sheetData>
      <sheetData sheetId="1142">
        <row r="7">
          <cell r="E7" t="str">
            <v>PT NEWCREST SUMATRA MINERALS</v>
          </cell>
        </row>
      </sheetData>
      <sheetData sheetId="1143">
        <row r="7">
          <cell r="E7" t="str">
            <v>PT NEWCREST SUMATRA MINERALS</v>
          </cell>
        </row>
      </sheetData>
      <sheetData sheetId="1144">
        <row r="7">
          <cell r="E7" t="str">
            <v>PT NEWCREST SUMATRA MINERALS</v>
          </cell>
        </row>
      </sheetData>
      <sheetData sheetId="1145">
        <row r="7">
          <cell r="E7" t="str">
            <v>PT NEWCREST SUMATRA MINERALS</v>
          </cell>
        </row>
      </sheetData>
      <sheetData sheetId="1146">
        <row r="7">
          <cell r="E7" t="str">
            <v>PT NEWCREST SUMATRA MINERALS</v>
          </cell>
        </row>
      </sheetData>
      <sheetData sheetId="1147">
        <row r="7">
          <cell r="E7" t="str">
            <v>PT NEWCREST SUMATRA MINERALS</v>
          </cell>
        </row>
      </sheetData>
      <sheetData sheetId="1148">
        <row r="7">
          <cell r="E7" t="str">
            <v>PT NEWCREST SUMATRA MINERALS</v>
          </cell>
        </row>
      </sheetData>
      <sheetData sheetId="1149">
        <row r="7">
          <cell r="E7" t="str">
            <v>PT NEWCREST SUMATRA MINERALS</v>
          </cell>
        </row>
      </sheetData>
      <sheetData sheetId="1150">
        <row r="7">
          <cell r="E7" t="str">
            <v>PT NEWCREST SUMATRA MINERALS</v>
          </cell>
        </row>
      </sheetData>
      <sheetData sheetId="1151">
        <row r="7">
          <cell r="E7" t="str">
            <v>PT NEWCREST SUMATRA MINERALS</v>
          </cell>
        </row>
      </sheetData>
      <sheetData sheetId="1152">
        <row r="7">
          <cell r="E7" t="str">
            <v>PT NEWCREST SUMATRA MINERALS</v>
          </cell>
        </row>
      </sheetData>
      <sheetData sheetId="1153">
        <row r="7">
          <cell r="E7" t="str">
            <v>PT NEWCREST SUMATRA MINERALS</v>
          </cell>
        </row>
      </sheetData>
      <sheetData sheetId="1154">
        <row r="7">
          <cell r="E7" t="str">
            <v>PT NEWCREST SUMATRA MINERALS</v>
          </cell>
        </row>
      </sheetData>
      <sheetData sheetId="1155">
        <row r="7">
          <cell r="E7" t="str">
            <v>PT NEWCREST SUMATRA MINERALS</v>
          </cell>
        </row>
      </sheetData>
      <sheetData sheetId="1156">
        <row r="7">
          <cell r="E7" t="str">
            <v>PT NEWCREST SUMATRA MINERALS</v>
          </cell>
        </row>
      </sheetData>
      <sheetData sheetId="1157">
        <row r="7">
          <cell r="E7" t="str">
            <v>PT NEWCREST SUMATRA MINERALS</v>
          </cell>
        </row>
      </sheetData>
      <sheetData sheetId="1158">
        <row r="7">
          <cell r="E7" t="str">
            <v>PT NEWCREST SUMATRA MINERALS</v>
          </cell>
        </row>
      </sheetData>
      <sheetData sheetId="1159">
        <row r="7">
          <cell r="E7" t="str">
            <v>PT NEWCREST SUMATRA MINERALS</v>
          </cell>
        </row>
      </sheetData>
      <sheetData sheetId="1160">
        <row r="7">
          <cell r="E7" t="str">
            <v>PT NEWCREST SUMATRA MINERALS</v>
          </cell>
        </row>
      </sheetData>
      <sheetData sheetId="1161">
        <row r="7">
          <cell r="E7" t="str">
            <v>PT NEWCREST SUMATRA MINERALS</v>
          </cell>
        </row>
      </sheetData>
      <sheetData sheetId="1162">
        <row r="7">
          <cell r="E7" t="str">
            <v>PT NEWCREST SUMATRA MINERALS</v>
          </cell>
        </row>
      </sheetData>
      <sheetData sheetId="1163">
        <row r="7">
          <cell r="E7" t="str">
            <v>PT NEWCREST SUMATRA MINERALS</v>
          </cell>
        </row>
      </sheetData>
      <sheetData sheetId="1164">
        <row r="7">
          <cell r="E7" t="str">
            <v>PT NEWCREST SUMATRA MINERALS</v>
          </cell>
        </row>
      </sheetData>
      <sheetData sheetId="1165">
        <row r="7">
          <cell r="E7" t="str">
            <v>PT NEWCREST SUMATRA MINERALS</v>
          </cell>
        </row>
      </sheetData>
      <sheetData sheetId="1166">
        <row r="7">
          <cell r="E7" t="str">
            <v>PT NEWCREST SUMATRA MINERALS</v>
          </cell>
        </row>
      </sheetData>
      <sheetData sheetId="1167">
        <row r="7">
          <cell r="E7" t="str">
            <v>PT NEWCREST SUMATRA MINERALS</v>
          </cell>
        </row>
      </sheetData>
      <sheetData sheetId="1168">
        <row r="7">
          <cell r="E7" t="str">
            <v>PT NEWCREST SUMATRA MINERALS</v>
          </cell>
        </row>
      </sheetData>
      <sheetData sheetId="1169">
        <row r="7">
          <cell r="E7" t="str">
            <v>PT NEWCREST SUMATRA MINERALS</v>
          </cell>
        </row>
      </sheetData>
      <sheetData sheetId="1170">
        <row r="7">
          <cell r="E7" t="str">
            <v>PT NEWCREST SUMATRA MINERALS</v>
          </cell>
        </row>
      </sheetData>
      <sheetData sheetId="1171">
        <row r="7">
          <cell r="E7" t="str">
            <v>PT NEWCREST SUMATRA MINERALS</v>
          </cell>
        </row>
      </sheetData>
      <sheetData sheetId="1172">
        <row r="7">
          <cell r="E7" t="str">
            <v>PT NEWCREST SUMATRA MINERALS</v>
          </cell>
        </row>
      </sheetData>
      <sheetData sheetId="1173">
        <row r="7">
          <cell r="E7" t="str">
            <v>PT NEWCREST SUMATRA MINERALS</v>
          </cell>
        </row>
      </sheetData>
      <sheetData sheetId="1174" refreshError="1"/>
      <sheetData sheetId="1175">
        <row r="7">
          <cell r="E7" t="str">
            <v>PT NEWCREST SUMATRA MINERALS</v>
          </cell>
        </row>
      </sheetData>
      <sheetData sheetId="1176">
        <row r="7">
          <cell r="E7" t="str">
            <v>PT NEWCREST SUMATRA MINERALS</v>
          </cell>
        </row>
      </sheetData>
      <sheetData sheetId="1177">
        <row r="7">
          <cell r="E7" t="str">
            <v>PT NEWCREST SUMATRA MINERALS</v>
          </cell>
        </row>
      </sheetData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>
        <row r="7">
          <cell r="E7" t="str">
            <v>PT NEWCREST SUMATRA MINERALS</v>
          </cell>
        </row>
      </sheetData>
      <sheetData sheetId="1237">
        <row r="7">
          <cell r="E7" t="str">
            <v>PT NEWCREST SUMATRA MINERALS</v>
          </cell>
        </row>
      </sheetData>
      <sheetData sheetId="1238">
        <row r="7">
          <cell r="E7" t="str">
            <v>PT NEWCREST SUMATRA MINERALS</v>
          </cell>
        </row>
      </sheetData>
      <sheetData sheetId="1239">
        <row r="7">
          <cell r="E7" t="str">
            <v>PT NEWCREST SUMATRA MINERALS</v>
          </cell>
        </row>
      </sheetData>
      <sheetData sheetId="1240">
        <row r="7">
          <cell r="E7" t="str">
            <v>PT NEWCREST SUMATRA MINERALS</v>
          </cell>
        </row>
      </sheetData>
      <sheetData sheetId="1241">
        <row r="7">
          <cell r="E7" t="str">
            <v>PT NEWCREST SUMATRA MINERALS</v>
          </cell>
        </row>
      </sheetData>
      <sheetData sheetId="1242">
        <row r="7">
          <cell r="E7" t="str">
            <v>PT NEWCREST SUMATRA MINERALS</v>
          </cell>
        </row>
      </sheetData>
      <sheetData sheetId="1243">
        <row r="7">
          <cell r="E7" t="str">
            <v>PT NEWCREST SUMATRA MINERALS</v>
          </cell>
        </row>
      </sheetData>
      <sheetData sheetId="1244">
        <row r="7">
          <cell r="E7" t="str">
            <v>PT NEWCREST SUMATRA MINERALS</v>
          </cell>
        </row>
      </sheetData>
      <sheetData sheetId="1245">
        <row r="7">
          <cell r="E7" t="str">
            <v>PT NEWCREST SUMATRA MINERALS</v>
          </cell>
        </row>
      </sheetData>
      <sheetData sheetId="1246">
        <row r="7">
          <cell r="E7" t="str">
            <v>PT NEWCREST SUMATRA MINERALS</v>
          </cell>
        </row>
      </sheetData>
      <sheetData sheetId="1247">
        <row r="7">
          <cell r="E7" t="str">
            <v>PT NEWCREST SUMATRA MINERALS</v>
          </cell>
        </row>
      </sheetData>
      <sheetData sheetId="1248">
        <row r="7">
          <cell r="E7" t="str">
            <v>PT NEWCREST SUMATRA MINERALS</v>
          </cell>
        </row>
      </sheetData>
      <sheetData sheetId="1249">
        <row r="7">
          <cell r="E7" t="str">
            <v>PT NEWCREST SUMATRA MINERALS</v>
          </cell>
        </row>
      </sheetData>
      <sheetData sheetId="1250">
        <row r="7">
          <cell r="E7" t="str">
            <v>PT NEWCREST SUMATRA MINERALS</v>
          </cell>
        </row>
      </sheetData>
      <sheetData sheetId="1251">
        <row r="7">
          <cell r="E7" t="str">
            <v>PT NEWCREST SUMATRA MINERALS</v>
          </cell>
        </row>
      </sheetData>
      <sheetData sheetId="1252">
        <row r="7">
          <cell r="E7" t="str">
            <v>PT NEWCREST SUMATRA MINERALS</v>
          </cell>
        </row>
      </sheetData>
      <sheetData sheetId="1253">
        <row r="7">
          <cell r="E7" t="str">
            <v>PT NEWCREST SUMATRA MINERALS</v>
          </cell>
        </row>
      </sheetData>
      <sheetData sheetId="1254">
        <row r="7">
          <cell r="E7" t="str">
            <v>PT NEWCREST SUMATRA MINERALS</v>
          </cell>
        </row>
      </sheetData>
      <sheetData sheetId="1255">
        <row r="7">
          <cell r="E7" t="str">
            <v>PT NEWCREST SUMATRA MINERALS</v>
          </cell>
        </row>
      </sheetData>
      <sheetData sheetId="1256">
        <row r="7">
          <cell r="E7" t="str">
            <v>PT NEWCREST SUMATRA MINERALS</v>
          </cell>
        </row>
      </sheetData>
      <sheetData sheetId="1257">
        <row r="7">
          <cell r="E7" t="str">
            <v>PT NEWCREST SUMATRA MINERALS</v>
          </cell>
        </row>
      </sheetData>
      <sheetData sheetId="1258">
        <row r="7">
          <cell r="E7" t="str">
            <v>PT NEWCREST SUMATRA MINERALS</v>
          </cell>
        </row>
      </sheetData>
      <sheetData sheetId="1259">
        <row r="7">
          <cell r="E7" t="str">
            <v>PT NEWCREST SUMATRA MINERALS</v>
          </cell>
        </row>
      </sheetData>
      <sheetData sheetId="1260">
        <row r="7">
          <cell r="E7" t="str">
            <v>PT NEWCREST SUMATRA MINERALS</v>
          </cell>
        </row>
      </sheetData>
      <sheetData sheetId="1261">
        <row r="7">
          <cell r="E7" t="str">
            <v>PT NEWCREST SUMATRA MINERALS</v>
          </cell>
        </row>
      </sheetData>
      <sheetData sheetId="1262">
        <row r="7">
          <cell r="E7" t="str">
            <v>PT NEWCREST SUMATRA MINERALS</v>
          </cell>
        </row>
      </sheetData>
      <sheetData sheetId="1263">
        <row r="7">
          <cell r="E7" t="str">
            <v>PT NEWCREST SUMATRA MINERALS</v>
          </cell>
        </row>
      </sheetData>
      <sheetData sheetId="1264">
        <row r="7">
          <cell r="E7" t="str">
            <v>PT NEWCREST SUMATRA MINERALS</v>
          </cell>
        </row>
      </sheetData>
      <sheetData sheetId="1265">
        <row r="7">
          <cell r="E7" t="str">
            <v>PT NEWCREST SUMATRA MINERALS</v>
          </cell>
        </row>
      </sheetData>
      <sheetData sheetId="1266">
        <row r="7">
          <cell r="E7" t="str">
            <v>PT NEWCREST SUMATRA MINERALS</v>
          </cell>
        </row>
      </sheetData>
      <sheetData sheetId="1267">
        <row r="7">
          <cell r="E7" t="str">
            <v>PT NEWCREST SUMATRA MINERALS</v>
          </cell>
        </row>
      </sheetData>
      <sheetData sheetId="1268">
        <row r="7">
          <cell r="E7" t="str">
            <v>PT NEWCREST SUMATRA MINERALS</v>
          </cell>
        </row>
      </sheetData>
      <sheetData sheetId="1269">
        <row r="7">
          <cell r="E7" t="str">
            <v>PT NEWCREST SUMATRA MINERALS</v>
          </cell>
        </row>
      </sheetData>
      <sheetData sheetId="1270">
        <row r="7">
          <cell r="E7" t="str">
            <v>PT NEWCREST SUMATRA MINERALS</v>
          </cell>
        </row>
      </sheetData>
      <sheetData sheetId="1271">
        <row r="7">
          <cell r="E7" t="str">
            <v>PT NEWCREST SUMATRA MINERALS</v>
          </cell>
        </row>
      </sheetData>
      <sheetData sheetId="1272">
        <row r="7">
          <cell r="E7" t="str">
            <v>PT NEWCREST SUMATRA MINERALS</v>
          </cell>
        </row>
      </sheetData>
      <sheetData sheetId="1273">
        <row r="7">
          <cell r="E7" t="str">
            <v>PT NEWCREST SUMATRA MINERALS</v>
          </cell>
        </row>
      </sheetData>
      <sheetData sheetId="1274">
        <row r="7">
          <cell r="E7" t="str">
            <v>PT NEWCREST SUMATRA MINERALS</v>
          </cell>
        </row>
      </sheetData>
      <sheetData sheetId="1275">
        <row r="7">
          <cell r="E7" t="str">
            <v>PT NEWCREST SUMATRA MINERALS</v>
          </cell>
        </row>
      </sheetData>
      <sheetData sheetId="1276">
        <row r="7">
          <cell r="E7" t="str">
            <v>PT NEWCREST SUMATRA MINERALS</v>
          </cell>
        </row>
      </sheetData>
      <sheetData sheetId="1277">
        <row r="7">
          <cell r="E7" t="str">
            <v>PT NEWCREST SUMATRA MINERALS</v>
          </cell>
        </row>
      </sheetData>
      <sheetData sheetId="1278">
        <row r="7">
          <cell r="E7" t="str">
            <v>PT NEWCREST SUMATRA MINERALS</v>
          </cell>
        </row>
      </sheetData>
      <sheetData sheetId="1279">
        <row r="7">
          <cell r="E7" t="str">
            <v>PT NEWCREST SUMATRA MINERALS</v>
          </cell>
        </row>
      </sheetData>
      <sheetData sheetId="1280">
        <row r="7">
          <cell r="E7" t="str">
            <v>PT NEWCREST SUMATRA MINERALS</v>
          </cell>
        </row>
      </sheetData>
      <sheetData sheetId="1281">
        <row r="7">
          <cell r="E7" t="str">
            <v>PT NEWCREST SUMATRA MINERALS</v>
          </cell>
        </row>
      </sheetData>
      <sheetData sheetId="1282">
        <row r="7">
          <cell r="E7" t="str">
            <v>PT NEWCREST SUMATRA MINERALS</v>
          </cell>
        </row>
      </sheetData>
      <sheetData sheetId="1283">
        <row r="7">
          <cell r="E7" t="str">
            <v>PT NEWCREST SUMATRA MINERALS</v>
          </cell>
        </row>
      </sheetData>
      <sheetData sheetId="1284">
        <row r="7">
          <cell r="E7" t="str">
            <v>PT NEWCREST SUMATRA MINERALS</v>
          </cell>
        </row>
      </sheetData>
      <sheetData sheetId="1285">
        <row r="7">
          <cell r="E7" t="str">
            <v>PT NEWCREST SUMATRA MINERALS</v>
          </cell>
        </row>
      </sheetData>
      <sheetData sheetId="1286">
        <row r="7">
          <cell r="E7" t="str">
            <v>PT NEWCREST SUMATRA MINERALS</v>
          </cell>
        </row>
      </sheetData>
      <sheetData sheetId="1287">
        <row r="7">
          <cell r="E7" t="str">
            <v>PT NEWCREST SUMATRA MINERALS</v>
          </cell>
        </row>
      </sheetData>
      <sheetData sheetId="1288">
        <row r="7">
          <cell r="E7" t="str">
            <v>PT NEWCREST SUMATRA MINERALS</v>
          </cell>
        </row>
      </sheetData>
      <sheetData sheetId="1289">
        <row r="7">
          <cell r="E7" t="str">
            <v>PT NEWCREST SUMATRA MINERALS</v>
          </cell>
        </row>
      </sheetData>
      <sheetData sheetId="1290">
        <row r="7">
          <cell r="E7" t="str">
            <v>PT NEWCREST SUMATRA MINERALS</v>
          </cell>
        </row>
      </sheetData>
      <sheetData sheetId="1291">
        <row r="7">
          <cell r="E7" t="str">
            <v>PT NEWCREST SUMATRA MINERALS</v>
          </cell>
        </row>
      </sheetData>
      <sheetData sheetId="1292">
        <row r="7">
          <cell r="E7" t="str">
            <v>PT NEWCREST SUMATRA MINERALS</v>
          </cell>
        </row>
      </sheetData>
      <sheetData sheetId="1293">
        <row r="7">
          <cell r="E7" t="str">
            <v>PT NEWCREST SUMATRA MINERALS</v>
          </cell>
        </row>
      </sheetData>
      <sheetData sheetId="1294">
        <row r="7">
          <cell r="E7" t="str">
            <v>PT NEWCREST SUMATRA MINERALS</v>
          </cell>
        </row>
      </sheetData>
      <sheetData sheetId="1295">
        <row r="7">
          <cell r="E7" t="str">
            <v>PT NEWCREST SUMATRA MINERALS</v>
          </cell>
        </row>
      </sheetData>
      <sheetData sheetId="1296">
        <row r="7">
          <cell r="E7" t="str">
            <v>PT NEWCREST SUMATRA MINERALS</v>
          </cell>
        </row>
      </sheetData>
      <sheetData sheetId="1297">
        <row r="7">
          <cell r="E7" t="str">
            <v>PT NEWCREST SUMATRA MINERALS</v>
          </cell>
        </row>
      </sheetData>
      <sheetData sheetId="1298">
        <row r="7">
          <cell r="E7" t="str">
            <v>PT NEWCREST SUMATRA MINERALS</v>
          </cell>
        </row>
      </sheetData>
      <sheetData sheetId="1299">
        <row r="7">
          <cell r="E7" t="str">
            <v>PT NEWCREST SUMATRA MINERALS</v>
          </cell>
        </row>
      </sheetData>
      <sheetData sheetId="1300">
        <row r="7">
          <cell r="E7" t="str">
            <v>PT NEWCREST SUMATRA MINERALS</v>
          </cell>
        </row>
      </sheetData>
      <sheetData sheetId="1301">
        <row r="7">
          <cell r="E7" t="str">
            <v>PT NEWCREST SUMATRA MINERALS</v>
          </cell>
        </row>
      </sheetData>
      <sheetData sheetId="1302">
        <row r="7">
          <cell r="E7" t="str">
            <v>PT NEWCREST SUMATRA MINERALS</v>
          </cell>
        </row>
      </sheetData>
      <sheetData sheetId="1303">
        <row r="7">
          <cell r="E7" t="str">
            <v>PT NEWCREST SUMATRA MINERALS</v>
          </cell>
        </row>
      </sheetData>
      <sheetData sheetId="1304">
        <row r="7">
          <cell r="E7" t="str">
            <v>PT NEWCREST SUMATRA MINERALS</v>
          </cell>
        </row>
      </sheetData>
      <sheetData sheetId="1305">
        <row r="7">
          <cell r="E7" t="str">
            <v>PT NEWCREST SUMATRA MINERALS</v>
          </cell>
        </row>
      </sheetData>
      <sheetData sheetId="1306">
        <row r="7">
          <cell r="E7" t="str">
            <v>PT NEWCREST SUMATRA MINERALS</v>
          </cell>
        </row>
      </sheetData>
      <sheetData sheetId="1307">
        <row r="7">
          <cell r="E7" t="str">
            <v>PT NEWCREST SUMATRA MINERALS</v>
          </cell>
        </row>
      </sheetData>
      <sheetData sheetId="1308">
        <row r="7">
          <cell r="E7" t="str">
            <v>PT NEWCREST SUMATRA MINERALS</v>
          </cell>
        </row>
      </sheetData>
      <sheetData sheetId="1309">
        <row r="7">
          <cell r="E7" t="str">
            <v>PT NEWCREST SUMATRA MINERALS</v>
          </cell>
        </row>
      </sheetData>
      <sheetData sheetId="1310">
        <row r="7">
          <cell r="E7" t="str">
            <v>PT NEWCREST SUMATRA MINERALS</v>
          </cell>
        </row>
      </sheetData>
      <sheetData sheetId="1311">
        <row r="7">
          <cell r="E7" t="str">
            <v>PT NEWCREST SUMATRA MINERALS</v>
          </cell>
        </row>
      </sheetData>
      <sheetData sheetId="1312">
        <row r="7">
          <cell r="E7" t="str">
            <v>PT NEWCREST SUMATRA MINERALS</v>
          </cell>
        </row>
      </sheetData>
      <sheetData sheetId="1313">
        <row r="7">
          <cell r="E7" t="str">
            <v>PT NEWCREST SUMATRA MINERALS</v>
          </cell>
        </row>
      </sheetData>
      <sheetData sheetId="1314">
        <row r="7">
          <cell r="E7" t="str">
            <v>PT NEWCREST SUMATRA MINERALS</v>
          </cell>
        </row>
      </sheetData>
      <sheetData sheetId="1315">
        <row r="7">
          <cell r="E7" t="str">
            <v>PT NEWCREST SUMATRA MINERALS</v>
          </cell>
        </row>
      </sheetData>
      <sheetData sheetId="1316">
        <row r="7">
          <cell r="E7" t="str">
            <v>PT NEWCREST SUMATRA MINERALS</v>
          </cell>
        </row>
      </sheetData>
      <sheetData sheetId="1317">
        <row r="7">
          <cell r="E7" t="str">
            <v>PT NEWCREST SUMATRA MINERALS</v>
          </cell>
        </row>
      </sheetData>
      <sheetData sheetId="1318">
        <row r="7">
          <cell r="E7" t="str">
            <v>PT NEWCREST SUMATRA MINERALS</v>
          </cell>
        </row>
      </sheetData>
      <sheetData sheetId="1319">
        <row r="7">
          <cell r="E7" t="str">
            <v>PT NEWCREST SUMATRA MINERALS</v>
          </cell>
        </row>
      </sheetData>
      <sheetData sheetId="1320">
        <row r="7">
          <cell r="E7" t="str">
            <v>PT NEWCREST SUMATRA MINERALS</v>
          </cell>
        </row>
      </sheetData>
      <sheetData sheetId="1321">
        <row r="7">
          <cell r="E7" t="str">
            <v>PT NEWCREST SUMATRA MINERALS</v>
          </cell>
        </row>
      </sheetData>
      <sheetData sheetId="1322">
        <row r="7">
          <cell r="E7" t="str">
            <v>PT NEWCREST SUMATRA MINERALS</v>
          </cell>
        </row>
      </sheetData>
      <sheetData sheetId="1323">
        <row r="7">
          <cell r="E7" t="str">
            <v>PT NEWCREST SUMATRA MINERALS</v>
          </cell>
        </row>
      </sheetData>
      <sheetData sheetId="1324">
        <row r="7">
          <cell r="E7" t="str">
            <v>PT NEWCREST SUMATRA MINERALS</v>
          </cell>
        </row>
      </sheetData>
      <sheetData sheetId="1325">
        <row r="7">
          <cell r="E7" t="str">
            <v>PT NEWCREST SUMATRA MINERALS</v>
          </cell>
        </row>
      </sheetData>
      <sheetData sheetId="1326">
        <row r="7">
          <cell r="E7" t="str">
            <v>PT NEWCREST SUMATRA MINERALS</v>
          </cell>
        </row>
      </sheetData>
      <sheetData sheetId="1327">
        <row r="7">
          <cell r="E7" t="str">
            <v>PT NEWCREST SUMATRA MINERALS</v>
          </cell>
        </row>
      </sheetData>
      <sheetData sheetId="1328">
        <row r="7">
          <cell r="E7" t="str">
            <v>PT NEWCREST SUMATRA MINERALS</v>
          </cell>
        </row>
      </sheetData>
      <sheetData sheetId="1329">
        <row r="7">
          <cell r="E7" t="str">
            <v>PT NEWCREST SUMATRA MINERALS</v>
          </cell>
        </row>
      </sheetData>
      <sheetData sheetId="1330">
        <row r="7">
          <cell r="E7" t="str">
            <v>PT NEWCREST SUMATRA MINERALS</v>
          </cell>
        </row>
      </sheetData>
      <sheetData sheetId="1331">
        <row r="7">
          <cell r="E7" t="str">
            <v>PT NEWCREST SUMATRA MINERALS</v>
          </cell>
        </row>
      </sheetData>
      <sheetData sheetId="1332">
        <row r="7">
          <cell r="E7" t="str">
            <v>PT NEWCREST SUMATRA MINERALS</v>
          </cell>
        </row>
      </sheetData>
      <sheetData sheetId="1333">
        <row r="7">
          <cell r="E7" t="str">
            <v>PT NEWCREST SUMATRA MINERALS</v>
          </cell>
        </row>
      </sheetData>
      <sheetData sheetId="1334">
        <row r="7">
          <cell r="E7" t="str">
            <v>PT NEWCREST SUMATRA MINERALS</v>
          </cell>
        </row>
      </sheetData>
      <sheetData sheetId="1335">
        <row r="7">
          <cell r="E7" t="str">
            <v>PT NEWCREST SUMATRA MINERALS</v>
          </cell>
        </row>
      </sheetData>
      <sheetData sheetId="1336">
        <row r="7">
          <cell r="E7" t="str">
            <v>PT NEWCREST SUMATRA MINERALS</v>
          </cell>
        </row>
      </sheetData>
      <sheetData sheetId="1337">
        <row r="7">
          <cell r="E7" t="str">
            <v>PT NEWCREST SUMATRA MINERALS</v>
          </cell>
        </row>
      </sheetData>
      <sheetData sheetId="1338">
        <row r="7">
          <cell r="E7" t="str">
            <v>PT NEWCREST SUMATRA MINERALS</v>
          </cell>
        </row>
      </sheetData>
      <sheetData sheetId="1339">
        <row r="7">
          <cell r="E7" t="str">
            <v>PT NEWCREST SUMATRA MINERALS</v>
          </cell>
        </row>
      </sheetData>
      <sheetData sheetId="1340">
        <row r="7">
          <cell r="E7" t="str">
            <v>PT NEWCREST SUMATRA MINERALS</v>
          </cell>
        </row>
      </sheetData>
      <sheetData sheetId="1341">
        <row r="7">
          <cell r="E7" t="str">
            <v>PT NEWCREST SUMATRA MINERALS</v>
          </cell>
        </row>
      </sheetData>
      <sheetData sheetId="1342">
        <row r="7">
          <cell r="E7" t="str">
            <v>PT NEWCREST SUMATRA MINERALS</v>
          </cell>
        </row>
      </sheetData>
      <sheetData sheetId="1343">
        <row r="7">
          <cell r="E7" t="str">
            <v>PT NEWCREST SUMATRA MINERALS</v>
          </cell>
        </row>
      </sheetData>
      <sheetData sheetId="1344">
        <row r="7">
          <cell r="E7" t="str">
            <v>PT NEWCREST SUMATRA MINERALS</v>
          </cell>
        </row>
      </sheetData>
      <sheetData sheetId="1345">
        <row r="7">
          <cell r="E7" t="str">
            <v>PT NEWCREST SUMATRA MINERALS</v>
          </cell>
        </row>
      </sheetData>
      <sheetData sheetId="1346">
        <row r="7">
          <cell r="E7" t="str">
            <v>PT NEWCREST SUMATRA MINERALS</v>
          </cell>
        </row>
      </sheetData>
      <sheetData sheetId="1347">
        <row r="7">
          <cell r="E7" t="str">
            <v>PT NEWCREST SUMATRA MINERALS</v>
          </cell>
        </row>
      </sheetData>
      <sheetData sheetId="1348">
        <row r="7">
          <cell r="E7" t="str">
            <v>PT NEWCREST SUMATRA MINERALS</v>
          </cell>
        </row>
      </sheetData>
      <sheetData sheetId="1349">
        <row r="7">
          <cell r="E7" t="str">
            <v>PT NEWCREST SUMATRA MINERALS</v>
          </cell>
        </row>
      </sheetData>
      <sheetData sheetId="1350">
        <row r="7">
          <cell r="E7" t="str">
            <v>PT NEWCREST SUMATRA MINERALS</v>
          </cell>
        </row>
      </sheetData>
      <sheetData sheetId="1351">
        <row r="7">
          <cell r="E7" t="str">
            <v>PT NEWCREST SUMATRA MINERALS</v>
          </cell>
        </row>
      </sheetData>
      <sheetData sheetId="1352">
        <row r="7">
          <cell r="E7" t="str">
            <v>PT NEWCREST SUMATRA MINERALS</v>
          </cell>
        </row>
      </sheetData>
      <sheetData sheetId="1353">
        <row r="7">
          <cell r="E7" t="str">
            <v>PT NEWCREST SUMATRA MINERALS</v>
          </cell>
        </row>
      </sheetData>
      <sheetData sheetId="1354">
        <row r="7">
          <cell r="E7" t="str">
            <v>PT NEWCREST SUMATRA MINERALS</v>
          </cell>
        </row>
      </sheetData>
      <sheetData sheetId="1355">
        <row r="7">
          <cell r="E7" t="str">
            <v>PT NEWCREST SUMATRA MINERALS</v>
          </cell>
        </row>
      </sheetData>
      <sheetData sheetId="1356">
        <row r="7">
          <cell r="E7" t="str">
            <v>PT NEWCREST SUMATRA MINERALS</v>
          </cell>
        </row>
      </sheetData>
      <sheetData sheetId="1357">
        <row r="7">
          <cell r="E7" t="str">
            <v>PT NEWCREST SUMATRA MINERALS</v>
          </cell>
        </row>
      </sheetData>
      <sheetData sheetId="1358">
        <row r="7">
          <cell r="E7" t="str">
            <v>PT NEWCREST SUMATRA MINERALS</v>
          </cell>
        </row>
      </sheetData>
      <sheetData sheetId="1359">
        <row r="7">
          <cell r="E7" t="str">
            <v>PT NEWCREST SUMATRA MINERALS</v>
          </cell>
        </row>
      </sheetData>
      <sheetData sheetId="1360">
        <row r="7">
          <cell r="E7" t="str">
            <v>PT NEWCREST SUMATRA MINERALS</v>
          </cell>
        </row>
      </sheetData>
      <sheetData sheetId="1361">
        <row r="7">
          <cell r="E7" t="str">
            <v>PT NEWCREST SUMATRA MINERALS</v>
          </cell>
        </row>
      </sheetData>
      <sheetData sheetId="1362">
        <row r="7">
          <cell r="E7" t="str">
            <v>PT NEWCREST SUMATRA MINERALS</v>
          </cell>
        </row>
      </sheetData>
      <sheetData sheetId="1363">
        <row r="7">
          <cell r="E7" t="str">
            <v>PT NEWCREST SUMATRA MINERALS</v>
          </cell>
        </row>
      </sheetData>
      <sheetData sheetId="1364">
        <row r="7">
          <cell r="E7" t="str">
            <v>PT NEWCREST SUMATRA MINERALS</v>
          </cell>
        </row>
      </sheetData>
      <sheetData sheetId="1365">
        <row r="7">
          <cell r="E7" t="str">
            <v>PT NEWCREST SUMATRA MINERALS</v>
          </cell>
        </row>
      </sheetData>
      <sheetData sheetId="1366">
        <row r="7">
          <cell r="E7" t="str">
            <v>PT NEWCREST SUMATRA MINERALS</v>
          </cell>
        </row>
      </sheetData>
      <sheetData sheetId="1367">
        <row r="7">
          <cell r="E7" t="str">
            <v>PT NEWCREST SUMATRA MINERALS</v>
          </cell>
        </row>
      </sheetData>
      <sheetData sheetId="1368">
        <row r="7">
          <cell r="E7" t="str">
            <v>PT NEWCREST SUMATRA MINERALS</v>
          </cell>
        </row>
      </sheetData>
      <sheetData sheetId="1369">
        <row r="7">
          <cell r="E7" t="str">
            <v>PT NEWCREST SUMATRA MINERALS</v>
          </cell>
        </row>
      </sheetData>
      <sheetData sheetId="1370">
        <row r="7">
          <cell r="E7" t="str">
            <v>PT NEWCREST SUMATRA MINERALS</v>
          </cell>
        </row>
      </sheetData>
      <sheetData sheetId="1371">
        <row r="7">
          <cell r="E7" t="str">
            <v>PT NEWCREST SUMATRA MINERALS</v>
          </cell>
        </row>
      </sheetData>
      <sheetData sheetId="1372">
        <row r="7">
          <cell r="E7" t="str">
            <v>PT NEWCREST SUMATRA MINERALS</v>
          </cell>
        </row>
      </sheetData>
      <sheetData sheetId="1373">
        <row r="7">
          <cell r="E7" t="str">
            <v>PT NEWCREST SUMATRA MINERALS</v>
          </cell>
        </row>
      </sheetData>
      <sheetData sheetId="1374">
        <row r="7">
          <cell r="E7" t="str">
            <v>PT NEWCREST SUMATRA MINERALS</v>
          </cell>
        </row>
      </sheetData>
      <sheetData sheetId="1375">
        <row r="7">
          <cell r="E7" t="str">
            <v>PT NEWCREST SUMATRA MINERALS</v>
          </cell>
        </row>
      </sheetData>
      <sheetData sheetId="1376">
        <row r="7">
          <cell r="E7" t="str">
            <v>PT NEWCREST SUMATRA MINERALS</v>
          </cell>
        </row>
      </sheetData>
      <sheetData sheetId="1377">
        <row r="7">
          <cell r="E7" t="str">
            <v>PT NEWCREST SUMATRA MINERALS</v>
          </cell>
        </row>
      </sheetData>
      <sheetData sheetId="1378">
        <row r="7">
          <cell r="E7" t="str">
            <v>PT NEWCREST SUMATRA MINERALS</v>
          </cell>
        </row>
      </sheetData>
      <sheetData sheetId="1379">
        <row r="7">
          <cell r="E7" t="str">
            <v>PT NEWCREST SUMATRA MINERALS</v>
          </cell>
        </row>
      </sheetData>
      <sheetData sheetId="1380">
        <row r="7">
          <cell r="E7" t="str">
            <v>PT NEWCREST SUMATRA MINERALS</v>
          </cell>
        </row>
      </sheetData>
      <sheetData sheetId="1381">
        <row r="7">
          <cell r="E7" t="str">
            <v>PT NEWCREST SUMATRA MINERALS</v>
          </cell>
        </row>
      </sheetData>
      <sheetData sheetId="1382">
        <row r="7">
          <cell r="E7" t="str">
            <v>PT NEWCREST SUMATRA MINERALS</v>
          </cell>
        </row>
      </sheetData>
      <sheetData sheetId="1383">
        <row r="7">
          <cell r="E7" t="str">
            <v>PT NEWCREST SUMATRA MINERALS</v>
          </cell>
        </row>
      </sheetData>
      <sheetData sheetId="1384">
        <row r="7">
          <cell r="E7" t="str">
            <v>PT NEWCREST SUMATRA MINERALS</v>
          </cell>
        </row>
      </sheetData>
      <sheetData sheetId="1385">
        <row r="7">
          <cell r="E7" t="str">
            <v>PT NEWCREST SUMATRA MINERALS</v>
          </cell>
        </row>
      </sheetData>
      <sheetData sheetId="1386">
        <row r="7">
          <cell r="E7" t="str">
            <v>PT NEWCREST SUMATRA MINERALS</v>
          </cell>
        </row>
      </sheetData>
      <sheetData sheetId="1387">
        <row r="7">
          <cell r="E7" t="str">
            <v>PT NEWCREST SUMATRA MINERALS</v>
          </cell>
        </row>
      </sheetData>
      <sheetData sheetId="1388">
        <row r="7">
          <cell r="E7" t="str">
            <v>PT NEWCREST SUMATRA MINERALS</v>
          </cell>
        </row>
      </sheetData>
      <sheetData sheetId="1389">
        <row r="7">
          <cell r="E7" t="str">
            <v>PT NEWCREST SUMATRA MINERALS</v>
          </cell>
        </row>
      </sheetData>
      <sheetData sheetId="1390">
        <row r="7">
          <cell r="E7" t="str">
            <v>PT NEWCREST SUMATRA MINERALS</v>
          </cell>
        </row>
      </sheetData>
      <sheetData sheetId="1391">
        <row r="7">
          <cell r="E7" t="str">
            <v>PT NEWCREST SUMATRA MINERALS</v>
          </cell>
        </row>
      </sheetData>
      <sheetData sheetId="1392">
        <row r="7">
          <cell r="E7" t="str">
            <v>PT NEWCREST SUMATRA MINERALS</v>
          </cell>
        </row>
      </sheetData>
      <sheetData sheetId="1393">
        <row r="7">
          <cell r="E7" t="str">
            <v>PT NEWCREST SUMATRA MINERALS</v>
          </cell>
        </row>
      </sheetData>
      <sheetData sheetId="1394">
        <row r="7">
          <cell r="E7" t="str">
            <v>PT NEWCREST SUMATRA MINERALS</v>
          </cell>
        </row>
      </sheetData>
      <sheetData sheetId="1395">
        <row r="7">
          <cell r="E7" t="str">
            <v>PT NEWCREST SUMATRA MINERALS</v>
          </cell>
        </row>
      </sheetData>
      <sheetData sheetId="1396">
        <row r="7">
          <cell r="E7" t="str">
            <v>PT NEWCREST SUMATRA MINERALS</v>
          </cell>
        </row>
      </sheetData>
      <sheetData sheetId="1397">
        <row r="7">
          <cell r="E7" t="str">
            <v>PT NEWCREST SUMATRA MINERALS</v>
          </cell>
        </row>
      </sheetData>
      <sheetData sheetId="1398">
        <row r="7">
          <cell r="E7" t="str">
            <v>PT NEWCREST SUMATRA MINERALS</v>
          </cell>
        </row>
      </sheetData>
      <sheetData sheetId="1399">
        <row r="7">
          <cell r="E7" t="str">
            <v>PT NEWCREST SUMATRA MINERALS</v>
          </cell>
        </row>
      </sheetData>
      <sheetData sheetId="1400">
        <row r="7">
          <cell r="E7" t="str">
            <v>PT NEWCREST SUMATRA MINERALS</v>
          </cell>
        </row>
      </sheetData>
      <sheetData sheetId="1401">
        <row r="7">
          <cell r="E7" t="str">
            <v>PT NEWCREST SUMATRA MINERALS</v>
          </cell>
        </row>
      </sheetData>
      <sheetData sheetId="1402">
        <row r="7">
          <cell r="E7" t="str">
            <v>PT NEWCREST SUMATRA MINERALS</v>
          </cell>
        </row>
      </sheetData>
      <sheetData sheetId="1403">
        <row r="7">
          <cell r="E7" t="str">
            <v>PT NEWCREST SUMATRA MINERALS</v>
          </cell>
        </row>
      </sheetData>
      <sheetData sheetId="1404">
        <row r="7">
          <cell r="E7" t="str">
            <v>PT NEWCREST SUMATRA MINERALS</v>
          </cell>
        </row>
      </sheetData>
      <sheetData sheetId="1405">
        <row r="7">
          <cell r="E7" t="str">
            <v>PT NEWCREST SUMATRA MINERALS</v>
          </cell>
        </row>
      </sheetData>
      <sheetData sheetId="1406">
        <row r="7">
          <cell r="E7" t="str">
            <v>PT NEWCREST SUMATRA MINERALS</v>
          </cell>
        </row>
      </sheetData>
      <sheetData sheetId="1407">
        <row r="7">
          <cell r="E7" t="str">
            <v>PT NEWCREST SUMATRA MINERALS</v>
          </cell>
        </row>
      </sheetData>
      <sheetData sheetId="1408">
        <row r="7">
          <cell r="E7" t="str">
            <v>PT NEWCREST SUMATRA MINERALS</v>
          </cell>
        </row>
      </sheetData>
      <sheetData sheetId="1409">
        <row r="7">
          <cell r="E7" t="str">
            <v>PT NEWCREST SUMATRA MINERALS</v>
          </cell>
        </row>
      </sheetData>
      <sheetData sheetId="1410">
        <row r="7">
          <cell r="E7" t="str">
            <v>PT NEWCREST SUMATRA MINERALS</v>
          </cell>
        </row>
      </sheetData>
      <sheetData sheetId="1411">
        <row r="7">
          <cell r="E7" t="str">
            <v>PT NEWCREST SUMATRA MINERALS</v>
          </cell>
        </row>
      </sheetData>
      <sheetData sheetId="1412">
        <row r="7">
          <cell r="E7" t="str">
            <v>PT NEWCREST SUMATRA MINERALS</v>
          </cell>
        </row>
      </sheetData>
      <sheetData sheetId="1413">
        <row r="7">
          <cell r="E7" t="str">
            <v>PT NEWCREST SUMATRA MINERALS</v>
          </cell>
        </row>
      </sheetData>
      <sheetData sheetId="1414">
        <row r="7">
          <cell r="E7" t="str">
            <v>PT NEWCREST SUMATRA MINERALS</v>
          </cell>
        </row>
      </sheetData>
      <sheetData sheetId="1415">
        <row r="7">
          <cell r="E7" t="str">
            <v>PT NEWCREST SUMATRA MINERALS</v>
          </cell>
        </row>
      </sheetData>
      <sheetData sheetId="1416">
        <row r="7">
          <cell r="E7" t="str">
            <v>PT NEWCREST SUMATRA MINERALS</v>
          </cell>
        </row>
      </sheetData>
      <sheetData sheetId="1417">
        <row r="7">
          <cell r="E7" t="str">
            <v>PT NEWCREST SUMATRA MINERALS</v>
          </cell>
        </row>
      </sheetData>
      <sheetData sheetId="1418">
        <row r="7">
          <cell r="E7" t="str">
            <v>PT NEWCREST SUMATRA MINERALS</v>
          </cell>
        </row>
      </sheetData>
      <sheetData sheetId="1419">
        <row r="7">
          <cell r="E7" t="str">
            <v>PT NEWCREST SUMATRA MINERALS</v>
          </cell>
        </row>
      </sheetData>
      <sheetData sheetId="1420">
        <row r="7">
          <cell r="E7" t="str">
            <v>PT NEWCREST SUMATRA MINERALS</v>
          </cell>
        </row>
      </sheetData>
      <sheetData sheetId="1421">
        <row r="7">
          <cell r="E7" t="str">
            <v>PT NEWCREST SUMATRA MINERALS</v>
          </cell>
        </row>
      </sheetData>
      <sheetData sheetId="1422">
        <row r="7">
          <cell r="E7" t="str">
            <v>PT NEWCREST SUMATRA MINERALS</v>
          </cell>
        </row>
      </sheetData>
      <sheetData sheetId="1423">
        <row r="7">
          <cell r="E7" t="str">
            <v>PT NEWCREST SUMATRA MINERALS</v>
          </cell>
        </row>
      </sheetData>
      <sheetData sheetId="1424">
        <row r="7">
          <cell r="E7" t="str">
            <v>PT NEWCREST SUMATRA MINERALS</v>
          </cell>
        </row>
      </sheetData>
      <sheetData sheetId="1425">
        <row r="7">
          <cell r="E7" t="str">
            <v>PT NEWCREST SUMATRA MINERALS</v>
          </cell>
        </row>
      </sheetData>
      <sheetData sheetId="1426">
        <row r="7">
          <cell r="E7" t="str">
            <v>PT NEWCREST SUMATRA MINERALS</v>
          </cell>
        </row>
      </sheetData>
      <sheetData sheetId="1427">
        <row r="7">
          <cell r="E7" t="str">
            <v>PT NEWCREST SUMATRA MINERALS</v>
          </cell>
        </row>
      </sheetData>
      <sheetData sheetId="1428">
        <row r="7">
          <cell r="E7" t="str">
            <v>PT NEWCREST SUMATRA MINERALS</v>
          </cell>
        </row>
      </sheetData>
      <sheetData sheetId="1429">
        <row r="7">
          <cell r="E7" t="str">
            <v>PT NEWCREST SUMATRA MINERALS</v>
          </cell>
        </row>
      </sheetData>
      <sheetData sheetId="1430">
        <row r="7">
          <cell r="E7" t="str">
            <v>PT NEWCREST SUMATRA MINERALS</v>
          </cell>
        </row>
      </sheetData>
      <sheetData sheetId="1431">
        <row r="7">
          <cell r="E7" t="str">
            <v>PT NEWCREST SUMATRA MINERALS</v>
          </cell>
        </row>
      </sheetData>
      <sheetData sheetId="1432">
        <row r="7">
          <cell r="E7" t="str">
            <v>PT NEWCREST SUMATRA MINERALS</v>
          </cell>
        </row>
      </sheetData>
      <sheetData sheetId="1433">
        <row r="7">
          <cell r="E7" t="str">
            <v>PT NEWCREST SUMATRA MINERALS</v>
          </cell>
        </row>
      </sheetData>
      <sheetData sheetId="1434">
        <row r="7">
          <cell r="E7" t="str">
            <v>PT NEWCREST SUMATRA MINERALS</v>
          </cell>
        </row>
      </sheetData>
      <sheetData sheetId="1435">
        <row r="7">
          <cell r="E7" t="str">
            <v>PT NEWCREST SUMATRA MINERALS</v>
          </cell>
        </row>
      </sheetData>
      <sheetData sheetId="1436">
        <row r="7">
          <cell r="E7" t="str">
            <v>PT NEWCREST SUMATRA MINERALS</v>
          </cell>
        </row>
      </sheetData>
      <sheetData sheetId="1437">
        <row r="7">
          <cell r="E7" t="str">
            <v>PT NEWCREST SUMATRA MINERALS</v>
          </cell>
        </row>
      </sheetData>
      <sheetData sheetId="1438">
        <row r="7">
          <cell r="E7" t="str">
            <v>PT NEWCREST SUMATRA MINERALS</v>
          </cell>
        </row>
      </sheetData>
      <sheetData sheetId="1439">
        <row r="7">
          <cell r="E7" t="str">
            <v>PT NEWCREST SUMATRA MINERALS</v>
          </cell>
        </row>
      </sheetData>
      <sheetData sheetId="1440">
        <row r="7">
          <cell r="E7" t="str">
            <v>PT NEWCREST SUMATRA MINERALS</v>
          </cell>
        </row>
      </sheetData>
      <sheetData sheetId="1441">
        <row r="7">
          <cell r="E7" t="str">
            <v>PT NEWCREST SUMATRA MINERALS</v>
          </cell>
        </row>
      </sheetData>
      <sheetData sheetId="1442">
        <row r="7">
          <cell r="E7" t="str">
            <v>PT NEWCREST SUMATRA MINERALS</v>
          </cell>
        </row>
      </sheetData>
      <sheetData sheetId="1443">
        <row r="7">
          <cell r="E7" t="str">
            <v>PT NEWCREST SUMATRA MINERALS</v>
          </cell>
        </row>
      </sheetData>
      <sheetData sheetId="1444">
        <row r="7">
          <cell r="E7" t="str">
            <v>PT NEWCREST SUMATRA MINERALS</v>
          </cell>
        </row>
      </sheetData>
      <sheetData sheetId="1445">
        <row r="7">
          <cell r="E7" t="str">
            <v>PT NEWCREST SUMATRA MINERALS</v>
          </cell>
        </row>
      </sheetData>
      <sheetData sheetId="1446">
        <row r="7">
          <cell r="E7" t="str">
            <v>PT NEWCREST SUMATRA MINERALS</v>
          </cell>
        </row>
      </sheetData>
      <sheetData sheetId="1447">
        <row r="7">
          <cell r="E7" t="str">
            <v>PT NEWCREST SUMATRA MINERALS</v>
          </cell>
        </row>
      </sheetData>
      <sheetData sheetId="1448">
        <row r="7">
          <cell r="E7" t="str">
            <v>PT NEWCREST SUMATRA MINERALS</v>
          </cell>
        </row>
      </sheetData>
      <sheetData sheetId="1449">
        <row r="7">
          <cell r="E7" t="str">
            <v>PT NEWCREST SUMATRA MINERALS</v>
          </cell>
        </row>
      </sheetData>
      <sheetData sheetId="1450">
        <row r="7">
          <cell r="E7" t="str">
            <v>PT NEWCREST SUMATRA MINERALS</v>
          </cell>
        </row>
      </sheetData>
      <sheetData sheetId="1451">
        <row r="7">
          <cell r="E7" t="str">
            <v>PT NEWCREST SUMATRA MINERALS</v>
          </cell>
        </row>
      </sheetData>
      <sheetData sheetId="1452">
        <row r="7">
          <cell r="E7" t="str">
            <v>PT NEWCREST SUMATRA MINERALS</v>
          </cell>
        </row>
      </sheetData>
      <sheetData sheetId="1453">
        <row r="7">
          <cell r="E7" t="str">
            <v>PT NEWCREST SUMATRA MINERALS</v>
          </cell>
        </row>
      </sheetData>
      <sheetData sheetId="1454">
        <row r="7">
          <cell r="E7" t="str">
            <v>PT NEWCREST SUMATRA MINERALS</v>
          </cell>
        </row>
      </sheetData>
      <sheetData sheetId="1455">
        <row r="7">
          <cell r="E7" t="str">
            <v>PT NEWCREST SUMATRA MINERALS</v>
          </cell>
        </row>
      </sheetData>
      <sheetData sheetId="1456">
        <row r="7">
          <cell r="E7" t="str">
            <v>PT NEWCREST SUMATRA MINERALS</v>
          </cell>
        </row>
      </sheetData>
      <sheetData sheetId="1457">
        <row r="7">
          <cell r="E7" t="str">
            <v>PT NEWCREST SUMATRA MINERALS</v>
          </cell>
        </row>
      </sheetData>
      <sheetData sheetId="1458">
        <row r="7">
          <cell r="E7" t="str">
            <v>PT NEWCREST SUMATRA MINERALS</v>
          </cell>
        </row>
      </sheetData>
      <sheetData sheetId="1459">
        <row r="7">
          <cell r="E7" t="str">
            <v>PT NEWCREST SUMATRA MINERALS</v>
          </cell>
        </row>
      </sheetData>
      <sheetData sheetId="1460">
        <row r="7">
          <cell r="E7" t="str">
            <v>PT NEWCREST SUMATRA MINERALS</v>
          </cell>
        </row>
      </sheetData>
      <sheetData sheetId="1461">
        <row r="7">
          <cell r="E7" t="str">
            <v>PT NEWCREST SUMATRA MINERALS</v>
          </cell>
        </row>
      </sheetData>
      <sheetData sheetId="1462">
        <row r="7">
          <cell r="E7" t="str">
            <v>PT NEWCREST SUMATRA MINERALS</v>
          </cell>
        </row>
      </sheetData>
      <sheetData sheetId="1463">
        <row r="7">
          <cell r="E7" t="str">
            <v>PT NEWCREST SUMATRA MINERALS</v>
          </cell>
        </row>
      </sheetData>
      <sheetData sheetId="1464">
        <row r="7">
          <cell r="E7" t="str">
            <v>PT NEWCREST SUMATRA MINERALS</v>
          </cell>
        </row>
      </sheetData>
      <sheetData sheetId="1465">
        <row r="7">
          <cell r="E7" t="str">
            <v>PT NEWCREST SUMATRA MINERALS</v>
          </cell>
        </row>
      </sheetData>
      <sheetData sheetId="1466">
        <row r="7">
          <cell r="E7" t="str">
            <v>PT NEWCREST SUMATRA MINERALS</v>
          </cell>
        </row>
      </sheetData>
      <sheetData sheetId="1467">
        <row r="7">
          <cell r="E7" t="str">
            <v>PT NEWCREST SUMATRA MINERALS</v>
          </cell>
        </row>
      </sheetData>
      <sheetData sheetId="1468">
        <row r="7">
          <cell r="E7" t="str">
            <v>PT NEWCREST SUMATRA MINERALS</v>
          </cell>
        </row>
      </sheetData>
      <sheetData sheetId="1469">
        <row r="7">
          <cell r="E7" t="str">
            <v>PT NEWCREST SUMATRA MINERALS</v>
          </cell>
        </row>
      </sheetData>
      <sheetData sheetId="1470">
        <row r="7">
          <cell r="E7" t="str">
            <v>PT NEWCREST SUMATRA MINERALS</v>
          </cell>
        </row>
      </sheetData>
      <sheetData sheetId="1471">
        <row r="7">
          <cell r="E7" t="str">
            <v>PT NEWCREST SUMATRA MINERALS</v>
          </cell>
        </row>
      </sheetData>
      <sheetData sheetId="1472">
        <row r="7">
          <cell r="E7" t="str">
            <v>PT NEWCREST SUMATRA MINERALS</v>
          </cell>
        </row>
      </sheetData>
      <sheetData sheetId="1473">
        <row r="7">
          <cell r="E7" t="str">
            <v>PT NEWCREST SUMATRA MINERALS</v>
          </cell>
        </row>
      </sheetData>
      <sheetData sheetId="1474">
        <row r="7">
          <cell r="E7" t="str">
            <v>PT NEWCREST SUMATRA MINERALS</v>
          </cell>
        </row>
      </sheetData>
      <sheetData sheetId="1475">
        <row r="7">
          <cell r="E7" t="str">
            <v>PT NEWCREST SUMATRA MINERALS</v>
          </cell>
        </row>
      </sheetData>
      <sheetData sheetId="1476">
        <row r="7">
          <cell r="E7" t="str">
            <v>PT NEWCREST SUMATRA MINERALS</v>
          </cell>
        </row>
      </sheetData>
      <sheetData sheetId="1477">
        <row r="7">
          <cell r="E7" t="str">
            <v>PT NEWCREST SUMATRA MINERALS</v>
          </cell>
        </row>
      </sheetData>
      <sheetData sheetId="1478">
        <row r="7">
          <cell r="E7" t="str">
            <v>PT NEWCREST SUMATRA MINERALS</v>
          </cell>
        </row>
      </sheetData>
      <sheetData sheetId="1479">
        <row r="7">
          <cell r="E7" t="str">
            <v>PT NEWCREST SUMATRA MINERALS</v>
          </cell>
        </row>
      </sheetData>
      <sheetData sheetId="1480">
        <row r="7">
          <cell r="E7" t="str">
            <v>PT NEWCREST SUMATRA MINERALS</v>
          </cell>
        </row>
      </sheetData>
      <sheetData sheetId="1481">
        <row r="7">
          <cell r="E7" t="str">
            <v>PT NEWCREST SUMATRA MINERALS</v>
          </cell>
        </row>
      </sheetData>
      <sheetData sheetId="1482">
        <row r="7">
          <cell r="E7" t="str">
            <v>PT NEWCREST SUMATRA MINERALS</v>
          </cell>
        </row>
      </sheetData>
      <sheetData sheetId="1483">
        <row r="7">
          <cell r="E7" t="str">
            <v>PT NEWCREST SUMATRA MINERALS</v>
          </cell>
        </row>
      </sheetData>
      <sheetData sheetId="1484">
        <row r="7">
          <cell r="E7" t="str">
            <v>PT NEWCREST SUMATRA MINERALS</v>
          </cell>
        </row>
      </sheetData>
      <sheetData sheetId="1485">
        <row r="7">
          <cell r="E7" t="str">
            <v>PT NEWCREST SUMATRA MINERALS</v>
          </cell>
        </row>
      </sheetData>
      <sheetData sheetId="1486">
        <row r="7">
          <cell r="E7" t="str">
            <v>PT NEWCREST SUMATRA MINERALS</v>
          </cell>
        </row>
      </sheetData>
      <sheetData sheetId="1487">
        <row r="7">
          <cell r="E7" t="str">
            <v>PT NEWCREST SUMATRA MINERALS</v>
          </cell>
        </row>
      </sheetData>
      <sheetData sheetId="1488">
        <row r="7">
          <cell r="E7" t="str">
            <v>PT NEWCREST SUMATRA MINERALS</v>
          </cell>
        </row>
      </sheetData>
      <sheetData sheetId="1489">
        <row r="7">
          <cell r="E7" t="str">
            <v>PT NEWCREST SUMATRA MINERALS</v>
          </cell>
        </row>
      </sheetData>
      <sheetData sheetId="1490">
        <row r="7">
          <cell r="E7" t="str">
            <v>PT NEWCREST SUMATRA MINERALS</v>
          </cell>
        </row>
      </sheetData>
      <sheetData sheetId="1491">
        <row r="7">
          <cell r="E7" t="str">
            <v>PT NEWCREST SUMATRA MINERALS</v>
          </cell>
        </row>
      </sheetData>
      <sheetData sheetId="1492">
        <row r="7">
          <cell r="E7" t="str">
            <v>PT NEWCREST SUMATRA MINERALS</v>
          </cell>
        </row>
      </sheetData>
      <sheetData sheetId="1493">
        <row r="7">
          <cell r="E7" t="str">
            <v>PT NEWCREST SUMATRA MINERALS</v>
          </cell>
        </row>
      </sheetData>
      <sheetData sheetId="1494">
        <row r="7">
          <cell r="E7" t="str">
            <v>PT NEWCREST SUMATRA MINERALS</v>
          </cell>
        </row>
      </sheetData>
      <sheetData sheetId="1495">
        <row r="7">
          <cell r="E7" t="str">
            <v>PT NEWCREST SUMATRA MINERALS</v>
          </cell>
        </row>
      </sheetData>
      <sheetData sheetId="1496">
        <row r="7">
          <cell r="E7" t="str">
            <v>PT NEWCREST SUMATRA MINERALS</v>
          </cell>
        </row>
      </sheetData>
      <sheetData sheetId="1497">
        <row r="7">
          <cell r="E7" t="str">
            <v>PT NEWCREST SUMATRA MINERALS</v>
          </cell>
        </row>
      </sheetData>
      <sheetData sheetId="1498">
        <row r="7">
          <cell r="E7" t="str">
            <v>PT NEWCREST SUMATRA MINERALS</v>
          </cell>
        </row>
      </sheetData>
      <sheetData sheetId="1499">
        <row r="7">
          <cell r="E7" t="str">
            <v>PT NEWCREST SUMATRA MINERALS</v>
          </cell>
        </row>
      </sheetData>
      <sheetData sheetId="1500">
        <row r="7">
          <cell r="E7" t="str">
            <v>PT NEWCREST SUMATRA MINERALS</v>
          </cell>
        </row>
      </sheetData>
      <sheetData sheetId="1501">
        <row r="7">
          <cell r="E7" t="str">
            <v>PT NEWCREST SUMATRA MINERALS</v>
          </cell>
        </row>
      </sheetData>
      <sheetData sheetId="1502">
        <row r="7">
          <cell r="E7" t="str">
            <v>PT NEWCREST SUMATRA MINERALS</v>
          </cell>
        </row>
      </sheetData>
      <sheetData sheetId="1503">
        <row r="7">
          <cell r="E7" t="str">
            <v>PT NEWCREST SUMATRA MINERALS</v>
          </cell>
        </row>
      </sheetData>
      <sheetData sheetId="1504">
        <row r="7">
          <cell r="E7" t="str">
            <v>PT NEWCREST SUMATRA MINERALS</v>
          </cell>
        </row>
      </sheetData>
      <sheetData sheetId="1505">
        <row r="7">
          <cell r="E7" t="str">
            <v>PT NEWCREST SUMATRA MINERALS</v>
          </cell>
        </row>
      </sheetData>
      <sheetData sheetId="1506">
        <row r="7">
          <cell r="E7" t="str">
            <v>PT NEWCREST SUMATRA MINERALS</v>
          </cell>
        </row>
      </sheetData>
      <sheetData sheetId="1507">
        <row r="7">
          <cell r="E7" t="str">
            <v>PT NEWCREST SUMATRA MINERALS</v>
          </cell>
        </row>
      </sheetData>
      <sheetData sheetId="1508">
        <row r="7">
          <cell r="E7" t="str">
            <v>PT NEWCREST SUMATRA MINERALS</v>
          </cell>
        </row>
      </sheetData>
      <sheetData sheetId="1509">
        <row r="7">
          <cell r="E7" t="str">
            <v>PT NEWCREST SUMATRA MINERALS</v>
          </cell>
        </row>
      </sheetData>
      <sheetData sheetId="1510">
        <row r="7">
          <cell r="E7" t="str">
            <v>PT NEWCREST SUMATRA MINERALS</v>
          </cell>
        </row>
      </sheetData>
      <sheetData sheetId="1511">
        <row r="7">
          <cell r="E7" t="str">
            <v>PT NEWCREST SUMATRA MINERALS</v>
          </cell>
        </row>
      </sheetData>
      <sheetData sheetId="1512">
        <row r="7">
          <cell r="E7" t="str">
            <v>PT NEWCREST SUMATRA MINERALS</v>
          </cell>
        </row>
      </sheetData>
      <sheetData sheetId="1513">
        <row r="7">
          <cell r="E7" t="str">
            <v>PT NEWCREST SUMATRA MINERALS</v>
          </cell>
        </row>
      </sheetData>
      <sheetData sheetId="1514">
        <row r="7">
          <cell r="E7" t="str">
            <v>PT NEWCREST SUMATRA MINERALS</v>
          </cell>
        </row>
      </sheetData>
      <sheetData sheetId="1515">
        <row r="7">
          <cell r="E7" t="str">
            <v>PT NEWCREST SUMATRA MINERALS</v>
          </cell>
        </row>
      </sheetData>
      <sheetData sheetId="1516">
        <row r="7">
          <cell r="E7" t="str">
            <v>PT NEWCREST SUMATRA MINERALS</v>
          </cell>
        </row>
      </sheetData>
      <sheetData sheetId="1517">
        <row r="7">
          <cell r="E7" t="str">
            <v>PT NEWCREST SUMATRA MINERALS</v>
          </cell>
        </row>
      </sheetData>
      <sheetData sheetId="1518">
        <row r="7">
          <cell r="E7" t="str">
            <v>PT NEWCREST SUMATRA MINERALS</v>
          </cell>
        </row>
      </sheetData>
      <sheetData sheetId="1519">
        <row r="7">
          <cell r="E7" t="str">
            <v>PT NEWCREST SUMATRA MINERALS</v>
          </cell>
        </row>
      </sheetData>
      <sheetData sheetId="1520">
        <row r="7">
          <cell r="E7" t="str">
            <v>PT NEWCREST SUMATRA MINERALS</v>
          </cell>
        </row>
      </sheetData>
      <sheetData sheetId="1521">
        <row r="7">
          <cell r="E7" t="str">
            <v>PT NEWCREST SUMATRA MINERALS</v>
          </cell>
        </row>
      </sheetData>
      <sheetData sheetId="1522">
        <row r="7">
          <cell r="E7" t="str">
            <v>PT NEWCREST SUMATRA MINERALS</v>
          </cell>
        </row>
      </sheetData>
      <sheetData sheetId="1523">
        <row r="7">
          <cell r="E7" t="str">
            <v>PT NEWCREST SUMATRA MINERALS</v>
          </cell>
        </row>
      </sheetData>
      <sheetData sheetId="1524">
        <row r="7">
          <cell r="E7" t="str">
            <v>PT NEWCREST SUMATRA MINERALS</v>
          </cell>
        </row>
      </sheetData>
      <sheetData sheetId="1525">
        <row r="7">
          <cell r="E7" t="str">
            <v>PT NEWCREST SUMATRA MINERALS</v>
          </cell>
        </row>
      </sheetData>
      <sheetData sheetId="1526">
        <row r="7">
          <cell r="E7" t="str">
            <v>PT NEWCREST SUMATRA MINERALS</v>
          </cell>
        </row>
      </sheetData>
      <sheetData sheetId="1527">
        <row r="7">
          <cell r="E7" t="str">
            <v>PT NEWCREST SUMATRA MINERALS</v>
          </cell>
        </row>
      </sheetData>
      <sheetData sheetId="1528">
        <row r="7">
          <cell r="E7" t="str">
            <v>PT NEWCREST SUMATRA MINERALS</v>
          </cell>
        </row>
      </sheetData>
      <sheetData sheetId="1529">
        <row r="7">
          <cell r="E7" t="str">
            <v>PT NEWCREST SUMATRA MINERALS</v>
          </cell>
        </row>
      </sheetData>
      <sheetData sheetId="1530">
        <row r="7">
          <cell r="E7" t="str">
            <v>PT NEWCREST SUMATRA MINERALS</v>
          </cell>
        </row>
      </sheetData>
      <sheetData sheetId="1531">
        <row r="7">
          <cell r="E7" t="str">
            <v>PT NEWCREST SUMATRA MINERALS</v>
          </cell>
        </row>
      </sheetData>
      <sheetData sheetId="1532">
        <row r="7">
          <cell r="E7" t="str">
            <v>PT NEWCREST SUMATRA MINERALS</v>
          </cell>
        </row>
      </sheetData>
      <sheetData sheetId="1533">
        <row r="7">
          <cell r="E7" t="str">
            <v>PT NEWCREST SUMATRA MINERALS</v>
          </cell>
        </row>
      </sheetData>
      <sheetData sheetId="1534">
        <row r="7">
          <cell r="E7" t="str">
            <v>PT NEWCREST SUMATRA MINERALS</v>
          </cell>
        </row>
      </sheetData>
      <sheetData sheetId="1535">
        <row r="7">
          <cell r="E7" t="str">
            <v>PT NEWCREST SUMATRA MINERALS</v>
          </cell>
        </row>
      </sheetData>
      <sheetData sheetId="1536">
        <row r="7">
          <cell r="E7" t="str">
            <v>PT NEWCREST SUMATRA MINERALS</v>
          </cell>
        </row>
      </sheetData>
      <sheetData sheetId="1537">
        <row r="7">
          <cell r="E7" t="str">
            <v>PT NEWCREST SUMATRA MINERALS</v>
          </cell>
        </row>
      </sheetData>
      <sheetData sheetId="1538">
        <row r="7">
          <cell r="E7" t="str">
            <v>PT NEWCREST SUMATRA MINERALS</v>
          </cell>
        </row>
      </sheetData>
      <sheetData sheetId="1539">
        <row r="7">
          <cell r="E7" t="str">
            <v>PT NEWCREST SUMATRA MINERALS</v>
          </cell>
        </row>
      </sheetData>
      <sheetData sheetId="1540">
        <row r="7">
          <cell r="E7" t="str">
            <v>PT NEWCREST SUMATRA MINERALS</v>
          </cell>
        </row>
      </sheetData>
      <sheetData sheetId="1541">
        <row r="7">
          <cell r="E7" t="str">
            <v>PT NEWCREST SUMATRA MINERALS</v>
          </cell>
        </row>
      </sheetData>
      <sheetData sheetId="1542">
        <row r="7">
          <cell r="E7" t="str">
            <v>PT NEWCREST SUMATRA MINERALS</v>
          </cell>
        </row>
      </sheetData>
      <sheetData sheetId="1543">
        <row r="7">
          <cell r="E7" t="str">
            <v>PT NEWCREST SUMATRA MINERALS</v>
          </cell>
        </row>
      </sheetData>
      <sheetData sheetId="1544">
        <row r="7">
          <cell r="E7" t="str">
            <v>PT NEWCREST SUMATRA MINERALS</v>
          </cell>
        </row>
      </sheetData>
      <sheetData sheetId="1545">
        <row r="7">
          <cell r="E7" t="str">
            <v>PT NEWCREST SUMATRA MINERALS</v>
          </cell>
        </row>
      </sheetData>
      <sheetData sheetId="1546">
        <row r="7">
          <cell r="E7" t="str">
            <v>PT NEWCREST SUMATRA MINERALS</v>
          </cell>
        </row>
      </sheetData>
      <sheetData sheetId="1547">
        <row r="7">
          <cell r="E7" t="str">
            <v>PT NEWCREST SUMATRA MINERALS</v>
          </cell>
        </row>
      </sheetData>
      <sheetData sheetId="1548">
        <row r="7">
          <cell r="E7" t="str">
            <v>PT NEWCREST SUMATRA MINERALS</v>
          </cell>
        </row>
      </sheetData>
      <sheetData sheetId="1549">
        <row r="7">
          <cell r="E7" t="str">
            <v>PT NEWCREST SUMATRA MINERALS</v>
          </cell>
        </row>
      </sheetData>
      <sheetData sheetId="1550">
        <row r="7">
          <cell r="E7" t="str">
            <v>PT NEWCREST SUMATRA MINERALS</v>
          </cell>
        </row>
      </sheetData>
      <sheetData sheetId="1551">
        <row r="7">
          <cell r="E7" t="str">
            <v>PT NEWCREST SUMATRA MINERALS</v>
          </cell>
        </row>
      </sheetData>
      <sheetData sheetId="1552">
        <row r="7">
          <cell r="E7" t="str">
            <v>PT NEWCREST SUMATRA MINERALS</v>
          </cell>
        </row>
      </sheetData>
      <sheetData sheetId="1553">
        <row r="7">
          <cell r="E7" t="str">
            <v>PT NEWCREST SUMATRA MINERALS</v>
          </cell>
        </row>
      </sheetData>
      <sheetData sheetId="1554">
        <row r="7">
          <cell r="E7" t="str">
            <v>PT NEWCREST SUMATRA MINERALS</v>
          </cell>
        </row>
      </sheetData>
      <sheetData sheetId="1555">
        <row r="7">
          <cell r="E7" t="str">
            <v>PT NEWCREST SUMATRA MINERALS</v>
          </cell>
        </row>
      </sheetData>
      <sheetData sheetId="1556">
        <row r="7">
          <cell r="E7" t="str">
            <v>PT NEWCREST SUMATRA MINERALS</v>
          </cell>
        </row>
      </sheetData>
      <sheetData sheetId="1557">
        <row r="7">
          <cell r="E7" t="str">
            <v>PT NEWCREST SUMATRA MINERALS</v>
          </cell>
        </row>
      </sheetData>
      <sheetData sheetId="1558">
        <row r="7">
          <cell r="E7" t="str">
            <v>PT NEWCREST SUMATRA MINERALS</v>
          </cell>
        </row>
      </sheetData>
      <sheetData sheetId="1559">
        <row r="7">
          <cell r="E7" t="str">
            <v>PT NEWCREST SUMATRA MINERALS</v>
          </cell>
        </row>
      </sheetData>
      <sheetData sheetId="1560">
        <row r="7">
          <cell r="E7" t="str">
            <v>PT NEWCREST SUMATRA MINERALS</v>
          </cell>
        </row>
      </sheetData>
      <sheetData sheetId="1561">
        <row r="7">
          <cell r="E7" t="str">
            <v>PT NEWCREST SUMATRA MINERALS</v>
          </cell>
        </row>
      </sheetData>
      <sheetData sheetId="1562">
        <row r="7">
          <cell r="E7" t="str">
            <v>PT NEWCREST SUMATRA MINERALS</v>
          </cell>
        </row>
      </sheetData>
      <sheetData sheetId="1563">
        <row r="7">
          <cell r="E7" t="str">
            <v>PT NEWCREST SUMATRA MINERALS</v>
          </cell>
        </row>
      </sheetData>
      <sheetData sheetId="1564">
        <row r="7">
          <cell r="E7" t="str">
            <v>PT NEWCREST SUMATRA MINERALS</v>
          </cell>
        </row>
      </sheetData>
      <sheetData sheetId="1565">
        <row r="7">
          <cell r="E7" t="str">
            <v>PT NEWCREST SUMATRA MINERALS</v>
          </cell>
        </row>
      </sheetData>
      <sheetData sheetId="1566">
        <row r="7">
          <cell r="E7" t="str">
            <v>PT NEWCREST SUMATRA MINERALS</v>
          </cell>
        </row>
      </sheetData>
      <sheetData sheetId="1567">
        <row r="7">
          <cell r="E7" t="str">
            <v>PT NEWCREST SUMATRA MINERALS</v>
          </cell>
        </row>
      </sheetData>
      <sheetData sheetId="1568">
        <row r="7">
          <cell r="E7" t="str">
            <v>PT NEWCREST SUMATRA MINERALS</v>
          </cell>
        </row>
      </sheetData>
      <sheetData sheetId="1569">
        <row r="7">
          <cell r="E7" t="str">
            <v>PT NEWCREST SUMATRA MINERALS</v>
          </cell>
        </row>
      </sheetData>
      <sheetData sheetId="1570">
        <row r="7">
          <cell r="E7" t="str">
            <v>PT NEWCREST SUMATRA MINERALS</v>
          </cell>
        </row>
      </sheetData>
      <sheetData sheetId="1571">
        <row r="7">
          <cell r="E7" t="str">
            <v>PT NEWCREST SUMATRA MINERALS</v>
          </cell>
        </row>
      </sheetData>
      <sheetData sheetId="1572">
        <row r="7">
          <cell r="E7" t="str">
            <v>PT NEWCREST SUMATRA MINERALS</v>
          </cell>
        </row>
      </sheetData>
      <sheetData sheetId="1573">
        <row r="7">
          <cell r="E7" t="str">
            <v>PT NEWCREST SUMATRA MINERALS</v>
          </cell>
        </row>
      </sheetData>
      <sheetData sheetId="1574">
        <row r="7">
          <cell r="E7" t="str">
            <v>PT NEWCREST SUMATRA MINERALS</v>
          </cell>
        </row>
      </sheetData>
      <sheetData sheetId="1575">
        <row r="7">
          <cell r="E7" t="str">
            <v>PT NEWCREST SUMATRA MINERALS</v>
          </cell>
        </row>
      </sheetData>
      <sheetData sheetId="1576">
        <row r="7">
          <cell r="E7" t="str">
            <v>PT NEWCREST SUMATRA MINERALS</v>
          </cell>
        </row>
      </sheetData>
      <sheetData sheetId="1577">
        <row r="7">
          <cell r="E7" t="str">
            <v>PT NEWCREST SUMATRA MINERALS</v>
          </cell>
        </row>
      </sheetData>
      <sheetData sheetId="1578">
        <row r="7">
          <cell r="E7" t="str">
            <v>PT NEWCREST SUMATRA MINERALS</v>
          </cell>
        </row>
      </sheetData>
      <sheetData sheetId="1579">
        <row r="7">
          <cell r="E7" t="str">
            <v>PT NEWCREST SUMATRA MINERALS</v>
          </cell>
        </row>
      </sheetData>
      <sheetData sheetId="1580">
        <row r="7">
          <cell r="E7" t="str">
            <v>PT NEWCREST SUMATRA MINERALS</v>
          </cell>
        </row>
      </sheetData>
      <sheetData sheetId="1581">
        <row r="7">
          <cell r="E7" t="str">
            <v>PT NEWCREST SUMATRA MINERALS</v>
          </cell>
        </row>
      </sheetData>
      <sheetData sheetId="1582">
        <row r="7">
          <cell r="E7" t="str">
            <v>PT NEWCREST SUMATRA MINERALS</v>
          </cell>
        </row>
      </sheetData>
      <sheetData sheetId="1583">
        <row r="7">
          <cell r="E7" t="str">
            <v>PT NEWCREST SUMATRA MINERALS</v>
          </cell>
        </row>
      </sheetData>
      <sheetData sheetId="1584">
        <row r="7">
          <cell r="E7" t="str">
            <v>PT NEWCREST SUMATRA MINERALS</v>
          </cell>
        </row>
      </sheetData>
      <sheetData sheetId="1585">
        <row r="7">
          <cell r="E7" t="str">
            <v>PT NEWCREST SUMATRA MINERALS</v>
          </cell>
        </row>
      </sheetData>
      <sheetData sheetId="1586">
        <row r="7">
          <cell r="E7" t="str">
            <v>PT NEWCREST SUMATRA MINERALS</v>
          </cell>
        </row>
      </sheetData>
      <sheetData sheetId="1587">
        <row r="7">
          <cell r="E7" t="str">
            <v>PT NEWCREST SUMATRA MINERALS</v>
          </cell>
        </row>
      </sheetData>
      <sheetData sheetId="1588">
        <row r="7">
          <cell r="E7" t="str">
            <v>PT NEWCREST SUMATRA MINERALS</v>
          </cell>
        </row>
      </sheetData>
      <sheetData sheetId="1589">
        <row r="7">
          <cell r="E7" t="str">
            <v>PT NEWCREST SUMATRA MINERALS</v>
          </cell>
        </row>
      </sheetData>
      <sheetData sheetId="1590">
        <row r="7">
          <cell r="E7" t="str">
            <v>PT NEWCREST SUMATRA MINERALS</v>
          </cell>
        </row>
      </sheetData>
      <sheetData sheetId="1591">
        <row r="7">
          <cell r="E7" t="str">
            <v>PT NEWCREST SUMATRA MINERALS</v>
          </cell>
        </row>
      </sheetData>
      <sheetData sheetId="1592">
        <row r="7">
          <cell r="E7" t="str">
            <v>PT NEWCREST SUMATRA MINERALS</v>
          </cell>
        </row>
      </sheetData>
      <sheetData sheetId="1593">
        <row r="7">
          <cell r="E7" t="str">
            <v>PT NEWCREST SUMATRA MINERALS</v>
          </cell>
        </row>
      </sheetData>
      <sheetData sheetId="1594">
        <row r="7">
          <cell r="E7" t="str">
            <v>PT NEWCREST SUMATRA MINERALS</v>
          </cell>
        </row>
      </sheetData>
      <sheetData sheetId="1595">
        <row r="7">
          <cell r="E7" t="str">
            <v>PT NEWCREST SUMATRA MINERALS</v>
          </cell>
        </row>
      </sheetData>
      <sheetData sheetId="1596">
        <row r="7">
          <cell r="E7" t="str">
            <v>PT NEWCREST SUMATRA MINERALS</v>
          </cell>
        </row>
      </sheetData>
      <sheetData sheetId="1597">
        <row r="7">
          <cell r="E7" t="str">
            <v>PT NEWCREST SUMATRA MINERALS</v>
          </cell>
        </row>
      </sheetData>
      <sheetData sheetId="1598">
        <row r="7">
          <cell r="E7" t="str">
            <v>PT NEWCREST SUMATRA MINERALS</v>
          </cell>
        </row>
      </sheetData>
      <sheetData sheetId="1599">
        <row r="7">
          <cell r="E7" t="str">
            <v>PT NEWCREST SUMATRA MINERALS</v>
          </cell>
        </row>
      </sheetData>
      <sheetData sheetId="1600">
        <row r="7">
          <cell r="E7" t="str">
            <v>PT NEWCREST SUMATRA MINERALS</v>
          </cell>
        </row>
      </sheetData>
      <sheetData sheetId="1601">
        <row r="7">
          <cell r="E7" t="str">
            <v>PT NEWCREST SUMATRA MINERALS</v>
          </cell>
        </row>
      </sheetData>
      <sheetData sheetId="1602">
        <row r="7">
          <cell r="E7" t="str">
            <v>PT NEWCREST SUMATRA MINERALS</v>
          </cell>
        </row>
      </sheetData>
      <sheetData sheetId="1603">
        <row r="7">
          <cell r="E7" t="str">
            <v>PT NEWCREST SUMATRA MINERALS</v>
          </cell>
        </row>
      </sheetData>
      <sheetData sheetId="1604">
        <row r="7">
          <cell r="E7" t="str">
            <v>PT NEWCREST SUMATRA MINERALS</v>
          </cell>
        </row>
      </sheetData>
      <sheetData sheetId="1605">
        <row r="7">
          <cell r="E7" t="str">
            <v>PT NEWCREST SUMATRA MINERALS</v>
          </cell>
        </row>
      </sheetData>
      <sheetData sheetId="1606">
        <row r="7">
          <cell r="E7" t="str">
            <v>PT NEWCREST SUMATRA MINERALS</v>
          </cell>
        </row>
      </sheetData>
      <sheetData sheetId="1607">
        <row r="7">
          <cell r="E7" t="str">
            <v>PT NEWCREST SUMATRA MINERALS</v>
          </cell>
        </row>
      </sheetData>
      <sheetData sheetId="1608">
        <row r="7">
          <cell r="E7" t="str">
            <v>PT NEWCREST SUMATRA MINERALS</v>
          </cell>
        </row>
      </sheetData>
      <sheetData sheetId="1609">
        <row r="7">
          <cell r="E7" t="str">
            <v>PT NEWCREST SUMATRA MINERALS</v>
          </cell>
        </row>
      </sheetData>
      <sheetData sheetId="1610">
        <row r="7">
          <cell r="E7" t="str">
            <v>PT NEWCREST SUMATRA MINERALS</v>
          </cell>
        </row>
      </sheetData>
      <sheetData sheetId="1611">
        <row r="7">
          <cell r="E7" t="str">
            <v>PT NEWCREST SUMATRA MINERALS</v>
          </cell>
        </row>
      </sheetData>
      <sheetData sheetId="1612">
        <row r="7">
          <cell r="E7" t="str">
            <v>PT NEWCREST SUMATRA MINERALS</v>
          </cell>
        </row>
      </sheetData>
      <sheetData sheetId="1613">
        <row r="7">
          <cell r="E7" t="str">
            <v>PT NEWCREST SUMATRA MINERALS</v>
          </cell>
        </row>
      </sheetData>
      <sheetData sheetId="1614">
        <row r="7">
          <cell r="E7" t="str">
            <v>PT NEWCREST SUMATRA MINERALS</v>
          </cell>
        </row>
      </sheetData>
      <sheetData sheetId="1615">
        <row r="7">
          <cell r="E7" t="str">
            <v>PT NEWCREST SUMATRA MINERALS</v>
          </cell>
        </row>
      </sheetData>
      <sheetData sheetId="1616">
        <row r="7">
          <cell r="E7" t="str">
            <v>PT NEWCREST SUMATRA MINERALS</v>
          </cell>
        </row>
      </sheetData>
      <sheetData sheetId="1617">
        <row r="7">
          <cell r="E7" t="str">
            <v>PT NEWCREST SUMATRA MINERALS</v>
          </cell>
        </row>
      </sheetData>
      <sheetData sheetId="1618">
        <row r="7">
          <cell r="E7" t="str">
            <v>PT NEWCREST SUMATRA MINERALS</v>
          </cell>
        </row>
      </sheetData>
      <sheetData sheetId="1619">
        <row r="7">
          <cell r="E7" t="str">
            <v>PT NEWCREST SUMATRA MINERALS</v>
          </cell>
        </row>
      </sheetData>
      <sheetData sheetId="1620">
        <row r="7">
          <cell r="E7" t="str">
            <v>PT NEWCREST SUMATRA MINERALS</v>
          </cell>
        </row>
      </sheetData>
      <sheetData sheetId="1621">
        <row r="7">
          <cell r="E7" t="str">
            <v>PT NEWCREST SUMATRA MINERALS</v>
          </cell>
        </row>
      </sheetData>
      <sheetData sheetId="1622">
        <row r="7">
          <cell r="E7" t="str">
            <v>PT NEWCREST SUMATRA MINERALS</v>
          </cell>
        </row>
      </sheetData>
      <sheetData sheetId="1623">
        <row r="7">
          <cell r="E7" t="str">
            <v>PT NEWCREST SUMATRA MINERALS</v>
          </cell>
        </row>
      </sheetData>
      <sheetData sheetId="1624">
        <row r="7">
          <cell r="E7" t="str">
            <v>PT NEWCREST SUMATRA MINERALS</v>
          </cell>
        </row>
      </sheetData>
      <sheetData sheetId="1625">
        <row r="7">
          <cell r="E7" t="str">
            <v>PT NEWCREST SUMATRA MINERALS</v>
          </cell>
        </row>
      </sheetData>
      <sheetData sheetId="1626">
        <row r="7">
          <cell r="E7" t="str">
            <v>PT NEWCREST SUMATRA MINERALS</v>
          </cell>
        </row>
      </sheetData>
      <sheetData sheetId="1627">
        <row r="7">
          <cell r="E7" t="str">
            <v>PT NEWCREST SUMATRA MINERALS</v>
          </cell>
        </row>
      </sheetData>
      <sheetData sheetId="1628">
        <row r="7">
          <cell r="E7" t="str">
            <v>PT NEWCREST SUMATRA MINERALS</v>
          </cell>
        </row>
      </sheetData>
      <sheetData sheetId="1629">
        <row r="7">
          <cell r="E7" t="str">
            <v>PT NEWCREST SUMATRA MINERALS</v>
          </cell>
        </row>
      </sheetData>
      <sheetData sheetId="1630">
        <row r="7">
          <cell r="E7" t="str">
            <v>PT NEWCREST SUMATRA MINERALS</v>
          </cell>
        </row>
      </sheetData>
      <sheetData sheetId="1631">
        <row r="7">
          <cell r="E7" t="str">
            <v>PT NEWCREST SUMATRA MINERALS</v>
          </cell>
        </row>
      </sheetData>
      <sheetData sheetId="1632">
        <row r="7">
          <cell r="E7" t="str">
            <v>PT NEWCREST SUMATRA MINERALS</v>
          </cell>
        </row>
      </sheetData>
      <sheetData sheetId="1633">
        <row r="7">
          <cell r="E7" t="str">
            <v>PT NEWCREST SUMATRA MINERALS</v>
          </cell>
        </row>
      </sheetData>
      <sheetData sheetId="1634">
        <row r="7">
          <cell r="E7" t="str">
            <v>PT NEWCREST SUMATRA MINERALS</v>
          </cell>
        </row>
      </sheetData>
      <sheetData sheetId="1635">
        <row r="7">
          <cell r="E7" t="str">
            <v>PT NEWCREST SUMATRA MINERALS</v>
          </cell>
        </row>
      </sheetData>
      <sheetData sheetId="1636">
        <row r="7">
          <cell r="E7" t="str">
            <v>PT NEWCREST SUMATRA MINERALS</v>
          </cell>
        </row>
      </sheetData>
      <sheetData sheetId="1637">
        <row r="7">
          <cell r="E7" t="str">
            <v>PT NEWCREST SUMATRA MINERALS</v>
          </cell>
        </row>
      </sheetData>
      <sheetData sheetId="1638">
        <row r="7">
          <cell r="E7" t="str">
            <v>PT NEWCREST SUMATRA MINERALS</v>
          </cell>
        </row>
      </sheetData>
      <sheetData sheetId="1639">
        <row r="7">
          <cell r="E7" t="str">
            <v>PT NEWCREST SUMATRA MINERALS</v>
          </cell>
        </row>
      </sheetData>
      <sheetData sheetId="1640">
        <row r="7">
          <cell r="E7" t="str">
            <v>PT NEWCREST SUMATRA MINERALS</v>
          </cell>
        </row>
      </sheetData>
      <sheetData sheetId="1641">
        <row r="7">
          <cell r="E7" t="str">
            <v>PT NEWCREST SUMATRA MINERALS</v>
          </cell>
        </row>
      </sheetData>
      <sheetData sheetId="1642">
        <row r="7">
          <cell r="E7" t="str">
            <v>PT NEWCREST SUMATRA MINERALS</v>
          </cell>
        </row>
      </sheetData>
      <sheetData sheetId="1643">
        <row r="7">
          <cell r="E7" t="str">
            <v>PT NEWCREST SUMATRA MINERALS</v>
          </cell>
        </row>
      </sheetData>
      <sheetData sheetId="1644">
        <row r="7">
          <cell r="E7" t="str">
            <v>PT NEWCREST SUMATRA MINERALS</v>
          </cell>
        </row>
      </sheetData>
      <sheetData sheetId="1645">
        <row r="7">
          <cell r="E7" t="str">
            <v>PT NEWCREST SUMATRA MINERALS</v>
          </cell>
        </row>
      </sheetData>
      <sheetData sheetId="1646">
        <row r="7">
          <cell r="E7" t="str">
            <v>PT NEWCREST SUMATRA MINERALS</v>
          </cell>
        </row>
      </sheetData>
      <sheetData sheetId="1647">
        <row r="7">
          <cell r="E7" t="str">
            <v>PT NEWCREST SUMATRA MINERALS</v>
          </cell>
        </row>
      </sheetData>
      <sheetData sheetId="1648">
        <row r="7">
          <cell r="E7" t="str">
            <v>PT NEWCREST SUMATRA MINERALS</v>
          </cell>
        </row>
      </sheetData>
      <sheetData sheetId="1649">
        <row r="7">
          <cell r="E7" t="str">
            <v>PT NEWCREST SUMATRA MINERALS</v>
          </cell>
        </row>
      </sheetData>
      <sheetData sheetId="1650">
        <row r="7">
          <cell r="E7" t="str">
            <v>PT NEWCREST SUMATRA MINERALS</v>
          </cell>
        </row>
      </sheetData>
      <sheetData sheetId="1651">
        <row r="7">
          <cell r="E7" t="str">
            <v>PT NEWCREST SUMATRA MINERALS</v>
          </cell>
        </row>
      </sheetData>
      <sheetData sheetId="1652">
        <row r="7">
          <cell r="E7" t="str">
            <v>PT NEWCREST SUMATRA MINERALS</v>
          </cell>
        </row>
      </sheetData>
      <sheetData sheetId="1653">
        <row r="7">
          <cell r="E7" t="str">
            <v>PT NEWCREST SUMATRA MINERALS</v>
          </cell>
        </row>
      </sheetData>
      <sheetData sheetId="1654">
        <row r="7">
          <cell r="E7" t="str">
            <v>PT NEWCREST SUMATRA MINERALS</v>
          </cell>
        </row>
      </sheetData>
      <sheetData sheetId="1655">
        <row r="7">
          <cell r="E7" t="str">
            <v>PT NEWCREST SUMATRA MINERALS</v>
          </cell>
        </row>
      </sheetData>
      <sheetData sheetId="1656">
        <row r="7">
          <cell r="E7" t="str">
            <v>PT NEWCREST SUMATRA MINERALS</v>
          </cell>
        </row>
      </sheetData>
      <sheetData sheetId="1657">
        <row r="7">
          <cell r="E7" t="str">
            <v>PT NEWCREST SUMATRA MINERALS</v>
          </cell>
        </row>
      </sheetData>
      <sheetData sheetId="1658">
        <row r="7">
          <cell r="E7" t="str">
            <v>PT NEWCREST SUMATRA MINERALS</v>
          </cell>
        </row>
      </sheetData>
      <sheetData sheetId="1659">
        <row r="7">
          <cell r="E7" t="str">
            <v>PT NEWCREST SUMATRA MINERALS</v>
          </cell>
        </row>
      </sheetData>
      <sheetData sheetId="1660">
        <row r="7">
          <cell r="E7" t="str">
            <v>PT NEWCREST SUMATRA MINERALS</v>
          </cell>
        </row>
      </sheetData>
      <sheetData sheetId="1661">
        <row r="7">
          <cell r="E7" t="str">
            <v>PT NEWCREST SUMATRA MINERALS</v>
          </cell>
        </row>
      </sheetData>
      <sheetData sheetId="1662">
        <row r="7">
          <cell r="E7" t="str">
            <v>PT NEWCREST SUMATRA MINERALS</v>
          </cell>
        </row>
      </sheetData>
      <sheetData sheetId="1663">
        <row r="7">
          <cell r="E7" t="str">
            <v>PT NEWCREST SUMATRA MINERALS</v>
          </cell>
        </row>
      </sheetData>
      <sheetData sheetId="1664">
        <row r="7">
          <cell r="E7" t="str">
            <v>PT NEWCREST SUMATRA MINERALS</v>
          </cell>
        </row>
      </sheetData>
      <sheetData sheetId="1665">
        <row r="7">
          <cell r="E7" t="str">
            <v>PT NEWCREST SUMATRA MINERALS</v>
          </cell>
        </row>
      </sheetData>
      <sheetData sheetId="1666">
        <row r="7">
          <cell r="E7" t="str">
            <v>PT NEWCREST SUMATRA MINERALS</v>
          </cell>
        </row>
      </sheetData>
      <sheetData sheetId="1667">
        <row r="7">
          <cell r="E7" t="str">
            <v>PT NEWCREST SUMATRA MINERALS</v>
          </cell>
        </row>
      </sheetData>
      <sheetData sheetId="1668">
        <row r="7">
          <cell r="E7" t="str">
            <v>PT NEWCREST SUMATRA MINERALS</v>
          </cell>
        </row>
      </sheetData>
      <sheetData sheetId="1669">
        <row r="7">
          <cell r="E7" t="str">
            <v>PT NEWCREST SUMATRA MINERALS</v>
          </cell>
        </row>
      </sheetData>
      <sheetData sheetId="1670">
        <row r="7">
          <cell r="E7" t="str">
            <v>PT NEWCREST SUMATRA MINERALS</v>
          </cell>
        </row>
      </sheetData>
      <sheetData sheetId="1671">
        <row r="7">
          <cell r="E7" t="str">
            <v>PT NEWCREST SUMATRA MINERALS</v>
          </cell>
        </row>
      </sheetData>
      <sheetData sheetId="1672">
        <row r="7">
          <cell r="E7" t="str">
            <v>PT NEWCREST SUMATRA MINERALS</v>
          </cell>
        </row>
      </sheetData>
      <sheetData sheetId="1673">
        <row r="7">
          <cell r="E7" t="str">
            <v>PT NEWCREST SUMATRA MINERALS</v>
          </cell>
        </row>
      </sheetData>
      <sheetData sheetId="1674">
        <row r="7">
          <cell r="E7" t="str">
            <v>PT NEWCREST SUMATRA MINERALS</v>
          </cell>
        </row>
      </sheetData>
      <sheetData sheetId="1675">
        <row r="7">
          <cell r="E7" t="str">
            <v>PT NEWCREST SUMATRA MINERALS</v>
          </cell>
        </row>
      </sheetData>
      <sheetData sheetId="1676">
        <row r="7">
          <cell r="E7" t="str">
            <v>PT NEWCREST SUMATRA MINERALS</v>
          </cell>
        </row>
      </sheetData>
      <sheetData sheetId="1677">
        <row r="7">
          <cell r="E7" t="str">
            <v>PT NEWCREST SUMATRA MINERALS</v>
          </cell>
        </row>
      </sheetData>
      <sheetData sheetId="1678">
        <row r="7">
          <cell r="E7" t="str">
            <v>PT NEWCREST SUMATRA MINERALS</v>
          </cell>
        </row>
      </sheetData>
      <sheetData sheetId="1679">
        <row r="7">
          <cell r="E7" t="str">
            <v>PT NEWCREST SUMATRA MINERALS</v>
          </cell>
        </row>
      </sheetData>
      <sheetData sheetId="1680">
        <row r="7">
          <cell r="E7" t="str">
            <v>PT NEWCREST SUMATRA MINERALS</v>
          </cell>
        </row>
      </sheetData>
      <sheetData sheetId="1681">
        <row r="7">
          <cell r="E7" t="str">
            <v>PT NEWCREST SUMATRA MINERALS</v>
          </cell>
        </row>
      </sheetData>
      <sheetData sheetId="1682">
        <row r="7">
          <cell r="E7" t="str">
            <v>PT NEWCREST SUMATRA MINERALS</v>
          </cell>
        </row>
      </sheetData>
      <sheetData sheetId="1683">
        <row r="7">
          <cell r="E7" t="str">
            <v>PT NEWCREST SUMATRA MINERALS</v>
          </cell>
        </row>
      </sheetData>
      <sheetData sheetId="1684">
        <row r="7">
          <cell r="E7" t="str">
            <v>PT NEWCREST SUMATRA MINERALS</v>
          </cell>
        </row>
      </sheetData>
      <sheetData sheetId="1685">
        <row r="7">
          <cell r="E7" t="str">
            <v>PT NEWCREST SUMATRA MINERALS</v>
          </cell>
        </row>
      </sheetData>
      <sheetData sheetId="1686">
        <row r="7">
          <cell r="E7" t="str">
            <v>PT NEWCREST SUMATRA MINERALS</v>
          </cell>
        </row>
      </sheetData>
      <sheetData sheetId="1687">
        <row r="7">
          <cell r="E7" t="str">
            <v>PT NEWCREST SUMATRA MINERALS</v>
          </cell>
        </row>
      </sheetData>
      <sheetData sheetId="1688">
        <row r="7">
          <cell r="E7" t="str">
            <v>PT NEWCREST SUMATRA MINERALS</v>
          </cell>
        </row>
      </sheetData>
      <sheetData sheetId="1689">
        <row r="7">
          <cell r="E7" t="str">
            <v>PT NEWCREST SUMATRA MINERALS</v>
          </cell>
        </row>
      </sheetData>
      <sheetData sheetId="1690">
        <row r="7">
          <cell r="E7" t="str">
            <v>PT NEWCREST SUMATRA MINERALS</v>
          </cell>
        </row>
      </sheetData>
      <sheetData sheetId="1691">
        <row r="7">
          <cell r="E7" t="str">
            <v>PT NEWCREST SUMATRA MINERALS</v>
          </cell>
        </row>
      </sheetData>
      <sheetData sheetId="1692">
        <row r="7">
          <cell r="E7" t="str">
            <v>PT NEWCREST SUMATRA MINERALS</v>
          </cell>
        </row>
      </sheetData>
      <sheetData sheetId="1693">
        <row r="7">
          <cell r="E7" t="str">
            <v>PT NEWCREST SUMATRA MINERALS</v>
          </cell>
        </row>
      </sheetData>
      <sheetData sheetId="1694">
        <row r="7">
          <cell r="E7" t="str">
            <v>PT NEWCREST SUMATRA MINERALS</v>
          </cell>
        </row>
      </sheetData>
      <sheetData sheetId="1695">
        <row r="7">
          <cell r="E7" t="str">
            <v>PT NEWCREST SUMATRA MINERALS</v>
          </cell>
        </row>
      </sheetData>
      <sheetData sheetId="1696">
        <row r="7">
          <cell r="E7" t="str">
            <v>PT NEWCREST SUMATRA MINERALS</v>
          </cell>
        </row>
      </sheetData>
      <sheetData sheetId="1697">
        <row r="7">
          <cell r="E7" t="str">
            <v>PT NEWCREST SUMATRA MINERALS</v>
          </cell>
        </row>
      </sheetData>
      <sheetData sheetId="1698">
        <row r="7">
          <cell r="E7" t="str">
            <v>PT NEWCREST SUMATRA MINERALS</v>
          </cell>
        </row>
      </sheetData>
      <sheetData sheetId="1699">
        <row r="7">
          <cell r="E7" t="str">
            <v>PT NEWCREST SUMATRA MINERALS</v>
          </cell>
        </row>
      </sheetData>
      <sheetData sheetId="1700">
        <row r="7">
          <cell r="E7" t="str">
            <v>PT NEWCREST SUMATRA MINERALS</v>
          </cell>
        </row>
      </sheetData>
      <sheetData sheetId="1701">
        <row r="7">
          <cell r="E7" t="str">
            <v>PT NEWCREST SUMATRA MINERALS</v>
          </cell>
        </row>
      </sheetData>
      <sheetData sheetId="1702">
        <row r="7">
          <cell r="E7" t="str">
            <v>PT NEWCREST SUMATRA MINERALS</v>
          </cell>
        </row>
      </sheetData>
      <sheetData sheetId="1703">
        <row r="7">
          <cell r="E7" t="str">
            <v>PT NEWCREST SUMATRA MINERALS</v>
          </cell>
        </row>
      </sheetData>
      <sheetData sheetId="1704">
        <row r="7">
          <cell r="E7" t="str">
            <v>PT NEWCREST SUMATRA MINERALS</v>
          </cell>
        </row>
      </sheetData>
      <sheetData sheetId="1705">
        <row r="7">
          <cell r="E7" t="str">
            <v>PT NEWCREST SUMATRA MINERALS</v>
          </cell>
        </row>
      </sheetData>
      <sheetData sheetId="1706">
        <row r="7">
          <cell r="E7" t="str">
            <v>PT NEWCREST SUMATRA MINERALS</v>
          </cell>
        </row>
      </sheetData>
      <sheetData sheetId="1707">
        <row r="7">
          <cell r="E7" t="str">
            <v>PT NEWCREST SUMATRA MINERALS</v>
          </cell>
        </row>
      </sheetData>
      <sheetData sheetId="1708">
        <row r="7">
          <cell r="E7" t="str">
            <v>PT NEWCREST SUMATRA MINERALS</v>
          </cell>
        </row>
      </sheetData>
      <sheetData sheetId="1709">
        <row r="7">
          <cell r="E7" t="str">
            <v>PT NEWCREST SUMATRA MINERALS</v>
          </cell>
        </row>
      </sheetData>
      <sheetData sheetId="1710">
        <row r="7">
          <cell r="E7" t="str">
            <v>PT NEWCREST SUMATRA MINERALS</v>
          </cell>
        </row>
      </sheetData>
      <sheetData sheetId="1711">
        <row r="7">
          <cell r="E7" t="str">
            <v>PT NEWCREST SUMATRA MINERALS</v>
          </cell>
        </row>
      </sheetData>
      <sheetData sheetId="1712">
        <row r="7">
          <cell r="E7" t="str">
            <v>PT NEWCREST SUMATRA MINERALS</v>
          </cell>
        </row>
      </sheetData>
      <sheetData sheetId="1713">
        <row r="7">
          <cell r="E7" t="str">
            <v>PT NEWCREST SUMATRA MINERALS</v>
          </cell>
        </row>
      </sheetData>
      <sheetData sheetId="1714">
        <row r="7">
          <cell r="E7" t="str">
            <v>PT NEWCREST SUMATRA MINERALS</v>
          </cell>
        </row>
      </sheetData>
      <sheetData sheetId="1715">
        <row r="7">
          <cell r="E7" t="str">
            <v>PT NEWCREST SUMATRA MINERALS</v>
          </cell>
        </row>
      </sheetData>
      <sheetData sheetId="1716">
        <row r="7">
          <cell r="E7" t="str">
            <v>PT NEWCREST SUMATRA MINERALS</v>
          </cell>
        </row>
      </sheetData>
      <sheetData sheetId="1717">
        <row r="7">
          <cell r="E7" t="str">
            <v>PT NEWCREST SUMATRA MINERALS</v>
          </cell>
        </row>
      </sheetData>
      <sheetData sheetId="1718">
        <row r="7">
          <cell r="E7" t="str">
            <v>PT NEWCREST SUMATRA MINERALS</v>
          </cell>
        </row>
      </sheetData>
      <sheetData sheetId="1719">
        <row r="7">
          <cell r="E7" t="str">
            <v>PT NEWCREST SUMATRA MINERALS</v>
          </cell>
        </row>
      </sheetData>
      <sheetData sheetId="1720">
        <row r="7">
          <cell r="E7" t="str">
            <v>PT NEWCREST SUMATRA MINERALS</v>
          </cell>
        </row>
      </sheetData>
      <sheetData sheetId="1721">
        <row r="7">
          <cell r="E7" t="str">
            <v>PT NEWCREST SUMATRA MINERALS</v>
          </cell>
        </row>
      </sheetData>
      <sheetData sheetId="1722">
        <row r="7">
          <cell r="E7" t="str">
            <v>PT NEWCREST SUMATRA MINERALS</v>
          </cell>
        </row>
      </sheetData>
      <sheetData sheetId="1723">
        <row r="7">
          <cell r="E7" t="str">
            <v>PT NEWCREST SUMATRA MINERALS</v>
          </cell>
        </row>
      </sheetData>
      <sheetData sheetId="1724">
        <row r="7">
          <cell r="E7" t="str">
            <v>PT NEWCREST SUMATRA MINERALS</v>
          </cell>
        </row>
      </sheetData>
      <sheetData sheetId="1725">
        <row r="7">
          <cell r="E7" t="str">
            <v>PT NEWCREST SUMATRA MINERALS</v>
          </cell>
        </row>
      </sheetData>
      <sheetData sheetId="1726">
        <row r="7">
          <cell r="E7" t="str">
            <v>PT NEWCREST SUMATRA MINERALS</v>
          </cell>
        </row>
      </sheetData>
      <sheetData sheetId="1727">
        <row r="7">
          <cell r="E7" t="str">
            <v>PT NEWCREST SUMATRA MINERALS</v>
          </cell>
        </row>
      </sheetData>
      <sheetData sheetId="1728">
        <row r="7">
          <cell r="E7" t="str">
            <v>PT NEWCREST SUMATRA MINERALS</v>
          </cell>
        </row>
      </sheetData>
      <sheetData sheetId="1729">
        <row r="7">
          <cell r="E7" t="str">
            <v>PT NEWCREST SUMATRA MINERALS</v>
          </cell>
        </row>
      </sheetData>
      <sheetData sheetId="1730">
        <row r="7">
          <cell r="E7" t="str">
            <v>PT NEWCREST SUMATRA MINERALS</v>
          </cell>
        </row>
      </sheetData>
      <sheetData sheetId="1731">
        <row r="7">
          <cell r="E7" t="str">
            <v>PT NEWCREST SUMATRA MINERALS</v>
          </cell>
        </row>
      </sheetData>
      <sheetData sheetId="1732">
        <row r="7">
          <cell r="E7" t="str">
            <v>PT NEWCREST SUMATRA MINERALS</v>
          </cell>
        </row>
      </sheetData>
      <sheetData sheetId="1733">
        <row r="7">
          <cell r="E7" t="str">
            <v>PT NEWCREST SUMATRA MINERALS</v>
          </cell>
        </row>
      </sheetData>
      <sheetData sheetId="1734">
        <row r="7">
          <cell r="E7" t="str">
            <v>PT NEWCREST SUMATRA MINERALS</v>
          </cell>
        </row>
      </sheetData>
      <sheetData sheetId="1735">
        <row r="7">
          <cell r="E7" t="str">
            <v>PT NEWCREST SUMATRA MINERALS</v>
          </cell>
        </row>
      </sheetData>
      <sheetData sheetId="1736">
        <row r="7">
          <cell r="E7" t="str">
            <v>PT NEWCREST SUMATRA MINERALS</v>
          </cell>
        </row>
      </sheetData>
      <sheetData sheetId="1737">
        <row r="7">
          <cell r="E7" t="str">
            <v>PT NEWCREST SUMATRA MINERALS</v>
          </cell>
        </row>
      </sheetData>
      <sheetData sheetId="1738">
        <row r="7">
          <cell r="E7" t="str">
            <v>PT NEWCREST SUMATRA MINERALS</v>
          </cell>
        </row>
      </sheetData>
      <sheetData sheetId="1739">
        <row r="7">
          <cell r="E7" t="str">
            <v>PT NEWCREST SUMATRA MINERALS</v>
          </cell>
        </row>
      </sheetData>
      <sheetData sheetId="1740">
        <row r="7">
          <cell r="E7" t="str">
            <v>PT NEWCREST SUMATRA MINERALS</v>
          </cell>
        </row>
      </sheetData>
      <sheetData sheetId="1741">
        <row r="7">
          <cell r="E7" t="str">
            <v>PT NEWCREST SUMATRA MINERALS</v>
          </cell>
        </row>
      </sheetData>
      <sheetData sheetId="1742">
        <row r="7">
          <cell r="E7" t="str">
            <v>PT NEWCREST SUMATRA MINERALS</v>
          </cell>
        </row>
      </sheetData>
      <sheetData sheetId="1743">
        <row r="7">
          <cell r="E7" t="str">
            <v>PT NEWCREST SUMATRA MINERALS</v>
          </cell>
        </row>
      </sheetData>
      <sheetData sheetId="1744">
        <row r="7">
          <cell r="E7" t="str">
            <v>PT NEWCREST SUMATRA MINERALS</v>
          </cell>
        </row>
      </sheetData>
      <sheetData sheetId="1745">
        <row r="7">
          <cell r="E7" t="str">
            <v>PT NEWCREST SUMATRA MINERALS</v>
          </cell>
        </row>
      </sheetData>
      <sheetData sheetId="1746">
        <row r="7">
          <cell r="E7" t="str">
            <v>PT NEWCREST SUMATRA MINERALS</v>
          </cell>
        </row>
      </sheetData>
      <sheetData sheetId="1747">
        <row r="7">
          <cell r="E7" t="str">
            <v>PT NEWCREST SUMATRA MINERALS</v>
          </cell>
        </row>
      </sheetData>
      <sheetData sheetId="1748">
        <row r="7">
          <cell r="E7" t="str">
            <v>PT NEWCREST SUMATRA MINERALS</v>
          </cell>
        </row>
      </sheetData>
      <sheetData sheetId="1749">
        <row r="7">
          <cell r="E7" t="str">
            <v>PT NEWCREST SUMATRA MINERALS</v>
          </cell>
        </row>
      </sheetData>
      <sheetData sheetId="1750">
        <row r="7">
          <cell r="E7" t="str">
            <v>PT NEWCREST SUMATRA MINERALS</v>
          </cell>
        </row>
      </sheetData>
      <sheetData sheetId="1751">
        <row r="7">
          <cell r="E7" t="str">
            <v>PT NEWCREST SUMATRA MINERALS</v>
          </cell>
        </row>
      </sheetData>
      <sheetData sheetId="1752">
        <row r="7">
          <cell r="E7" t="str">
            <v>PT NEWCREST SUMATRA MINERALS</v>
          </cell>
        </row>
      </sheetData>
      <sheetData sheetId="1753">
        <row r="7">
          <cell r="E7" t="str">
            <v>PT NEWCREST SUMATRA MINERALS</v>
          </cell>
        </row>
      </sheetData>
      <sheetData sheetId="1754">
        <row r="7">
          <cell r="E7" t="str">
            <v>PT NEWCREST SUMATRA MINERALS</v>
          </cell>
        </row>
      </sheetData>
      <sheetData sheetId="1755">
        <row r="7">
          <cell r="E7" t="str">
            <v>PT NEWCREST SUMATRA MINERALS</v>
          </cell>
        </row>
      </sheetData>
      <sheetData sheetId="1756">
        <row r="7">
          <cell r="E7" t="str">
            <v>PT NEWCREST SUMATRA MINERALS</v>
          </cell>
        </row>
      </sheetData>
      <sheetData sheetId="1757">
        <row r="7">
          <cell r="E7" t="str">
            <v>PT NEWCREST SUMATRA MINERALS</v>
          </cell>
        </row>
      </sheetData>
      <sheetData sheetId="1758">
        <row r="7">
          <cell r="E7" t="str">
            <v>PT NEWCREST SUMATRA MINERALS</v>
          </cell>
        </row>
      </sheetData>
      <sheetData sheetId="1759">
        <row r="7">
          <cell r="E7" t="str">
            <v>PT NEWCREST SUMATRA MINERALS</v>
          </cell>
        </row>
      </sheetData>
      <sheetData sheetId="1760">
        <row r="7">
          <cell r="E7" t="str">
            <v>PT NEWCREST SUMATRA MINERALS</v>
          </cell>
        </row>
      </sheetData>
      <sheetData sheetId="1761">
        <row r="7">
          <cell r="E7" t="str">
            <v>PT NEWCREST SUMATRA MINERALS</v>
          </cell>
        </row>
      </sheetData>
      <sheetData sheetId="1762">
        <row r="7">
          <cell r="E7" t="str">
            <v>PT NEWCREST SUMATRA MINERALS</v>
          </cell>
        </row>
      </sheetData>
      <sheetData sheetId="1763">
        <row r="7">
          <cell r="E7" t="str">
            <v>PT NEWCREST SUMATRA MINERALS</v>
          </cell>
        </row>
      </sheetData>
      <sheetData sheetId="1764">
        <row r="7">
          <cell r="E7" t="str">
            <v>PT NEWCREST SUMATRA MINERALS</v>
          </cell>
        </row>
      </sheetData>
      <sheetData sheetId="1765">
        <row r="7">
          <cell r="E7" t="str">
            <v>PT NEWCREST SUMATRA MINERALS</v>
          </cell>
        </row>
      </sheetData>
      <sheetData sheetId="1766">
        <row r="7">
          <cell r="E7" t="str">
            <v>PT NEWCREST SUMATRA MINERALS</v>
          </cell>
        </row>
      </sheetData>
      <sheetData sheetId="1767">
        <row r="7">
          <cell r="E7" t="str">
            <v>PT NEWCREST SUMATRA MINERALS</v>
          </cell>
        </row>
      </sheetData>
      <sheetData sheetId="1768">
        <row r="7">
          <cell r="E7" t="str">
            <v>PT NEWCREST SUMATRA MINERALS</v>
          </cell>
        </row>
      </sheetData>
      <sheetData sheetId="1769">
        <row r="7">
          <cell r="E7" t="str">
            <v>PT NEWCREST SUMATRA MINERALS</v>
          </cell>
        </row>
      </sheetData>
      <sheetData sheetId="1770">
        <row r="7">
          <cell r="E7" t="str">
            <v>PT NEWCREST SUMATRA MINERALS</v>
          </cell>
        </row>
      </sheetData>
      <sheetData sheetId="1771">
        <row r="7">
          <cell r="E7" t="str">
            <v>PT NEWCREST SUMATRA MINERALS</v>
          </cell>
        </row>
      </sheetData>
      <sheetData sheetId="1772">
        <row r="7">
          <cell r="E7" t="str">
            <v>PT NEWCREST SUMATRA MINERALS</v>
          </cell>
        </row>
      </sheetData>
      <sheetData sheetId="1773">
        <row r="7">
          <cell r="E7" t="str">
            <v>PT NEWCREST SUMATRA MINERALS</v>
          </cell>
        </row>
      </sheetData>
      <sheetData sheetId="1774">
        <row r="7">
          <cell r="E7" t="str">
            <v>PT NEWCREST SUMATRA MINERALS</v>
          </cell>
        </row>
      </sheetData>
      <sheetData sheetId="1775">
        <row r="7">
          <cell r="E7" t="str">
            <v>PT NEWCREST SUMATRA MINERALS</v>
          </cell>
        </row>
      </sheetData>
      <sheetData sheetId="1776">
        <row r="7">
          <cell r="E7" t="str">
            <v>PT NEWCREST SUMATRA MINERALS</v>
          </cell>
        </row>
      </sheetData>
      <sheetData sheetId="1777">
        <row r="7">
          <cell r="E7" t="str">
            <v>PT NEWCREST SUMATRA MINERALS</v>
          </cell>
        </row>
      </sheetData>
      <sheetData sheetId="1778">
        <row r="7">
          <cell r="E7" t="str">
            <v>PT NEWCREST SUMATRA MINERALS</v>
          </cell>
        </row>
      </sheetData>
      <sheetData sheetId="1779">
        <row r="7">
          <cell r="E7" t="str">
            <v>PT NEWCREST SUMATRA MINERALS</v>
          </cell>
        </row>
      </sheetData>
      <sheetData sheetId="1780">
        <row r="7">
          <cell r="E7" t="str">
            <v>PT NEWCREST SUMATRA MINERALS</v>
          </cell>
        </row>
      </sheetData>
      <sheetData sheetId="1781">
        <row r="7">
          <cell r="E7" t="str">
            <v>PT NEWCREST SUMATRA MINERALS</v>
          </cell>
        </row>
      </sheetData>
      <sheetData sheetId="1782">
        <row r="7">
          <cell r="E7" t="str">
            <v>PT NEWCREST SUMATRA MINERALS</v>
          </cell>
        </row>
      </sheetData>
      <sheetData sheetId="1783">
        <row r="7">
          <cell r="E7" t="str">
            <v>PT NEWCREST SUMATRA MINERALS</v>
          </cell>
        </row>
      </sheetData>
      <sheetData sheetId="1784">
        <row r="7">
          <cell r="E7" t="str">
            <v>PT NEWCREST SUMATRA MINERALS</v>
          </cell>
        </row>
      </sheetData>
      <sheetData sheetId="1785">
        <row r="7">
          <cell r="E7" t="str">
            <v>PT NEWCREST SUMATRA MINERALS</v>
          </cell>
        </row>
      </sheetData>
      <sheetData sheetId="1786">
        <row r="7">
          <cell r="E7" t="str">
            <v>PT NEWCREST SUMATRA MINERALS</v>
          </cell>
        </row>
      </sheetData>
      <sheetData sheetId="1787">
        <row r="7">
          <cell r="E7" t="str">
            <v>PT NEWCREST SUMATRA MINERALS</v>
          </cell>
        </row>
      </sheetData>
      <sheetData sheetId="1788">
        <row r="7">
          <cell r="E7" t="str">
            <v>PT NEWCREST SUMATRA MINERALS</v>
          </cell>
        </row>
      </sheetData>
      <sheetData sheetId="1789">
        <row r="7">
          <cell r="E7" t="str">
            <v>PT NEWCREST SUMATRA MINERALS</v>
          </cell>
        </row>
      </sheetData>
      <sheetData sheetId="1790">
        <row r="7">
          <cell r="E7" t="str">
            <v>PT NEWCREST SUMATRA MINERALS</v>
          </cell>
        </row>
      </sheetData>
      <sheetData sheetId="1791">
        <row r="7">
          <cell r="E7" t="str">
            <v>PT NEWCREST SUMATRA MINERALS</v>
          </cell>
        </row>
      </sheetData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/>
      <sheetData sheetId="1804"/>
      <sheetData sheetId="1805"/>
      <sheetData sheetId="1806"/>
      <sheetData sheetId="1807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>
        <row r="31">
          <cell r="R31">
            <v>0</v>
          </cell>
        </row>
      </sheetData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>
        <row r="7">
          <cell r="E7" t="str">
            <v>PT NEWCREST SUMATRA MINERALS</v>
          </cell>
        </row>
      </sheetData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/>
      <sheetData sheetId="1864"/>
      <sheetData sheetId="1865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/>
      <sheetData sheetId="1936"/>
      <sheetData sheetId="1937"/>
      <sheetData sheetId="1938"/>
      <sheetData sheetId="1939"/>
      <sheetData sheetId="1940"/>
      <sheetData sheetId="1941"/>
      <sheetData sheetId="1942">
        <row r="7">
          <cell r="E7" t="str">
            <v>PT NEWCREST SUMATRA MINERALS</v>
          </cell>
        </row>
      </sheetData>
      <sheetData sheetId="1943"/>
      <sheetData sheetId="1944">
        <row r="7">
          <cell r="E7" t="str">
            <v>PT NEWCREST SUMATRA MINERALS</v>
          </cell>
        </row>
      </sheetData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>
        <row r="7">
          <cell r="E7" t="str">
            <v>PT NEWCREST SUMATRA MINERALS</v>
          </cell>
        </row>
      </sheetData>
      <sheetData sheetId="2005" refreshError="1"/>
      <sheetData sheetId="2006">
        <row r="7">
          <cell r="E7" t="str">
            <v>PT NEWCREST SUMATRA MINERALS</v>
          </cell>
        </row>
      </sheetData>
      <sheetData sheetId="2007">
        <row r="7">
          <cell r="E7" t="str">
            <v>PT NEWCREST SUMATRA MINERALS</v>
          </cell>
        </row>
      </sheetData>
      <sheetData sheetId="2008">
        <row r="7">
          <cell r="E7" t="str">
            <v>PT NEWCREST SUMATRA MINERALS</v>
          </cell>
        </row>
      </sheetData>
      <sheetData sheetId="2009">
        <row r="7">
          <cell r="E7" t="str">
            <v>PT NEWCREST SUMATRA MINERALS</v>
          </cell>
        </row>
      </sheetData>
      <sheetData sheetId="2010">
        <row r="7">
          <cell r="E7" t="str">
            <v>PT NEWCREST SUMATRA MINERALS</v>
          </cell>
        </row>
      </sheetData>
      <sheetData sheetId="2011">
        <row r="7">
          <cell r="E7" t="str">
            <v>PT NEWCREST SUMATRA MINERALS</v>
          </cell>
        </row>
      </sheetData>
      <sheetData sheetId="2012">
        <row r="7">
          <cell r="E7" t="str">
            <v>PT NEWCREST SUMATRA MINERALS</v>
          </cell>
        </row>
      </sheetData>
      <sheetData sheetId="2013">
        <row r="7">
          <cell r="E7" t="str">
            <v>PT NEWCREST SUMATRA MINERALS</v>
          </cell>
        </row>
      </sheetData>
      <sheetData sheetId="2014">
        <row r="7">
          <cell r="E7" t="str">
            <v>PT NEWCREST SUMATRA MINERALS</v>
          </cell>
        </row>
      </sheetData>
      <sheetData sheetId="2015">
        <row r="7">
          <cell r="E7" t="str">
            <v>PT NEWCREST SUMATRA MINERALS</v>
          </cell>
        </row>
      </sheetData>
      <sheetData sheetId="2016">
        <row r="7">
          <cell r="E7" t="str">
            <v>PT NEWCREST SUMATRA MINERALS</v>
          </cell>
        </row>
      </sheetData>
      <sheetData sheetId="2017">
        <row r="7">
          <cell r="E7" t="str">
            <v>PT NEWCREST SUMATRA MINERALS</v>
          </cell>
        </row>
      </sheetData>
      <sheetData sheetId="2018">
        <row r="7">
          <cell r="E7" t="str">
            <v>PT NEWCREST SUMATRA MINERALS</v>
          </cell>
        </row>
      </sheetData>
      <sheetData sheetId="2019">
        <row r="7">
          <cell r="E7" t="str">
            <v>PT NEWCREST SUMATRA MINERALS</v>
          </cell>
        </row>
      </sheetData>
      <sheetData sheetId="2020">
        <row r="7">
          <cell r="E7" t="str">
            <v>PT NEWCREST SUMATRA MINERALS</v>
          </cell>
        </row>
      </sheetData>
      <sheetData sheetId="2021">
        <row r="7">
          <cell r="E7" t="str">
            <v>PT NEWCREST SUMATRA MINERALS</v>
          </cell>
        </row>
      </sheetData>
      <sheetData sheetId="2022">
        <row r="7">
          <cell r="E7" t="str">
            <v>PT NEWCREST SUMATRA MINERALS</v>
          </cell>
        </row>
      </sheetData>
      <sheetData sheetId="2023">
        <row r="7">
          <cell r="E7" t="str">
            <v>PT NEWCREST SUMATRA MINERALS</v>
          </cell>
        </row>
      </sheetData>
      <sheetData sheetId="2024">
        <row r="7">
          <cell r="E7" t="str">
            <v>PT NEWCREST SUMATRA MINERALS</v>
          </cell>
        </row>
      </sheetData>
      <sheetData sheetId="2025">
        <row r="7">
          <cell r="E7" t="str">
            <v>PT NEWCREST SUMATRA MINERALS</v>
          </cell>
        </row>
      </sheetData>
      <sheetData sheetId="2026">
        <row r="7">
          <cell r="E7" t="str">
            <v>PT NEWCREST SUMATRA MINERALS</v>
          </cell>
        </row>
      </sheetData>
      <sheetData sheetId="2027">
        <row r="7">
          <cell r="E7" t="str">
            <v>PT NEWCREST SUMATRA MINERALS</v>
          </cell>
        </row>
      </sheetData>
      <sheetData sheetId="2028">
        <row r="7">
          <cell r="E7" t="str">
            <v>PT NEWCREST SUMATRA MINERALS</v>
          </cell>
        </row>
      </sheetData>
      <sheetData sheetId="2029">
        <row r="7">
          <cell r="E7" t="str">
            <v>PT NEWCREST SUMATRA MINERALS</v>
          </cell>
        </row>
      </sheetData>
      <sheetData sheetId="2030">
        <row r="7">
          <cell r="E7" t="str">
            <v>PT NEWCREST SUMATRA MINERALS</v>
          </cell>
        </row>
      </sheetData>
      <sheetData sheetId="2031">
        <row r="7">
          <cell r="E7" t="str">
            <v>PT NEWCREST SUMATRA MINERALS</v>
          </cell>
        </row>
      </sheetData>
      <sheetData sheetId="2032">
        <row r="7">
          <cell r="E7" t="str">
            <v>PT NEWCREST SUMATRA MINERALS</v>
          </cell>
        </row>
      </sheetData>
      <sheetData sheetId="2033">
        <row r="7">
          <cell r="E7" t="str">
            <v>PT NEWCREST SUMATRA MINERALS</v>
          </cell>
        </row>
      </sheetData>
      <sheetData sheetId="2034">
        <row r="7">
          <cell r="E7" t="str">
            <v>PT NEWCREST SUMATRA MINERALS</v>
          </cell>
        </row>
      </sheetData>
      <sheetData sheetId="2035">
        <row r="7">
          <cell r="E7" t="str">
            <v>PT NEWCREST SUMATRA MINERALS</v>
          </cell>
        </row>
      </sheetData>
      <sheetData sheetId="2036">
        <row r="7">
          <cell r="E7" t="str">
            <v>PT NEWCREST SUMATRA MINERALS</v>
          </cell>
        </row>
      </sheetData>
      <sheetData sheetId="2037">
        <row r="7">
          <cell r="E7" t="str">
            <v>PT NEWCREST SUMATRA MINERALS</v>
          </cell>
        </row>
      </sheetData>
      <sheetData sheetId="2038">
        <row r="7">
          <cell r="E7" t="str">
            <v>PT NEWCREST SUMATRA MINERALS</v>
          </cell>
        </row>
      </sheetData>
      <sheetData sheetId="2039">
        <row r="7">
          <cell r="E7" t="str">
            <v>PT NEWCREST SUMATRA MINERALS</v>
          </cell>
        </row>
      </sheetData>
      <sheetData sheetId="2040">
        <row r="7">
          <cell r="E7" t="str">
            <v>PT NEWCREST SUMATRA MINERALS</v>
          </cell>
        </row>
      </sheetData>
      <sheetData sheetId="2041">
        <row r="7">
          <cell r="E7" t="str">
            <v>PT NEWCREST SUMATRA MINERALS</v>
          </cell>
        </row>
      </sheetData>
      <sheetData sheetId="2042">
        <row r="7">
          <cell r="E7" t="str">
            <v>PT NEWCREST SUMATRA MINERALS</v>
          </cell>
        </row>
      </sheetData>
      <sheetData sheetId="2043">
        <row r="7">
          <cell r="E7" t="str">
            <v>PT NEWCREST SUMATRA MINERALS</v>
          </cell>
        </row>
      </sheetData>
      <sheetData sheetId="2044">
        <row r="7">
          <cell r="E7" t="str">
            <v>PT NEWCREST SUMATRA MINERALS</v>
          </cell>
        </row>
      </sheetData>
      <sheetData sheetId="2045">
        <row r="7">
          <cell r="E7" t="str">
            <v>PT NEWCREST SUMATRA MINERALS</v>
          </cell>
        </row>
      </sheetData>
      <sheetData sheetId="2046">
        <row r="7">
          <cell r="E7" t="str">
            <v>PT NEWCREST SUMATRA MINERALS</v>
          </cell>
        </row>
      </sheetData>
      <sheetData sheetId="2047">
        <row r="7">
          <cell r="E7" t="str">
            <v>PT NEWCREST SUMATRA MINERALS</v>
          </cell>
        </row>
      </sheetData>
      <sheetData sheetId="2048">
        <row r="7">
          <cell r="E7" t="str">
            <v>PT NEWCREST SUMATRA MINERALS</v>
          </cell>
        </row>
      </sheetData>
      <sheetData sheetId="2049">
        <row r="7">
          <cell r="E7" t="str">
            <v>PT NEWCREST SUMATRA MINERALS</v>
          </cell>
        </row>
      </sheetData>
      <sheetData sheetId="2050">
        <row r="7">
          <cell r="E7" t="str">
            <v>PT NEWCREST SUMATRA MINERALS</v>
          </cell>
        </row>
      </sheetData>
      <sheetData sheetId="2051">
        <row r="7">
          <cell r="E7" t="str">
            <v>PT NEWCREST SUMATRA MINERALS</v>
          </cell>
        </row>
      </sheetData>
      <sheetData sheetId="2052">
        <row r="7">
          <cell r="E7" t="str">
            <v>PT NEWCREST SUMATRA MINERALS</v>
          </cell>
        </row>
      </sheetData>
      <sheetData sheetId="2053">
        <row r="7">
          <cell r="E7" t="str">
            <v>PT NEWCREST SUMATRA MINERALS</v>
          </cell>
        </row>
      </sheetData>
      <sheetData sheetId="2054">
        <row r="7">
          <cell r="E7" t="str">
            <v>PT NEWCREST SUMATRA MINERALS</v>
          </cell>
        </row>
      </sheetData>
      <sheetData sheetId="2055">
        <row r="7">
          <cell r="E7" t="str">
            <v>PT NEWCREST SUMATRA MINERALS</v>
          </cell>
        </row>
      </sheetData>
      <sheetData sheetId="2056">
        <row r="7">
          <cell r="E7" t="str">
            <v>PT NEWCREST SUMATRA MINERALS</v>
          </cell>
        </row>
      </sheetData>
      <sheetData sheetId="2057">
        <row r="7">
          <cell r="E7" t="str">
            <v>PT NEWCREST SUMATRA MINERALS</v>
          </cell>
        </row>
      </sheetData>
      <sheetData sheetId="2058">
        <row r="7">
          <cell r="E7" t="str">
            <v>PT NEWCREST SUMATRA MINERALS</v>
          </cell>
        </row>
      </sheetData>
      <sheetData sheetId="2059">
        <row r="7">
          <cell r="E7" t="str">
            <v>PT NEWCREST SUMATRA MINERALS</v>
          </cell>
        </row>
      </sheetData>
      <sheetData sheetId="2060">
        <row r="7">
          <cell r="E7" t="str">
            <v>PT NEWCREST SUMATRA MINERALS</v>
          </cell>
        </row>
      </sheetData>
      <sheetData sheetId="2061">
        <row r="7">
          <cell r="E7" t="str">
            <v>PT NEWCREST SUMATRA MINERALS</v>
          </cell>
        </row>
      </sheetData>
      <sheetData sheetId="2062">
        <row r="7">
          <cell r="E7" t="str">
            <v>PT NEWCREST SUMATRA MINERALS</v>
          </cell>
        </row>
      </sheetData>
      <sheetData sheetId="2063">
        <row r="7">
          <cell r="E7" t="str">
            <v>PT NEWCREST SUMATRA MINERALS</v>
          </cell>
        </row>
      </sheetData>
      <sheetData sheetId="2064">
        <row r="7">
          <cell r="E7" t="str">
            <v>PT NEWCREST SUMATRA MINERALS</v>
          </cell>
        </row>
      </sheetData>
      <sheetData sheetId="2065">
        <row r="7">
          <cell r="E7" t="str">
            <v>PT NEWCREST SUMATRA MINERALS</v>
          </cell>
        </row>
      </sheetData>
      <sheetData sheetId="2066">
        <row r="7">
          <cell r="E7" t="str">
            <v>PT NEWCREST SUMATRA MINERALS</v>
          </cell>
        </row>
      </sheetData>
      <sheetData sheetId="2067">
        <row r="7">
          <cell r="E7" t="str">
            <v>PT NEWCREST SUMATRA MINERALS</v>
          </cell>
        </row>
      </sheetData>
      <sheetData sheetId="2068">
        <row r="7">
          <cell r="E7" t="str">
            <v>PT NEWCREST SUMATRA MINERALS</v>
          </cell>
        </row>
      </sheetData>
      <sheetData sheetId="2069">
        <row r="7">
          <cell r="E7" t="str">
            <v>PT NEWCREST SUMATRA MINERALS</v>
          </cell>
        </row>
      </sheetData>
      <sheetData sheetId="2070">
        <row r="7">
          <cell r="E7" t="str">
            <v>PT NEWCREST SUMATRA MINERALS</v>
          </cell>
        </row>
      </sheetData>
      <sheetData sheetId="2071">
        <row r="7">
          <cell r="E7" t="str">
            <v>PT NEWCREST SUMATRA MINERALS</v>
          </cell>
        </row>
      </sheetData>
      <sheetData sheetId="2072">
        <row r="7">
          <cell r="E7" t="str">
            <v>PT NEWCREST SUMATRA MINERALS</v>
          </cell>
        </row>
      </sheetData>
      <sheetData sheetId="2073">
        <row r="7">
          <cell r="E7" t="str">
            <v>PT NEWCREST SUMATRA MINERALS</v>
          </cell>
        </row>
      </sheetData>
      <sheetData sheetId="2074">
        <row r="7">
          <cell r="E7" t="str">
            <v>PT NEWCREST SUMATRA MINERALS</v>
          </cell>
        </row>
      </sheetData>
      <sheetData sheetId="2075">
        <row r="7">
          <cell r="E7" t="str">
            <v>PT NEWCREST SUMATRA MINERALS</v>
          </cell>
        </row>
      </sheetData>
      <sheetData sheetId="2076">
        <row r="7">
          <cell r="E7" t="str">
            <v>PT NEWCREST SUMATRA MINERALS</v>
          </cell>
        </row>
      </sheetData>
      <sheetData sheetId="2077">
        <row r="7">
          <cell r="E7" t="str">
            <v>PT NEWCREST SUMATRA MINERALS</v>
          </cell>
        </row>
      </sheetData>
      <sheetData sheetId="2078">
        <row r="7">
          <cell r="E7" t="str">
            <v>PT NEWCREST SUMATRA MINERALS</v>
          </cell>
        </row>
      </sheetData>
      <sheetData sheetId="2079">
        <row r="7">
          <cell r="E7" t="str">
            <v>PT NEWCREST SUMATRA MINERALS</v>
          </cell>
        </row>
      </sheetData>
      <sheetData sheetId="2080">
        <row r="7">
          <cell r="E7" t="str">
            <v>PT NEWCREST SUMATRA MINERALS</v>
          </cell>
        </row>
      </sheetData>
      <sheetData sheetId="2081">
        <row r="7">
          <cell r="E7" t="str">
            <v>PT NEWCREST SUMATRA MINERALS</v>
          </cell>
        </row>
      </sheetData>
      <sheetData sheetId="2082">
        <row r="7">
          <cell r="E7" t="str">
            <v>PT NEWCREST SUMATRA MINERALS</v>
          </cell>
        </row>
      </sheetData>
      <sheetData sheetId="2083">
        <row r="7">
          <cell r="E7" t="str">
            <v>PT NEWCREST SUMATRA MINERALS</v>
          </cell>
        </row>
      </sheetData>
      <sheetData sheetId="2084">
        <row r="7">
          <cell r="E7" t="str">
            <v>PT NEWCREST SUMATRA MINERALS</v>
          </cell>
        </row>
      </sheetData>
      <sheetData sheetId="2085">
        <row r="7">
          <cell r="E7" t="str">
            <v>PT NEWCREST SUMATRA MINERALS</v>
          </cell>
        </row>
      </sheetData>
      <sheetData sheetId="2086">
        <row r="7">
          <cell r="E7" t="str">
            <v>PT NEWCREST SUMATRA MINERALS</v>
          </cell>
        </row>
      </sheetData>
      <sheetData sheetId="2087">
        <row r="7">
          <cell r="E7" t="str">
            <v>PT NEWCREST SUMATRA MINERALS</v>
          </cell>
        </row>
      </sheetData>
      <sheetData sheetId="2088">
        <row r="7">
          <cell r="E7" t="str">
            <v>PT NEWCREST SUMATRA MINERALS</v>
          </cell>
        </row>
      </sheetData>
      <sheetData sheetId="2089">
        <row r="7">
          <cell r="E7" t="str">
            <v>PT NEWCREST SUMATRA MINERALS</v>
          </cell>
        </row>
      </sheetData>
      <sheetData sheetId="2090">
        <row r="7">
          <cell r="E7" t="str">
            <v>PT NEWCREST SUMATRA MINERALS</v>
          </cell>
        </row>
      </sheetData>
      <sheetData sheetId="2091">
        <row r="7">
          <cell r="E7" t="str">
            <v>PT NEWCREST SUMATRA MINERALS</v>
          </cell>
        </row>
      </sheetData>
      <sheetData sheetId="2092">
        <row r="7">
          <cell r="E7" t="str">
            <v>PT NEWCREST SUMATRA MINERALS</v>
          </cell>
        </row>
      </sheetData>
      <sheetData sheetId="2093">
        <row r="7">
          <cell r="E7" t="str">
            <v>PT NEWCREST SUMATRA MINERALS</v>
          </cell>
        </row>
      </sheetData>
      <sheetData sheetId="2094">
        <row r="7">
          <cell r="E7" t="str">
            <v>PT NEWCREST SUMATRA MINERALS</v>
          </cell>
        </row>
      </sheetData>
      <sheetData sheetId="2095">
        <row r="7">
          <cell r="E7" t="str">
            <v>PT NEWCREST SUMATRA MINERALS</v>
          </cell>
        </row>
      </sheetData>
      <sheetData sheetId="2096">
        <row r="7">
          <cell r="E7" t="str">
            <v>PT NEWCREST SUMATRA MINERALS</v>
          </cell>
        </row>
      </sheetData>
      <sheetData sheetId="2097">
        <row r="7">
          <cell r="E7" t="str">
            <v>PT NEWCREST SUMATRA MINERALS</v>
          </cell>
        </row>
      </sheetData>
      <sheetData sheetId="2098">
        <row r="7">
          <cell r="E7" t="str">
            <v>PT NEWCREST SUMATRA MINERALS</v>
          </cell>
        </row>
      </sheetData>
      <sheetData sheetId="2099">
        <row r="7">
          <cell r="E7" t="str">
            <v>PT NEWCREST SUMATRA MINERALS</v>
          </cell>
        </row>
      </sheetData>
      <sheetData sheetId="2100">
        <row r="7">
          <cell r="E7" t="str">
            <v>PT NEWCREST SUMATRA MINERALS</v>
          </cell>
        </row>
      </sheetData>
      <sheetData sheetId="2101">
        <row r="7">
          <cell r="E7" t="str">
            <v>PT NEWCREST SUMATRA MINERALS</v>
          </cell>
        </row>
      </sheetData>
      <sheetData sheetId="2102">
        <row r="7">
          <cell r="E7" t="str">
            <v>PT NEWCREST SUMATRA MINERALS</v>
          </cell>
        </row>
      </sheetData>
      <sheetData sheetId="2103">
        <row r="7">
          <cell r="E7" t="str">
            <v>PT NEWCREST SUMATRA MINERALS</v>
          </cell>
        </row>
      </sheetData>
      <sheetData sheetId="2104">
        <row r="7">
          <cell r="E7" t="str">
            <v>PT NEWCREST SUMATRA MINERALS</v>
          </cell>
        </row>
      </sheetData>
      <sheetData sheetId="2105">
        <row r="7">
          <cell r="E7" t="str">
            <v>PT NEWCREST SUMATRA MINERALS</v>
          </cell>
        </row>
      </sheetData>
      <sheetData sheetId="2106">
        <row r="7">
          <cell r="E7" t="str">
            <v>PT NEWCREST SUMATRA MINERALS</v>
          </cell>
        </row>
      </sheetData>
      <sheetData sheetId="2107">
        <row r="7">
          <cell r="E7" t="str">
            <v>PT NEWCREST SUMATRA MINERALS</v>
          </cell>
        </row>
      </sheetData>
      <sheetData sheetId="2108">
        <row r="7">
          <cell r="E7" t="str">
            <v>PT NEWCREST SUMATRA MINERALS</v>
          </cell>
        </row>
      </sheetData>
      <sheetData sheetId="2109">
        <row r="7">
          <cell r="E7" t="str">
            <v>PT NEWCREST SUMATRA MINERALS</v>
          </cell>
        </row>
      </sheetData>
      <sheetData sheetId="2110">
        <row r="7">
          <cell r="E7" t="str">
            <v>PT NEWCREST SUMATRA MINERALS</v>
          </cell>
        </row>
      </sheetData>
      <sheetData sheetId="2111">
        <row r="7">
          <cell r="E7" t="str">
            <v>PT NEWCREST SUMATRA MINERALS</v>
          </cell>
        </row>
      </sheetData>
      <sheetData sheetId="2112">
        <row r="7">
          <cell r="E7" t="str">
            <v>PT NEWCREST SUMATRA MINERALS</v>
          </cell>
        </row>
      </sheetData>
      <sheetData sheetId="2113">
        <row r="7">
          <cell r="E7" t="str">
            <v>PT NEWCREST SUMATRA MINERALS</v>
          </cell>
        </row>
      </sheetData>
      <sheetData sheetId="2114">
        <row r="7">
          <cell r="E7" t="str">
            <v>PT NEWCREST SUMATRA MINERALS</v>
          </cell>
        </row>
      </sheetData>
      <sheetData sheetId="2115">
        <row r="7">
          <cell r="E7" t="str">
            <v>PT NEWCREST SUMATRA MINERALS</v>
          </cell>
        </row>
      </sheetData>
      <sheetData sheetId="2116">
        <row r="7">
          <cell r="E7" t="str">
            <v>PT NEWCREST SUMATRA MINERALS</v>
          </cell>
        </row>
      </sheetData>
      <sheetData sheetId="2117">
        <row r="7">
          <cell r="E7" t="str">
            <v>PT NEWCREST SUMATRA MINERALS</v>
          </cell>
        </row>
      </sheetData>
      <sheetData sheetId="2118">
        <row r="7">
          <cell r="E7" t="str">
            <v>PT NEWCREST SUMATRA MINERALS</v>
          </cell>
        </row>
      </sheetData>
      <sheetData sheetId="2119">
        <row r="7">
          <cell r="E7" t="str">
            <v>PT NEWCREST SUMATRA MINERALS</v>
          </cell>
        </row>
      </sheetData>
      <sheetData sheetId="2120">
        <row r="7">
          <cell r="E7" t="str">
            <v>PT NEWCREST SUMATRA MINERALS</v>
          </cell>
        </row>
      </sheetData>
      <sheetData sheetId="2121">
        <row r="7">
          <cell r="E7" t="str">
            <v>PT NEWCREST SUMATRA MINERALS</v>
          </cell>
        </row>
      </sheetData>
      <sheetData sheetId="2122">
        <row r="7">
          <cell r="E7" t="str">
            <v>PT NEWCREST SUMATRA MINERALS</v>
          </cell>
        </row>
      </sheetData>
      <sheetData sheetId="2123">
        <row r="7">
          <cell r="E7" t="str">
            <v>PT NEWCREST SUMATRA MINERALS</v>
          </cell>
        </row>
      </sheetData>
      <sheetData sheetId="2124">
        <row r="7">
          <cell r="E7" t="str">
            <v>PT NEWCREST SUMATRA MINERALS</v>
          </cell>
        </row>
      </sheetData>
      <sheetData sheetId="2125">
        <row r="7">
          <cell r="E7" t="str">
            <v>PT NEWCREST SUMATRA MINERALS</v>
          </cell>
        </row>
      </sheetData>
      <sheetData sheetId="2126">
        <row r="7">
          <cell r="E7" t="str">
            <v>PT NEWCREST SUMATRA MINERALS</v>
          </cell>
        </row>
      </sheetData>
      <sheetData sheetId="2127">
        <row r="7">
          <cell r="E7" t="str">
            <v>PT NEWCREST SUMATRA MINERALS</v>
          </cell>
        </row>
      </sheetData>
      <sheetData sheetId="2128">
        <row r="7">
          <cell r="E7" t="str">
            <v>PT NEWCREST SUMATRA MINERALS</v>
          </cell>
        </row>
      </sheetData>
      <sheetData sheetId="2129">
        <row r="7">
          <cell r="E7" t="str">
            <v>PT NEWCREST SUMATRA MINERALS</v>
          </cell>
        </row>
      </sheetData>
      <sheetData sheetId="2130">
        <row r="7">
          <cell r="E7" t="str">
            <v>PT NEWCREST SUMATRA MINERALS</v>
          </cell>
        </row>
      </sheetData>
      <sheetData sheetId="2131">
        <row r="7">
          <cell r="E7" t="str">
            <v>PT NEWCREST SUMATRA MINERALS</v>
          </cell>
        </row>
      </sheetData>
      <sheetData sheetId="2132">
        <row r="7">
          <cell r="E7" t="str">
            <v>PT NEWCREST SUMATRA MINERALS</v>
          </cell>
        </row>
      </sheetData>
      <sheetData sheetId="2133">
        <row r="7">
          <cell r="E7" t="str">
            <v>PT NEWCREST SUMATRA MINERALS</v>
          </cell>
        </row>
      </sheetData>
      <sheetData sheetId="2134">
        <row r="7">
          <cell r="E7" t="str">
            <v>PT NEWCREST SUMATRA MINERALS</v>
          </cell>
        </row>
      </sheetData>
      <sheetData sheetId="2135">
        <row r="7">
          <cell r="E7" t="str">
            <v>PT NEWCREST SUMATRA MINERALS</v>
          </cell>
        </row>
      </sheetData>
      <sheetData sheetId="2136">
        <row r="7">
          <cell r="E7" t="str">
            <v>PT NEWCREST SUMATRA MINERALS</v>
          </cell>
        </row>
      </sheetData>
      <sheetData sheetId="2137">
        <row r="7">
          <cell r="E7" t="str">
            <v>PT NEWCREST SUMATRA MINERALS</v>
          </cell>
        </row>
      </sheetData>
      <sheetData sheetId="2138">
        <row r="7">
          <cell r="E7" t="str">
            <v>PT NEWCREST SUMATRA MINERALS</v>
          </cell>
        </row>
      </sheetData>
      <sheetData sheetId="2139">
        <row r="7">
          <cell r="E7" t="str">
            <v>PT NEWCREST SUMATRA MINERALS</v>
          </cell>
        </row>
      </sheetData>
      <sheetData sheetId="2140">
        <row r="7">
          <cell r="E7" t="str">
            <v>PT NEWCREST SUMATRA MINERALS</v>
          </cell>
        </row>
      </sheetData>
      <sheetData sheetId="2141">
        <row r="7">
          <cell r="E7" t="str">
            <v>PT NEWCREST SUMATRA MINERALS</v>
          </cell>
        </row>
      </sheetData>
      <sheetData sheetId="2142">
        <row r="7">
          <cell r="E7" t="str">
            <v>PT NEWCREST SUMATRA MINERALS</v>
          </cell>
        </row>
      </sheetData>
      <sheetData sheetId="2143">
        <row r="7">
          <cell r="E7" t="str">
            <v>PT NEWCREST SUMATRA MINERALS</v>
          </cell>
        </row>
      </sheetData>
      <sheetData sheetId="2144">
        <row r="7">
          <cell r="E7" t="str">
            <v>PT NEWCREST SUMATRA MINERALS</v>
          </cell>
        </row>
      </sheetData>
      <sheetData sheetId="2145">
        <row r="7">
          <cell r="E7" t="str">
            <v>PT NEWCREST SUMATRA MINERALS</v>
          </cell>
        </row>
      </sheetData>
      <sheetData sheetId="2146">
        <row r="7">
          <cell r="E7" t="str">
            <v>PT NEWCREST SUMATRA MINERALS</v>
          </cell>
        </row>
      </sheetData>
      <sheetData sheetId="2147">
        <row r="7">
          <cell r="E7" t="str">
            <v>PT NEWCREST SUMATRA MINERALS</v>
          </cell>
        </row>
      </sheetData>
      <sheetData sheetId="2148">
        <row r="7">
          <cell r="E7" t="str">
            <v>PT NEWCREST SUMATRA MINERALS</v>
          </cell>
        </row>
      </sheetData>
      <sheetData sheetId="2149">
        <row r="7">
          <cell r="E7" t="str">
            <v>PT NEWCREST SUMATRA MINERALS</v>
          </cell>
        </row>
      </sheetData>
      <sheetData sheetId="2150">
        <row r="7">
          <cell r="E7" t="str">
            <v>PT NEWCREST SUMATRA MINERALS</v>
          </cell>
        </row>
      </sheetData>
      <sheetData sheetId="2151">
        <row r="7">
          <cell r="E7" t="str">
            <v>PT NEWCREST SUMATRA MINERALS</v>
          </cell>
        </row>
      </sheetData>
      <sheetData sheetId="2152">
        <row r="7">
          <cell r="E7" t="str">
            <v>PT NEWCREST SUMATRA MINERALS</v>
          </cell>
        </row>
      </sheetData>
      <sheetData sheetId="2153">
        <row r="7">
          <cell r="E7" t="str">
            <v>PT NEWCREST SUMATRA MINERALS</v>
          </cell>
        </row>
      </sheetData>
      <sheetData sheetId="2154">
        <row r="7">
          <cell r="E7" t="str">
            <v>PT NEWCREST SUMATRA MINERALS</v>
          </cell>
        </row>
      </sheetData>
      <sheetData sheetId="2155">
        <row r="7">
          <cell r="E7" t="str">
            <v>PT NEWCREST SUMATRA MINERALS</v>
          </cell>
        </row>
      </sheetData>
      <sheetData sheetId="2156">
        <row r="7">
          <cell r="E7" t="str">
            <v>PT NEWCREST SUMATRA MINERALS</v>
          </cell>
        </row>
      </sheetData>
      <sheetData sheetId="2157">
        <row r="7">
          <cell r="E7" t="str">
            <v>PT NEWCREST SUMATRA MINERALS</v>
          </cell>
        </row>
      </sheetData>
      <sheetData sheetId="2158">
        <row r="7">
          <cell r="E7" t="str">
            <v>PT NEWCREST SUMATRA MINERALS</v>
          </cell>
        </row>
      </sheetData>
      <sheetData sheetId="2159">
        <row r="7">
          <cell r="E7" t="str">
            <v>PT NEWCREST SUMATRA MINERALS</v>
          </cell>
        </row>
      </sheetData>
      <sheetData sheetId="2160">
        <row r="7">
          <cell r="E7" t="str">
            <v>PT NEWCREST SUMATRA MINERALS</v>
          </cell>
        </row>
      </sheetData>
      <sheetData sheetId="2161">
        <row r="7">
          <cell r="E7" t="str">
            <v>PT NEWCREST SUMATRA MINERALS</v>
          </cell>
        </row>
      </sheetData>
      <sheetData sheetId="2162">
        <row r="7">
          <cell r="E7" t="str">
            <v>PT NEWCREST SUMATRA MINERALS</v>
          </cell>
        </row>
      </sheetData>
      <sheetData sheetId="2163">
        <row r="7">
          <cell r="E7" t="str">
            <v>PT NEWCREST SUMATRA MINERALS</v>
          </cell>
        </row>
      </sheetData>
      <sheetData sheetId="2164">
        <row r="7">
          <cell r="E7" t="str">
            <v>PT NEWCREST SUMATRA MINERALS</v>
          </cell>
        </row>
      </sheetData>
      <sheetData sheetId="2165">
        <row r="7">
          <cell r="E7" t="str">
            <v>PT NEWCREST SUMATRA MINERALS</v>
          </cell>
        </row>
      </sheetData>
      <sheetData sheetId="2166">
        <row r="7">
          <cell r="E7" t="str">
            <v>PT NEWCREST SUMATRA MINERALS</v>
          </cell>
        </row>
      </sheetData>
      <sheetData sheetId="2167">
        <row r="7">
          <cell r="E7" t="str">
            <v>PT NEWCREST SUMATRA MINERALS</v>
          </cell>
        </row>
      </sheetData>
      <sheetData sheetId="2168">
        <row r="7">
          <cell r="E7" t="str">
            <v>PT NEWCREST SUMATRA MINERALS</v>
          </cell>
        </row>
      </sheetData>
      <sheetData sheetId="2169">
        <row r="7">
          <cell r="E7" t="str">
            <v>PT NEWCREST SUMATRA MINERALS</v>
          </cell>
        </row>
      </sheetData>
      <sheetData sheetId="2170">
        <row r="7">
          <cell r="E7" t="str">
            <v>PT NEWCREST SUMATRA MINERALS</v>
          </cell>
        </row>
      </sheetData>
      <sheetData sheetId="2171">
        <row r="7">
          <cell r="E7" t="str">
            <v>PT NEWCREST SUMATRA MINERALS</v>
          </cell>
        </row>
      </sheetData>
      <sheetData sheetId="2172">
        <row r="7">
          <cell r="E7" t="str">
            <v>PT NEWCREST SUMATRA MINERALS</v>
          </cell>
        </row>
      </sheetData>
      <sheetData sheetId="2173">
        <row r="7">
          <cell r="E7" t="str">
            <v>PT NEWCREST SUMATRA MINERALS</v>
          </cell>
        </row>
      </sheetData>
      <sheetData sheetId="2174">
        <row r="7">
          <cell r="E7" t="str">
            <v>PT NEWCREST SUMATRA MINERALS</v>
          </cell>
        </row>
      </sheetData>
      <sheetData sheetId="2175">
        <row r="7">
          <cell r="E7" t="str">
            <v>PT NEWCREST SUMATRA MINERALS</v>
          </cell>
        </row>
      </sheetData>
      <sheetData sheetId="2176">
        <row r="7">
          <cell r="E7" t="str">
            <v>PT NEWCREST SUMATRA MINERALS</v>
          </cell>
        </row>
      </sheetData>
      <sheetData sheetId="2177">
        <row r="7">
          <cell r="E7" t="str">
            <v>PT NEWCREST SUMATRA MINERALS</v>
          </cell>
        </row>
      </sheetData>
      <sheetData sheetId="2178">
        <row r="7">
          <cell r="E7" t="str">
            <v>PT NEWCREST SUMATRA MINERALS</v>
          </cell>
        </row>
      </sheetData>
      <sheetData sheetId="2179">
        <row r="7">
          <cell r="E7" t="str">
            <v>PT NEWCREST SUMATRA MINERALS</v>
          </cell>
        </row>
      </sheetData>
      <sheetData sheetId="2180">
        <row r="7">
          <cell r="E7" t="str">
            <v>PT NEWCREST SUMATRA MINERALS</v>
          </cell>
        </row>
      </sheetData>
      <sheetData sheetId="2181">
        <row r="7">
          <cell r="E7" t="str">
            <v>PT NEWCREST SUMATRA MINERALS</v>
          </cell>
        </row>
      </sheetData>
      <sheetData sheetId="2182">
        <row r="7">
          <cell r="E7" t="str">
            <v>PT NEWCREST SUMATRA MINERALS</v>
          </cell>
        </row>
      </sheetData>
      <sheetData sheetId="2183">
        <row r="7">
          <cell r="E7" t="str">
            <v>PT NEWCREST SUMATRA MINERALS</v>
          </cell>
        </row>
      </sheetData>
      <sheetData sheetId="2184">
        <row r="7">
          <cell r="E7" t="str">
            <v>PT NEWCREST SUMATRA MINERALS</v>
          </cell>
        </row>
      </sheetData>
      <sheetData sheetId="2185">
        <row r="7">
          <cell r="E7" t="str">
            <v>PT NEWCREST SUMATRA MINERALS</v>
          </cell>
        </row>
      </sheetData>
      <sheetData sheetId="2186">
        <row r="7">
          <cell r="E7" t="str">
            <v>PT NEWCREST SUMATRA MINERALS</v>
          </cell>
        </row>
      </sheetData>
      <sheetData sheetId="2187">
        <row r="7">
          <cell r="E7" t="str">
            <v>PT NEWCREST SUMATRA MINERALS</v>
          </cell>
        </row>
      </sheetData>
      <sheetData sheetId="2188">
        <row r="7">
          <cell r="E7" t="str">
            <v>PT NEWCREST SUMATRA MINERALS</v>
          </cell>
        </row>
      </sheetData>
      <sheetData sheetId="2189">
        <row r="7">
          <cell r="E7" t="str">
            <v>PT NEWCREST SUMATRA MINERALS</v>
          </cell>
        </row>
      </sheetData>
      <sheetData sheetId="2190">
        <row r="7">
          <cell r="E7" t="str">
            <v>PT NEWCREST SUMATRA MINERALS</v>
          </cell>
        </row>
      </sheetData>
      <sheetData sheetId="2191">
        <row r="7">
          <cell r="E7" t="str">
            <v>PT NEWCREST SUMATRA MINERALS</v>
          </cell>
        </row>
      </sheetData>
      <sheetData sheetId="2192">
        <row r="7">
          <cell r="E7" t="str">
            <v>PT NEWCREST SUMATRA MINERALS</v>
          </cell>
        </row>
      </sheetData>
      <sheetData sheetId="2193">
        <row r="7">
          <cell r="E7" t="str">
            <v>PT NEWCREST SUMATRA MINERALS</v>
          </cell>
        </row>
      </sheetData>
      <sheetData sheetId="2194">
        <row r="7">
          <cell r="E7" t="str">
            <v>PT NEWCREST SUMATRA MINERALS</v>
          </cell>
        </row>
      </sheetData>
      <sheetData sheetId="2195">
        <row r="7">
          <cell r="E7" t="str">
            <v>PT NEWCREST SUMATRA MINERALS</v>
          </cell>
        </row>
      </sheetData>
      <sheetData sheetId="2196">
        <row r="7">
          <cell r="E7" t="str">
            <v>PT NEWCREST SUMATRA MINERALS</v>
          </cell>
        </row>
      </sheetData>
      <sheetData sheetId="2197">
        <row r="7">
          <cell r="E7" t="str">
            <v>PT NEWCREST SUMATRA MINERALS</v>
          </cell>
        </row>
      </sheetData>
      <sheetData sheetId="2198">
        <row r="7">
          <cell r="E7" t="str">
            <v>PT NEWCREST SUMATRA MINERALS</v>
          </cell>
        </row>
      </sheetData>
      <sheetData sheetId="2199">
        <row r="7">
          <cell r="E7" t="str">
            <v>PT NEWCREST SUMATRA MINERALS</v>
          </cell>
        </row>
      </sheetData>
      <sheetData sheetId="2200">
        <row r="7">
          <cell r="E7" t="str">
            <v>PT NEWCREST SUMATRA MINERALS</v>
          </cell>
        </row>
      </sheetData>
      <sheetData sheetId="2201">
        <row r="7">
          <cell r="E7" t="str">
            <v>PT NEWCREST SUMATRA MINERALS</v>
          </cell>
        </row>
      </sheetData>
      <sheetData sheetId="2202">
        <row r="7">
          <cell r="E7" t="str">
            <v>PT NEWCREST SUMATRA MINERALS</v>
          </cell>
        </row>
      </sheetData>
      <sheetData sheetId="2203">
        <row r="7">
          <cell r="E7" t="str">
            <v>PT NEWCREST SUMATRA MINERALS</v>
          </cell>
        </row>
      </sheetData>
      <sheetData sheetId="2204">
        <row r="7">
          <cell r="E7" t="str">
            <v>PT NEWCREST SUMATRA MINERALS</v>
          </cell>
        </row>
      </sheetData>
      <sheetData sheetId="2205">
        <row r="7">
          <cell r="E7" t="str">
            <v>PT NEWCREST SUMATRA MINERALS</v>
          </cell>
        </row>
      </sheetData>
      <sheetData sheetId="2206">
        <row r="7">
          <cell r="E7" t="str">
            <v>PT NEWCREST SUMATRA MINERALS</v>
          </cell>
        </row>
      </sheetData>
      <sheetData sheetId="2207">
        <row r="7">
          <cell r="E7" t="str">
            <v>PT NEWCREST SUMATRA MINERALS</v>
          </cell>
        </row>
      </sheetData>
      <sheetData sheetId="2208">
        <row r="7">
          <cell r="E7" t="str">
            <v>PT NEWCREST SUMATRA MINERALS</v>
          </cell>
        </row>
      </sheetData>
      <sheetData sheetId="2209">
        <row r="7">
          <cell r="E7" t="str">
            <v>PT NEWCREST SUMATRA MINERALS</v>
          </cell>
        </row>
      </sheetData>
      <sheetData sheetId="2210">
        <row r="7">
          <cell r="E7" t="str">
            <v>PT NEWCREST SUMATRA MINERALS</v>
          </cell>
        </row>
      </sheetData>
      <sheetData sheetId="2211">
        <row r="7">
          <cell r="E7" t="str">
            <v>PT NEWCREST SUMATRA MINERALS</v>
          </cell>
        </row>
      </sheetData>
      <sheetData sheetId="2212">
        <row r="7">
          <cell r="E7" t="str">
            <v>PT NEWCREST SUMATRA MINERALS</v>
          </cell>
        </row>
      </sheetData>
      <sheetData sheetId="2213">
        <row r="7">
          <cell r="E7" t="str">
            <v>PT NEWCREST SUMATRA MINERALS</v>
          </cell>
        </row>
      </sheetData>
      <sheetData sheetId="2214">
        <row r="7">
          <cell r="E7" t="str">
            <v>PT NEWCREST SUMATRA MINERALS</v>
          </cell>
        </row>
      </sheetData>
      <sheetData sheetId="2215">
        <row r="7">
          <cell r="E7" t="str">
            <v>PT NEWCREST SUMATRA MINERALS</v>
          </cell>
        </row>
      </sheetData>
      <sheetData sheetId="2216">
        <row r="7">
          <cell r="E7" t="str">
            <v>PT NEWCREST SUMATRA MINERALS</v>
          </cell>
        </row>
      </sheetData>
      <sheetData sheetId="2217">
        <row r="7">
          <cell r="E7" t="str">
            <v>PT NEWCREST SUMATRA MINERALS</v>
          </cell>
        </row>
      </sheetData>
      <sheetData sheetId="2218">
        <row r="7">
          <cell r="E7" t="str">
            <v>PT NEWCREST SUMATRA MINERALS</v>
          </cell>
        </row>
      </sheetData>
      <sheetData sheetId="2219">
        <row r="7">
          <cell r="E7" t="str">
            <v>PT NEWCREST SUMATRA MINERALS</v>
          </cell>
        </row>
      </sheetData>
      <sheetData sheetId="2220">
        <row r="7">
          <cell r="E7" t="str">
            <v>PT NEWCREST SUMATRA MINERALS</v>
          </cell>
        </row>
      </sheetData>
      <sheetData sheetId="2221">
        <row r="7">
          <cell r="E7" t="str">
            <v>PT NEWCREST SUMATRA MINERALS</v>
          </cell>
        </row>
      </sheetData>
      <sheetData sheetId="2222">
        <row r="7">
          <cell r="E7" t="str">
            <v>PT NEWCREST SUMATRA MINERALS</v>
          </cell>
        </row>
      </sheetData>
      <sheetData sheetId="2223">
        <row r="7">
          <cell r="E7" t="str">
            <v>PT NEWCREST SUMATRA MINERALS</v>
          </cell>
        </row>
      </sheetData>
      <sheetData sheetId="2224">
        <row r="7">
          <cell r="E7" t="str">
            <v>PT NEWCREST SUMATRA MINERALS</v>
          </cell>
        </row>
      </sheetData>
      <sheetData sheetId="2225">
        <row r="7">
          <cell r="E7" t="str">
            <v>PT NEWCREST SUMATRA MINERALS</v>
          </cell>
        </row>
      </sheetData>
      <sheetData sheetId="2226">
        <row r="7">
          <cell r="E7" t="str">
            <v>PT NEWCREST SUMATRA MINERALS</v>
          </cell>
        </row>
      </sheetData>
      <sheetData sheetId="2227">
        <row r="7">
          <cell r="E7" t="str">
            <v>PT NEWCREST SUMATRA MINERALS</v>
          </cell>
        </row>
      </sheetData>
      <sheetData sheetId="2228">
        <row r="7">
          <cell r="E7" t="str">
            <v>PT NEWCREST SUMATRA MINERALS</v>
          </cell>
        </row>
      </sheetData>
      <sheetData sheetId="2229">
        <row r="7">
          <cell r="E7" t="str">
            <v>PT NEWCREST SUMATRA MINERALS</v>
          </cell>
        </row>
      </sheetData>
      <sheetData sheetId="2230">
        <row r="7">
          <cell r="E7" t="str">
            <v>PT NEWCREST SUMATRA MINERALS</v>
          </cell>
        </row>
      </sheetData>
      <sheetData sheetId="2231">
        <row r="7">
          <cell r="E7" t="str">
            <v>PT NEWCREST SUMATRA MINERALS</v>
          </cell>
        </row>
      </sheetData>
      <sheetData sheetId="2232">
        <row r="7">
          <cell r="E7" t="str">
            <v>PT NEWCREST SUMATRA MINERALS</v>
          </cell>
        </row>
      </sheetData>
      <sheetData sheetId="2233">
        <row r="7">
          <cell r="E7" t="str">
            <v>PT NEWCREST SUMATRA MINERALS</v>
          </cell>
        </row>
      </sheetData>
      <sheetData sheetId="2234">
        <row r="7">
          <cell r="E7" t="str">
            <v>PT NEWCREST SUMATRA MINERALS</v>
          </cell>
        </row>
      </sheetData>
      <sheetData sheetId="2235">
        <row r="7">
          <cell r="E7" t="str">
            <v>PT NEWCREST SUMATRA MINERALS</v>
          </cell>
        </row>
      </sheetData>
      <sheetData sheetId="2236">
        <row r="7">
          <cell r="E7" t="str">
            <v>PT NEWCREST SUMATRA MINERALS</v>
          </cell>
        </row>
      </sheetData>
      <sheetData sheetId="2237">
        <row r="7">
          <cell r="E7" t="str">
            <v>PT NEWCREST SUMATRA MINERALS</v>
          </cell>
        </row>
      </sheetData>
      <sheetData sheetId="2238">
        <row r="7">
          <cell r="E7" t="str">
            <v>PT NEWCREST SUMATRA MINERALS</v>
          </cell>
        </row>
      </sheetData>
      <sheetData sheetId="2239">
        <row r="7">
          <cell r="E7" t="str">
            <v>PT NEWCREST SUMATRA MINERALS</v>
          </cell>
        </row>
      </sheetData>
      <sheetData sheetId="2240">
        <row r="7">
          <cell r="E7" t="str">
            <v>PT NEWCREST SUMATRA MINERALS</v>
          </cell>
        </row>
      </sheetData>
      <sheetData sheetId="2241">
        <row r="7">
          <cell r="E7" t="str">
            <v>PT NEWCREST SUMATRA MINERALS</v>
          </cell>
        </row>
      </sheetData>
      <sheetData sheetId="2242">
        <row r="7">
          <cell r="E7" t="str">
            <v>PT NEWCREST SUMATRA MINERALS</v>
          </cell>
        </row>
      </sheetData>
      <sheetData sheetId="2243">
        <row r="7">
          <cell r="E7" t="str">
            <v>PT NEWCREST SUMATRA MINERALS</v>
          </cell>
        </row>
      </sheetData>
      <sheetData sheetId="2244">
        <row r="7">
          <cell r="E7" t="str">
            <v>PT NEWCREST SUMATRA MINERALS</v>
          </cell>
        </row>
      </sheetData>
      <sheetData sheetId="2245">
        <row r="7">
          <cell r="E7" t="str">
            <v>PT NEWCREST SUMATRA MINERALS</v>
          </cell>
        </row>
      </sheetData>
      <sheetData sheetId="2246">
        <row r="7">
          <cell r="E7" t="str">
            <v>PT NEWCREST SUMATRA MINERALS</v>
          </cell>
        </row>
      </sheetData>
      <sheetData sheetId="2247">
        <row r="7">
          <cell r="E7" t="str">
            <v>PT NEWCREST SUMATRA MINERALS</v>
          </cell>
        </row>
      </sheetData>
      <sheetData sheetId="2248">
        <row r="7">
          <cell r="E7" t="str">
            <v>PT NEWCREST SUMATRA MINERALS</v>
          </cell>
        </row>
      </sheetData>
      <sheetData sheetId="2249">
        <row r="7">
          <cell r="E7" t="str">
            <v>PT NEWCREST SUMATRA MINERALS</v>
          </cell>
        </row>
      </sheetData>
      <sheetData sheetId="2250">
        <row r="7">
          <cell r="E7" t="str">
            <v>PT NEWCREST SUMATRA MINERALS</v>
          </cell>
        </row>
      </sheetData>
      <sheetData sheetId="2251">
        <row r="7">
          <cell r="E7" t="str">
            <v>PT NEWCREST SUMATRA MINERALS</v>
          </cell>
        </row>
      </sheetData>
      <sheetData sheetId="2252">
        <row r="7">
          <cell r="E7" t="str">
            <v>PT NEWCREST SUMATRA MINERALS</v>
          </cell>
        </row>
      </sheetData>
      <sheetData sheetId="2253">
        <row r="7">
          <cell r="E7" t="str">
            <v>PT NEWCREST SUMATRA MINERALS</v>
          </cell>
        </row>
      </sheetData>
      <sheetData sheetId="2254">
        <row r="7">
          <cell r="E7" t="str">
            <v>PT NEWCREST SUMATRA MINERALS</v>
          </cell>
        </row>
      </sheetData>
      <sheetData sheetId="2255">
        <row r="7">
          <cell r="E7" t="str">
            <v>PT NEWCREST SUMATRA MINERALS</v>
          </cell>
        </row>
      </sheetData>
      <sheetData sheetId="2256">
        <row r="7">
          <cell r="E7" t="str">
            <v>PT NEWCREST SUMATRA MINERALS</v>
          </cell>
        </row>
      </sheetData>
      <sheetData sheetId="2257">
        <row r="7">
          <cell r="E7" t="str">
            <v>PT NEWCREST SUMATRA MINERALS</v>
          </cell>
        </row>
      </sheetData>
      <sheetData sheetId="2258">
        <row r="7">
          <cell r="E7" t="str">
            <v>PT NEWCREST SUMATRA MINERALS</v>
          </cell>
        </row>
      </sheetData>
      <sheetData sheetId="2259">
        <row r="7">
          <cell r="E7" t="str">
            <v>PT NEWCREST SUMATRA MINERALS</v>
          </cell>
        </row>
      </sheetData>
      <sheetData sheetId="2260">
        <row r="7">
          <cell r="E7" t="str">
            <v>PT NEWCREST SUMATRA MINERALS</v>
          </cell>
        </row>
      </sheetData>
      <sheetData sheetId="2261">
        <row r="7">
          <cell r="E7" t="str">
            <v>PT NEWCREST SUMATRA MINERALS</v>
          </cell>
        </row>
      </sheetData>
      <sheetData sheetId="2262">
        <row r="7">
          <cell r="E7" t="str">
            <v>PT NEWCREST SUMATRA MINERALS</v>
          </cell>
        </row>
      </sheetData>
      <sheetData sheetId="2263">
        <row r="7">
          <cell r="E7" t="str">
            <v>PT NEWCREST SUMATRA MINERALS</v>
          </cell>
        </row>
      </sheetData>
      <sheetData sheetId="2264">
        <row r="7">
          <cell r="E7" t="str">
            <v>PT NEWCREST SUMATRA MINERALS</v>
          </cell>
        </row>
      </sheetData>
      <sheetData sheetId="2265">
        <row r="7">
          <cell r="E7" t="str">
            <v>PT NEWCREST SUMATRA MINERALS</v>
          </cell>
        </row>
      </sheetData>
      <sheetData sheetId="2266">
        <row r="7">
          <cell r="E7" t="str">
            <v>PT NEWCREST SUMATRA MINERALS</v>
          </cell>
        </row>
      </sheetData>
      <sheetData sheetId="2267">
        <row r="7">
          <cell r="E7" t="str">
            <v>PT NEWCREST SUMATRA MINERALS</v>
          </cell>
        </row>
      </sheetData>
      <sheetData sheetId="2268">
        <row r="7">
          <cell r="E7" t="str">
            <v>PT NEWCREST SUMATRA MINERALS</v>
          </cell>
        </row>
      </sheetData>
      <sheetData sheetId="2269">
        <row r="7">
          <cell r="E7" t="str">
            <v>PT NEWCREST SUMATRA MINERALS</v>
          </cell>
        </row>
      </sheetData>
      <sheetData sheetId="2270">
        <row r="7">
          <cell r="E7" t="str">
            <v>PT NEWCREST SUMATRA MINERALS</v>
          </cell>
        </row>
      </sheetData>
      <sheetData sheetId="2271">
        <row r="7">
          <cell r="E7" t="str">
            <v>PT NEWCREST SUMATRA MINERALS</v>
          </cell>
        </row>
      </sheetData>
      <sheetData sheetId="2272">
        <row r="7">
          <cell r="E7" t="str">
            <v>PT NEWCREST SUMATRA MINERALS</v>
          </cell>
        </row>
      </sheetData>
      <sheetData sheetId="2273">
        <row r="7">
          <cell r="E7" t="str">
            <v>PT NEWCREST SUMATRA MINERALS</v>
          </cell>
        </row>
      </sheetData>
      <sheetData sheetId="2274">
        <row r="7">
          <cell r="E7" t="str">
            <v>PT NEWCREST SUMATRA MINERALS</v>
          </cell>
        </row>
      </sheetData>
      <sheetData sheetId="2275">
        <row r="7">
          <cell r="E7" t="str">
            <v>PT NEWCREST SUMATRA MINERALS</v>
          </cell>
        </row>
      </sheetData>
      <sheetData sheetId="2276">
        <row r="7">
          <cell r="E7" t="str">
            <v>PT NEWCREST SUMATRA MINERALS</v>
          </cell>
        </row>
      </sheetData>
      <sheetData sheetId="2277">
        <row r="7">
          <cell r="E7" t="str">
            <v>PT NEWCREST SUMATRA MINERALS</v>
          </cell>
        </row>
      </sheetData>
      <sheetData sheetId="2278">
        <row r="7">
          <cell r="E7" t="str">
            <v>PT NEWCREST SUMATRA MINERALS</v>
          </cell>
        </row>
      </sheetData>
      <sheetData sheetId="2279">
        <row r="7">
          <cell r="E7" t="str">
            <v>PT NEWCREST SUMATRA MINERALS</v>
          </cell>
        </row>
      </sheetData>
      <sheetData sheetId="2280">
        <row r="7">
          <cell r="E7" t="str">
            <v>PT NEWCREST SUMATRA MINERALS</v>
          </cell>
        </row>
      </sheetData>
      <sheetData sheetId="2281">
        <row r="7">
          <cell r="E7" t="str">
            <v>PT NEWCREST SUMATRA MINERALS</v>
          </cell>
        </row>
      </sheetData>
      <sheetData sheetId="2282">
        <row r="7">
          <cell r="E7" t="str">
            <v>PT NEWCREST SUMATRA MINERALS</v>
          </cell>
        </row>
      </sheetData>
      <sheetData sheetId="2283">
        <row r="7">
          <cell r="E7" t="str">
            <v>PT NEWCREST SUMATRA MINERALS</v>
          </cell>
        </row>
      </sheetData>
      <sheetData sheetId="2284">
        <row r="7">
          <cell r="E7" t="str">
            <v>PT NEWCREST SUMATRA MINERALS</v>
          </cell>
        </row>
      </sheetData>
      <sheetData sheetId="2285">
        <row r="7">
          <cell r="E7" t="str">
            <v>PT NEWCREST SUMATRA MINERALS</v>
          </cell>
        </row>
      </sheetData>
      <sheetData sheetId="2286">
        <row r="7">
          <cell r="E7" t="str">
            <v>PT NEWCREST SUMATRA MINERALS</v>
          </cell>
        </row>
      </sheetData>
      <sheetData sheetId="2287">
        <row r="7">
          <cell r="E7" t="str">
            <v>PT NEWCREST SUMATRA MINERALS</v>
          </cell>
        </row>
      </sheetData>
      <sheetData sheetId="2288">
        <row r="7">
          <cell r="E7" t="str">
            <v>PT NEWCREST SUMATRA MINERALS</v>
          </cell>
        </row>
      </sheetData>
      <sheetData sheetId="2289">
        <row r="7">
          <cell r="E7" t="str">
            <v>PT NEWCREST SUMATRA MINERALS</v>
          </cell>
        </row>
      </sheetData>
      <sheetData sheetId="2290">
        <row r="7">
          <cell r="E7" t="str">
            <v>PT NEWCREST SUMATRA MINERALS</v>
          </cell>
        </row>
      </sheetData>
      <sheetData sheetId="2291">
        <row r="7">
          <cell r="E7" t="str">
            <v>PT NEWCREST SUMATRA MINERALS</v>
          </cell>
        </row>
      </sheetData>
      <sheetData sheetId="2292">
        <row r="7">
          <cell r="E7" t="str">
            <v>PT NEWCREST SUMATRA MINERALS</v>
          </cell>
        </row>
      </sheetData>
      <sheetData sheetId="2293">
        <row r="7">
          <cell r="E7" t="str">
            <v>PT NEWCREST SUMATRA MINERALS</v>
          </cell>
        </row>
      </sheetData>
      <sheetData sheetId="2294">
        <row r="7">
          <cell r="E7" t="str">
            <v>PT NEWCREST SUMATRA MINERALS</v>
          </cell>
        </row>
      </sheetData>
      <sheetData sheetId="2295">
        <row r="7">
          <cell r="E7" t="str">
            <v>PT NEWCREST SUMATRA MINERALS</v>
          </cell>
        </row>
      </sheetData>
      <sheetData sheetId="2296">
        <row r="7">
          <cell r="E7" t="str">
            <v>PT NEWCREST SUMATRA MINERALS</v>
          </cell>
        </row>
      </sheetData>
      <sheetData sheetId="2297">
        <row r="7">
          <cell r="E7" t="str">
            <v>PT NEWCREST SUMATRA MINERALS</v>
          </cell>
        </row>
      </sheetData>
      <sheetData sheetId="2298">
        <row r="7">
          <cell r="E7" t="str">
            <v>PT NEWCREST SUMATRA MINERALS</v>
          </cell>
        </row>
      </sheetData>
      <sheetData sheetId="2299">
        <row r="7">
          <cell r="E7" t="str">
            <v>PT NEWCREST SUMATRA MINERALS</v>
          </cell>
        </row>
      </sheetData>
      <sheetData sheetId="2300">
        <row r="7">
          <cell r="E7" t="str">
            <v>PT NEWCREST SUMATRA MINERALS</v>
          </cell>
        </row>
      </sheetData>
      <sheetData sheetId="2301">
        <row r="7">
          <cell r="E7" t="str">
            <v>PT NEWCREST SUMATRA MINERALS</v>
          </cell>
        </row>
      </sheetData>
      <sheetData sheetId="2302">
        <row r="7">
          <cell r="E7" t="str">
            <v>PT NEWCREST SUMATRA MINERALS</v>
          </cell>
        </row>
      </sheetData>
      <sheetData sheetId="2303">
        <row r="7">
          <cell r="E7" t="str">
            <v>PT NEWCREST SUMATRA MINERALS</v>
          </cell>
        </row>
      </sheetData>
      <sheetData sheetId="2304">
        <row r="7">
          <cell r="E7" t="str">
            <v>PT NEWCREST SUMATRA MINERALS</v>
          </cell>
        </row>
      </sheetData>
      <sheetData sheetId="2305">
        <row r="7">
          <cell r="E7" t="str">
            <v>PT NEWCREST SUMATRA MINERALS</v>
          </cell>
        </row>
      </sheetData>
      <sheetData sheetId="2306">
        <row r="7">
          <cell r="E7" t="str">
            <v>PT NEWCREST SUMATRA MINERALS</v>
          </cell>
        </row>
      </sheetData>
      <sheetData sheetId="2307">
        <row r="7">
          <cell r="E7" t="str">
            <v>PT NEWCREST SUMATRA MINERALS</v>
          </cell>
        </row>
      </sheetData>
      <sheetData sheetId="2308">
        <row r="7">
          <cell r="E7" t="str">
            <v>PT NEWCREST SUMATRA MINERALS</v>
          </cell>
        </row>
      </sheetData>
      <sheetData sheetId="2309">
        <row r="7">
          <cell r="E7" t="str">
            <v>PT NEWCREST SUMATRA MINERALS</v>
          </cell>
        </row>
      </sheetData>
      <sheetData sheetId="2310">
        <row r="7">
          <cell r="E7" t="str">
            <v>PT NEWCREST SUMATRA MINERALS</v>
          </cell>
        </row>
      </sheetData>
      <sheetData sheetId="2311">
        <row r="7">
          <cell r="E7" t="str">
            <v>PT NEWCREST SUMATRA MINERALS</v>
          </cell>
        </row>
      </sheetData>
      <sheetData sheetId="2312">
        <row r="7">
          <cell r="E7" t="str">
            <v>PT NEWCREST SUMATRA MINERALS</v>
          </cell>
        </row>
      </sheetData>
      <sheetData sheetId="2313">
        <row r="7">
          <cell r="E7" t="str">
            <v>PT NEWCREST SUMATRA MINERALS</v>
          </cell>
        </row>
      </sheetData>
      <sheetData sheetId="2314">
        <row r="7">
          <cell r="E7" t="str">
            <v>PT NEWCREST SUMATRA MINERALS</v>
          </cell>
        </row>
      </sheetData>
      <sheetData sheetId="2315">
        <row r="7">
          <cell r="E7" t="str">
            <v>PT NEWCREST SUMATRA MINERALS</v>
          </cell>
        </row>
      </sheetData>
      <sheetData sheetId="2316">
        <row r="7">
          <cell r="E7" t="str">
            <v>PT NEWCREST SUMATRA MINERALS</v>
          </cell>
        </row>
      </sheetData>
      <sheetData sheetId="2317">
        <row r="7">
          <cell r="E7" t="str">
            <v>PT NEWCREST SUMATRA MINERALS</v>
          </cell>
        </row>
      </sheetData>
      <sheetData sheetId="2318">
        <row r="7">
          <cell r="E7" t="str">
            <v>PT NEWCREST SUMATRA MINERALS</v>
          </cell>
        </row>
      </sheetData>
      <sheetData sheetId="2319">
        <row r="7">
          <cell r="E7" t="str">
            <v>PT NEWCREST SUMATRA MINERALS</v>
          </cell>
        </row>
      </sheetData>
      <sheetData sheetId="2320">
        <row r="7">
          <cell r="E7" t="str">
            <v>PT NEWCREST SUMATRA MINERALS</v>
          </cell>
        </row>
      </sheetData>
      <sheetData sheetId="2321">
        <row r="7">
          <cell r="E7" t="str">
            <v>PT NEWCREST SUMATRA MINERALS</v>
          </cell>
        </row>
      </sheetData>
      <sheetData sheetId="2322">
        <row r="7">
          <cell r="E7" t="str">
            <v>PT NEWCREST SUMATRA MINERALS</v>
          </cell>
        </row>
      </sheetData>
      <sheetData sheetId="2323">
        <row r="7">
          <cell r="E7" t="str">
            <v>PT NEWCREST SUMATRA MINERALS</v>
          </cell>
        </row>
      </sheetData>
      <sheetData sheetId="2324">
        <row r="7">
          <cell r="E7" t="str">
            <v>PT NEWCREST SUMATRA MINERALS</v>
          </cell>
        </row>
      </sheetData>
      <sheetData sheetId="2325">
        <row r="7">
          <cell r="E7" t="str">
            <v>PT NEWCREST SUMATRA MINERALS</v>
          </cell>
        </row>
      </sheetData>
      <sheetData sheetId="2326">
        <row r="7">
          <cell r="E7" t="str">
            <v>PT NEWCREST SUMATRA MINERALS</v>
          </cell>
        </row>
      </sheetData>
      <sheetData sheetId="2327">
        <row r="7">
          <cell r="E7" t="str">
            <v>PT NEWCREST SUMATRA MINERALS</v>
          </cell>
        </row>
      </sheetData>
      <sheetData sheetId="2328">
        <row r="7">
          <cell r="E7" t="str">
            <v>PT NEWCREST SUMATRA MINERALS</v>
          </cell>
        </row>
      </sheetData>
      <sheetData sheetId="2329">
        <row r="7">
          <cell r="E7" t="str">
            <v>PT NEWCREST SUMATRA MINERALS</v>
          </cell>
        </row>
      </sheetData>
      <sheetData sheetId="2330">
        <row r="7">
          <cell r="E7" t="str">
            <v>PT NEWCREST SUMATRA MINERALS</v>
          </cell>
        </row>
      </sheetData>
      <sheetData sheetId="2331">
        <row r="7">
          <cell r="E7" t="str">
            <v>PT NEWCREST SUMATRA MINERALS</v>
          </cell>
        </row>
      </sheetData>
      <sheetData sheetId="2332">
        <row r="7">
          <cell r="E7" t="str">
            <v>PT NEWCREST SUMATRA MINERALS</v>
          </cell>
        </row>
      </sheetData>
      <sheetData sheetId="2333">
        <row r="7">
          <cell r="E7" t="str">
            <v>PT NEWCREST SUMATRA MINERALS</v>
          </cell>
        </row>
      </sheetData>
      <sheetData sheetId="2334">
        <row r="7">
          <cell r="E7" t="str">
            <v>PT NEWCREST SUMATRA MINERALS</v>
          </cell>
        </row>
      </sheetData>
      <sheetData sheetId="2335">
        <row r="7">
          <cell r="E7" t="str">
            <v>PT NEWCREST SUMATRA MINERALS</v>
          </cell>
        </row>
      </sheetData>
      <sheetData sheetId="2336">
        <row r="7">
          <cell r="E7" t="str">
            <v>PT NEWCREST SUMATRA MINERALS</v>
          </cell>
        </row>
      </sheetData>
      <sheetData sheetId="2337">
        <row r="7">
          <cell r="E7" t="str">
            <v>PT NEWCREST SUMATRA MINERALS</v>
          </cell>
        </row>
      </sheetData>
      <sheetData sheetId="2338">
        <row r="7">
          <cell r="E7" t="str">
            <v>PT NEWCREST SUMATRA MINERALS</v>
          </cell>
        </row>
      </sheetData>
      <sheetData sheetId="2339">
        <row r="7">
          <cell r="E7" t="str">
            <v>PT NEWCREST SUMATRA MINERALS</v>
          </cell>
        </row>
      </sheetData>
      <sheetData sheetId="2340">
        <row r="7">
          <cell r="E7" t="str">
            <v>PT NEWCREST SUMATRA MINERALS</v>
          </cell>
        </row>
      </sheetData>
      <sheetData sheetId="2341">
        <row r="7">
          <cell r="E7" t="str">
            <v>PT NEWCREST SUMATRA MINERALS</v>
          </cell>
        </row>
      </sheetData>
      <sheetData sheetId="2342">
        <row r="7">
          <cell r="E7" t="str">
            <v>PT NEWCREST SUMATRA MINERALS</v>
          </cell>
        </row>
      </sheetData>
      <sheetData sheetId="2343">
        <row r="7">
          <cell r="E7" t="str">
            <v>PT NEWCREST SUMATRA MINERALS</v>
          </cell>
        </row>
      </sheetData>
      <sheetData sheetId="2344">
        <row r="7">
          <cell r="E7" t="str">
            <v>PT NEWCREST SUMATRA MINERALS</v>
          </cell>
        </row>
      </sheetData>
      <sheetData sheetId="2345">
        <row r="7">
          <cell r="E7" t="str">
            <v>PT NEWCREST SUMATRA MINERALS</v>
          </cell>
        </row>
      </sheetData>
      <sheetData sheetId="2346">
        <row r="7">
          <cell r="E7" t="str">
            <v>PT NEWCREST SUMATRA MINERALS</v>
          </cell>
        </row>
      </sheetData>
      <sheetData sheetId="2347">
        <row r="7">
          <cell r="E7" t="str">
            <v>PT NEWCREST SUMATRA MINERALS</v>
          </cell>
        </row>
      </sheetData>
      <sheetData sheetId="2348">
        <row r="7">
          <cell r="E7" t="str">
            <v>PT NEWCREST SUMATRA MINERALS</v>
          </cell>
        </row>
      </sheetData>
      <sheetData sheetId="2349">
        <row r="7">
          <cell r="E7" t="str">
            <v>PT NEWCREST SUMATRA MINERALS</v>
          </cell>
        </row>
      </sheetData>
      <sheetData sheetId="2350">
        <row r="7">
          <cell r="E7" t="str">
            <v>PT NEWCREST SUMATRA MINERALS</v>
          </cell>
        </row>
      </sheetData>
      <sheetData sheetId="2351">
        <row r="7">
          <cell r="E7" t="str">
            <v>PT NEWCREST SUMATRA MINERALS</v>
          </cell>
        </row>
      </sheetData>
      <sheetData sheetId="2352">
        <row r="7">
          <cell r="E7" t="str">
            <v>PT NEWCREST SUMATRA MINERALS</v>
          </cell>
        </row>
      </sheetData>
      <sheetData sheetId="2353">
        <row r="7">
          <cell r="E7" t="str">
            <v>PT NEWCREST SUMATRA MINERALS</v>
          </cell>
        </row>
      </sheetData>
      <sheetData sheetId="2354">
        <row r="7">
          <cell r="E7" t="str">
            <v>PT NEWCREST SUMATRA MINERALS</v>
          </cell>
        </row>
      </sheetData>
      <sheetData sheetId="2355">
        <row r="7">
          <cell r="E7" t="str">
            <v>PT NEWCREST SUMATRA MINERALS</v>
          </cell>
        </row>
      </sheetData>
      <sheetData sheetId="2356">
        <row r="7">
          <cell r="E7" t="str">
            <v>PT NEWCREST SUMATRA MINERALS</v>
          </cell>
        </row>
      </sheetData>
      <sheetData sheetId="2357">
        <row r="7">
          <cell r="E7" t="str">
            <v>PT NEWCREST SUMATRA MINERALS</v>
          </cell>
        </row>
      </sheetData>
      <sheetData sheetId="2358">
        <row r="7">
          <cell r="E7" t="str">
            <v>PT NEWCREST SUMATRA MINERALS</v>
          </cell>
        </row>
      </sheetData>
      <sheetData sheetId="2359">
        <row r="7">
          <cell r="E7" t="str">
            <v>PT NEWCREST SUMATRA MINERALS</v>
          </cell>
        </row>
      </sheetData>
      <sheetData sheetId="2360">
        <row r="7">
          <cell r="E7" t="str">
            <v>PT NEWCREST SUMATRA MINERALS</v>
          </cell>
        </row>
      </sheetData>
      <sheetData sheetId="2361">
        <row r="7">
          <cell r="E7" t="str">
            <v>PT NEWCREST SUMATRA MINERALS</v>
          </cell>
        </row>
      </sheetData>
      <sheetData sheetId="2362">
        <row r="7">
          <cell r="E7" t="str">
            <v>PT NEWCREST SUMATRA MINERALS</v>
          </cell>
        </row>
      </sheetData>
      <sheetData sheetId="2363">
        <row r="7">
          <cell r="E7" t="str">
            <v>PT NEWCREST SUMATRA MINERALS</v>
          </cell>
        </row>
      </sheetData>
      <sheetData sheetId="2364">
        <row r="7">
          <cell r="E7" t="str">
            <v>PT NEWCREST SUMATRA MINERALS</v>
          </cell>
        </row>
      </sheetData>
      <sheetData sheetId="2365">
        <row r="7">
          <cell r="E7" t="str">
            <v>PT NEWCREST SUMATRA MINERALS</v>
          </cell>
        </row>
      </sheetData>
      <sheetData sheetId="2366">
        <row r="7">
          <cell r="E7" t="str">
            <v>PT NEWCREST SUMATRA MINERALS</v>
          </cell>
        </row>
      </sheetData>
      <sheetData sheetId="2367">
        <row r="7">
          <cell r="E7" t="str">
            <v>PT NEWCREST SUMATRA MINERALS</v>
          </cell>
        </row>
      </sheetData>
      <sheetData sheetId="2368">
        <row r="7">
          <cell r="E7" t="str">
            <v>PT NEWCREST SUMATRA MINERALS</v>
          </cell>
        </row>
      </sheetData>
      <sheetData sheetId="2369">
        <row r="7">
          <cell r="E7" t="str">
            <v>PT NEWCREST SUMATRA MINERALS</v>
          </cell>
        </row>
      </sheetData>
      <sheetData sheetId="2370">
        <row r="7">
          <cell r="E7" t="str">
            <v>PT NEWCREST SUMATRA MINERALS</v>
          </cell>
        </row>
      </sheetData>
      <sheetData sheetId="2371">
        <row r="7">
          <cell r="E7" t="str">
            <v>PT NEWCREST SUMATRA MINERALS</v>
          </cell>
        </row>
      </sheetData>
      <sheetData sheetId="2372">
        <row r="7">
          <cell r="E7" t="str">
            <v>PT NEWCREST SUMATRA MINERALS</v>
          </cell>
        </row>
      </sheetData>
      <sheetData sheetId="2373">
        <row r="7">
          <cell r="E7" t="str">
            <v>PT NEWCREST SUMATRA MINERALS</v>
          </cell>
        </row>
      </sheetData>
      <sheetData sheetId="2374">
        <row r="7">
          <cell r="E7" t="str">
            <v>PT NEWCREST SUMATRA MINERALS</v>
          </cell>
        </row>
      </sheetData>
      <sheetData sheetId="2375">
        <row r="7">
          <cell r="E7" t="str">
            <v>PT NEWCREST SUMATRA MINERALS</v>
          </cell>
        </row>
      </sheetData>
      <sheetData sheetId="2376">
        <row r="7">
          <cell r="E7" t="str">
            <v>PT NEWCREST SUMATRA MINERALS</v>
          </cell>
        </row>
      </sheetData>
      <sheetData sheetId="2377">
        <row r="7">
          <cell r="E7" t="str">
            <v>PT NEWCREST SUMATRA MINERALS</v>
          </cell>
        </row>
      </sheetData>
      <sheetData sheetId="2378">
        <row r="7">
          <cell r="E7" t="str">
            <v>PT NEWCREST SUMATRA MINERALS</v>
          </cell>
        </row>
      </sheetData>
      <sheetData sheetId="2379">
        <row r="7">
          <cell r="E7" t="str">
            <v>PT NEWCREST SUMATRA MINERALS</v>
          </cell>
        </row>
      </sheetData>
      <sheetData sheetId="2380">
        <row r="7">
          <cell r="E7" t="str">
            <v>PT NEWCREST SUMATRA MINERALS</v>
          </cell>
        </row>
      </sheetData>
      <sheetData sheetId="2381">
        <row r="7">
          <cell r="E7" t="str">
            <v>PT NEWCREST SUMATRA MINERALS</v>
          </cell>
        </row>
      </sheetData>
      <sheetData sheetId="2382">
        <row r="7">
          <cell r="E7" t="str">
            <v>PT NEWCREST SUMATRA MINERALS</v>
          </cell>
        </row>
      </sheetData>
      <sheetData sheetId="2383">
        <row r="7">
          <cell r="E7" t="str">
            <v>PT NEWCREST SUMATRA MINERALS</v>
          </cell>
        </row>
      </sheetData>
      <sheetData sheetId="2384">
        <row r="7">
          <cell r="E7" t="str">
            <v>PT NEWCREST SUMATRA MINERALS</v>
          </cell>
        </row>
      </sheetData>
      <sheetData sheetId="2385">
        <row r="7">
          <cell r="E7" t="str">
            <v>PT NEWCREST SUMATRA MINERALS</v>
          </cell>
        </row>
      </sheetData>
      <sheetData sheetId="2386">
        <row r="7">
          <cell r="E7" t="str">
            <v>PT NEWCREST SUMATRA MINERALS</v>
          </cell>
        </row>
      </sheetData>
      <sheetData sheetId="2387">
        <row r="7">
          <cell r="E7" t="str">
            <v>PT NEWCREST SUMATRA MINERALS</v>
          </cell>
        </row>
      </sheetData>
      <sheetData sheetId="2388">
        <row r="7">
          <cell r="E7" t="str">
            <v>PT NEWCREST SUMATRA MINERALS</v>
          </cell>
        </row>
      </sheetData>
      <sheetData sheetId="2389">
        <row r="7">
          <cell r="E7" t="str">
            <v>PT NEWCREST SUMATRA MINERALS</v>
          </cell>
        </row>
      </sheetData>
      <sheetData sheetId="2390">
        <row r="7">
          <cell r="E7" t="str">
            <v>PT NEWCREST SUMATRA MINERALS</v>
          </cell>
        </row>
      </sheetData>
      <sheetData sheetId="2391">
        <row r="7">
          <cell r="E7" t="str">
            <v>PT NEWCREST SUMATRA MINERALS</v>
          </cell>
        </row>
      </sheetData>
      <sheetData sheetId="2392">
        <row r="7">
          <cell r="E7" t="str">
            <v>PT NEWCREST SUMATRA MINERALS</v>
          </cell>
        </row>
      </sheetData>
      <sheetData sheetId="2393">
        <row r="7">
          <cell r="E7" t="str">
            <v>PT NEWCREST SUMATRA MINERALS</v>
          </cell>
        </row>
      </sheetData>
      <sheetData sheetId="2394">
        <row r="7">
          <cell r="E7" t="str">
            <v>PT NEWCREST SUMATRA MINERALS</v>
          </cell>
        </row>
      </sheetData>
      <sheetData sheetId="2395">
        <row r="7">
          <cell r="E7" t="str">
            <v>PT NEWCREST SUMATRA MINERALS</v>
          </cell>
        </row>
      </sheetData>
      <sheetData sheetId="2396">
        <row r="7">
          <cell r="E7" t="str">
            <v>PT NEWCREST SUMATRA MINERALS</v>
          </cell>
        </row>
      </sheetData>
      <sheetData sheetId="2397">
        <row r="7">
          <cell r="E7" t="str">
            <v>PT NEWCREST SUMATRA MINERALS</v>
          </cell>
        </row>
      </sheetData>
      <sheetData sheetId="2398">
        <row r="7">
          <cell r="E7" t="str">
            <v>PT NEWCREST SUMATRA MINERALS</v>
          </cell>
        </row>
      </sheetData>
      <sheetData sheetId="2399">
        <row r="7">
          <cell r="E7" t="str">
            <v>PT NEWCREST SUMATRA MINERALS</v>
          </cell>
        </row>
      </sheetData>
      <sheetData sheetId="2400">
        <row r="7">
          <cell r="E7" t="str">
            <v>PT NEWCREST SUMATRA MINERALS</v>
          </cell>
        </row>
      </sheetData>
      <sheetData sheetId="2401">
        <row r="7">
          <cell r="E7" t="str">
            <v>PT NEWCREST SUMATRA MINERALS</v>
          </cell>
        </row>
      </sheetData>
      <sheetData sheetId="2402">
        <row r="7">
          <cell r="E7" t="str">
            <v>PT NEWCREST SUMATRA MINERALS</v>
          </cell>
        </row>
      </sheetData>
      <sheetData sheetId="2403">
        <row r="7">
          <cell r="E7" t="str">
            <v>PT NEWCREST SUMATRA MINERALS</v>
          </cell>
        </row>
      </sheetData>
      <sheetData sheetId="2404">
        <row r="7">
          <cell r="E7" t="str">
            <v>PT NEWCREST SUMATRA MINERALS</v>
          </cell>
        </row>
      </sheetData>
      <sheetData sheetId="2405">
        <row r="7">
          <cell r="E7" t="str">
            <v>PT NEWCREST SUMATRA MINERALS</v>
          </cell>
        </row>
      </sheetData>
      <sheetData sheetId="2406">
        <row r="7">
          <cell r="E7" t="str">
            <v>PT NEWCREST SUMATRA MINERALS</v>
          </cell>
        </row>
      </sheetData>
      <sheetData sheetId="2407">
        <row r="7">
          <cell r="E7" t="str">
            <v>PT NEWCREST SUMATRA MINERALS</v>
          </cell>
        </row>
      </sheetData>
      <sheetData sheetId="2408">
        <row r="7">
          <cell r="E7" t="str">
            <v>PT NEWCREST SUMATRA MINERALS</v>
          </cell>
        </row>
      </sheetData>
      <sheetData sheetId="2409">
        <row r="7">
          <cell r="E7" t="str">
            <v>PT NEWCREST SUMATRA MINERALS</v>
          </cell>
        </row>
      </sheetData>
      <sheetData sheetId="2410">
        <row r="7">
          <cell r="E7" t="str">
            <v>PT NEWCREST SUMATRA MINERALS</v>
          </cell>
        </row>
      </sheetData>
      <sheetData sheetId="2411">
        <row r="7">
          <cell r="E7" t="str">
            <v>PT NEWCREST SUMATRA MINERALS</v>
          </cell>
        </row>
      </sheetData>
      <sheetData sheetId="2412">
        <row r="7">
          <cell r="E7" t="str">
            <v>PT NEWCREST SUMATRA MINERALS</v>
          </cell>
        </row>
      </sheetData>
      <sheetData sheetId="2413">
        <row r="7">
          <cell r="E7" t="str">
            <v>PT NEWCREST SUMATRA MINERALS</v>
          </cell>
        </row>
      </sheetData>
      <sheetData sheetId="2414">
        <row r="7">
          <cell r="E7" t="str">
            <v>PT NEWCREST SUMATRA MINERALS</v>
          </cell>
        </row>
      </sheetData>
      <sheetData sheetId="2415">
        <row r="7">
          <cell r="E7" t="str">
            <v>PT NEWCREST SUMATRA MINERALS</v>
          </cell>
        </row>
      </sheetData>
      <sheetData sheetId="2416">
        <row r="7">
          <cell r="E7" t="str">
            <v>PT NEWCREST SUMATRA MINERALS</v>
          </cell>
        </row>
      </sheetData>
      <sheetData sheetId="2417">
        <row r="7">
          <cell r="E7" t="str">
            <v>PT NEWCREST SUMATRA MINERALS</v>
          </cell>
        </row>
      </sheetData>
      <sheetData sheetId="2418">
        <row r="7">
          <cell r="E7" t="str">
            <v>PT NEWCREST SUMATRA MINERALS</v>
          </cell>
        </row>
      </sheetData>
      <sheetData sheetId="2419">
        <row r="7">
          <cell r="E7" t="str">
            <v>PT NEWCREST SUMATRA MINERALS</v>
          </cell>
        </row>
      </sheetData>
      <sheetData sheetId="2420">
        <row r="7">
          <cell r="E7" t="str">
            <v>PT NEWCREST SUMATRA MINERALS</v>
          </cell>
        </row>
      </sheetData>
      <sheetData sheetId="2421">
        <row r="7">
          <cell r="E7" t="str">
            <v>PT NEWCREST SUMATRA MINERALS</v>
          </cell>
        </row>
      </sheetData>
      <sheetData sheetId="2422">
        <row r="7">
          <cell r="E7" t="str">
            <v>PT NEWCREST SUMATRA MINERALS</v>
          </cell>
        </row>
      </sheetData>
      <sheetData sheetId="2423">
        <row r="7">
          <cell r="E7" t="str">
            <v>PT NEWCREST SUMATRA MINERALS</v>
          </cell>
        </row>
      </sheetData>
      <sheetData sheetId="2424">
        <row r="7">
          <cell r="E7" t="str">
            <v>PT NEWCREST SUMATRA MINERALS</v>
          </cell>
        </row>
      </sheetData>
      <sheetData sheetId="2425">
        <row r="7">
          <cell r="E7" t="str">
            <v>PT NEWCREST SUMATRA MINERALS</v>
          </cell>
        </row>
      </sheetData>
      <sheetData sheetId="2426">
        <row r="7">
          <cell r="E7" t="str">
            <v>PT NEWCREST SUMATRA MINERALS</v>
          </cell>
        </row>
      </sheetData>
      <sheetData sheetId="2427">
        <row r="7">
          <cell r="E7" t="str">
            <v>PT NEWCREST SUMATRA MINERALS</v>
          </cell>
        </row>
      </sheetData>
      <sheetData sheetId="2428">
        <row r="7">
          <cell r="E7" t="str">
            <v>PT NEWCREST SUMATRA MINERALS</v>
          </cell>
        </row>
      </sheetData>
      <sheetData sheetId="2429">
        <row r="7">
          <cell r="E7" t="str">
            <v>PT NEWCREST SUMATRA MINERALS</v>
          </cell>
        </row>
      </sheetData>
      <sheetData sheetId="2430">
        <row r="7">
          <cell r="E7" t="str">
            <v>PT NEWCREST SUMATRA MINERALS</v>
          </cell>
        </row>
      </sheetData>
      <sheetData sheetId="2431">
        <row r="7">
          <cell r="E7" t="str">
            <v>PT NEWCREST SUMATRA MINERALS</v>
          </cell>
        </row>
      </sheetData>
      <sheetData sheetId="2432">
        <row r="7">
          <cell r="E7" t="str">
            <v>PT NEWCREST SUMATRA MINERALS</v>
          </cell>
        </row>
      </sheetData>
      <sheetData sheetId="2433">
        <row r="7">
          <cell r="E7" t="str">
            <v>PT NEWCREST SUMATRA MINERALS</v>
          </cell>
        </row>
      </sheetData>
      <sheetData sheetId="2434">
        <row r="7">
          <cell r="E7" t="str">
            <v>PT NEWCREST SUMATRA MINERALS</v>
          </cell>
        </row>
      </sheetData>
      <sheetData sheetId="2435">
        <row r="7">
          <cell r="E7" t="str">
            <v>PT NEWCREST SUMATRA MINERALS</v>
          </cell>
        </row>
      </sheetData>
      <sheetData sheetId="2436">
        <row r="7">
          <cell r="E7" t="str">
            <v>PT NEWCREST SUMATRA MINERALS</v>
          </cell>
        </row>
      </sheetData>
      <sheetData sheetId="2437">
        <row r="7">
          <cell r="E7" t="str">
            <v>PT NEWCREST SUMATRA MINERALS</v>
          </cell>
        </row>
      </sheetData>
      <sheetData sheetId="2438">
        <row r="7">
          <cell r="E7" t="str">
            <v>PT NEWCREST SUMATRA MINERALS</v>
          </cell>
        </row>
      </sheetData>
      <sheetData sheetId="2439">
        <row r="7">
          <cell r="E7" t="str">
            <v>PT NEWCREST SUMATRA MINERALS</v>
          </cell>
        </row>
      </sheetData>
      <sheetData sheetId="2440">
        <row r="7">
          <cell r="E7" t="str">
            <v>PT NEWCREST SUMATRA MINERALS</v>
          </cell>
        </row>
      </sheetData>
      <sheetData sheetId="2441">
        <row r="7">
          <cell r="E7" t="str">
            <v>PT NEWCREST SUMATRA MINERALS</v>
          </cell>
        </row>
      </sheetData>
      <sheetData sheetId="2442">
        <row r="7">
          <cell r="E7" t="str">
            <v>PT NEWCREST SUMATRA MINERALS</v>
          </cell>
        </row>
      </sheetData>
      <sheetData sheetId="2443">
        <row r="7">
          <cell r="E7" t="str">
            <v>PT NEWCREST SUMATRA MINERALS</v>
          </cell>
        </row>
      </sheetData>
      <sheetData sheetId="2444">
        <row r="7">
          <cell r="E7" t="str">
            <v>PT NEWCREST SUMATRA MINERALS</v>
          </cell>
        </row>
      </sheetData>
      <sheetData sheetId="2445">
        <row r="7">
          <cell r="E7" t="str">
            <v>PT NEWCREST SUMATRA MINERALS</v>
          </cell>
        </row>
      </sheetData>
      <sheetData sheetId="2446">
        <row r="7">
          <cell r="E7" t="str">
            <v>PT NEWCREST SUMATRA MINERALS</v>
          </cell>
        </row>
      </sheetData>
      <sheetData sheetId="2447">
        <row r="7">
          <cell r="E7" t="str">
            <v>PT NEWCREST SUMATRA MINERALS</v>
          </cell>
        </row>
      </sheetData>
      <sheetData sheetId="2448">
        <row r="7">
          <cell r="E7" t="str">
            <v>PT NEWCREST SUMATRA MINERALS</v>
          </cell>
        </row>
      </sheetData>
      <sheetData sheetId="2449">
        <row r="7">
          <cell r="E7" t="str">
            <v>PT NEWCREST SUMATRA MINERALS</v>
          </cell>
        </row>
      </sheetData>
      <sheetData sheetId="2450">
        <row r="7">
          <cell r="E7" t="str">
            <v>PT NEWCREST SUMATRA MINERALS</v>
          </cell>
        </row>
      </sheetData>
      <sheetData sheetId="2451">
        <row r="7">
          <cell r="E7" t="str">
            <v>PT NEWCREST SUMATRA MINERALS</v>
          </cell>
        </row>
      </sheetData>
      <sheetData sheetId="2452"/>
      <sheetData sheetId="2453"/>
      <sheetData sheetId="2454">
        <row r="7">
          <cell r="E7" t="str">
            <v>PT NEWCREST SUMATRA MINERALS</v>
          </cell>
        </row>
      </sheetData>
      <sheetData sheetId="2455">
        <row r="7">
          <cell r="E7" t="str">
            <v>PT NEWCREST SUMATRA MINERALS</v>
          </cell>
        </row>
      </sheetData>
      <sheetData sheetId="2456">
        <row r="7">
          <cell r="E7" t="str">
            <v>PT NEWCREST SUMATRA MINERALS</v>
          </cell>
        </row>
      </sheetData>
      <sheetData sheetId="2457">
        <row r="7">
          <cell r="E7" t="str">
            <v>PT NEWCREST SUMATRA MINERALS</v>
          </cell>
        </row>
      </sheetData>
      <sheetData sheetId="2458">
        <row r="7">
          <cell r="E7" t="str">
            <v>PT NEWCREST SUMATRA MINERALS</v>
          </cell>
        </row>
      </sheetData>
      <sheetData sheetId="2459">
        <row r="7">
          <cell r="E7" t="str">
            <v>PT NEWCREST SUMATRA MINERALS</v>
          </cell>
        </row>
      </sheetData>
      <sheetData sheetId="2460">
        <row r="7">
          <cell r="E7" t="str">
            <v>PT NEWCREST SUMATRA MINERALS</v>
          </cell>
        </row>
      </sheetData>
      <sheetData sheetId="2461">
        <row r="7">
          <cell r="E7" t="str">
            <v>PT NEWCREST SUMATRA MINERALS</v>
          </cell>
        </row>
      </sheetData>
      <sheetData sheetId="2462">
        <row r="7">
          <cell r="E7" t="str">
            <v>PT NEWCREST SUMATRA MINERALS</v>
          </cell>
        </row>
      </sheetData>
      <sheetData sheetId="2463">
        <row r="7">
          <cell r="E7" t="str">
            <v>PT NEWCREST SUMATRA MINERALS</v>
          </cell>
        </row>
      </sheetData>
      <sheetData sheetId="2464">
        <row r="7">
          <cell r="E7" t="str">
            <v>PT NEWCREST SUMATRA MINERALS</v>
          </cell>
        </row>
      </sheetData>
      <sheetData sheetId="2465">
        <row r="7">
          <cell r="E7" t="str">
            <v>PT NEWCREST SUMATRA MINERALS</v>
          </cell>
        </row>
      </sheetData>
      <sheetData sheetId="2466">
        <row r="7">
          <cell r="E7" t="str">
            <v>PT NEWCREST SUMATRA MINERALS</v>
          </cell>
        </row>
      </sheetData>
      <sheetData sheetId="2467">
        <row r="7">
          <cell r="E7" t="str">
            <v>PT NEWCREST SUMATRA MINERALS</v>
          </cell>
        </row>
      </sheetData>
      <sheetData sheetId="2468"/>
      <sheetData sheetId="2469"/>
      <sheetData sheetId="2470">
        <row r="7">
          <cell r="E7" t="str">
            <v>PT NEWCREST SUMATRA MINERALS</v>
          </cell>
        </row>
      </sheetData>
      <sheetData sheetId="2471">
        <row r="7">
          <cell r="E7" t="str">
            <v>PT NEWCREST SUMATRA MINERALS</v>
          </cell>
        </row>
      </sheetData>
      <sheetData sheetId="2472">
        <row r="7">
          <cell r="E7" t="str">
            <v>PT NEWCREST SUMATRA MINERALS</v>
          </cell>
        </row>
      </sheetData>
      <sheetData sheetId="2473">
        <row r="7">
          <cell r="E7" t="str">
            <v>PT NEWCREST SUMATRA MINERALS</v>
          </cell>
        </row>
      </sheetData>
      <sheetData sheetId="2474">
        <row r="7">
          <cell r="E7" t="str">
            <v>PT NEWCREST SUMATRA MINERALS</v>
          </cell>
        </row>
      </sheetData>
      <sheetData sheetId="2475">
        <row r="7">
          <cell r="E7" t="str">
            <v>PT NEWCREST SUMATRA MINERALS</v>
          </cell>
        </row>
      </sheetData>
      <sheetData sheetId="2476">
        <row r="7">
          <cell r="E7" t="str">
            <v>PT NEWCREST SUMATRA MINERALS</v>
          </cell>
        </row>
      </sheetData>
      <sheetData sheetId="2477">
        <row r="7">
          <cell r="E7" t="str">
            <v>PT NEWCREST SUMATRA MINERALS</v>
          </cell>
        </row>
      </sheetData>
      <sheetData sheetId="2478">
        <row r="7">
          <cell r="E7" t="str">
            <v>PT NEWCREST SUMATRA MINERALS</v>
          </cell>
        </row>
      </sheetData>
      <sheetData sheetId="2479">
        <row r="7">
          <cell r="E7" t="str">
            <v>PT NEWCREST SUMATRA MINERALS</v>
          </cell>
        </row>
      </sheetData>
      <sheetData sheetId="2480">
        <row r="7">
          <cell r="E7" t="str">
            <v>PT NEWCREST SUMATRA MINERALS</v>
          </cell>
        </row>
      </sheetData>
      <sheetData sheetId="2481">
        <row r="7">
          <cell r="E7" t="str">
            <v>PT NEWCREST SUMATRA MINERALS</v>
          </cell>
        </row>
      </sheetData>
      <sheetData sheetId="2482">
        <row r="7">
          <cell r="E7" t="str">
            <v>PT NEWCREST SUMATRA MINERALS</v>
          </cell>
        </row>
      </sheetData>
      <sheetData sheetId="2483">
        <row r="7">
          <cell r="E7" t="str">
            <v>PT NEWCREST SUMATRA MINERALS</v>
          </cell>
        </row>
      </sheetData>
      <sheetData sheetId="2484">
        <row r="7">
          <cell r="E7" t="str">
            <v>PT NEWCREST SUMATRA MINERALS</v>
          </cell>
        </row>
      </sheetData>
      <sheetData sheetId="2485">
        <row r="7">
          <cell r="E7" t="str">
            <v>PT NEWCREST SUMATRA MINERALS</v>
          </cell>
        </row>
      </sheetData>
      <sheetData sheetId="2486">
        <row r="7">
          <cell r="E7" t="str">
            <v>PT NEWCREST SUMATRA MINERALS</v>
          </cell>
        </row>
      </sheetData>
      <sheetData sheetId="2487">
        <row r="7">
          <cell r="E7" t="str">
            <v>PT NEWCREST SUMATRA MINERALS</v>
          </cell>
        </row>
      </sheetData>
      <sheetData sheetId="2488">
        <row r="7">
          <cell r="E7" t="str">
            <v>PT NEWCREST SUMATRA MINERALS</v>
          </cell>
        </row>
      </sheetData>
      <sheetData sheetId="2489">
        <row r="7">
          <cell r="E7" t="str">
            <v>PT NEWCREST SUMATRA MINERALS</v>
          </cell>
        </row>
      </sheetData>
      <sheetData sheetId="2490">
        <row r="7">
          <cell r="E7" t="str">
            <v>PT NEWCREST SUMATRA MINERALS</v>
          </cell>
        </row>
      </sheetData>
      <sheetData sheetId="2491">
        <row r="7">
          <cell r="E7" t="str">
            <v>PT NEWCREST SUMATRA MINERALS</v>
          </cell>
        </row>
      </sheetData>
      <sheetData sheetId="2492">
        <row r="7">
          <cell r="E7" t="str">
            <v>PT NEWCREST SUMATRA MINERALS</v>
          </cell>
        </row>
      </sheetData>
      <sheetData sheetId="2493">
        <row r="7">
          <cell r="E7" t="str">
            <v>PT NEWCREST SUMATRA MINERALS</v>
          </cell>
        </row>
      </sheetData>
      <sheetData sheetId="2494">
        <row r="7">
          <cell r="E7" t="str">
            <v>PT NEWCREST SUMATRA MINERALS</v>
          </cell>
        </row>
      </sheetData>
      <sheetData sheetId="2495">
        <row r="7">
          <cell r="E7" t="str">
            <v>PT NEWCREST SUMATRA MINERALS</v>
          </cell>
        </row>
      </sheetData>
      <sheetData sheetId="2496">
        <row r="7">
          <cell r="E7" t="str">
            <v>PT NEWCREST SUMATRA MINERALS</v>
          </cell>
        </row>
      </sheetData>
      <sheetData sheetId="2497">
        <row r="7">
          <cell r="E7" t="str">
            <v>PT NEWCREST SUMATRA MINERALS</v>
          </cell>
        </row>
      </sheetData>
      <sheetData sheetId="2498">
        <row r="7">
          <cell r="E7" t="str">
            <v>PT NEWCREST SUMATRA MINERALS</v>
          </cell>
        </row>
      </sheetData>
      <sheetData sheetId="2499">
        <row r="7">
          <cell r="E7" t="str">
            <v>PT NEWCREST SUMATRA MINERALS</v>
          </cell>
        </row>
      </sheetData>
      <sheetData sheetId="2500">
        <row r="7">
          <cell r="E7" t="str">
            <v>PT NEWCREST SUMATRA MINERALS</v>
          </cell>
        </row>
      </sheetData>
      <sheetData sheetId="2501">
        <row r="7">
          <cell r="E7" t="str">
            <v>PT NEWCREST SUMATRA MINERALS</v>
          </cell>
        </row>
      </sheetData>
      <sheetData sheetId="2502">
        <row r="7">
          <cell r="E7" t="str">
            <v>PT NEWCREST SUMATRA MINERALS</v>
          </cell>
        </row>
      </sheetData>
      <sheetData sheetId="2503">
        <row r="7">
          <cell r="E7" t="str">
            <v>PT NEWCREST SUMATRA MINERALS</v>
          </cell>
        </row>
      </sheetData>
      <sheetData sheetId="2504">
        <row r="7">
          <cell r="E7" t="str">
            <v>PT NEWCREST SUMATRA MINERALS</v>
          </cell>
        </row>
      </sheetData>
      <sheetData sheetId="2505">
        <row r="7">
          <cell r="E7" t="str">
            <v>PT NEWCREST SUMATRA MINERALS</v>
          </cell>
        </row>
      </sheetData>
      <sheetData sheetId="2506">
        <row r="7">
          <cell r="E7" t="str">
            <v>PT NEWCREST SUMATRA MINERALS</v>
          </cell>
        </row>
      </sheetData>
      <sheetData sheetId="2507">
        <row r="7">
          <cell r="E7" t="str">
            <v>PT NEWCREST SUMATRA MINERALS</v>
          </cell>
        </row>
      </sheetData>
      <sheetData sheetId="2508">
        <row r="7">
          <cell r="E7" t="str">
            <v>PT NEWCREST SUMATRA MINERALS</v>
          </cell>
        </row>
      </sheetData>
      <sheetData sheetId="2509">
        <row r="7">
          <cell r="E7" t="str">
            <v>PT NEWCREST SUMATRA MINERALS</v>
          </cell>
        </row>
      </sheetData>
      <sheetData sheetId="2510">
        <row r="7">
          <cell r="E7" t="str">
            <v>PT NEWCREST SUMATRA MINERALS</v>
          </cell>
        </row>
      </sheetData>
      <sheetData sheetId="2511">
        <row r="7">
          <cell r="E7" t="str">
            <v>PT NEWCREST SUMATRA MINERALS</v>
          </cell>
        </row>
      </sheetData>
      <sheetData sheetId="2512">
        <row r="7">
          <cell r="E7" t="str">
            <v>PT NEWCREST SUMATRA MINERALS</v>
          </cell>
        </row>
      </sheetData>
      <sheetData sheetId="2513">
        <row r="7">
          <cell r="E7" t="str">
            <v>PT NEWCREST SUMATRA MINERALS</v>
          </cell>
        </row>
      </sheetData>
      <sheetData sheetId="2514">
        <row r="7">
          <cell r="E7" t="str">
            <v>PT NEWCREST SUMATRA MINERALS</v>
          </cell>
        </row>
      </sheetData>
      <sheetData sheetId="2515">
        <row r="7">
          <cell r="E7" t="str">
            <v>PT NEWCREST SUMATRA MINERALS</v>
          </cell>
        </row>
      </sheetData>
      <sheetData sheetId="2516">
        <row r="7">
          <cell r="E7" t="str">
            <v>PT NEWCREST SUMATRA MINERALS</v>
          </cell>
        </row>
      </sheetData>
      <sheetData sheetId="2517">
        <row r="7">
          <cell r="E7" t="str">
            <v>PT NEWCREST SUMATRA MINERALS</v>
          </cell>
        </row>
      </sheetData>
      <sheetData sheetId="2518">
        <row r="7">
          <cell r="E7" t="str">
            <v>PT NEWCREST SUMATRA MINERALS</v>
          </cell>
        </row>
      </sheetData>
      <sheetData sheetId="2519">
        <row r="7">
          <cell r="E7" t="str">
            <v>PT NEWCREST SUMATRA MINERALS</v>
          </cell>
        </row>
      </sheetData>
      <sheetData sheetId="2520">
        <row r="7">
          <cell r="E7" t="str">
            <v>PT NEWCREST SUMATRA MINERALS</v>
          </cell>
        </row>
      </sheetData>
      <sheetData sheetId="2521">
        <row r="7">
          <cell r="E7" t="str">
            <v>PT NEWCREST SUMATRA MINERALS</v>
          </cell>
        </row>
      </sheetData>
      <sheetData sheetId="2522">
        <row r="7">
          <cell r="E7" t="str">
            <v>PT NEWCREST SUMATRA MINERALS</v>
          </cell>
        </row>
      </sheetData>
      <sheetData sheetId="2523">
        <row r="7">
          <cell r="E7" t="str">
            <v>PT NEWCREST SUMATRA MINERALS</v>
          </cell>
        </row>
      </sheetData>
      <sheetData sheetId="2524">
        <row r="7">
          <cell r="E7" t="str">
            <v>PT NEWCREST SUMATRA MINERALS</v>
          </cell>
        </row>
      </sheetData>
      <sheetData sheetId="2525">
        <row r="7">
          <cell r="E7" t="str">
            <v>PT NEWCREST SUMATRA MINERALS</v>
          </cell>
        </row>
      </sheetData>
      <sheetData sheetId="2526">
        <row r="7">
          <cell r="E7" t="str">
            <v>PT NEWCREST SUMATRA MINERALS</v>
          </cell>
        </row>
      </sheetData>
      <sheetData sheetId="2527">
        <row r="7">
          <cell r="E7" t="str">
            <v>PT NEWCREST SUMATRA MINERALS</v>
          </cell>
        </row>
      </sheetData>
      <sheetData sheetId="2528">
        <row r="7">
          <cell r="E7" t="str">
            <v>PT NEWCREST SUMATRA MINERALS</v>
          </cell>
        </row>
      </sheetData>
      <sheetData sheetId="2529">
        <row r="7">
          <cell r="E7" t="str">
            <v>PT NEWCREST SUMATRA MINERALS</v>
          </cell>
        </row>
      </sheetData>
      <sheetData sheetId="2530">
        <row r="7">
          <cell r="E7" t="str">
            <v>PT NEWCREST SUMATRA MINERALS</v>
          </cell>
        </row>
      </sheetData>
      <sheetData sheetId="2531">
        <row r="7">
          <cell r="E7" t="str">
            <v>PT NEWCREST SUMATRA MINERALS</v>
          </cell>
        </row>
      </sheetData>
      <sheetData sheetId="2532">
        <row r="7">
          <cell r="E7" t="str">
            <v>PT NEWCREST SUMATRA MINERALS</v>
          </cell>
        </row>
      </sheetData>
      <sheetData sheetId="2533">
        <row r="7">
          <cell r="E7" t="str">
            <v>PT NEWCREST SUMATRA MINERALS</v>
          </cell>
        </row>
      </sheetData>
      <sheetData sheetId="2534">
        <row r="7">
          <cell r="E7" t="str">
            <v>PT NEWCREST SUMATRA MINERALS</v>
          </cell>
        </row>
      </sheetData>
      <sheetData sheetId="2535">
        <row r="7">
          <cell r="E7" t="str">
            <v>PT NEWCREST SUMATRA MINERALS</v>
          </cell>
        </row>
      </sheetData>
      <sheetData sheetId="2536">
        <row r="7">
          <cell r="E7" t="str">
            <v>PT NEWCREST SUMATRA MINERALS</v>
          </cell>
        </row>
      </sheetData>
      <sheetData sheetId="2537">
        <row r="7">
          <cell r="E7" t="str">
            <v>PT NEWCREST SUMATRA MINERALS</v>
          </cell>
        </row>
      </sheetData>
      <sheetData sheetId="2538">
        <row r="7">
          <cell r="E7" t="str">
            <v>PT NEWCREST SUMATRA MINERALS</v>
          </cell>
        </row>
      </sheetData>
      <sheetData sheetId="2539">
        <row r="7">
          <cell r="E7" t="str">
            <v>PT NEWCREST SUMATRA MINERALS</v>
          </cell>
        </row>
      </sheetData>
      <sheetData sheetId="2540">
        <row r="7">
          <cell r="E7" t="str">
            <v>PT NEWCREST SUMATRA MINERALS</v>
          </cell>
        </row>
      </sheetData>
      <sheetData sheetId="2541">
        <row r="7">
          <cell r="E7" t="str">
            <v>PT NEWCREST SUMATRA MINERALS</v>
          </cell>
        </row>
      </sheetData>
      <sheetData sheetId="2542">
        <row r="7">
          <cell r="E7" t="str">
            <v>PT NEWCREST SUMATRA MINERALS</v>
          </cell>
        </row>
      </sheetData>
      <sheetData sheetId="2543">
        <row r="7">
          <cell r="E7" t="str">
            <v>PT NEWCREST SUMATRA MINERALS</v>
          </cell>
        </row>
      </sheetData>
      <sheetData sheetId="2544">
        <row r="7">
          <cell r="E7" t="str">
            <v>PT NEWCREST SUMATRA MINERALS</v>
          </cell>
        </row>
      </sheetData>
      <sheetData sheetId="2545">
        <row r="7">
          <cell r="E7" t="str">
            <v>PT NEWCREST SUMATRA MINERALS</v>
          </cell>
        </row>
      </sheetData>
      <sheetData sheetId="2546">
        <row r="7">
          <cell r="E7" t="str">
            <v>PT NEWCREST SUMATRA MINERALS</v>
          </cell>
        </row>
      </sheetData>
      <sheetData sheetId="2547">
        <row r="7">
          <cell r="E7" t="str">
            <v>PT NEWCREST SUMATRA MINERALS</v>
          </cell>
        </row>
      </sheetData>
      <sheetData sheetId="2548">
        <row r="7">
          <cell r="E7" t="str">
            <v>PT NEWCREST SUMATRA MINERALS</v>
          </cell>
        </row>
      </sheetData>
      <sheetData sheetId="2549">
        <row r="7">
          <cell r="E7" t="str">
            <v>PT NEWCREST SUMATRA MINERALS</v>
          </cell>
        </row>
      </sheetData>
      <sheetData sheetId="2550">
        <row r="7">
          <cell r="E7" t="str">
            <v>PT NEWCREST SUMATRA MINERALS</v>
          </cell>
        </row>
      </sheetData>
      <sheetData sheetId="2551">
        <row r="7">
          <cell r="E7" t="str">
            <v>PT NEWCREST SUMATRA MINERALS</v>
          </cell>
        </row>
      </sheetData>
      <sheetData sheetId="2552">
        <row r="7">
          <cell r="E7" t="str">
            <v>PT NEWCREST SUMATRA MINERALS</v>
          </cell>
        </row>
      </sheetData>
      <sheetData sheetId="2553">
        <row r="7">
          <cell r="E7" t="str">
            <v>PT NEWCREST SUMATRA MINERALS</v>
          </cell>
        </row>
      </sheetData>
      <sheetData sheetId="2554">
        <row r="7">
          <cell r="E7" t="str">
            <v>PT NEWCREST SUMATRA MINERALS</v>
          </cell>
        </row>
      </sheetData>
      <sheetData sheetId="2555">
        <row r="7">
          <cell r="E7" t="str">
            <v>PT NEWCREST SUMATRA MINERALS</v>
          </cell>
        </row>
      </sheetData>
      <sheetData sheetId="2556">
        <row r="7">
          <cell r="E7" t="str">
            <v>PT NEWCREST SUMATRA MINERALS</v>
          </cell>
        </row>
      </sheetData>
      <sheetData sheetId="2557">
        <row r="7">
          <cell r="E7" t="str">
            <v>PT NEWCREST SUMATRA MINERALS</v>
          </cell>
        </row>
      </sheetData>
      <sheetData sheetId="2558">
        <row r="7">
          <cell r="E7" t="str">
            <v>PT NEWCREST SUMATRA MINERALS</v>
          </cell>
        </row>
      </sheetData>
      <sheetData sheetId="2559">
        <row r="7">
          <cell r="E7" t="str">
            <v>PT NEWCREST SUMATRA MINERALS</v>
          </cell>
        </row>
      </sheetData>
      <sheetData sheetId="2560">
        <row r="7">
          <cell r="E7" t="str">
            <v>PT NEWCREST SUMATRA MINERALS</v>
          </cell>
        </row>
      </sheetData>
      <sheetData sheetId="2561">
        <row r="7">
          <cell r="E7" t="str">
            <v>PT NEWCREST SUMATRA MINERALS</v>
          </cell>
        </row>
      </sheetData>
      <sheetData sheetId="2562">
        <row r="7">
          <cell r="E7" t="str">
            <v>PT NEWCREST SUMATRA MINERALS</v>
          </cell>
        </row>
      </sheetData>
      <sheetData sheetId="2563">
        <row r="7">
          <cell r="E7" t="str">
            <v>PT NEWCREST SUMATRA MINERALS</v>
          </cell>
        </row>
      </sheetData>
      <sheetData sheetId="2564">
        <row r="7">
          <cell r="E7" t="str">
            <v>PT NEWCREST SUMATRA MINERALS</v>
          </cell>
        </row>
      </sheetData>
      <sheetData sheetId="2565">
        <row r="7">
          <cell r="E7" t="str">
            <v>PT NEWCREST SUMATRA MINERALS</v>
          </cell>
        </row>
      </sheetData>
      <sheetData sheetId="2566">
        <row r="7">
          <cell r="E7" t="str">
            <v>PT NEWCREST SUMATRA MINERALS</v>
          </cell>
        </row>
      </sheetData>
      <sheetData sheetId="2567">
        <row r="7">
          <cell r="E7" t="str">
            <v>PT NEWCREST SUMATRA MINERALS</v>
          </cell>
        </row>
      </sheetData>
      <sheetData sheetId="2568">
        <row r="7">
          <cell r="E7" t="str">
            <v>PT NEWCREST SUMATRA MINERALS</v>
          </cell>
        </row>
      </sheetData>
      <sheetData sheetId="2569">
        <row r="7">
          <cell r="E7" t="str">
            <v>PT NEWCREST SUMATRA MINERALS</v>
          </cell>
        </row>
      </sheetData>
      <sheetData sheetId="2570">
        <row r="7">
          <cell r="E7" t="str">
            <v>PT NEWCREST SUMATRA MINERALS</v>
          </cell>
        </row>
      </sheetData>
      <sheetData sheetId="2571">
        <row r="7">
          <cell r="E7" t="str">
            <v>PT NEWCREST SUMATRA MINERALS</v>
          </cell>
        </row>
      </sheetData>
      <sheetData sheetId="2572">
        <row r="7">
          <cell r="E7" t="str">
            <v>PT NEWCREST SUMATRA MINERALS</v>
          </cell>
        </row>
      </sheetData>
      <sheetData sheetId="2573">
        <row r="7">
          <cell r="E7" t="str">
            <v>PT NEWCREST SUMATRA MINERALS</v>
          </cell>
        </row>
      </sheetData>
      <sheetData sheetId="2574">
        <row r="7">
          <cell r="E7" t="str">
            <v>PT NEWCREST SUMATRA MINERALS</v>
          </cell>
        </row>
      </sheetData>
      <sheetData sheetId="2575">
        <row r="7">
          <cell r="E7" t="str">
            <v>PT NEWCREST SUMATRA MINERALS</v>
          </cell>
        </row>
      </sheetData>
      <sheetData sheetId="2576">
        <row r="7">
          <cell r="E7" t="str">
            <v>PT NEWCREST SUMATRA MINERALS</v>
          </cell>
        </row>
      </sheetData>
      <sheetData sheetId="2577">
        <row r="7">
          <cell r="E7" t="str">
            <v>PT NEWCREST SUMATRA MINERALS</v>
          </cell>
        </row>
      </sheetData>
      <sheetData sheetId="2578">
        <row r="7">
          <cell r="E7" t="str">
            <v>PT NEWCREST SUMATRA MINERALS</v>
          </cell>
        </row>
      </sheetData>
      <sheetData sheetId="2579">
        <row r="7">
          <cell r="E7" t="str">
            <v>PT NEWCREST SUMATRA MINERALS</v>
          </cell>
        </row>
      </sheetData>
      <sheetData sheetId="2580">
        <row r="7">
          <cell r="E7" t="str">
            <v>PT NEWCREST SUMATRA MINERALS</v>
          </cell>
        </row>
      </sheetData>
      <sheetData sheetId="2581">
        <row r="7">
          <cell r="E7" t="str">
            <v>PT NEWCREST SUMATRA MINERALS</v>
          </cell>
        </row>
      </sheetData>
      <sheetData sheetId="2582">
        <row r="7">
          <cell r="E7" t="str">
            <v>PT NEWCREST SUMATRA MINERALS</v>
          </cell>
        </row>
      </sheetData>
      <sheetData sheetId="2583">
        <row r="7">
          <cell r="E7" t="str">
            <v>PT NEWCREST SUMATRA MINERALS</v>
          </cell>
        </row>
      </sheetData>
      <sheetData sheetId="2584">
        <row r="7">
          <cell r="E7" t="str">
            <v>PT NEWCREST SUMATRA MINERALS</v>
          </cell>
        </row>
      </sheetData>
      <sheetData sheetId="2585">
        <row r="7">
          <cell r="E7" t="str">
            <v>PT NEWCREST SUMATRA MINERALS</v>
          </cell>
        </row>
      </sheetData>
      <sheetData sheetId="2586">
        <row r="7">
          <cell r="E7" t="str">
            <v>PT NEWCREST SUMATRA MINERALS</v>
          </cell>
        </row>
      </sheetData>
      <sheetData sheetId="2587">
        <row r="7">
          <cell r="E7" t="str">
            <v>PT NEWCREST SUMATRA MINERALS</v>
          </cell>
        </row>
      </sheetData>
      <sheetData sheetId="2588">
        <row r="7">
          <cell r="E7" t="str">
            <v>PT NEWCREST SUMATRA MINERALS</v>
          </cell>
        </row>
      </sheetData>
      <sheetData sheetId="2589">
        <row r="7">
          <cell r="E7" t="str">
            <v>PT NEWCREST SUMATRA MINERALS</v>
          </cell>
        </row>
      </sheetData>
      <sheetData sheetId="2590">
        <row r="7">
          <cell r="E7" t="str">
            <v>PT NEWCREST SUMATRA MINERALS</v>
          </cell>
        </row>
      </sheetData>
      <sheetData sheetId="2591">
        <row r="7">
          <cell r="E7" t="str">
            <v>PT NEWCREST SUMATRA MINERALS</v>
          </cell>
        </row>
      </sheetData>
      <sheetData sheetId="2592">
        <row r="7">
          <cell r="E7" t="str">
            <v>PT NEWCREST SUMATRA MINERALS</v>
          </cell>
        </row>
      </sheetData>
      <sheetData sheetId="2593">
        <row r="7">
          <cell r="E7" t="str">
            <v>PT NEWCREST SUMATRA MINERALS</v>
          </cell>
        </row>
      </sheetData>
      <sheetData sheetId="2594">
        <row r="7">
          <cell r="E7" t="str">
            <v>PT NEWCREST SUMATRA MINERALS</v>
          </cell>
        </row>
      </sheetData>
      <sheetData sheetId="2595">
        <row r="7">
          <cell r="E7" t="str">
            <v>PT NEWCREST SUMATRA MINERALS</v>
          </cell>
        </row>
      </sheetData>
      <sheetData sheetId="2596">
        <row r="7">
          <cell r="E7" t="str">
            <v>PT NEWCREST SUMATRA MINERALS</v>
          </cell>
        </row>
      </sheetData>
      <sheetData sheetId="2597">
        <row r="7">
          <cell r="E7" t="str">
            <v>PT NEWCREST SUMATRA MINERALS</v>
          </cell>
        </row>
      </sheetData>
      <sheetData sheetId="2598">
        <row r="7">
          <cell r="E7" t="str">
            <v>PT NEWCREST SUMATRA MINERALS</v>
          </cell>
        </row>
      </sheetData>
      <sheetData sheetId="2599">
        <row r="7">
          <cell r="E7" t="str">
            <v>PT NEWCREST SUMATRA MINERALS</v>
          </cell>
        </row>
      </sheetData>
      <sheetData sheetId="2600">
        <row r="7">
          <cell r="E7" t="str">
            <v>PT NEWCREST SUMATRA MINERALS</v>
          </cell>
        </row>
      </sheetData>
      <sheetData sheetId="2601">
        <row r="7">
          <cell r="E7" t="str">
            <v>PT NEWCREST SUMATRA MINERALS</v>
          </cell>
        </row>
      </sheetData>
      <sheetData sheetId="2602">
        <row r="7">
          <cell r="E7" t="str">
            <v>PT NEWCREST SUMATRA MINERALS</v>
          </cell>
        </row>
      </sheetData>
      <sheetData sheetId="2603">
        <row r="7">
          <cell r="E7" t="str">
            <v>PT NEWCREST SUMATRA MINERALS</v>
          </cell>
        </row>
      </sheetData>
      <sheetData sheetId="2604">
        <row r="7">
          <cell r="E7" t="str">
            <v>PT NEWCREST SUMATRA MINERALS</v>
          </cell>
        </row>
      </sheetData>
      <sheetData sheetId="2605">
        <row r="7">
          <cell r="E7" t="str">
            <v>PT NEWCREST SUMATRA MINERALS</v>
          </cell>
        </row>
      </sheetData>
      <sheetData sheetId="2606">
        <row r="7">
          <cell r="E7" t="str">
            <v>PT NEWCREST SUMATRA MINERALS</v>
          </cell>
        </row>
      </sheetData>
      <sheetData sheetId="2607">
        <row r="7">
          <cell r="E7" t="str">
            <v>PT NEWCREST SUMATRA MINERALS</v>
          </cell>
        </row>
      </sheetData>
      <sheetData sheetId="2608">
        <row r="7">
          <cell r="E7" t="str">
            <v>PT NEWCREST SUMATRA MINERALS</v>
          </cell>
        </row>
      </sheetData>
      <sheetData sheetId="2609">
        <row r="7">
          <cell r="E7" t="str">
            <v>PT NEWCREST SUMATRA MINERALS</v>
          </cell>
        </row>
      </sheetData>
      <sheetData sheetId="2610">
        <row r="7">
          <cell r="E7" t="str">
            <v>PT NEWCREST SUMATRA MINERALS</v>
          </cell>
        </row>
      </sheetData>
      <sheetData sheetId="2611">
        <row r="7">
          <cell r="E7" t="str">
            <v>PT NEWCREST SUMATRA MINERALS</v>
          </cell>
        </row>
      </sheetData>
      <sheetData sheetId="2612">
        <row r="7">
          <cell r="E7" t="str">
            <v>PT NEWCREST SUMATRA MINERALS</v>
          </cell>
        </row>
      </sheetData>
      <sheetData sheetId="2613">
        <row r="7">
          <cell r="E7" t="str">
            <v>PT NEWCREST SUMATRA MINERALS</v>
          </cell>
        </row>
      </sheetData>
      <sheetData sheetId="2614">
        <row r="7">
          <cell r="E7" t="str">
            <v>PT NEWCREST SUMATRA MINERALS</v>
          </cell>
        </row>
      </sheetData>
      <sheetData sheetId="2615">
        <row r="7">
          <cell r="E7" t="str">
            <v>PT NEWCREST SUMATRA MINERALS</v>
          </cell>
        </row>
      </sheetData>
      <sheetData sheetId="2616">
        <row r="7">
          <cell r="E7" t="str">
            <v>PT NEWCREST SUMATRA MINERALS</v>
          </cell>
        </row>
      </sheetData>
      <sheetData sheetId="2617">
        <row r="7">
          <cell r="E7" t="str">
            <v>PT NEWCREST SUMATRA MINERALS</v>
          </cell>
        </row>
      </sheetData>
      <sheetData sheetId="2618">
        <row r="7">
          <cell r="E7" t="str">
            <v>PT NEWCREST SUMATRA MINERALS</v>
          </cell>
        </row>
      </sheetData>
      <sheetData sheetId="2619">
        <row r="7">
          <cell r="E7" t="str">
            <v>PT NEWCREST SUMATRA MINERALS</v>
          </cell>
        </row>
      </sheetData>
      <sheetData sheetId="2620">
        <row r="7">
          <cell r="E7" t="str">
            <v>PT NEWCREST SUMATRA MINERALS</v>
          </cell>
        </row>
      </sheetData>
      <sheetData sheetId="2621">
        <row r="7">
          <cell r="E7" t="str">
            <v>PT NEWCREST SUMATRA MINERALS</v>
          </cell>
        </row>
      </sheetData>
      <sheetData sheetId="2622">
        <row r="7">
          <cell r="E7" t="str">
            <v>PT NEWCREST SUMATRA MINERALS</v>
          </cell>
        </row>
      </sheetData>
      <sheetData sheetId="2623">
        <row r="7">
          <cell r="E7" t="str">
            <v>PT NEWCREST SUMATRA MINERALS</v>
          </cell>
        </row>
      </sheetData>
      <sheetData sheetId="2624">
        <row r="7">
          <cell r="E7" t="str">
            <v>PT NEWCREST SUMATRA MINERALS</v>
          </cell>
        </row>
      </sheetData>
      <sheetData sheetId="2625">
        <row r="7">
          <cell r="E7" t="str">
            <v>PT NEWCREST SUMATRA MINERALS</v>
          </cell>
        </row>
      </sheetData>
      <sheetData sheetId="2626">
        <row r="7">
          <cell r="E7" t="str">
            <v>PT NEWCREST SUMATRA MINERALS</v>
          </cell>
        </row>
      </sheetData>
      <sheetData sheetId="2627">
        <row r="7">
          <cell r="E7" t="str">
            <v>PT NEWCREST SUMATRA MINERALS</v>
          </cell>
        </row>
      </sheetData>
      <sheetData sheetId="2628">
        <row r="7">
          <cell r="E7" t="str">
            <v>PT NEWCREST SUMATRA MINERALS</v>
          </cell>
        </row>
      </sheetData>
      <sheetData sheetId="2629">
        <row r="7">
          <cell r="E7" t="str">
            <v>PT NEWCREST SUMATRA MINERALS</v>
          </cell>
        </row>
      </sheetData>
      <sheetData sheetId="2630">
        <row r="7">
          <cell r="E7" t="str">
            <v>PT NEWCREST SUMATRA MINERALS</v>
          </cell>
        </row>
      </sheetData>
      <sheetData sheetId="2631">
        <row r="7">
          <cell r="E7" t="str">
            <v>PT NEWCREST SUMATRA MINERALS</v>
          </cell>
        </row>
      </sheetData>
      <sheetData sheetId="2632">
        <row r="7">
          <cell r="E7" t="str">
            <v>PT NEWCREST SUMATRA MINERALS</v>
          </cell>
        </row>
      </sheetData>
      <sheetData sheetId="2633">
        <row r="7">
          <cell r="E7" t="str">
            <v>PT NEWCREST SUMATRA MINERALS</v>
          </cell>
        </row>
      </sheetData>
      <sheetData sheetId="2634">
        <row r="7">
          <cell r="E7" t="str">
            <v>PT NEWCREST SUMATRA MINERALS</v>
          </cell>
        </row>
      </sheetData>
      <sheetData sheetId="2635">
        <row r="7">
          <cell r="E7" t="str">
            <v>PT NEWCREST SUMATRA MINERALS</v>
          </cell>
        </row>
      </sheetData>
      <sheetData sheetId="2636">
        <row r="7">
          <cell r="E7" t="str">
            <v>PT NEWCREST SUMATRA MINERALS</v>
          </cell>
        </row>
      </sheetData>
      <sheetData sheetId="2637">
        <row r="7">
          <cell r="E7" t="str">
            <v>PT NEWCREST SUMATRA MINERALS</v>
          </cell>
        </row>
      </sheetData>
      <sheetData sheetId="2638">
        <row r="7">
          <cell r="E7" t="str">
            <v>PT NEWCREST SUMATRA MINERALS</v>
          </cell>
        </row>
      </sheetData>
      <sheetData sheetId="2639">
        <row r="7">
          <cell r="E7" t="str">
            <v>PT NEWCREST SUMATRA MINERALS</v>
          </cell>
        </row>
      </sheetData>
      <sheetData sheetId="2640">
        <row r="7">
          <cell r="E7" t="str">
            <v>PT NEWCREST SUMATRA MINERALS</v>
          </cell>
        </row>
      </sheetData>
      <sheetData sheetId="2641">
        <row r="7">
          <cell r="E7" t="str">
            <v>PT NEWCREST SUMATRA MINERALS</v>
          </cell>
        </row>
      </sheetData>
      <sheetData sheetId="2642">
        <row r="7">
          <cell r="E7" t="str">
            <v>PT NEWCREST SUMATRA MINERALS</v>
          </cell>
        </row>
      </sheetData>
      <sheetData sheetId="2643">
        <row r="7">
          <cell r="E7" t="str">
            <v>PT NEWCREST SUMATRA MINERALS</v>
          </cell>
        </row>
      </sheetData>
      <sheetData sheetId="2644">
        <row r="7">
          <cell r="E7" t="str">
            <v>PT NEWCREST SUMATRA MINERALS</v>
          </cell>
        </row>
      </sheetData>
      <sheetData sheetId="2645">
        <row r="7">
          <cell r="E7" t="str">
            <v>PT NEWCREST SUMATRA MINERALS</v>
          </cell>
        </row>
      </sheetData>
      <sheetData sheetId="2646">
        <row r="7">
          <cell r="E7" t="str">
            <v>PT NEWCREST SUMATRA MINERALS</v>
          </cell>
        </row>
      </sheetData>
      <sheetData sheetId="2647">
        <row r="7">
          <cell r="E7" t="str">
            <v>PT NEWCREST SUMATRA MINERALS</v>
          </cell>
        </row>
      </sheetData>
      <sheetData sheetId="2648">
        <row r="7">
          <cell r="E7" t="str">
            <v>PT NEWCREST SUMATRA MINERALS</v>
          </cell>
        </row>
      </sheetData>
      <sheetData sheetId="2649">
        <row r="7">
          <cell r="E7" t="str">
            <v>PT NEWCREST SUMATRA MINERALS</v>
          </cell>
        </row>
      </sheetData>
      <sheetData sheetId="2650">
        <row r="7">
          <cell r="E7" t="str">
            <v>PT NEWCREST SUMATRA MINERALS</v>
          </cell>
        </row>
      </sheetData>
      <sheetData sheetId="2651">
        <row r="7">
          <cell r="E7" t="str">
            <v>PT NEWCREST SUMATRA MINERALS</v>
          </cell>
        </row>
      </sheetData>
      <sheetData sheetId="2652">
        <row r="7">
          <cell r="E7" t="str">
            <v>PT NEWCREST SUMATRA MINERALS</v>
          </cell>
        </row>
      </sheetData>
      <sheetData sheetId="2653">
        <row r="7">
          <cell r="E7" t="str">
            <v>PT NEWCREST SUMATRA MINERALS</v>
          </cell>
        </row>
      </sheetData>
      <sheetData sheetId="2654">
        <row r="7">
          <cell r="E7" t="str">
            <v>PT NEWCREST SUMATRA MINERALS</v>
          </cell>
        </row>
      </sheetData>
      <sheetData sheetId="2655">
        <row r="7">
          <cell r="E7" t="str">
            <v>PT NEWCREST SUMATRA MINERALS</v>
          </cell>
        </row>
      </sheetData>
      <sheetData sheetId="2656">
        <row r="7">
          <cell r="E7" t="str">
            <v>PT NEWCREST SUMATRA MINERALS</v>
          </cell>
        </row>
      </sheetData>
      <sheetData sheetId="2657">
        <row r="7">
          <cell r="E7" t="str">
            <v>PT NEWCREST SUMATRA MINERALS</v>
          </cell>
        </row>
      </sheetData>
      <sheetData sheetId="2658">
        <row r="7">
          <cell r="E7" t="str">
            <v>PT NEWCREST SUMATRA MINERALS</v>
          </cell>
        </row>
      </sheetData>
      <sheetData sheetId="2659">
        <row r="7">
          <cell r="E7" t="str">
            <v>PT NEWCREST SUMATRA MINERALS</v>
          </cell>
        </row>
      </sheetData>
      <sheetData sheetId="2660">
        <row r="7">
          <cell r="E7" t="str">
            <v>PT NEWCREST SUMATRA MINERALS</v>
          </cell>
        </row>
      </sheetData>
      <sheetData sheetId="2661">
        <row r="7">
          <cell r="E7" t="str">
            <v>PT NEWCREST SUMATRA MINERALS</v>
          </cell>
        </row>
      </sheetData>
      <sheetData sheetId="2662">
        <row r="7">
          <cell r="E7" t="str">
            <v>PT NEWCREST SUMATRA MINERALS</v>
          </cell>
        </row>
      </sheetData>
      <sheetData sheetId="2663">
        <row r="7">
          <cell r="E7" t="str">
            <v>PT NEWCREST SUMATRA MINERALS</v>
          </cell>
        </row>
      </sheetData>
      <sheetData sheetId="2664">
        <row r="7">
          <cell r="E7" t="str">
            <v>PT NEWCREST SUMATRA MINERALS</v>
          </cell>
        </row>
      </sheetData>
      <sheetData sheetId="2665">
        <row r="7">
          <cell r="E7" t="str">
            <v>PT NEWCREST SUMATRA MINERALS</v>
          </cell>
        </row>
      </sheetData>
      <sheetData sheetId="2666">
        <row r="7">
          <cell r="E7" t="str">
            <v>PT NEWCREST SUMATRA MINERALS</v>
          </cell>
        </row>
      </sheetData>
      <sheetData sheetId="2667">
        <row r="7">
          <cell r="E7" t="str">
            <v>PT NEWCREST SUMATRA MINERALS</v>
          </cell>
        </row>
      </sheetData>
      <sheetData sheetId="2668">
        <row r="7">
          <cell r="E7" t="str">
            <v>PT NEWCREST SUMATRA MINERALS</v>
          </cell>
        </row>
      </sheetData>
      <sheetData sheetId="2669">
        <row r="7">
          <cell r="E7" t="str">
            <v>PT NEWCREST SUMATRA MINERALS</v>
          </cell>
        </row>
      </sheetData>
      <sheetData sheetId="2670">
        <row r="7">
          <cell r="E7" t="str">
            <v>PT NEWCREST SUMATRA MINERALS</v>
          </cell>
        </row>
      </sheetData>
      <sheetData sheetId="2671">
        <row r="7">
          <cell r="E7" t="str">
            <v>PT NEWCREST SUMATRA MINERALS</v>
          </cell>
        </row>
      </sheetData>
      <sheetData sheetId="2672">
        <row r="7">
          <cell r="E7" t="str">
            <v>PT NEWCREST SUMATRA MINERALS</v>
          </cell>
        </row>
      </sheetData>
      <sheetData sheetId="2673">
        <row r="7">
          <cell r="E7" t="str">
            <v>PT NEWCREST SUMATRA MINERALS</v>
          </cell>
        </row>
      </sheetData>
      <sheetData sheetId="2674">
        <row r="7">
          <cell r="E7" t="str">
            <v>PT NEWCREST SUMATRA MINERALS</v>
          </cell>
        </row>
      </sheetData>
      <sheetData sheetId="2675">
        <row r="7">
          <cell r="E7" t="str">
            <v>PT NEWCREST SUMATRA MINERALS</v>
          </cell>
        </row>
      </sheetData>
      <sheetData sheetId="2676">
        <row r="7">
          <cell r="E7" t="str">
            <v>PT NEWCREST SUMATRA MINERALS</v>
          </cell>
        </row>
      </sheetData>
      <sheetData sheetId="2677">
        <row r="7">
          <cell r="E7" t="str">
            <v>PT NEWCREST SUMATRA MINERALS</v>
          </cell>
        </row>
      </sheetData>
      <sheetData sheetId="2678">
        <row r="7">
          <cell r="E7" t="str">
            <v>PT NEWCREST SUMATRA MINERALS</v>
          </cell>
        </row>
      </sheetData>
      <sheetData sheetId="2679">
        <row r="7">
          <cell r="E7" t="str">
            <v>PT NEWCREST SUMATRA MINERALS</v>
          </cell>
        </row>
      </sheetData>
      <sheetData sheetId="2680">
        <row r="7">
          <cell r="E7" t="str">
            <v>PT NEWCREST SUMATRA MINERALS</v>
          </cell>
        </row>
      </sheetData>
      <sheetData sheetId="2681">
        <row r="7">
          <cell r="E7" t="str">
            <v>PT NEWCREST SUMATRA MINERALS</v>
          </cell>
        </row>
      </sheetData>
      <sheetData sheetId="2682">
        <row r="7">
          <cell r="E7" t="str">
            <v>PT NEWCREST SUMATRA MINERALS</v>
          </cell>
        </row>
      </sheetData>
      <sheetData sheetId="2683">
        <row r="7">
          <cell r="E7" t="str">
            <v>PT NEWCREST SUMATRA MINERALS</v>
          </cell>
        </row>
      </sheetData>
      <sheetData sheetId="2684">
        <row r="7">
          <cell r="E7" t="str">
            <v>PT NEWCREST SUMATRA MINERALS</v>
          </cell>
        </row>
      </sheetData>
      <sheetData sheetId="2685">
        <row r="7">
          <cell r="E7" t="str">
            <v>PT NEWCREST SUMATRA MINERALS</v>
          </cell>
        </row>
      </sheetData>
      <sheetData sheetId="2686">
        <row r="7">
          <cell r="E7" t="str">
            <v>PT NEWCREST SUMATRA MINERALS</v>
          </cell>
        </row>
      </sheetData>
      <sheetData sheetId="2687">
        <row r="7">
          <cell r="E7" t="str">
            <v>PT NEWCREST SUMATRA MINERALS</v>
          </cell>
        </row>
      </sheetData>
      <sheetData sheetId="2688">
        <row r="7">
          <cell r="E7" t="str">
            <v>PT NEWCREST SUMATRA MINERALS</v>
          </cell>
        </row>
      </sheetData>
      <sheetData sheetId="2689">
        <row r="7">
          <cell r="E7" t="str">
            <v>PT NEWCREST SUMATRA MINERALS</v>
          </cell>
        </row>
      </sheetData>
      <sheetData sheetId="2690">
        <row r="7">
          <cell r="E7" t="str">
            <v>PT NEWCREST SUMATRA MINERALS</v>
          </cell>
        </row>
      </sheetData>
      <sheetData sheetId="2691">
        <row r="7">
          <cell r="E7" t="str">
            <v>PT NEWCREST SUMATRA MINERALS</v>
          </cell>
        </row>
      </sheetData>
      <sheetData sheetId="2692">
        <row r="7">
          <cell r="E7" t="str">
            <v>PT NEWCREST SUMATRA MINERALS</v>
          </cell>
        </row>
      </sheetData>
      <sheetData sheetId="2693">
        <row r="7">
          <cell r="E7" t="str">
            <v>PT NEWCREST SUMATRA MINERALS</v>
          </cell>
        </row>
      </sheetData>
      <sheetData sheetId="2694">
        <row r="7">
          <cell r="E7" t="str">
            <v>PT NEWCREST SUMATRA MINERALS</v>
          </cell>
        </row>
      </sheetData>
      <sheetData sheetId="2695">
        <row r="7">
          <cell r="E7" t="str">
            <v>PT NEWCREST SUMATRA MINERALS</v>
          </cell>
        </row>
      </sheetData>
      <sheetData sheetId="2696">
        <row r="7">
          <cell r="E7" t="str">
            <v>PT NEWCREST SUMATRA MINERALS</v>
          </cell>
        </row>
      </sheetData>
      <sheetData sheetId="2697">
        <row r="7">
          <cell r="E7" t="str">
            <v>PT NEWCREST SUMATRA MINERALS</v>
          </cell>
        </row>
      </sheetData>
      <sheetData sheetId="2698">
        <row r="7">
          <cell r="E7" t="str">
            <v>PT NEWCREST SUMATRA MINERALS</v>
          </cell>
        </row>
      </sheetData>
      <sheetData sheetId="2699">
        <row r="7">
          <cell r="E7" t="str">
            <v>PT NEWCREST SUMATRA MINERALS</v>
          </cell>
        </row>
      </sheetData>
      <sheetData sheetId="2700">
        <row r="7">
          <cell r="E7" t="str">
            <v>PT NEWCREST SUMATRA MINERALS</v>
          </cell>
        </row>
      </sheetData>
      <sheetData sheetId="2701">
        <row r="7">
          <cell r="E7" t="str">
            <v>PT NEWCREST SUMATRA MINERALS</v>
          </cell>
        </row>
      </sheetData>
      <sheetData sheetId="2702">
        <row r="7">
          <cell r="E7" t="str">
            <v>PT NEWCREST SUMATRA MINERALS</v>
          </cell>
        </row>
      </sheetData>
      <sheetData sheetId="2703">
        <row r="7">
          <cell r="E7" t="str">
            <v>PT NEWCREST SUMATRA MINERALS</v>
          </cell>
        </row>
      </sheetData>
      <sheetData sheetId="2704">
        <row r="7">
          <cell r="E7" t="str">
            <v>PT NEWCREST SUMATRA MINERALS</v>
          </cell>
        </row>
      </sheetData>
      <sheetData sheetId="2705">
        <row r="7">
          <cell r="E7" t="str">
            <v>PT NEWCREST SUMATRA MINERALS</v>
          </cell>
        </row>
      </sheetData>
      <sheetData sheetId="2706">
        <row r="7">
          <cell r="E7" t="str">
            <v>PT NEWCREST SUMATRA MINERALS</v>
          </cell>
        </row>
      </sheetData>
      <sheetData sheetId="2707">
        <row r="7">
          <cell r="E7" t="str">
            <v>PT NEWCREST SUMATRA MINERALS</v>
          </cell>
        </row>
      </sheetData>
      <sheetData sheetId="2708">
        <row r="7">
          <cell r="E7" t="str">
            <v>PT NEWCREST SUMATRA MINERALS</v>
          </cell>
        </row>
      </sheetData>
      <sheetData sheetId="2709">
        <row r="7">
          <cell r="E7" t="str">
            <v>PT NEWCREST SUMATRA MINERALS</v>
          </cell>
        </row>
      </sheetData>
      <sheetData sheetId="2710">
        <row r="7">
          <cell r="E7" t="str">
            <v>PT NEWCREST SUMATRA MINERALS</v>
          </cell>
        </row>
      </sheetData>
      <sheetData sheetId="2711">
        <row r="7">
          <cell r="E7" t="str">
            <v>PT NEWCREST SUMATRA MINERALS</v>
          </cell>
        </row>
      </sheetData>
      <sheetData sheetId="2712">
        <row r="7">
          <cell r="E7" t="str">
            <v>PT NEWCREST SUMATRA MINERALS</v>
          </cell>
        </row>
      </sheetData>
      <sheetData sheetId="2713">
        <row r="7">
          <cell r="E7" t="str">
            <v>PT NEWCREST SUMATRA MINERALS</v>
          </cell>
        </row>
      </sheetData>
      <sheetData sheetId="2714">
        <row r="7">
          <cell r="E7" t="str">
            <v>PT NEWCREST SUMATRA MINERALS</v>
          </cell>
        </row>
      </sheetData>
      <sheetData sheetId="2715">
        <row r="7">
          <cell r="E7" t="str">
            <v>PT NEWCREST SUMATRA MINERALS</v>
          </cell>
        </row>
      </sheetData>
      <sheetData sheetId="2716">
        <row r="7">
          <cell r="E7" t="str">
            <v>PT NEWCREST SUMATRA MINERALS</v>
          </cell>
        </row>
      </sheetData>
      <sheetData sheetId="2717">
        <row r="7">
          <cell r="E7" t="str">
            <v>PT NEWCREST SUMATRA MINERALS</v>
          </cell>
        </row>
      </sheetData>
      <sheetData sheetId="2718">
        <row r="7">
          <cell r="E7" t="str">
            <v>PT NEWCREST SUMATRA MINERALS</v>
          </cell>
        </row>
      </sheetData>
      <sheetData sheetId="2719">
        <row r="7">
          <cell r="E7" t="str">
            <v>PT NEWCREST SUMATRA MINERALS</v>
          </cell>
        </row>
      </sheetData>
      <sheetData sheetId="2720">
        <row r="7">
          <cell r="E7" t="str">
            <v>PT NEWCREST SUMATRA MINERALS</v>
          </cell>
        </row>
      </sheetData>
      <sheetData sheetId="2721">
        <row r="7">
          <cell r="E7" t="str">
            <v>PT NEWCREST SUMATRA MINERALS</v>
          </cell>
        </row>
      </sheetData>
      <sheetData sheetId="2722">
        <row r="7">
          <cell r="E7" t="str">
            <v>PT NEWCREST SUMATRA MINERALS</v>
          </cell>
        </row>
      </sheetData>
      <sheetData sheetId="2723">
        <row r="7">
          <cell r="E7" t="str">
            <v>PT NEWCREST SUMATRA MINERALS</v>
          </cell>
        </row>
      </sheetData>
      <sheetData sheetId="2724">
        <row r="7">
          <cell r="E7" t="str">
            <v>PT NEWCREST SUMATRA MINERALS</v>
          </cell>
        </row>
      </sheetData>
      <sheetData sheetId="2725">
        <row r="7">
          <cell r="E7" t="str">
            <v>PT NEWCREST SUMATRA MINERALS</v>
          </cell>
        </row>
      </sheetData>
      <sheetData sheetId="2726">
        <row r="7">
          <cell r="E7" t="str">
            <v>PT NEWCREST SUMATRA MINERALS</v>
          </cell>
        </row>
      </sheetData>
      <sheetData sheetId="2727">
        <row r="7">
          <cell r="E7" t="str">
            <v>PT NEWCREST SUMATRA MINERALS</v>
          </cell>
        </row>
      </sheetData>
      <sheetData sheetId="2728">
        <row r="7">
          <cell r="E7" t="str">
            <v>PT NEWCREST SUMATRA MINERALS</v>
          </cell>
        </row>
      </sheetData>
      <sheetData sheetId="2729">
        <row r="7">
          <cell r="E7" t="str">
            <v>PT NEWCREST SUMATRA MINERALS</v>
          </cell>
        </row>
      </sheetData>
      <sheetData sheetId="2730">
        <row r="7">
          <cell r="E7" t="str">
            <v>PT NEWCREST SUMATRA MINERALS</v>
          </cell>
        </row>
      </sheetData>
      <sheetData sheetId="2731">
        <row r="7">
          <cell r="E7" t="str">
            <v>PT NEWCREST SUMATRA MINERALS</v>
          </cell>
        </row>
      </sheetData>
      <sheetData sheetId="2732">
        <row r="7">
          <cell r="E7" t="str">
            <v>PT NEWCREST SUMATRA MINERALS</v>
          </cell>
        </row>
      </sheetData>
      <sheetData sheetId="2733">
        <row r="7">
          <cell r="E7" t="str">
            <v>PT NEWCREST SUMATRA MINERALS</v>
          </cell>
        </row>
      </sheetData>
      <sheetData sheetId="2734">
        <row r="7">
          <cell r="E7" t="str">
            <v>PT NEWCREST SUMATRA MINERALS</v>
          </cell>
        </row>
      </sheetData>
      <sheetData sheetId="2735">
        <row r="7">
          <cell r="E7" t="str">
            <v>PT NEWCREST SUMATRA MINERALS</v>
          </cell>
        </row>
      </sheetData>
      <sheetData sheetId="2736">
        <row r="7">
          <cell r="E7" t="str">
            <v>PT NEWCREST SUMATRA MINERALS</v>
          </cell>
        </row>
      </sheetData>
      <sheetData sheetId="2737">
        <row r="7">
          <cell r="E7" t="str">
            <v>PT NEWCREST SUMATRA MINERALS</v>
          </cell>
        </row>
      </sheetData>
      <sheetData sheetId="2738">
        <row r="7">
          <cell r="E7" t="str">
            <v>PT NEWCREST SUMATRA MINERALS</v>
          </cell>
        </row>
      </sheetData>
      <sheetData sheetId="2739">
        <row r="7">
          <cell r="E7" t="str">
            <v>PT NEWCREST SUMATRA MINERALS</v>
          </cell>
        </row>
      </sheetData>
      <sheetData sheetId="2740">
        <row r="7">
          <cell r="E7" t="str">
            <v>PT NEWCREST SUMATRA MINERALS</v>
          </cell>
        </row>
      </sheetData>
      <sheetData sheetId="2741">
        <row r="7">
          <cell r="E7" t="str">
            <v>PT NEWCREST SUMATRA MINERALS</v>
          </cell>
        </row>
      </sheetData>
      <sheetData sheetId="2742">
        <row r="7">
          <cell r="E7" t="str">
            <v>PT NEWCREST SUMATRA MINERALS</v>
          </cell>
        </row>
      </sheetData>
      <sheetData sheetId="2743">
        <row r="7">
          <cell r="E7" t="str">
            <v>PT NEWCREST SUMATRA MINERALS</v>
          </cell>
        </row>
      </sheetData>
      <sheetData sheetId="2744">
        <row r="7">
          <cell r="E7" t="str">
            <v>PT NEWCREST SUMATRA MINERALS</v>
          </cell>
        </row>
      </sheetData>
      <sheetData sheetId="2745">
        <row r="7">
          <cell r="E7" t="str">
            <v>PT NEWCREST SUMATRA MINERALS</v>
          </cell>
        </row>
      </sheetData>
      <sheetData sheetId="2746">
        <row r="7">
          <cell r="E7" t="str">
            <v>PT NEWCREST SUMATRA MINERALS</v>
          </cell>
        </row>
      </sheetData>
      <sheetData sheetId="2747">
        <row r="7">
          <cell r="E7" t="str">
            <v>PT NEWCREST SUMATRA MINERALS</v>
          </cell>
        </row>
      </sheetData>
      <sheetData sheetId="2748">
        <row r="7">
          <cell r="E7" t="str">
            <v>PT NEWCREST SUMATRA MINERALS</v>
          </cell>
        </row>
      </sheetData>
      <sheetData sheetId="2749">
        <row r="7">
          <cell r="E7" t="str">
            <v>PT NEWCREST SUMATRA MINERALS</v>
          </cell>
        </row>
      </sheetData>
      <sheetData sheetId="2750">
        <row r="7">
          <cell r="E7" t="str">
            <v>PT NEWCREST SUMATRA MINERALS</v>
          </cell>
        </row>
      </sheetData>
      <sheetData sheetId="2751">
        <row r="7">
          <cell r="E7" t="str">
            <v>PT NEWCREST SUMATRA MINERALS</v>
          </cell>
        </row>
      </sheetData>
      <sheetData sheetId="2752">
        <row r="7">
          <cell r="E7" t="str">
            <v>PT NEWCREST SUMATRA MINERALS</v>
          </cell>
        </row>
      </sheetData>
      <sheetData sheetId="2753">
        <row r="7">
          <cell r="E7" t="str">
            <v>PT NEWCREST SUMATRA MINERALS</v>
          </cell>
        </row>
      </sheetData>
      <sheetData sheetId="2754">
        <row r="7">
          <cell r="E7" t="str">
            <v>PT NEWCREST SUMATRA MINERALS</v>
          </cell>
        </row>
      </sheetData>
      <sheetData sheetId="2755">
        <row r="7">
          <cell r="E7" t="str">
            <v>PT NEWCREST SUMATRA MINERALS</v>
          </cell>
        </row>
      </sheetData>
      <sheetData sheetId="2756">
        <row r="7">
          <cell r="E7" t="str">
            <v>PT NEWCREST SUMATRA MINERALS</v>
          </cell>
        </row>
      </sheetData>
      <sheetData sheetId="2757">
        <row r="7">
          <cell r="E7" t="str">
            <v>PT NEWCREST SUMATRA MINERALS</v>
          </cell>
        </row>
      </sheetData>
      <sheetData sheetId="2758">
        <row r="7">
          <cell r="E7" t="str">
            <v>PT NEWCREST SUMATRA MINERALS</v>
          </cell>
        </row>
      </sheetData>
      <sheetData sheetId="2759">
        <row r="7">
          <cell r="E7" t="str">
            <v>PT NEWCREST SUMATRA MINERALS</v>
          </cell>
        </row>
      </sheetData>
      <sheetData sheetId="2760">
        <row r="7">
          <cell r="E7" t="str">
            <v>PT NEWCREST SUMATRA MINERALS</v>
          </cell>
        </row>
      </sheetData>
      <sheetData sheetId="2761">
        <row r="7">
          <cell r="E7" t="str">
            <v>PT NEWCREST SUMATRA MINERALS</v>
          </cell>
        </row>
      </sheetData>
      <sheetData sheetId="2762">
        <row r="7">
          <cell r="E7" t="str">
            <v>PT NEWCREST SUMATRA MINERALS</v>
          </cell>
        </row>
      </sheetData>
      <sheetData sheetId="2763">
        <row r="7">
          <cell r="E7" t="str">
            <v>PT NEWCREST SUMATRA MINERALS</v>
          </cell>
        </row>
      </sheetData>
      <sheetData sheetId="2764">
        <row r="7">
          <cell r="E7" t="str">
            <v>PT NEWCREST SUMATRA MINERALS</v>
          </cell>
        </row>
      </sheetData>
      <sheetData sheetId="2765">
        <row r="7">
          <cell r="E7" t="str">
            <v>PT NEWCREST SUMATRA MINERALS</v>
          </cell>
        </row>
      </sheetData>
      <sheetData sheetId="2766">
        <row r="7">
          <cell r="E7" t="str">
            <v>PT NEWCREST SUMATRA MINERALS</v>
          </cell>
        </row>
      </sheetData>
      <sheetData sheetId="2767">
        <row r="7">
          <cell r="E7" t="str">
            <v>PT NEWCREST SUMATRA MINERALS</v>
          </cell>
        </row>
      </sheetData>
      <sheetData sheetId="2768">
        <row r="7">
          <cell r="E7" t="str">
            <v>PT NEWCREST SUMATRA MINERALS</v>
          </cell>
        </row>
      </sheetData>
      <sheetData sheetId="2769">
        <row r="7">
          <cell r="E7" t="str">
            <v>PT NEWCREST SUMATRA MINERALS</v>
          </cell>
        </row>
      </sheetData>
      <sheetData sheetId="2770">
        <row r="7">
          <cell r="E7" t="str">
            <v>PT NEWCREST SUMATRA MINERALS</v>
          </cell>
        </row>
      </sheetData>
      <sheetData sheetId="2771">
        <row r="7">
          <cell r="E7" t="str">
            <v>PT NEWCREST SUMATRA MINERALS</v>
          </cell>
        </row>
      </sheetData>
      <sheetData sheetId="2772">
        <row r="7">
          <cell r="E7" t="str">
            <v>PT NEWCREST SUMATRA MINERALS</v>
          </cell>
        </row>
      </sheetData>
      <sheetData sheetId="2773">
        <row r="7">
          <cell r="E7" t="str">
            <v>PT NEWCREST SUMATRA MINERALS</v>
          </cell>
        </row>
      </sheetData>
      <sheetData sheetId="2774">
        <row r="7">
          <cell r="E7" t="str">
            <v>PT NEWCREST SUMATRA MINERALS</v>
          </cell>
        </row>
      </sheetData>
      <sheetData sheetId="2775">
        <row r="7">
          <cell r="E7" t="str">
            <v>PT NEWCREST SUMATRA MINERALS</v>
          </cell>
        </row>
      </sheetData>
      <sheetData sheetId="2776">
        <row r="7">
          <cell r="E7" t="str">
            <v>PT NEWCREST SUMATRA MINERALS</v>
          </cell>
        </row>
      </sheetData>
      <sheetData sheetId="2777">
        <row r="7">
          <cell r="E7" t="str">
            <v>PT NEWCREST SUMATRA MINERALS</v>
          </cell>
        </row>
      </sheetData>
      <sheetData sheetId="2778">
        <row r="7">
          <cell r="E7" t="str">
            <v>PT NEWCREST SUMATRA MINERALS</v>
          </cell>
        </row>
      </sheetData>
      <sheetData sheetId="2779">
        <row r="7">
          <cell r="E7" t="str">
            <v>PT NEWCREST SUMATRA MINERALS</v>
          </cell>
        </row>
      </sheetData>
      <sheetData sheetId="2780">
        <row r="7">
          <cell r="E7" t="str">
            <v>PT NEWCREST SUMATRA MINERALS</v>
          </cell>
        </row>
      </sheetData>
      <sheetData sheetId="2781">
        <row r="7">
          <cell r="E7" t="str">
            <v>PT NEWCREST SUMATRA MINERALS</v>
          </cell>
        </row>
      </sheetData>
      <sheetData sheetId="2782">
        <row r="7">
          <cell r="E7" t="str">
            <v>PT NEWCREST SUMATRA MINERALS</v>
          </cell>
        </row>
      </sheetData>
      <sheetData sheetId="2783">
        <row r="7">
          <cell r="E7" t="str">
            <v>PT NEWCREST SUMATRA MINERALS</v>
          </cell>
        </row>
      </sheetData>
      <sheetData sheetId="2784">
        <row r="7">
          <cell r="E7" t="str">
            <v>PT NEWCREST SUMATRA MINERALS</v>
          </cell>
        </row>
      </sheetData>
      <sheetData sheetId="2785">
        <row r="7">
          <cell r="E7" t="str">
            <v>PT NEWCREST SUMATRA MINERALS</v>
          </cell>
        </row>
      </sheetData>
      <sheetData sheetId="2786">
        <row r="7">
          <cell r="E7" t="str">
            <v>PT NEWCREST SUMATRA MINERALS</v>
          </cell>
        </row>
      </sheetData>
      <sheetData sheetId="2787">
        <row r="7">
          <cell r="E7" t="str">
            <v>PT NEWCREST SUMATRA MINERALS</v>
          </cell>
        </row>
      </sheetData>
      <sheetData sheetId="2788">
        <row r="7">
          <cell r="E7" t="str">
            <v>PT NEWCREST SUMATRA MINERALS</v>
          </cell>
        </row>
      </sheetData>
      <sheetData sheetId="2789">
        <row r="7">
          <cell r="E7" t="str">
            <v>PT NEWCREST SUMATRA MINERALS</v>
          </cell>
        </row>
      </sheetData>
      <sheetData sheetId="2790">
        <row r="7">
          <cell r="E7" t="str">
            <v>PT NEWCREST SUMATRA MINERALS</v>
          </cell>
        </row>
      </sheetData>
      <sheetData sheetId="2791">
        <row r="7">
          <cell r="E7" t="str">
            <v>PT NEWCREST SUMATRA MINERALS</v>
          </cell>
        </row>
      </sheetData>
      <sheetData sheetId="2792">
        <row r="7">
          <cell r="E7" t="str">
            <v>PT NEWCREST SUMATRA MINERALS</v>
          </cell>
        </row>
      </sheetData>
      <sheetData sheetId="2793">
        <row r="7">
          <cell r="E7" t="str">
            <v>PT NEWCREST SUMATRA MINERALS</v>
          </cell>
        </row>
      </sheetData>
      <sheetData sheetId="2794">
        <row r="7">
          <cell r="E7" t="str">
            <v>PT NEWCREST SUMATRA MINERALS</v>
          </cell>
        </row>
      </sheetData>
      <sheetData sheetId="2795">
        <row r="7">
          <cell r="E7" t="str">
            <v>PT NEWCREST SUMATRA MINERALS</v>
          </cell>
        </row>
      </sheetData>
      <sheetData sheetId="2796">
        <row r="7">
          <cell r="E7" t="str">
            <v>PT NEWCREST SUMATRA MINERALS</v>
          </cell>
        </row>
      </sheetData>
      <sheetData sheetId="2797">
        <row r="7">
          <cell r="E7" t="str">
            <v>PT NEWCREST SUMATRA MINERALS</v>
          </cell>
        </row>
      </sheetData>
      <sheetData sheetId="2798">
        <row r="7">
          <cell r="E7" t="str">
            <v>PT NEWCREST SUMATRA MINERALS</v>
          </cell>
        </row>
      </sheetData>
      <sheetData sheetId="2799">
        <row r="7">
          <cell r="E7" t="str">
            <v>PT NEWCREST SUMATRA MINERALS</v>
          </cell>
        </row>
      </sheetData>
      <sheetData sheetId="2800">
        <row r="7">
          <cell r="E7" t="str">
            <v>PT NEWCREST SUMATRA MINERALS</v>
          </cell>
        </row>
      </sheetData>
      <sheetData sheetId="2801">
        <row r="7">
          <cell r="E7" t="str">
            <v>PT NEWCREST SUMATRA MINERALS</v>
          </cell>
        </row>
      </sheetData>
      <sheetData sheetId="2802">
        <row r="7">
          <cell r="E7" t="str">
            <v>PT NEWCREST SUMATRA MINERALS</v>
          </cell>
        </row>
      </sheetData>
      <sheetData sheetId="2803">
        <row r="7">
          <cell r="E7" t="str">
            <v>PT NEWCREST SUMATRA MINERALS</v>
          </cell>
        </row>
      </sheetData>
      <sheetData sheetId="2804">
        <row r="7">
          <cell r="E7" t="str">
            <v>PT NEWCREST SUMATRA MINERALS</v>
          </cell>
        </row>
      </sheetData>
      <sheetData sheetId="2805">
        <row r="7">
          <cell r="E7" t="str">
            <v>PT NEWCREST SUMATRA MINERALS</v>
          </cell>
        </row>
      </sheetData>
      <sheetData sheetId="2806">
        <row r="7">
          <cell r="E7" t="str">
            <v>PT NEWCREST SUMATRA MINERALS</v>
          </cell>
        </row>
      </sheetData>
      <sheetData sheetId="2807">
        <row r="7">
          <cell r="E7" t="str">
            <v>PT NEWCREST SUMATRA MINERALS</v>
          </cell>
        </row>
      </sheetData>
      <sheetData sheetId="2808">
        <row r="7">
          <cell r="E7" t="str">
            <v>PT NEWCREST SUMATRA MINERALS</v>
          </cell>
        </row>
      </sheetData>
      <sheetData sheetId="2809">
        <row r="7">
          <cell r="E7" t="str">
            <v>PT NEWCREST SUMATRA MINERALS</v>
          </cell>
        </row>
      </sheetData>
      <sheetData sheetId="2810">
        <row r="7">
          <cell r="E7" t="str">
            <v>PT NEWCREST SUMATRA MINERALS</v>
          </cell>
        </row>
      </sheetData>
      <sheetData sheetId="2811">
        <row r="7">
          <cell r="E7" t="str">
            <v>PT NEWCREST SUMATRA MINERALS</v>
          </cell>
        </row>
      </sheetData>
      <sheetData sheetId="2812">
        <row r="7">
          <cell r="E7" t="str">
            <v>PT NEWCREST SUMATRA MINERALS</v>
          </cell>
        </row>
      </sheetData>
      <sheetData sheetId="2813">
        <row r="7">
          <cell r="E7" t="str">
            <v>PT NEWCREST SUMATRA MINERALS</v>
          </cell>
        </row>
      </sheetData>
      <sheetData sheetId="2814">
        <row r="7">
          <cell r="E7" t="str">
            <v>PT NEWCREST SUMATRA MINERALS</v>
          </cell>
        </row>
      </sheetData>
      <sheetData sheetId="2815">
        <row r="7">
          <cell r="E7" t="str">
            <v>PT NEWCREST SUMATRA MINERALS</v>
          </cell>
        </row>
      </sheetData>
      <sheetData sheetId="2816">
        <row r="7">
          <cell r="E7" t="str">
            <v>PT NEWCREST SUMATRA MINERALS</v>
          </cell>
        </row>
      </sheetData>
      <sheetData sheetId="2817">
        <row r="7">
          <cell r="E7" t="str">
            <v>PT NEWCREST SUMATRA MINERALS</v>
          </cell>
        </row>
      </sheetData>
      <sheetData sheetId="2818">
        <row r="7">
          <cell r="E7" t="str">
            <v>PT NEWCREST SUMATRA MINERALS</v>
          </cell>
        </row>
      </sheetData>
      <sheetData sheetId="2819">
        <row r="7">
          <cell r="E7" t="str">
            <v>PT NEWCREST SUMATRA MINERALS</v>
          </cell>
        </row>
      </sheetData>
      <sheetData sheetId="2820">
        <row r="7">
          <cell r="E7" t="str">
            <v>PT NEWCREST SUMATRA MINERALS</v>
          </cell>
        </row>
      </sheetData>
      <sheetData sheetId="2821">
        <row r="7">
          <cell r="E7" t="str">
            <v>PT NEWCREST SUMATRA MINERALS</v>
          </cell>
        </row>
      </sheetData>
      <sheetData sheetId="2822">
        <row r="7">
          <cell r="E7" t="str">
            <v>PT NEWCREST SUMATRA MINERALS</v>
          </cell>
        </row>
      </sheetData>
      <sheetData sheetId="2823">
        <row r="7">
          <cell r="E7" t="str">
            <v>PT NEWCREST SUMATRA MINERALS</v>
          </cell>
        </row>
      </sheetData>
      <sheetData sheetId="2824">
        <row r="7">
          <cell r="E7" t="str">
            <v>PT NEWCREST SUMATRA MINERALS</v>
          </cell>
        </row>
      </sheetData>
      <sheetData sheetId="2825">
        <row r="7">
          <cell r="E7" t="str">
            <v>PT NEWCREST SUMATRA MINERALS</v>
          </cell>
        </row>
      </sheetData>
      <sheetData sheetId="2826">
        <row r="7">
          <cell r="E7" t="str">
            <v>PT NEWCREST SUMATRA MINERALS</v>
          </cell>
        </row>
      </sheetData>
      <sheetData sheetId="2827">
        <row r="7">
          <cell r="E7" t="str">
            <v>PT NEWCREST SUMATRA MINERALS</v>
          </cell>
        </row>
      </sheetData>
      <sheetData sheetId="2828">
        <row r="7">
          <cell r="E7" t="str">
            <v>PT NEWCREST SUMATRA MINERALS</v>
          </cell>
        </row>
      </sheetData>
      <sheetData sheetId="2829">
        <row r="7">
          <cell r="E7" t="str">
            <v>PT NEWCREST SUMATRA MINERALS</v>
          </cell>
        </row>
      </sheetData>
      <sheetData sheetId="2830">
        <row r="7">
          <cell r="E7" t="str">
            <v>PT NEWCREST SUMATRA MINERALS</v>
          </cell>
        </row>
      </sheetData>
      <sheetData sheetId="2831">
        <row r="7">
          <cell r="E7" t="str">
            <v>PT NEWCREST SUMATRA MINERALS</v>
          </cell>
        </row>
      </sheetData>
      <sheetData sheetId="2832">
        <row r="7">
          <cell r="E7" t="str">
            <v>PT NEWCREST SUMATRA MINERALS</v>
          </cell>
        </row>
      </sheetData>
      <sheetData sheetId="2833">
        <row r="7">
          <cell r="E7" t="str">
            <v>PT NEWCREST SUMATRA MINERALS</v>
          </cell>
        </row>
      </sheetData>
      <sheetData sheetId="2834">
        <row r="7">
          <cell r="E7" t="str">
            <v>PT NEWCREST SUMATRA MINERALS</v>
          </cell>
        </row>
      </sheetData>
      <sheetData sheetId="2835">
        <row r="7">
          <cell r="E7" t="str">
            <v>PT NEWCREST SUMATRA MINERALS</v>
          </cell>
        </row>
      </sheetData>
      <sheetData sheetId="2836">
        <row r="7">
          <cell r="E7" t="str">
            <v>PT NEWCREST SUMATRA MINERALS</v>
          </cell>
        </row>
      </sheetData>
      <sheetData sheetId="2837">
        <row r="7">
          <cell r="E7" t="str">
            <v>PT NEWCREST SUMATRA MINERALS</v>
          </cell>
        </row>
      </sheetData>
      <sheetData sheetId="2838">
        <row r="7">
          <cell r="E7" t="str">
            <v>PT NEWCREST SUMATRA MINERALS</v>
          </cell>
        </row>
      </sheetData>
      <sheetData sheetId="2839">
        <row r="7">
          <cell r="E7" t="str">
            <v>PT NEWCREST SUMATRA MINERALS</v>
          </cell>
        </row>
      </sheetData>
      <sheetData sheetId="2840">
        <row r="7">
          <cell r="E7" t="str">
            <v>PT NEWCREST SUMATRA MINERALS</v>
          </cell>
        </row>
      </sheetData>
      <sheetData sheetId="2841">
        <row r="7">
          <cell r="E7" t="str">
            <v>PT NEWCREST SUMATRA MINERALS</v>
          </cell>
        </row>
      </sheetData>
      <sheetData sheetId="2842">
        <row r="7">
          <cell r="E7" t="str">
            <v>PT NEWCREST SUMATRA MINERALS</v>
          </cell>
        </row>
      </sheetData>
      <sheetData sheetId="2843">
        <row r="7">
          <cell r="E7" t="str">
            <v>PT NEWCREST SUMATRA MINERALS</v>
          </cell>
        </row>
      </sheetData>
      <sheetData sheetId="2844">
        <row r="7">
          <cell r="E7" t="str">
            <v>PT NEWCREST SUMATRA MINERALS</v>
          </cell>
        </row>
      </sheetData>
      <sheetData sheetId="2845">
        <row r="7">
          <cell r="E7" t="str">
            <v>PT NEWCREST SUMATRA MINERALS</v>
          </cell>
        </row>
      </sheetData>
      <sheetData sheetId="2846">
        <row r="7">
          <cell r="E7" t="str">
            <v>PT NEWCREST SUMATRA MINERALS</v>
          </cell>
        </row>
      </sheetData>
      <sheetData sheetId="2847">
        <row r="7">
          <cell r="E7" t="str">
            <v>PT NEWCREST SUMATRA MINERALS</v>
          </cell>
        </row>
      </sheetData>
      <sheetData sheetId="2848">
        <row r="7">
          <cell r="E7" t="str">
            <v>PT NEWCREST SUMATRA MINERALS</v>
          </cell>
        </row>
      </sheetData>
      <sheetData sheetId="2849">
        <row r="7">
          <cell r="E7" t="str">
            <v>PT NEWCREST SUMATRA MINERALS</v>
          </cell>
        </row>
      </sheetData>
      <sheetData sheetId="2850">
        <row r="7">
          <cell r="E7" t="str">
            <v>PT NEWCREST SUMATRA MINERALS</v>
          </cell>
        </row>
      </sheetData>
      <sheetData sheetId="2851">
        <row r="7">
          <cell r="E7" t="str">
            <v>PT NEWCREST SUMATRA MINERALS</v>
          </cell>
        </row>
      </sheetData>
      <sheetData sheetId="2852">
        <row r="7">
          <cell r="E7" t="str">
            <v>PT NEWCREST SUMATRA MINERALS</v>
          </cell>
        </row>
      </sheetData>
      <sheetData sheetId="2853">
        <row r="7">
          <cell r="E7" t="str">
            <v>PT NEWCREST SUMATRA MINERALS</v>
          </cell>
        </row>
      </sheetData>
      <sheetData sheetId="2854">
        <row r="7">
          <cell r="E7" t="str">
            <v>PT NEWCREST SUMATRA MINERALS</v>
          </cell>
        </row>
      </sheetData>
      <sheetData sheetId="2855">
        <row r="7">
          <cell r="E7" t="str">
            <v>PT NEWCREST SUMATRA MINERALS</v>
          </cell>
        </row>
      </sheetData>
      <sheetData sheetId="2856">
        <row r="7">
          <cell r="E7" t="str">
            <v>PT NEWCREST SUMATRA MINERALS</v>
          </cell>
        </row>
      </sheetData>
      <sheetData sheetId="2857">
        <row r="7">
          <cell r="E7" t="str">
            <v>PT NEWCREST SUMATRA MINERALS</v>
          </cell>
        </row>
      </sheetData>
      <sheetData sheetId="2858">
        <row r="7">
          <cell r="E7" t="str">
            <v>PT NEWCREST SUMATRA MINERALS</v>
          </cell>
        </row>
      </sheetData>
      <sheetData sheetId="2859">
        <row r="7">
          <cell r="E7" t="str">
            <v>PT NEWCREST SUMATRA MINERALS</v>
          </cell>
        </row>
      </sheetData>
      <sheetData sheetId="2860">
        <row r="7">
          <cell r="E7" t="str">
            <v>PT NEWCREST SUMATRA MINERALS</v>
          </cell>
        </row>
      </sheetData>
      <sheetData sheetId="2861">
        <row r="7">
          <cell r="E7" t="str">
            <v>PT NEWCREST SUMATRA MINERALS</v>
          </cell>
        </row>
      </sheetData>
      <sheetData sheetId="2862">
        <row r="7">
          <cell r="E7" t="str">
            <v>PT NEWCREST SUMATRA MINERALS</v>
          </cell>
        </row>
      </sheetData>
      <sheetData sheetId="2863">
        <row r="7">
          <cell r="E7" t="str">
            <v>PT NEWCREST SUMATRA MINERALS</v>
          </cell>
        </row>
      </sheetData>
      <sheetData sheetId="2864">
        <row r="7">
          <cell r="E7" t="str">
            <v>PT NEWCREST SUMATRA MINERALS</v>
          </cell>
        </row>
      </sheetData>
      <sheetData sheetId="2865">
        <row r="7">
          <cell r="E7" t="str">
            <v>PT NEWCREST SUMATRA MINERALS</v>
          </cell>
        </row>
      </sheetData>
      <sheetData sheetId="2866">
        <row r="7">
          <cell r="E7" t="str">
            <v>PT NEWCREST SUMATRA MINERALS</v>
          </cell>
        </row>
      </sheetData>
      <sheetData sheetId="2867">
        <row r="7">
          <cell r="E7" t="str">
            <v>PT NEWCREST SUMATRA MINERALS</v>
          </cell>
        </row>
      </sheetData>
      <sheetData sheetId="2868">
        <row r="7">
          <cell r="E7" t="str">
            <v>PT NEWCREST SUMATRA MINERALS</v>
          </cell>
        </row>
      </sheetData>
      <sheetData sheetId="2869">
        <row r="7">
          <cell r="E7" t="str">
            <v>PT NEWCREST SUMATRA MINERALS</v>
          </cell>
        </row>
      </sheetData>
      <sheetData sheetId="2870">
        <row r="7">
          <cell r="E7" t="str">
            <v>PT NEWCREST SUMATRA MINERALS</v>
          </cell>
        </row>
      </sheetData>
      <sheetData sheetId="2871">
        <row r="7">
          <cell r="E7" t="str">
            <v>PT NEWCREST SUMATRA MINERALS</v>
          </cell>
        </row>
      </sheetData>
      <sheetData sheetId="2872">
        <row r="7">
          <cell r="E7" t="str">
            <v>PT NEWCREST SUMATRA MINERALS</v>
          </cell>
        </row>
      </sheetData>
      <sheetData sheetId="2873"/>
      <sheetData sheetId="2874"/>
      <sheetData sheetId="2875">
        <row r="7">
          <cell r="E7" t="str">
            <v>PT NEWCREST SUMATRA MINERALS</v>
          </cell>
        </row>
      </sheetData>
      <sheetData sheetId="2876">
        <row r="7">
          <cell r="E7" t="str">
            <v>PT NEWCREST SUMATRA MINERALS</v>
          </cell>
        </row>
      </sheetData>
      <sheetData sheetId="2877">
        <row r="7">
          <cell r="E7" t="str">
            <v>PT NEWCREST SUMATRA MINERALS</v>
          </cell>
        </row>
      </sheetData>
      <sheetData sheetId="2878">
        <row r="7">
          <cell r="E7" t="str">
            <v>PT NEWCREST SUMATRA MINERALS</v>
          </cell>
        </row>
      </sheetData>
      <sheetData sheetId="2879">
        <row r="7">
          <cell r="E7" t="str">
            <v>PT NEWCREST SUMATRA MINERALS</v>
          </cell>
        </row>
      </sheetData>
      <sheetData sheetId="2880">
        <row r="7">
          <cell r="E7" t="str">
            <v>PT NEWCREST SUMATRA MINERALS</v>
          </cell>
        </row>
      </sheetData>
      <sheetData sheetId="2881">
        <row r="7">
          <cell r="E7" t="str">
            <v>PT NEWCREST SUMATRA MINERALS</v>
          </cell>
        </row>
      </sheetData>
      <sheetData sheetId="2882">
        <row r="7">
          <cell r="E7" t="str">
            <v>PT NEWCREST SUMATRA MINERALS</v>
          </cell>
        </row>
      </sheetData>
      <sheetData sheetId="2883">
        <row r="7">
          <cell r="E7" t="str">
            <v>PT NEWCREST SUMATRA MINERALS</v>
          </cell>
        </row>
      </sheetData>
      <sheetData sheetId="2884">
        <row r="7">
          <cell r="E7" t="str">
            <v>PT NEWCREST SUMATRA MINERALS</v>
          </cell>
        </row>
      </sheetData>
      <sheetData sheetId="2885">
        <row r="7">
          <cell r="E7" t="str">
            <v>PT NEWCREST SUMATRA MINERALS</v>
          </cell>
        </row>
      </sheetData>
      <sheetData sheetId="2886">
        <row r="7">
          <cell r="E7" t="str">
            <v>PT NEWCREST SUMATRA MINERALS</v>
          </cell>
        </row>
      </sheetData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 refreshError="1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 refreshError="1"/>
      <sheetData sheetId="3580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/>
      <sheetData sheetId="3649" refreshError="1"/>
      <sheetData sheetId="3650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>
        <row r="7">
          <cell r="E7" t="str">
            <v>PT NEWCREST SUMATRA MINERALS</v>
          </cell>
        </row>
      </sheetData>
      <sheetData sheetId="3695" refreshError="1"/>
      <sheetData sheetId="3696" refreshError="1"/>
      <sheetData sheetId="3697">
        <row r="31">
          <cell r="R31">
            <v>0</v>
          </cell>
        </row>
      </sheetData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Analytical"/>
      <sheetName val="Tickmarks"/>
    </sheetNames>
    <sheetDataSet>
      <sheetData sheetId="0"/>
      <sheetData sheetId="1" refreshError="1">
        <row r="1">
          <cell r="G1" t="str">
            <v>AJE</v>
          </cell>
        </row>
        <row r="3">
          <cell r="G3">
            <v>0</v>
          </cell>
        </row>
        <row r="4">
          <cell r="G4">
            <v>0</v>
          </cell>
        </row>
        <row r="6">
          <cell r="G6">
            <v>0</v>
          </cell>
        </row>
        <row r="7">
          <cell r="G7">
            <v>0</v>
          </cell>
        </row>
        <row r="8">
          <cell r="G8">
            <v>0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3">
          <cell r="G13">
            <v>-177423944</v>
          </cell>
        </row>
        <row r="14">
          <cell r="G14">
            <v>-177423944</v>
          </cell>
        </row>
        <row r="16">
          <cell r="G16">
            <v>0</v>
          </cell>
        </row>
        <row r="17">
          <cell r="G17">
            <v>0</v>
          </cell>
        </row>
        <row r="18">
          <cell r="G18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4">
          <cell r="G24">
            <v>0</v>
          </cell>
        </row>
        <row r="25">
          <cell r="G25">
            <v>0</v>
          </cell>
        </row>
        <row r="27">
          <cell r="G27">
            <v>0</v>
          </cell>
        </row>
        <row r="28">
          <cell r="G28">
            <v>0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4">
          <cell r="G34">
            <v>0</v>
          </cell>
        </row>
        <row r="35">
          <cell r="G35">
            <v>0</v>
          </cell>
        </row>
        <row r="36">
          <cell r="G36">
            <v>0</v>
          </cell>
        </row>
        <row r="37">
          <cell r="G37">
            <v>198500000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  <row r="41">
          <cell r="G41">
            <v>0</v>
          </cell>
        </row>
        <row r="42">
          <cell r="G42">
            <v>171514042</v>
          </cell>
        </row>
        <row r="43">
          <cell r="G43">
            <v>0</v>
          </cell>
        </row>
        <row r="44">
          <cell r="G44">
            <v>0</v>
          </cell>
        </row>
        <row r="45">
          <cell r="G45">
            <v>0</v>
          </cell>
        </row>
        <row r="46">
          <cell r="G46">
            <v>370014042</v>
          </cell>
        </row>
        <row r="48">
          <cell r="G48">
            <v>946634099</v>
          </cell>
        </row>
        <row r="49">
          <cell r="G49">
            <v>946634099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0</v>
          </cell>
        </row>
        <row r="55">
          <cell r="G55">
            <v>0</v>
          </cell>
        </row>
        <row r="57">
          <cell r="G57">
            <v>0</v>
          </cell>
        </row>
        <row r="58">
          <cell r="G58">
            <v>0</v>
          </cell>
        </row>
        <row r="59">
          <cell r="G59">
            <v>1139224197</v>
          </cell>
        </row>
      </sheetData>
      <sheetData sheetId="2"/>
      <sheetData sheetId="3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PO"/>
      <sheetName val="Rollforward"/>
      <sheetName val="TOD Addition"/>
      <sheetName val="Addition"/>
      <sheetName val="Disposal"/>
      <sheetName val="Analisa Impairment - land"/>
      <sheetName val="Impairment vehicle"/>
      <sheetName val="CMA - for test beginning"/>
      <sheetName val="Building"/>
      <sheetName val="CIP"/>
      <sheetName val="Tickmarks"/>
      <sheetName val="131 - Building Dec"/>
      <sheetName val="Structure"/>
      <sheetName val="133 - Structure Dec"/>
      <sheetName val="Machinery&amp; Equipment"/>
      <sheetName val="134 - Machinery Dec"/>
      <sheetName val="Vessel"/>
      <sheetName val="135 - Vessel - Decl"/>
      <sheetName val="Vehicle"/>
      <sheetName val="136 - Vehicle Dec"/>
      <sheetName val="Tools, Furniture &amp; Fixture"/>
      <sheetName val="137 - Tools Dec"/>
      <sheetName val="Land"/>
      <sheetName val="139 - Land D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'01"/>
      <sheetName val="Feb'01"/>
      <sheetName val="March'01"/>
      <sheetName val="April'01"/>
      <sheetName val="May'01"/>
      <sheetName val="JUNE'01"/>
      <sheetName val="JULY'01"/>
      <sheetName val="AUGUST'01"/>
      <sheetName val="SEPTEMBER'01"/>
      <sheetName val="October'01"/>
      <sheetName val="November'01"/>
      <sheetName val="December'01"/>
      <sheetName val="Jan'02"/>
      <sheetName val="FEB'02"/>
      <sheetName val="MARCH'02"/>
      <sheetName val="APRIL'02"/>
      <sheetName val="MAY'02"/>
      <sheetName val="JUNE'02"/>
      <sheetName val="JULY'02"/>
      <sheetName val="AUGUST'02"/>
      <sheetName val="SEPT'02 "/>
      <sheetName val="oct'02"/>
      <sheetName val="Nov'02"/>
      <sheetName val="Dec'02"/>
      <sheetName val="JAN'03"/>
      <sheetName val="Feb'03"/>
      <sheetName val="March'03"/>
      <sheetName val="April'03"/>
      <sheetName val="May'03"/>
      <sheetName val="June'03"/>
      <sheetName val="July'03"/>
      <sheetName val="Aug'03"/>
      <sheetName val="Sept '03"/>
      <sheetName val="Oct'03"/>
      <sheetName val="Nov'03"/>
      <sheetName val="spi"/>
      <sheetName val="Dec'03"/>
      <sheetName val="Jan'04"/>
      <sheetName val="Feb'04"/>
      <sheetName val="March'04"/>
      <sheetName val="April'04"/>
      <sheetName val="Diff Jvc"/>
      <sheetName val="May'04"/>
      <sheetName val="June'04"/>
      <sheetName val="July'04"/>
      <sheetName val="August'04"/>
      <sheetName val="Sept'04"/>
      <sheetName val="Oct'04"/>
      <sheetName val="Nov'04"/>
      <sheetName val="Dec'04"/>
      <sheetName val="JAN 2005"/>
      <sheetName val="Feb '05"/>
      <sheetName val="March'05"/>
      <sheetName val="April'05"/>
      <sheetName val="May'05"/>
      <sheetName val="June'05"/>
      <sheetName val="July'05"/>
      <sheetName val="August'05"/>
      <sheetName val="SEPT'05"/>
      <sheetName val="OCT'05"/>
      <sheetName val="NOV'05"/>
      <sheetName val="Dec'05"/>
      <sheetName val="Jan'06"/>
      <sheetName val="Feb'06"/>
      <sheetName val="March'06"/>
      <sheetName val="April'06"/>
      <sheetName val="May'06"/>
      <sheetName val="June'06"/>
      <sheetName val="out dn"/>
      <sheetName val="july'06"/>
      <sheetName val="August'06"/>
      <sheetName val="SEPT'06"/>
      <sheetName val="oct'06"/>
      <sheetName val="Nov'06"/>
      <sheetName val="Dec'06"/>
      <sheetName val="Jan'07"/>
      <sheetName val="Feb'07"/>
      <sheetName val="March'07"/>
      <sheetName val="INCOMING SALES JAN-FEB'05"/>
      <sheetName val="Difference JVC"/>
      <sheetName val="Sheet2"/>
      <sheetName val="DIFF PGCOM 2005 APRIL-OCT (2)"/>
      <sheetName val="DIFF PGCOM 2005 APRIL-OCT"/>
      <sheetName val="Sheet1"/>
      <sheetName val="Difference JVC (2)"/>
      <sheetName val="Difference History"/>
      <sheetName val="Difference ALL"/>
      <sheetName val="Apr'07"/>
      <sheetName val="May'07"/>
      <sheetName val="JUNE'07"/>
      <sheetName val="July'07"/>
      <sheetName val="DIFF PRICE JEIN JUNE 20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MBAYARAN"/>
      <sheetName val="ALAMAT"/>
      <sheetName val="INVOICE"/>
      <sheetName val="ACCOUNT NO"/>
      <sheetName val="Aplikasi IDR 1"/>
      <sheetName val="Aplikasi IDR 2"/>
      <sheetName val="Aplikasi IDR 3"/>
      <sheetName val="Aplikasi IDR 4"/>
      <sheetName val="Aplikasi USD"/>
      <sheetName val="Aplikasi USD (2)"/>
      <sheetName val="Aplikasi JPY"/>
      <sheetName val="NO INV"/>
      <sheetName val="REKAP BUKTI POT"/>
      <sheetName val="RATE 1"/>
      <sheetName val="RATE 2"/>
      <sheetName val="LOAN"/>
      <sheetName val="CC"/>
      <sheetName val="COPY"/>
      <sheetName val="SABUN"/>
      <sheetName val="PAYMENT"/>
      <sheetName val="KAPASITAS TANKER"/>
      <sheetName val="SALDO"/>
      <sheetName val="REKAP PPN"/>
      <sheetName val="PIB"/>
      <sheetName val="LIST SUPLIER"/>
      <sheetName val="PO"/>
      <sheetName val="ATK"/>
      <sheetName val="KAS BOLA"/>
      <sheetName val="MOBIL"/>
      <sheetName val="FORM PINJAMAN"/>
      <sheetName val="NO. SURAT"/>
      <sheetName val="OBAT"/>
      <sheetName val="LABEL BANK"/>
      <sheetName val="HTI KOP"/>
      <sheetName val="KOP ALAMAT"/>
      <sheetName val="KOP ALAMAT 2"/>
      <sheetName val="ALAMAT BP"/>
      <sheetName val="NO LABEL"/>
      <sheetName val="TT YPMI"/>
      <sheetName val="TT"/>
      <sheetName val="TT PARCEL"/>
      <sheetName val="DRIVER FORM"/>
      <sheetName val="LABEL"/>
      <sheetName val="LABEL 2"/>
      <sheetName val="ALAMAT LN"/>
      <sheetName val="CONFIRM NO BOT"/>
      <sheetName val="INV. MACH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PO"/>
      <sheetName val="Mutation"/>
      <sheetName val="List of FA-Dec"/>
      <sheetName val="List Addition FA"/>
      <sheetName val="List Disposal FA"/>
      <sheetName val="Depre"/>
      <sheetName val="TOD FA"/>
      <sheetName val="Tickmarks"/>
      <sheetName val="Sheet1"/>
    </sheetNames>
    <sheetDataSet>
      <sheetData sheetId="0"/>
      <sheetData sheetId="1">
        <row r="33">
          <cell r="K33">
            <v>88985366.550000191</v>
          </cell>
        </row>
      </sheetData>
      <sheetData sheetId="2"/>
      <sheetData sheetId="3">
        <row r="100">
          <cell r="H100">
            <v>19122350</v>
          </cell>
        </row>
      </sheetData>
      <sheetData sheetId="4" refreshError="1">
        <row r="8">
          <cell r="J8">
            <v>75000000</v>
          </cell>
        </row>
        <row r="9">
          <cell r="J9">
            <v>325000000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RPO"/>
      <sheetName val="Summary"/>
      <sheetName val="SUM ADJ"/>
      <sheetName val="List FA December"/>
      <sheetName val="Add. December"/>
      <sheetName val="Disposal December"/>
      <sheetName val="CIP December"/>
      <sheetName val="List FA October"/>
      <sheetName val="Add. October"/>
      <sheetName val="Disposal October"/>
      <sheetName val="List&amp;TOD Sold Scrap October"/>
      <sheetName val="CIP October"/>
      <sheetName val="Repair &amp; Main Jan-Dec'09"/>
      <sheetName val="Tickmarks"/>
      <sheetName val="Procedure"/>
    </sheetNames>
    <sheetDataSet>
      <sheetData sheetId="0"/>
      <sheetData sheetId="1"/>
      <sheetData sheetId="2">
        <row r="19">
          <cell r="F19">
            <v>8566615568.8199997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dures"/>
      <sheetName val="Notes"/>
      <sheetName val="Inquiry"/>
      <sheetName val="RPO"/>
      <sheetName val="Mutation"/>
      <sheetName val="Test Depre"/>
      <sheetName val="Test Beg. Balance"/>
      <sheetName val="Machinery-Dec"/>
      <sheetName val="Machinery_JAN-NOV"/>
      <sheetName val="Building_Jan-Nov"/>
      <sheetName val="Building-Dec"/>
      <sheetName val="Land-Dec"/>
      <sheetName val="Vehicles-Dec"/>
      <sheetName val="Vehicles"/>
      <sheetName val="F&amp;F"/>
      <sheetName val="F&amp;F-Dec"/>
      <sheetName val="CIP-Dec"/>
      <sheetName val="CIP"/>
      <sheetName val="Tickmarks"/>
    </sheetNames>
    <sheetDataSet>
      <sheetData sheetId="0"/>
      <sheetData sheetId="1"/>
      <sheetData sheetId="2"/>
      <sheetData sheetId="3"/>
      <sheetData sheetId="4" refreshError="1"/>
      <sheetData sheetId="5" refreshError="1">
        <row r="62">
          <cell r="E62">
            <v>30925442985</v>
          </cell>
        </row>
        <row r="66">
          <cell r="E66">
            <v>1296721958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RollForward"/>
      <sheetName val="RPO"/>
      <sheetName val="Impairment"/>
      <sheetName val="List &amp; TOD Add"/>
      <sheetName val="List &amp; TOD Disposal"/>
      <sheetName val="TOT Depr"/>
      <sheetName val="opname"/>
      <sheetName val="Repair&amp;Maintenance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benefit(1)"/>
      <sheetName val="data_val"/>
      <sheetName val="table"/>
      <sheetName val="data_ee_&lt;nra(1)"/>
      <sheetName val="data_ee_&gt;nra(1)"/>
      <sheetName val="output_&gt;nra(1)"/>
      <sheetName val="output_&lt;nra(1)"/>
      <sheetName val="calcu"/>
      <sheetName val="gain_loss_aft_curr"/>
      <sheetName val="gain_loss"/>
      <sheetName val="miscellaneous"/>
      <sheetName val="output2"/>
      <sheetName val="output"/>
      <sheetName val="schedule_restate"/>
      <sheetName val="schedule"/>
      <sheetName val="disc_e"/>
      <sheetName val="disc_i"/>
      <sheetName val="disc_e_psc"/>
    </sheetNames>
    <sheetDataSet>
      <sheetData sheetId="0"/>
      <sheetData sheetId="1">
        <row r="5">
          <cell r="B5">
            <v>38352</v>
          </cell>
        </row>
        <row r="6">
          <cell r="B6">
            <v>38717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"/>
      <sheetName val="LT"/>
      <sheetName val="140101"/>
      <sheetName val="140401"/>
      <sheetName val="140402"/>
      <sheetName val="140404"/>
      <sheetName val="190010"/>
      <sheetName val="XR298-1207"/>
      <sheetName val="GL40"/>
      <sheetName val="XR222-140"/>
      <sheetName val="XR222 190"/>
      <sheetName val="XR222M"/>
      <sheetName val="190M"/>
      <sheetName val="140401 (2)"/>
      <sheetName val="140404 (2)"/>
      <sheetName val="data_v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nfo"/>
      <sheetName val="data wp"/>
      <sheetName val="Detail Calc 05"/>
      <sheetName val="BS"/>
      <sheetName val="PL"/>
      <sheetName val="F.Adj"/>
      <sheetName val="Art.17"/>
      <sheetName val="Art.25"/>
      <sheetName val="F.Adj Allocation"/>
      <sheetName val="BIK update"/>
      <sheetName val="Provision"/>
      <sheetName val="transaksi"/>
      <sheetName val="1771"/>
      <sheetName val="1771.2"/>
      <sheetName val="1771-I"/>
      <sheetName val="1771-II"/>
      <sheetName val="1771-III"/>
      <sheetName val="1771-IV"/>
      <sheetName val="1771-V"/>
      <sheetName val="1771-VI"/>
    </sheetNames>
    <sheetDataSet>
      <sheetData sheetId="0">
        <row r="5">
          <cell r="I5" t="str">
            <v>PT. Essence Indonesia International Flavors &amp; Fragrance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"/>
      <sheetName val="Permanent info"/>
      <sheetName val="F1771"/>
      <sheetName val="F1771-I"/>
      <sheetName val="F1771-II"/>
      <sheetName val="F1771-III"/>
      <sheetName val="F1771-IV"/>
      <sheetName val="F1771-V"/>
      <sheetName val="depreciation"/>
      <sheetName val="addition-assets"/>
      <sheetName val="disposal"/>
      <sheetName val="Marshal"/>
      <sheetName val="Ref"/>
      <sheetName val="Attachement"/>
      <sheetName val="Pre-Op"/>
      <sheetName val="Lampiran"/>
      <sheetName val="daftar"/>
      <sheetName val="interest"/>
      <sheetName val="pph-25"/>
      <sheetName val="2%donat"/>
      <sheetName val="details fiscal adjustments"/>
      <sheetName val="rekonFA"/>
      <sheetName val="Sum empcost"/>
      <sheetName val="cover"/>
      <sheetName val="FA Movement IBIC"/>
      <sheetName val="Journal Template"/>
      <sheetName val="fiscal depr(E)"/>
      <sheetName val="GeneralInfo"/>
      <sheetName val="NO FAKTUR"/>
      <sheetName val="FCastOptg"/>
      <sheetName val="Notes to BS"/>
      <sheetName val="NY ADMIN"/>
      <sheetName val="Mei 2007"/>
      <sheetName val="FA FISKAL"/>
      <sheetName val="Mort"/>
      <sheetName val="Commercial"/>
      <sheetName val="Cal"/>
      <sheetName val="1998 CITR"/>
      <sheetName val="Client Aje"/>
      <sheetName val="Trial Bal"/>
      <sheetName val="Gaikindo Report"/>
      <sheetName val="Accrued (ckrg)"/>
      <sheetName val="Data Sheet"/>
      <sheetName val="EQ"/>
      <sheetName val="Sheet1"/>
      <sheetName val="wpl"/>
      <sheetName val="Ex-Rate"/>
      <sheetName val="1"/>
      <sheetName val="WIP DETAIL (GL VS NMP)"/>
      <sheetName val="TEMP"/>
      <sheetName val="VEN"/>
      <sheetName val="Tickmarks"/>
      <sheetName val="Mutasi Final"/>
      <sheetName val="B7"/>
      <sheetName val="20-25-MAR"/>
      <sheetName val="I-BUT"/>
      <sheetName val="P3"/>
      <sheetName val="12"/>
      <sheetName val="BTL"/>
      <sheetName val="Rates"/>
      <sheetName val="Additional"/>
      <sheetName val="Depresiasi"/>
      <sheetName val="FE-1771$.P1"/>
      <sheetName val="Interdata"/>
      <sheetName val="F1771-2"/>
      <sheetName val="Permanent_info"/>
      <sheetName val="details_fiscal_adjustments"/>
      <sheetName val="Sum_empcost"/>
      <sheetName val="TAX_LIST"/>
      <sheetName val="Asumsi"/>
      <sheetName val="NY_ADMIN"/>
      <sheetName val="Mei_2007"/>
      <sheetName val="FA_FISKAL"/>
      <sheetName val="fiscal_depr(E)"/>
      <sheetName val="FA_Movement_IBIC"/>
      <sheetName val="B25-95"/>
      <sheetName val="Other charges (income)"/>
      <sheetName val="WBS1"/>
      <sheetName val="3800-Interim"/>
      <sheetName val="RWP 33"/>
      <sheetName val="WK Local"/>
      <sheetName val="C1 NOV"/>
      <sheetName val="Cons"/>
      <sheetName val="data wp"/>
      <sheetName val="Instructions"/>
      <sheetName val="FF-6"/>
      <sheetName val="detailed"/>
      <sheetName val="TableLookup"/>
      <sheetName val="Assumption"/>
      <sheetName val="Sheet2"/>
      <sheetName val="Sheet3"/>
      <sheetName val="FA Movement"/>
      <sheetName val="Accounts Payable (AA)"/>
      <sheetName val="10-1-1"/>
      <sheetName val="BS"/>
      <sheetName val="hitung"/>
      <sheetName val="Total_Cost"/>
      <sheetName val="RL"/>
      <sheetName val="PROD.FRY-MONODON"/>
      <sheetName val="VALIDASI"/>
      <sheetName val="Lead"/>
      <sheetName val="TBCons KMB04"/>
      <sheetName val="data_val"/>
      <sheetName val="trf multiple dnrks"/>
      <sheetName val="Q 1"/>
      <sheetName val="Expenses"/>
      <sheetName val="jan book"/>
      <sheetName val="OthAsset roll"/>
      <sheetName val="Detail Lead"/>
      <sheetName val="Horizon Cost Saves Pkg"/>
      <sheetName val="Range"/>
      <sheetName val="Macro5"/>
      <sheetName val="sep ST"/>
      <sheetName val="Mort-07"/>
      <sheetName val="In_VCTC_DIVA"/>
      <sheetName val="PO"/>
      <sheetName val="Ref-As Is GL acc"/>
      <sheetName val="VarianceFY00vsBP"/>
      <sheetName val="Act"/>
      <sheetName val="P&amp;L INPUT"/>
      <sheetName val="WELLTEST"/>
      <sheetName val="Input Sheet"/>
      <sheetName val="Portofolio Trading"/>
      <sheetName val="APAC Q1FY09 - Oracle"/>
      <sheetName val="PopCache_Sheet1"/>
      <sheetName val="Location_Details _2_"/>
      <sheetName val="Table 5"/>
      <sheetName val="rate"/>
      <sheetName val="TAX LIST"/>
      <sheetName val="cost recovery"/>
      <sheetName val="Phasing by Month"/>
      <sheetName val="Cost Input Sheet"/>
      <sheetName val="CAPALLOW"/>
      <sheetName val="CoA"/>
      <sheetName val="Note"/>
      <sheetName val="AR EXPORT"/>
      <sheetName val="DEP_$"/>
      <sheetName val="Input"/>
      <sheetName val="Pnrmanent info"/>
      <sheetName val="BBM-03"/>
      <sheetName val="选择报表"/>
      <sheetName val="lan"/>
      <sheetName val="RATE-NEW"/>
      <sheetName val="status"/>
      <sheetName val="Journal_Template"/>
      <sheetName val="NO_FAKTUR"/>
      <sheetName val="Notes_to_BS"/>
      <sheetName val="Trial_Bal"/>
      <sheetName val="Client_Aje"/>
      <sheetName val="1998_CITR"/>
      <sheetName val="Other_charges_(income)"/>
      <sheetName val="Gaikindo_Report"/>
      <sheetName val="Permanent_info1"/>
      <sheetName val="details_fiscal_adjustments1"/>
      <sheetName val="Sum_empcost1"/>
      <sheetName val="Permanent_info2"/>
      <sheetName val="details_fiscal_adjustments2"/>
      <sheetName val="Sum_empcost2"/>
      <sheetName val="fiscal_depr(E)1"/>
      <sheetName val="Journal_Template1"/>
      <sheetName val="FA_Movement_IBIC1"/>
      <sheetName val="NO_FAKTUR1"/>
      <sheetName val="Notes_to_BS1"/>
      <sheetName val="Trial_Bal1"/>
      <sheetName val="Client_Aje1"/>
      <sheetName val="1998_CITR1"/>
      <sheetName val="Other_charges_(income)1"/>
      <sheetName val="Gaikindo_Report1"/>
      <sheetName val="Depreciation  schedule"/>
      <sheetName val="Penyusutan (2)"/>
      <sheetName val="disposal assets"/>
      <sheetName val="Penyusutan"/>
      <sheetName val="gol1"/>
      <sheetName val="gol2"/>
      <sheetName val="building"/>
      <sheetName val="kompensasi"/>
      <sheetName val="transaksi"/>
      <sheetName val="fasilitas"/>
      <sheetName val="cabang"/>
      <sheetName val="provision (3)"/>
      <sheetName val="Recon-Art.21"/>
      <sheetName val="Peny-2002"/>
      <sheetName val="FA-gainloss (2)"/>
      <sheetName val="Summary"/>
      <sheetName val="pengurus"/>
      <sheetName val="fiscal corr"/>
      <sheetName val="PL"/>
      <sheetName val="Marshal-2"/>
      <sheetName val="Marshal-3"/>
      <sheetName val="1771"/>
      <sheetName val="1771.2"/>
      <sheetName val="1771-I"/>
      <sheetName val="1771-II"/>
      <sheetName val="1771-III"/>
      <sheetName val="1771-IV"/>
      <sheetName val="1771-V"/>
      <sheetName val="1771-VI"/>
      <sheetName val="1771(E)"/>
      <sheetName val="1771.2(E)"/>
      <sheetName val="1771-I(E)"/>
      <sheetName val="1771-II(E)"/>
      <sheetName val="1771-III(E)"/>
      <sheetName val="1771-IV(E)"/>
      <sheetName val="1771-V(E)"/>
      <sheetName val="1771-VI(E)"/>
      <sheetName val="recon-21"/>
      <sheetName val="Depr-2002"/>
      <sheetName val="Depr-Comp"/>
      <sheetName val="FA-gainloss"/>
      <sheetName val="Attachment"/>
      <sheetName val="peny-2001"/>
      <sheetName val="director"/>
      <sheetName val="Depr-Comp (2)"/>
      <sheetName val="Marshal (3)"/>
      <sheetName val="Marshal (2)"/>
      <sheetName val="provision (2)"/>
      <sheetName val="provision"/>
      <sheetName val="fiscal corr (3)"/>
      <sheetName val="fiscal corr (2)"/>
      <sheetName val="F1771_IV"/>
      <sheetName val="F1771_V"/>
      <sheetName val="Depreciation__schedule"/>
      <sheetName val="Penyusutan_(2)"/>
      <sheetName val="disposal_assets"/>
      <sheetName val="data_wp"/>
      <sheetName val="provision_(3)"/>
      <sheetName val="Recon-Art_21"/>
      <sheetName val="FA-gainloss_(2)"/>
      <sheetName val="fiscal_corr"/>
      <sheetName val="1771_2"/>
      <sheetName val="1771_2(E)"/>
      <sheetName val="Depr-Comp_(2)"/>
      <sheetName val="Marshal_(3)"/>
      <sheetName val="Marshal_(2)"/>
      <sheetName val="provision_(2)"/>
      <sheetName val="fiscal_corr_(3)"/>
      <sheetName val="fiscal_corr_(2)"/>
      <sheetName val="SFKLN"/>
      <sheetName val="Family"/>
      <sheetName val="Master"/>
      <sheetName val="Prof0201"/>
      <sheetName val="Prof2606"/>
      <sheetName val="2-asi-00"/>
      <sheetName val="TBM"/>
      <sheetName val="rab_50"/>
      <sheetName val="MAP BS"/>
      <sheetName val="TBC05 Net"/>
      <sheetName val="Para_Assumption"/>
      <sheetName val="CODE"/>
      <sheetName val="DETAIL"/>
      <sheetName val="RPMCOST"/>
      <sheetName val="JARS"/>
      <sheetName val="LABELS"/>
      <sheetName val="MNHRS"/>
      <sheetName val="RAWMAT"/>
      <sheetName val="Pagos"/>
      <sheetName val="Factura"/>
      <sheetName val="CostRecovery - JV"/>
      <sheetName val="Principale"/>
      <sheetName val="Assump"/>
      <sheetName val="Selling_Exp"/>
      <sheetName val="Worksheet-03"/>
      <sheetName val="PENJ.NERACA"/>
      <sheetName val="TBS1"/>
      <sheetName val="Neraca"/>
      <sheetName val="Introduction"/>
      <sheetName val="CASH FLOW"/>
      <sheetName val="DSR"/>
      <sheetName val="1721-A1 (terbaru)"/>
      <sheetName val="LE767 GLOBAL CHECKLIST_updated"/>
      <sheetName val="PO &amp; TL_Market Specific"/>
      <sheetName val="Issue Sheet"/>
      <sheetName val="I. SAP Screen"/>
      <sheetName val="II. OTR - BAS G1"/>
      <sheetName val="OTR-Manual"/>
      <sheetName val="III. AR Recon"/>
      <sheetName val="IV. AR"/>
      <sheetName val="V.Zero rated"/>
      <sheetName val="VI. IC Recon 828 to 2213"/>
      <sheetName val="IC Recon 800-2213"/>
      <sheetName val="Capital Purchases BAS"/>
      <sheetName val="VII. AP BAS G11"/>
      <sheetName val="VIII. KN Rec"/>
      <sheetName val="IX ITR"/>
      <sheetName val="X. 12041001"/>
      <sheetName val="XI. Cust Output GST"/>
      <sheetName val="XII Vend Input GST"/>
      <sheetName val="å's ="/>
      <sheetName val="DCF"/>
      <sheetName val="PopCache"/>
      <sheetName val="Input _EAST"/>
      <sheetName val="data"/>
      <sheetName val="Input_TOTAL"/>
      <sheetName val="bill qty"/>
      <sheetName val="Simple Coff."/>
      <sheetName val="I-PPh Final"/>
      <sheetName val="OT August  Drmx  08"/>
      <sheetName val="DATA SLIP"/>
      <sheetName val="LPP-2"/>
      <sheetName val="ASS-UNIT"/>
      <sheetName val="Quantitatif"/>
      <sheetName val="12-06-ins"/>
      <sheetName val=" WP SPT 2012 - 23.04.2013.xlsx"/>
      <sheetName val="SUMMARY 2001"/>
      <sheetName val="April"/>
      <sheetName val="N 100.F Lead"/>
      <sheetName val="WP IC Exp January 2010"/>
      <sheetName val="2001GeneralInfo"/>
      <sheetName val="V.D.5-2"/>
      <sheetName val="PAJE-2007"/>
      <sheetName val="1200.20"/>
      <sheetName val="A"/>
      <sheetName val="1771-I2_x0000__x0000_"/>
      <sheetName val="Invoice Cross Reference"/>
      <sheetName val="Spec 22104"/>
      <sheetName val="Pkgg"/>
      <sheetName val="DetailedHelp"/>
      <sheetName val="TABEL23"/>
      <sheetName val="New format sales"/>
      <sheetName val="412"/>
      <sheetName val="Information"/>
      <sheetName val="combined"/>
      <sheetName val="Jrnl_Kas"/>
      <sheetName val="23"/>
      <sheetName val="United Kingdom"/>
      <sheetName val="Cover-01"/>
      <sheetName val="WACC"/>
      <sheetName val="Equity"/>
      <sheetName val="RE reconciliation"/>
      <sheetName val="6"/>
      <sheetName val="DataValidation"/>
      <sheetName val="2005"/>
      <sheetName val="TB"/>
      <sheetName val="Combined FA"/>
      <sheetName val="Disclaimer"/>
      <sheetName val="Main Menu"/>
      <sheetName val="Chart"/>
      <sheetName val="Schedule Contract &amp; SILO"/>
      <sheetName val="Assumptions"/>
      <sheetName val="Sales and Collections"/>
      <sheetName val="Cost of Sales"/>
      <sheetName val="Operating Expenses "/>
      <sheetName val="Headcount"/>
      <sheetName val="Capital"/>
      <sheetName val="Loans"/>
      <sheetName val="Cash"/>
      <sheetName val="Consolidated_Forecast"/>
      <sheetName val="Est. Income By Rig"/>
      <sheetName val="Loan1"/>
      <sheetName val="Loan2"/>
      <sheetName val="Leasing TA Duri"/>
      <sheetName val="G&amp;A"/>
      <sheetName val="Transport"/>
      <sheetName val="Rental"/>
      <sheetName val="TA Jakarta"/>
      <sheetName val="HES"/>
      <sheetName val="HRD"/>
      <sheetName val="Capex"/>
      <sheetName val="Breakdown Cost-Well Control"/>
      <sheetName val="P &amp; L 1st-Invst-Well Control"/>
      <sheetName val="Asset TA"/>
      <sheetName val="BdgtAsset&amp;Inv"/>
      <sheetName val="Detail COGS"/>
      <sheetName val="CM Tgl"/>
      <sheetName val="NMN"/>
      <sheetName val="SBM"/>
      <sheetName val="GBSM"/>
      <sheetName val="Meka"/>
      <sheetName val="NTM"/>
      <sheetName val="CODESS"/>
      <sheetName val="WACC_VDF"/>
      <sheetName val="Assumpt_Cons"/>
      <sheetName val="fr BS"/>
      <sheetName val="HAS04RND"/>
      <sheetName val="P&amp;L Adjustment"/>
      <sheetName val="populasi"/>
      <sheetName val="aktdit(WP)"/>
      <sheetName val="Data_Sheet"/>
      <sheetName val="Mutasi_Final"/>
      <sheetName val="WIP_DETAIL_(GL_VS_NMP)"/>
      <sheetName val="Accrued_(ckrg)"/>
      <sheetName val="Database"/>
      <sheetName val="Schedule-TB"/>
      <sheetName val="Marshal-SPT"/>
      <sheetName val="PC-1"/>
      <sheetName val="UsulPnn"/>
      <sheetName val="ESTIMASI MITRA"/>
      <sheetName val="5610.1-1 TOP"/>
      <sheetName val="Lamp-14(Manajemen)"/>
      <sheetName val="trf 7 jht"/>
      <sheetName val="Links"/>
      <sheetName val="Invoice"/>
      <sheetName val="Revenue"/>
      <sheetName val="User"/>
      <sheetName val="CONTROL"/>
      <sheetName val="A1-11"/>
      <sheetName val="A1-12"/>
      <sheetName val="SE"/>
      <sheetName val="Income Statement"/>
      <sheetName val="CHIPPING"/>
      <sheetName val="CRITERIA3"/>
      <sheetName val="Ex_Rate"/>
      <sheetName val="CostRecovery_-_JV"/>
      <sheetName val="console"/>
      <sheetName val="MONTH"/>
      <sheetName val="Depreciation__schedule1"/>
      <sheetName val="Penyusutan_(2)1"/>
      <sheetName val="disposal_assets1"/>
      <sheetName val="data_wp1"/>
      <sheetName val="provision_(3)1"/>
      <sheetName val="Recon-Art_211"/>
      <sheetName val="FA-gainloss_(2)1"/>
      <sheetName val="fiscal_corr1"/>
      <sheetName val="1771_21"/>
      <sheetName val="1771_2(E)1"/>
      <sheetName val="Depr-Comp_(2)1"/>
      <sheetName val="Marshal_(3)1"/>
      <sheetName val="Marshal_(2)1"/>
      <sheetName val="provision_(2)1"/>
      <sheetName val="fiscal_corr_(3)1"/>
      <sheetName val="fiscal_corr_(2)1"/>
      <sheetName val="PENJ_NERACA"/>
      <sheetName val="F1771_2"/>
      <sheetName val="Breakevn"/>
      <sheetName val="REV_1702"/>
      <sheetName val="K100"/>
      <sheetName val="K101"/>
      <sheetName val="P001"/>
      <sheetName val="G400"/>
      <sheetName val="AGM"/>
      <sheetName val="ParData"/>
      <sheetName val="(ABS) JUL-AGST'07"/>
      <sheetName val="21"/>
      <sheetName val="Details"/>
      <sheetName val="Flash var."/>
      <sheetName val="CostRecovery_-_JV1"/>
      <sheetName val="Depreciation__schedule2"/>
      <sheetName val="Penyusutan_(2)2"/>
      <sheetName val="disposal_assets2"/>
      <sheetName val="data_wp2"/>
      <sheetName val="provision_(3)2"/>
      <sheetName val="Recon-Art_212"/>
      <sheetName val="FA-gainloss_(2)2"/>
      <sheetName val="fiscal_corr2"/>
      <sheetName val="1771_22"/>
      <sheetName val="1771_2(E)2"/>
      <sheetName val="Depr-Comp_(2)2"/>
      <sheetName val="Marshal_(3)2"/>
      <sheetName val="Marshal_(2)2"/>
      <sheetName val="provision_(2)2"/>
      <sheetName val="fiscal_corr_(3)2"/>
      <sheetName val="fiscal_corr_(2)2"/>
      <sheetName val="fiscal_depr(E)2"/>
      <sheetName val="CostRecovery_-_JV2"/>
      <sheetName val="I-PPh_Final"/>
      <sheetName val="OT_August__Drmx__08"/>
      <sheetName val="DATA_SLIP"/>
      <sheetName val="(ABS)_JUL-AGST'07"/>
      <sheetName val="1771-I2_x005f_x0000__x005f_x0000_"/>
      <sheetName val="960.1123.03cleared"/>
      <sheetName val="Workshop Tools"/>
      <sheetName val="FE-1770-I"/>
      <sheetName val="FE-1770.P1"/>
      <sheetName val="FE-1770-II"/>
      <sheetName val="Exc. Rate"/>
      <sheetName val="1771-I2??"/>
      <sheetName val="NY_ADMIN1"/>
      <sheetName val="Mei_20071"/>
      <sheetName val="FA_FISKAL1"/>
      <sheetName val="FE-1771$_P1"/>
      <sheetName val="RWP_33"/>
      <sheetName val="WK_Local"/>
      <sheetName val="FA_Movement"/>
      <sheetName val="C1_NOV"/>
      <sheetName val="jan_book"/>
      <sheetName val="Horizon_Cost_Saves_Pkg"/>
      <sheetName val="sep_ST"/>
      <sheetName val="Detail_Lead"/>
      <sheetName val="Phasing_by_Month"/>
      <sheetName val="Cost_Input_Sheet"/>
      <sheetName val="cost_recovery"/>
      <sheetName val="Ref-As_Is_GL_acc"/>
      <sheetName val="P&amp;L_INPUT"/>
      <sheetName val="OthAsset_roll"/>
      <sheetName val="Input_Sheet"/>
      <sheetName val="Portofolio_Trading"/>
      <sheetName val="APAC_Q1FY09_-_Oracle"/>
      <sheetName val="PROD_FRY-MONODON"/>
      <sheetName val="Accounts_Payable_(AA)"/>
      <sheetName val="TBCons_KMB04"/>
      <sheetName val="AR_EXPORT"/>
      <sheetName val="1721-A1_(terbaru)"/>
      <sheetName val="Q_1"/>
      <sheetName val="V_D_5-2"/>
      <sheetName val="Location_Details__2_"/>
      <sheetName val="FA_Movement_IBIC2"/>
      <sheetName val="Data_Sheet1"/>
      <sheetName val="Accrued_(ckrg)1"/>
      <sheetName val="WIP_DETAIL_(GL_VS_NMP)1"/>
      <sheetName val="NY_ADMIN2"/>
      <sheetName val="Mei_20072"/>
      <sheetName val="FA_FISKAL2"/>
      <sheetName val="Mutasi_Final1"/>
      <sheetName val="FE-1771$_P11"/>
      <sheetName val="RWP_331"/>
      <sheetName val="WK_Local1"/>
      <sheetName val="FA_Movement1"/>
      <sheetName val="C1_NOV1"/>
      <sheetName val="jan_book1"/>
      <sheetName val="Horizon_Cost_Saves_Pkg1"/>
      <sheetName val="sep_ST1"/>
      <sheetName val="Detail_Lead1"/>
      <sheetName val="Phasing_by_Month1"/>
      <sheetName val="Cost_Input_Sheet1"/>
      <sheetName val="cost_recovery1"/>
      <sheetName val="Ref-As_Is_GL_acc1"/>
      <sheetName val="P&amp;L_INPUT1"/>
      <sheetName val="OthAsset_roll1"/>
      <sheetName val="Input_Sheet1"/>
      <sheetName val="Portofolio_Trading1"/>
      <sheetName val="APAC_Q1FY09_-_Oracle1"/>
      <sheetName val="PROD_FRY-MONODON1"/>
      <sheetName val="Accounts_Payable_(AA)1"/>
      <sheetName val="TBCons_KMB041"/>
      <sheetName val="AR_EXPORT1"/>
      <sheetName val="1721-A1_(terbaru)1"/>
      <sheetName val="Q_11"/>
      <sheetName val="V_D_5-21"/>
      <sheetName val="Location_Details__2_1"/>
      <sheetName val="Permanent_info3"/>
      <sheetName val="details_fiscal_adjustments3"/>
      <sheetName val="Sum_empcost3"/>
      <sheetName val="fiscal_depr(E)3"/>
      <sheetName val="FA_Movement_IBIC3"/>
      <sheetName val="Notes_to_BS2"/>
      <sheetName val="Trial_Bal2"/>
      <sheetName val="Data_Sheet2"/>
      <sheetName val="Journal_Template2"/>
      <sheetName val="NO_FAKTUR2"/>
      <sheetName val="1998_CITR2"/>
      <sheetName val="Client_Aje2"/>
      <sheetName val="Accrued_(ckrg)2"/>
      <sheetName val="Gaikindo_Report2"/>
      <sheetName val="WIP_DETAIL_(GL_VS_NMP)2"/>
      <sheetName val="NY_ADMIN3"/>
      <sheetName val="Mei_20073"/>
      <sheetName val="FA_FISKAL3"/>
      <sheetName val="Other_charges_(income)2"/>
      <sheetName val="Mutasi_Final2"/>
      <sheetName val="FE-1771$_P12"/>
      <sheetName val="RWP_332"/>
      <sheetName val="WK_Local2"/>
      <sheetName val="FA_Movement2"/>
      <sheetName val="C1_NOV2"/>
      <sheetName val="jan_book2"/>
      <sheetName val="Horizon_Cost_Saves_Pkg2"/>
      <sheetName val="sep_ST2"/>
      <sheetName val="Detail_Lead2"/>
      <sheetName val="Phasing_by_Month2"/>
      <sheetName val="Cost_Input_Sheet2"/>
      <sheetName val="cost_recovery2"/>
      <sheetName val="Ref-As_Is_GL_acc2"/>
      <sheetName val="P&amp;L_INPUT2"/>
      <sheetName val="OthAsset_roll2"/>
      <sheetName val="Input_Sheet2"/>
      <sheetName val="Portofolio_Trading2"/>
      <sheetName val="APAC_Q1FY09_-_Oracle2"/>
      <sheetName val="PROD_FRY-MONODON2"/>
      <sheetName val="Accounts_Payable_(AA)2"/>
      <sheetName val="TBCons_KMB042"/>
      <sheetName val="AR_EXPORT2"/>
      <sheetName val="1721-A1_(terbaru)2"/>
      <sheetName val="Q_12"/>
      <sheetName val="V_D_5-22"/>
      <sheetName val="Location_Details__2_2"/>
      <sheetName val="REF.ONLY"/>
      <sheetName val="Link"/>
      <sheetName val="Tab.Daten"/>
      <sheetName val="EXC-R2004"/>
      <sheetName val="Drivers"/>
      <sheetName val="Tankers"/>
      <sheetName val="Sources"/>
      <sheetName val="bill_qty"/>
      <sheetName val="UNITPRICE"/>
      <sheetName val="MRC1"/>
      <sheetName val="SE-C"/>
      <sheetName val="Invoice_Cross_Reference"/>
      <sheetName val="Spec_22104"/>
      <sheetName val="uu13"/>
      <sheetName val="tarip"/>
      <sheetName val="Jurnal"/>
      <sheetName val="WI"/>
      <sheetName val="Vol_Pd_Tot"/>
      <sheetName val="tr"/>
      <sheetName val="COST"/>
      <sheetName val="S e p"/>
      <sheetName val="M a y"/>
      <sheetName val="J u l"/>
      <sheetName val="N o v"/>
      <sheetName val="O c t"/>
      <sheetName val="M a r"/>
      <sheetName val="F e b"/>
      <sheetName val="J a n"/>
      <sheetName val="00 received in 01"/>
      <sheetName val="A p r"/>
      <sheetName val="A u g"/>
      <sheetName val="WWb"/>
      <sheetName val="PEMBELIAN-05"/>
      <sheetName val="bdrl-usg"/>
      <sheetName val="PEMBELIAN-11"/>
      <sheetName val="Per GL J a n"/>
      <sheetName val="BD"/>
      <sheetName val="CC.1"/>
      <sheetName val="CC.2"/>
      <sheetName val="CC.3"/>
      <sheetName val="EBITRECS"/>
      <sheetName val="Rooms"/>
      <sheetName val="調査シート"/>
      <sheetName val="AJP-AUDITOR"/>
      <sheetName val="TERM OF PAYMENT"/>
      <sheetName val="통계자료"/>
      <sheetName val="FJT"/>
      <sheetName val="part"/>
      <sheetName val="Account Code"/>
      <sheetName val="sapactivexlhiddensheet"/>
      <sheetName val="_WP_SPT_2012_-_23_04_2013_xlsx"/>
      <sheetName val="SUMMARY_2001"/>
      <sheetName val="Permanent_info4"/>
      <sheetName val="details_fiscal_adjustments4"/>
      <sheetName val="Sum_empcost4"/>
      <sheetName val="FA_Movement_IBIC4"/>
      <sheetName val="fiscal_depr(E)4"/>
      <sheetName val="Journal_Template3"/>
      <sheetName val="NO_FAKTUR3"/>
      <sheetName val="Notes_to_BS3"/>
      <sheetName val="Trial_Bal3"/>
      <sheetName val="1998_CITR3"/>
      <sheetName val="Client_Aje3"/>
      <sheetName val="Accrued_(ckrg)3"/>
      <sheetName val="WIP_DETAIL_(GL_VS_NMP)3"/>
      <sheetName val="Gaikindo_Report3"/>
      <sheetName val="Data_Sheet3"/>
      <sheetName val="NY_ADMIN4"/>
      <sheetName val="Mei_20074"/>
      <sheetName val="FA_FISKAL4"/>
      <sheetName val="Mutasi_Final3"/>
      <sheetName val="FE-1771$_P13"/>
      <sheetName val="Other_charges_(income)3"/>
      <sheetName val="RWP_333"/>
      <sheetName val="WK_Local3"/>
      <sheetName val="FA_Movement3"/>
      <sheetName val="data_wp3"/>
      <sheetName val="Detail_Lead3"/>
      <sheetName val="sep_ST3"/>
      <sheetName val="C1_NOV3"/>
      <sheetName val="Horizon_Cost_Saves_Pkg3"/>
      <sheetName val="P&amp;L_INPUT3"/>
      <sheetName val="jan_book3"/>
      <sheetName val="OthAsset_roll3"/>
      <sheetName val="PROD_FRY-MONODON3"/>
      <sheetName val="Accounts_Payable_(AA)3"/>
      <sheetName val="TBC05_Net"/>
      <sheetName val="Ref-As_Is_GL_acc3"/>
      <sheetName val="MAP_BS"/>
      <sheetName val="AR_EXPORT3"/>
      <sheetName val="Location_Details__2_3"/>
      <sheetName val="Portofolio_Trading3"/>
      <sheetName val="APAC_Q1FY09_-_Oracle3"/>
      <sheetName val="cost_recovery3"/>
      <sheetName val="Phasing_by_Month3"/>
      <sheetName val="Cost_Input_Sheet3"/>
      <sheetName val="TBCons_KMB043"/>
      <sheetName val="WBS2"/>
      <sheetName val="Data_Cust (2)"/>
      <sheetName val="Data23"/>
      <sheetName val="Data26"/>
      <sheetName val="LIST"/>
      <sheetName val="IS"/>
      <sheetName val="N.3"/>
      <sheetName val="4.1 Placement w.o.b"/>
      <sheetName val="OFFICE"/>
      <sheetName val="SAP-JKT"/>
      <sheetName val="Kewajiban Lainnya"/>
      <sheetName val="CASH_FLOW"/>
      <sheetName val="1721-A1_(terbaru)3"/>
      <sheetName val="Q_13"/>
      <sheetName val="Input_Sheet3"/>
      <sheetName val="Pnrmanent_info"/>
      <sheetName val="Table_5"/>
      <sheetName val="TAX_LIST1"/>
      <sheetName val="V_D_5-23"/>
      <sheetName val="LE767_GLOBAL_CHECKLIST_updated"/>
      <sheetName val="PO_&amp;_TL_Market_Specific"/>
      <sheetName val="Issue_Sheet"/>
      <sheetName val="I__SAP_Screen"/>
      <sheetName val="II__OTR_-_BAS_G1"/>
      <sheetName val="III__AR_Recon"/>
      <sheetName val="IV__AR"/>
      <sheetName val="V_Zero_rated"/>
      <sheetName val="VI__IC_Recon_828_to_2213"/>
      <sheetName val="IC_Recon_800-2213"/>
      <sheetName val="Capital_Purchases_BAS"/>
      <sheetName val="VII__AP_BAS_G11"/>
      <sheetName val="VIII__KN_Rec"/>
      <sheetName val="IX_ITR"/>
      <sheetName val="X__12041001"/>
      <sheetName val="XI__Cust_Output_GST"/>
      <sheetName val="XII_Vend_Input_GST"/>
      <sheetName val="å's_="/>
      <sheetName val="Input__EAST"/>
      <sheetName val="Simple_Coff_"/>
      <sheetName val="N_100_F_Lead"/>
      <sheetName val="WP_IC_Exp_January_2010"/>
      <sheetName val="trf_multiple_dnrks"/>
      <sheetName val="New_format_sales"/>
      <sheetName val="REF_ONLY"/>
      <sheetName val="Main_Menu"/>
      <sheetName val="Schedule_Contract_&amp;_SILO"/>
      <sheetName val="Sales_and_Collections"/>
      <sheetName val="Cost_of_Sales"/>
      <sheetName val="Operating_Expenses_"/>
      <sheetName val="Est__Income_By_Rig"/>
      <sheetName val="Leasing_TA_Duri"/>
      <sheetName val="TA_Jakarta"/>
      <sheetName val="Breakdown_Cost-Well_Control"/>
      <sheetName val="P_&amp;_L_1st-Invst-Well_Control"/>
      <sheetName val="Asset_TA"/>
      <sheetName val="Detail_COGS"/>
      <sheetName val="United_Kingdom"/>
      <sheetName val="RE_reconciliation"/>
      <sheetName val="1200_20"/>
      <sheetName val="fr_BS"/>
      <sheetName val="P&amp;L_Adjustment"/>
      <sheetName val="Combined_FA"/>
      <sheetName val="CM_Tgl"/>
      <sheetName val=" Posting"/>
      <sheetName val="Rincian beban operasi"/>
      <sheetName val="Penyusutan Kendaraan"/>
      <sheetName val="2.Gaji-Bag"/>
      <sheetName val="FPA11"/>
      <sheetName val="1771-I2"/>
      <sheetName val="2-2022 AP SUBS"/>
      <sheetName val="Table and Names"/>
      <sheetName val="AR Karyawan"/>
      <sheetName val="Matrix"/>
      <sheetName val="trf_multiple_dnrks1"/>
      <sheetName val="Table_51"/>
      <sheetName val="TAX_LIST2"/>
      <sheetName val="MAP_BS1"/>
      <sheetName val="_WP_SPT_2012_-_23_04_2013_xlsx1"/>
      <sheetName val="SUMMARY_20011"/>
      <sheetName val="New_format_sales1"/>
      <sheetName val="TBC05_Net1"/>
      <sheetName val="PENJ_NERACA1"/>
      <sheetName val="CASH_FLOW1"/>
      <sheetName val="Pnrmanent_info1"/>
      <sheetName val="Input__EAST1"/>
      <sheetName val="bill_qty1"/>
      <sheetName val="Simple_Coff_1"/>
      <sheetName val="I-PPh_Final1"/>
      <sheetName val="OT_August__Drmx__081"/>
      <sheetName val="DATA_SLIP1"/>
      <sheetName val="1200_201"/>
      <sheetName val="CC_11"/>
      <sheetName val="CC_21"/>
      <sheetName val="CC_31"/>
      <sheetName val="United_Kingdom1"/>
      <sheetName val="RE_reconciliation1"/>
      <sheetName val="LE767_GLOBAL_CHECKLIST_updated1"/>
      <sheetName val="PO_&amp;_TL_Market_Specific1"/>
      <sheetName val="Issue_Sheet1"/>
      <sheetName val="I__SAP_Screen1"/>
      <sheetName val="II__OTR_-_BAS_G11"/>
      <sheetName val="III__AR_Recon1"/>
      <sheetName val="IV__AR1"/>
      <sheetName val="V_Zero_rated1"/>
      <sheetName val="VI__IC_Recon_828_to_22131"/>
      <sheetName val="IC_Recon_800-22131"/>
      <sheetName val="Capital_Purchases_BAS1"/>
      <sheetName val="VII__AP_BAS_G111"/>
      <sheetName val="VIII__KN_Rec1"/>
      <sheetName val="IX_ITR1"/>
      <sheetName val="X__120410011"/>
      <sheetName val="XI__Cust_Output_GST1"/>
      <sheetName val="XII_Vend_Input_GST1"/>
      <sheetName val="å's_=1"/>
      <sheetName val="Invoice_Cross_Reference1"/>
      <sheetName val="Spec_221041"/>
      <sheetName val="N_100_F_Lead1"/>
      <sheetName val="WP_IC_Exp_January_20101"/>
      <sheetName val="fr_BS1"/>
      <sheetName val="P&amp;L_Adjustment1"/>
      <sheetName val="Main_Menu1"/>
      <sheetName val="Schedule_Contract_&amp;_SILO1"/>
      <sheetName val="Sales_and_Collections1"/>
      <sheetName val="Cost_of_Sales1"/>
      <sheetName val="Operating_Expenses_1"/>
      <sheetName val="Est__Income_By_Rig1"/>
      <sheetName val="Leasing_TA_Duri1"/>
      <sheetName val="TA_Jakarta1"/>
      <sheetName val="Breakdown_Cost-Well_Control1"/>
      <sheetName val="P_&amp;_L_1st-Invst-Well_Control1"/>
      <sheetName val="Asset_TA1"/>
      <sheetName val="Detail_COGS1"/>
      <sheetName val="CM_Tgl1"/>
      <sheetName val="Combined_FA1"/>
      <sheetName val="CC_1"/>
      <sheetName val="CC_2"/>
      <sheetName val="CC_3"/>
      <sheetName val="Permanent_info5"/>
      <sheetName val="details_fiscal_adjustments5"/>
      <sheetName val="Sum_empcost5"/>
      <sheetName val="Trial_Bal4"/>
      <sheetName val="Notes_to_BS4"/>
      <sheetName val="1998_CITR4"/>
      <sheetName val="Client_Aje4"/>
      <sheetName val="Journal_Template4"/>
      <sheetName val="NO_FAKTUR4"/>
      <sheetName val="Gaikindo_Report4"/>
      <sheetName val="Other_charges_(income)4"/>
      <sheetName val="trf_multiple_dnrks2"/>
      <sheetName val="Table_52"/>
      <sheetName val="TAX_LIST3"/>
      <sheetName val="MAP_BS2"/>
      <sheetName val="_WP_SPT_2012_-_23_04_2013_xlsx2"/>
      <sheetName val="SUMMARY_20012"/>
      <sheetName val="New_format_sales2"/>
      <sheetName val="TBC05_Net2"/>
      <sheetName val="Depreciation__schedule3"/>
      <sheetName val="Penyusutan_(2)3"/>
      <sheetName val="disposal_assets3"/>
      <sheetName val="provision_(3)3"/>
      <sheetName val="Recon-Art_213"/>
      <sheetName val="FA-gainloss_(2)3"/>
      <sheetName val="fiscal_corr3"/>
      <sheetName val="1771_23"/>
      <sheetName val="1771_2(E)3"/>
      <sheetName val="Depr-Comp_(2)3"/>
      <sheetName val="Marshal_(3)3"/>
      <sheetName val="Marshal_(2)3"/>
      <sheetName val="provision_(2)3"/>
      <sheetName val="fiscal_corr_(3)3"/>
      <sheetName val="fiscal_corr_(2)3"/>
      <sheetName val="CostRecovery_-_JV3"/>
      <sheetName val="PENJ_NERACA2"/>
      <sheetName val="CASH_FLOW2"/>
      <sheetName val="Pnrmanent_info2"/>
      <sheetName val="Input__EAST2"/>
      <sheetName val="bill_qty2"/>
      <sheetName val="Simple_Coff_2"/>
      <sheetName val="I-PPh_Final2"/>
      <sheetName val="OT_August__Drmx__082"/>
      <sheetName val="DATA_SLIP2"/>
      <sheetName val="1200_202"/>
      <sheetName val="CC_12"/>
      <sheetName val="CC_22"/>
      <sheetName val="CC_32"/>
      <sheetName val="United_Kingdom2"/>
      <sheetName val="RE_reconciliation2"/>
      <sheetName val="LE767_GLOBAL_CHECKLIST_updated2"/>
      <sheetName val="PO_&amp;_TL_Market_Specific2"/>
      <sheetName val="Issue_Sheet2"/>
      <sheetName val="I__SAP_Screen2"/>
      <sheetName val="II__OTR_-_BAS_G12"/>
      <sheetName val="III__AR_Recon2"/>
      <sheetName val="IV__AR2"/>
      <sheetName val="V_Zero_rated2"/>
      <sheetName val="VI__IC_Recon_828_to_22132"/>
      <sheetName val="IC_Recon_800-22132"/>
      <sheetName val="Capital_Purchases_BAS2"/>
      <sheetName val="VII__AP_BAS_G112"/>
      <sheetName val="VIII__KN_Rec2"/>
      <sheetName val="IX_ITR2"/>
      <sheetName val="X__120410012"/>
      <sheetName val="XI__Cust_Output_GST2"/>
      <sheetName val="XII_Vend_Input_GST2"/>
      <sheetName val="å's_=2"/>
      <sheetName val="Invoice_Cross_Reference2"/>
      <sheetName val="Spec_221042"/>
      <sheetName val="N_100_F_Lead2"/>
      <sheetName val="WP_IC_Exp_January_20102"/>
      <sheetName val="fr_BS2"/>
      <sheetName val="P&amp;L_Adjustment2"/>
      <sheetName val="Main_Menu2"/>
      <sheetName val="Schedule_Contract_&amp;_SILO2"/>
      <sheetName val="Sales_and_Collections2"/>
      <sheetName val="Cost_of_Sales2"/>
      <sheetName val="Operating_Expenses_2"/>
      <sheetName val="Est__Income_By_Rig2"/>
      <sheetName val="Leasing_TA_Duri2"/>
      <sheetName val="TA_Jakarta2"/>
      <sheetName val="Breakdown_Cost-Well_Control2"/>
      <sheetName val="P_&amp;_L_1st-Invst-Well_Control2"/>
      <sheetName val="Asset_TA2"/>
      <sheetName val="Detail_COGS2"/>
      <sheetName val="CM_Tgl2"/>
      <sheetName val="Combined_FA2"/>
      <sheetName val="Permanent_info6"/>
      <sheetName val="details_fiscal_adjustments6"/>
      <sheetName val="Sum_empcost6"/>
      <sheetName val="Data_Sheet4"/>
      <sheetName val="Trial_Bal5"/>
      <sheetName val="Notes_to_BS5"/>
      <sheetName val="Mutasi_Final4"/>
      <sheetName val="fiscal_depr(E)5"/>
      <sheetName val="1998_CITR5"/>
      <sheetName val="FA_Movement_IBIC5"/>
      <sheetName val="Client_Aje5"/>
      <sheetName val="Journal_Template5"/>
      <sheetName val="WIP_DETAIL_(GL_VS_NMP)4"/>
      <sheetName val="NO_FAKTUR5"/>
      <sheetName val="Gaikindo_Report5"/>
      <sheetName val="data_wp4"/>
      <sheetName val="FA_Movement4"/>
      <sheetName val="Other_charges_(income)5"/>
      <sheetName val="Accrued_(ckrg)4"/>
      <sheetName val="trf_multiple_dnrks3"/>
      <sheetName val="Table_53"/>
      <sheetName val="TAX_LIST4"/>
      <sheetName val="MAP_BS3"/>
      <sheetName val="_WP_SPT_2012_-_23_04_2013_xlsx3"/>
      <sheetName val="SUMMARY_20013"/>
      <sheetName val="New_format_sales3"/>
      <sheetName val="TBC05_Net3"/>
      <sheetName val="Depreciation__schedule4"/>
      <sheetName val="Penyusutan_(2)4"/>
      <sheetName val="disposal_assets4"/>
      <sheetName val="provision_(3)4"/>
      <sheetName val="Recon-Art_214"/>
      <sheetName val="FA-gainloss_(2)4"/>
      <sheetName val="fiscal_corr4"/>
      <sheetName val="1771_24"/>
      <sheetName val="1771_2(E)4"/>
      <sheetName val="Depr-Comp_(2)4"/>
      <sheetName val="Marshal_(3)4"/>
      <sheetName val="Marshal_(2)4"/>
      <sheetName val="provision_(2)4"/>
      <sheetName val="fiscal_corr_(3)4"/>
      <sheetName val="fiscal_corr_(2)4"/>
      <sheetName val="CostRecovery_-_JV4"/>
      <sheetName val="PENJ_NERACA3"/>
      <sheetName val="CASH_FLOW3"/>
      <sheetName val="Pnrmanent_info3"/>
      <sheetName val="Input__EAST3"/>
      <sheetName val="bill_qty3"/>
      <sheetName val="Simple_Coff_3"/>
      <sheetName val="I-PPh_Final3"/>
      <sheetName val="OT_August__Drmx__083"/>
      <sheetName val="DATA_SLIP3"/>
      <sheetName val="1200_203"/>
      <sheetName val="CC_13"/>
      <sheetName val="CC_23"/>
      <sheetName val="CC_33"/>
      <sheetName val="United_Kingdom3"/>
      <sheetName val="RE_reconciliation3"/>
      <sheetName val="LE767_GLOBAL_CHECKLIST_updated3"/>
      <sheetName val="PO_&amp;_TL_Market_Specific3"/>
      <sheetName val="Issue_Sheet3"/>
      <sheetName val="I__SAP_Screen3"/>
      <sheetName val="II__OTR_-_BAS_G13"/>
      <sheetName val="III__AR_Recon3"/>
      <sheetName val="IV__AR3"/>
      <sheetName val="V_Zero_rated3"/>
      <sheetName val="VI__IC_Recon_828_to_22133"/>
      <sheetName val="IC_Recon_800-22133"/>
      <sheetName val="Capital_Purchases_BAS3"/>
      <sheetName val="VII__AP_BAS_G113"/>
      <sheetName val="VIII__KN_Rec3"/>
      <sheetName val="IX_ITR3"/>
      <sheetName val="X__120410013"/>
      <sheetName val="XI__Cust_Output_GST3"/>
      <sheetName val="XII_Vend_Input_GST3"/>
      <sheetName val="å's_=3"/>
      <sheetName val="Invoice_Cross_Reference3"/>
      <sheetName val="Spec_221043"/>
      <sheetName val="N_100_F_Lead3"/>
      <sheetName val="WP_IC_Exp_January_20103"/>
      <sheetName val="fr_BS3"/>
      <sheetName val="P&amp;L_Adjustment3"/>
      <sheetName val="Main_Menu3"/>
      <sheetName val="Schedule_Contract_&amp;_SILO3"/>
      <sheetName val="Sales_and_Collections3"/>
      <sheetName val="Cost_of_Sales3"/>
      <sheetName val="Operating_Expenses_3"/>
      <sheetName val="Est__Income_By_Rig3"/>
      <sheetName val="Leasing_TA_Duri3"/>
      <sheetName val="TA_Jakarta3"/>
      <sheetName val="Breakdown_Cost-Well_Control3"/>
      <sheetName val="P_&amp;_L_1st-Invst-Well_Control3"/>
      <sheetName val="Asset_TA3"/>
      <sheetName val="Detail_COGS3"/>
      <sheetName val="CM_Tgl3"/>
      <sheetName val="Combined_FA3"/>
      <sheetName val="Permanent_info9"/>
      <sheetName val="details_fiscal_adjustments9"/>
      <sheetName val="Sum_empcost9"/>
      <sheetName val="Data_Sheet7"/>
      <sheetName val="Trial_Bal8"/>
      <sheetName val="Notes_to_BS8"/>
      <sheetName val="Mutasi_Final7"/>
      <sheetName val="fiscal_depr(E)8"/>
      <sheetName val="1998_CITR8"/>
      <sheetName val="NY_ADMIN7"/>
      <sheetName val="Mei_20077"/>
      <sheetName val="FA_Movement_IBIC8"/>
      <sheetName val="Client_Aje8"/>
      <sheetName val="Journal_Template8"/>
      <sheetName val="WIP_DETAIL_(GL_VS_NMP)7"/>
      <sheetName val="NO_FAKTUR8"/>
      <sheetName val="Gaikindo_Report8"/>
      <sheetName val="data_wp7"/>
      <sheetName val="Accounts_Payable_(AA)6"/>
      <sheetName val="1721-A1_(terbaru)6"/>
      <sheetName val="FA_Movement7"/>
      <sheetName val="Other_charges_(income)8"/>
      <sheetName val="WK_Local6"/>
      <sheetName val="FA_FISKAL7"/>
      <sheetName val="Accrued_(ckrg)7"/>
      <sheetName val="PROD_FRY-MONODON6"/>
      <sheetName val="TBCons_KMB046"/>
      <sheetName val="FE-1771$_P16"/>
      <sheetName val="RWP_336"/>
      <sheetName val="sep_ST6"/>
      <sheetName val="trf_multiple_dnrks6"/>
      <sheetName val="Q_16"/>
      <sheetName val="Horizon_Cost_Saves_Pkg6"/>
      <sheetName val="cost_recovery6"/>
      <sheetName val="Detail_Lead6"/>
      <sheetName val="Phasing_by_Month6"/>
      <sheetName val="Cost_Input_Sheet6"/>
      <sheetName val="C1_NOV6"/>
      <sheetName val="P&amp;L_INPUT6"/>
      <sheetName val="Portofolio_Trading6"/>
      <sheetName val="APAC_Q1FY09_-_Oracle6"/>
      <sheetName val="jan_book6"/>
      <sheetName val="Ref-As_Is_GL_acc6"/>
      <sheetName val="OthAsset_roll6"/>
      <sheetName val="Input_Sheet6"/>
      <sheetName val="Table_56"/>
      <sheetName val="TAX_LIST7"/>
      <sheetName val="Location_Details__2_6"/>
      <sheetName val="AR_EXPORT6"/>
      <sheetName val="MAP_BS6"/>
      <sheetName val="_WP_SPT_2012_-_23_04_2013_xlsx6"/>
      <sheetName val="SUMMARY_20016"/>
      <sheetName val="New_format_sales6"/>
      <sheetName val="TBC05_Net6"/>
      <sheetName val="Depreciation__schedule7"/>
      <sheetName val="Penyusutan_(2)7"/>
      <sheetName val="disposal_assets7"/>
      <sheetName val="provision_(3)7"/>
      <sheetName val="Recon-Art_217"/>
      <sheetName val="FA-gainloss_(2)7"/>
      <sheetName val="fiscal_corr7"/>
      <sheetName val="1771_27"/>
      <sheetName val="1771_2(E)7"/>
      <sheetName val="Depr-Comp_(2)7"/>
      <sheetName val="Marshal_(3)7"/>
      <sheetName val="Marshal_(2)7"/>
      <sheetName val="provision_(2)7"/>
      <sheetName val="fiscal_corr_(3)7"/>
      <sheetName val="fiscal_corr_(2)7"/>
      <sheetName val="CostRecovery_-_JV7"/>
      <sheetName val="PENJ_NERACA6"/>
      <sheetName val="CASH_FLOW6"/>
      <sheetName val="Pnrmanent_info6"/>
      <sheetName val="Input__EAST6"/>
      <sheetName val="bill_qty6"/>
      <sheetName val="Simple_Coff_6"/>
      <sheetName val="I-PPh_Final6"/>
      <sheetName val="OT_August__Drmx__086"/>
      <sheetName val="DATA_SLIP6"/>
      <sheetName val="1200_206"/>
      <sheetName val="CC_16"/>
      <sheetName val="CC_26"/>
      <sheetName val="CC_36"/>
      <sheetName val="United_Kingdom6"/>
      <sheetName val="RE_reconciliation6"/>
      <sheetName val="V_D_5-26"/>
      <sheetName val="LE767_GLOBAL_CHECKLIST_updated6"/>
      <sheetName val="PO_&amp;_TL_Market_Specific6"/>
      <sheetName val="Issue_Sheet6"/>
      <sheetName val="I__SAP_Screen6"/>
      <sheetName val="II__OTR_-_BAS_G16"/>
      <sheetName val="III__AR_Recon6"/>
      <sheetName val="IV__AR6"/>
      <sheetName val="V_Zero_rated6"/>
      <sheetName val="VI__IC_Recon_828_to_22136"/>
      <sheetName val="IC_Recon_800-22136"/>
      <sheetName val="Capital_Purchases_BAS6"/>
      <sheetName val="VII__AP_BAS_G116"/>
      <sheetName val="VIII__KN_Rec6"/>
      <sheetName val="IX_ITR6"/>
      <sheetName val="X__120410016"/>
      <sheetName val="XI__Cust_Output_GST6"/>
      <sheetName val="XII_Vend_Input_GST6"/>
      <sheetName val="å's_=6"/>
      <sheetName val="Invoice_Cross_Reference6"/>
      <sheetName val="Spec_221046"/>
      <sheetName val="N_100_F_Lead6"/>
      <sheetName val="WP_IC_Exp_January_20106"/>
      <sheetName val="fr_BS6"/>
      <sheetName val="P&amp;L_Adjustment6"/>
      <sheetName val="Main_Menu6"/>
      <sheetName val="Schedule_Contract_&amp;_SILO6"/>
      <sheetName val="Sales_and_Collections6"/>
      <sheetName val="Cost_of_Sales6"/>
      <sheetName val="Operating_Expenses_6"/>
      <sheetName val="Est__Income_By_Rig6"/>
      <sheetName val="Leasing_TA_Duri6"/>
      <sheetName val="TA_Jakarta6"/>
      <sheetName val="Breakdown_Cost-Well_Control6"/>
      <sheetName val="P_&amp;_L_1st-Invst-Well_Control6"/>
      <sheetName val="Asset_TA6"/>
      <sheetName val="Detail_COGS6"/>
      <sheetName val="CM_Tgl6"/>
      <sheetName val="Combined_FA6"/>
      <sheetName val="Permanent_info7"/>
      <sheetName val="details_fiscal_adjustments7"/>
      <sheetName val="Sum_empcost7"/>
      <sheetName val="Data_Sheet5"/>
      <sheetName val="Trial_Bal6"/>
      <sheetName val="Notes_to_BS6"/>
      <sheetName val="Mutasi_Final5"/>
      <sheetName val="fiscal_depr(E)6"/>
      <sheetName val="1998_CITR6"/>
      <sheetName val="NY_ADMIN5"/>
      <sheetName val="Mei_20075"/>
      <sheetName val="FA_Movement_IBIC6"/>
      <sheetName val="Client_Aje6"/>
      <sheetName val="Journal_Template6"/>
      <sheetName val="WIP_DETAIL_(GL_VS_NMP)5"/>
      <sheetName val="NO_FAKTUR6"/>
      <sheetName val="Gaikindo_Report6"/>
      <sheetName val="data_wp5"/>
      <sheetName val="Accounts_Payable_(AA)4"/>
      <sheetName val="1721-A1_(terbaru)4"/>
      <sheetName val="FA_Movement5"/>
      <sheetName val="Other_charges_(income)6"/>
      <sheetName val="WK_Local4"/>
      <sheetName val="FA_FISKAL5"/>
      <sheetName val="Accrued_(ckrg)5"/>
      <sheetName val="PROD_FRY-MONODON4"/>
      <sheetName val="TBCons_KMB044"/>
      <sheetName val="FE-1771$_P14"/>
      <sheetName val="RWP_334"/>
      <sheetName val="sep_ST4"/>
      <sheetName val="trf_multiple_dnrks4"/>
      <sheetName val="Q_14"/>
      <sheetName val="Horizon_Cost_Saves_Pkg4"/>
      <sheetName val="cost_recovery4"/>
      <sheetName val="Detail_Lead4"/>
      <sheetName val="Phasing_by_Month4"/>
      <sheetName val="Cost_Input_Sheet4"/>
      <sheetName val="C1_NOV4"/>
      <sheetName val="P&amp;L_INPUT4"/>
      <sheetName val="Portofolio_Trading4"/>
      <sheetName val="APAC_Q1FY09_-_Oracle4"/>
      <sheetName val="jan_book4"/>
      <sheetName val="Ref-As_Is_GL_acc4"/>
      <sheetName val="OthAsset_roll4"/>
      <sheetName val="Input_Sheet4"/>
      <sheetName val="Table_54"/>
      <sheetName val="TAX_LIST5"/>
      <sheetName val="Location_Details__2_4"/>
      <sheetName val="AR_EXPORT4"/>
      <sheetName val="MAP_BS4"/>
      <sheetName val="_WP_SPT_2012_-_23_04_2013_xlsx4"/>
      <sheetName val="SUMMARY_20014"/>
      <sheetName val="New_format_sales4"/>
      <sheetName val="TBC05_Net4"/>
      <sheetName val="Depreciation__schedule5"/>
      <sheetName val="Penyusutan_(2)5"/>
      <sheetName val="disposal_assets5"/>
      <sheetName val="provision_(3)5"/>
      <sheetName val="Recon-Art_215"/>
      <sheetName val="FA-gainloss_(2)5"/>
      <sheetName val="fiscal_corr5"/>
      <sheetName val="1771_25"/>
      <sheetName val="1771_2(E)5"/>
      <sheetName val="Depr-Comp_(2)5"/>
      <sheetName val="Marshal_(3)5"/>
      <sheetName val="Marshal_(2)5"/>
      <sheetName val="provision_(2)5"/>
      <sheetName val="fiscal_corr_(3)5"/>
      <sheetName val="fiscal_corr_(2)5"/>
      <sheetName val="CostRecovery_-_JV5"/>
      <sheetName val="PENJ_NERACA4"/>
      <sheetName val="CASH_FLOW4"/>
      <sheetName val="Pnrmanent_info4"/>
      <sheetName val="Input__EAST4"/>
      <sheetName val="bill_qty4"/>
      <sheetName val="Simple_Coff_4"/>
      <sheetName val="I-PPh_Final4"/>
      <sheetName val="OT_August__Drmx__084"/>
      <sheetName val="DATA_SLIP4"/>
      <sheetName val="1200_204"/>
      <sheetName val="CC_14"/>
      <sheetName val="CC_24"/>
      <sheetName val="CC_34"/>
      <sheetName val="United_Kingdom4"/>
      <sheetName val="RE_reconciliation4"/>
      <sheetName val="V_D_5-24"/>
      <sheetName val="LE767_GLOBAL_CHECKLIST_updated4"/>
      <sheetName val="PO_&amp;_TL_Market_Specific4"/>
      <sheetName val="Issue_Sheet4"/>
      <sheetName val="I__SAP_Screen4"/>
      <sheetName val="II__OTR_-_BAS_G14"/>
      <sheetName val="III__AR_Recon4"/>
      <sheetName val="IV__AR4"/>
      <sheetName val="V_Zero_rated4"/>
      <sheetName val="VI__IC_Recon_828_to_22134"/>
      <sheetName val="IC_Recon_800-22134"/>
      <sheetName val="Capital_Purchases_BAS4"/>
      <sheetName val="VII__AP_BAS_G114"/>
      <sheetName val="VIII__KN_Rec4"/>
      <sheetName val="IX_ITR4"/>
      <sheetName val="X__120410014"/>
      <sheetName val="XI__Cust_Output_GST4"/>
      <sheetName val="XII_Vend_Input_GST4"/>
      <sheetName val="å's_=4"/>
      <sheetName val="Invoice_Cross_Reference4"/>
      <sheetName val="Spec_221044"/>
      <sheetName val="N_100_F_Lead4"/>
      <sheetName val="WP_IC_Exp_January_20104"/>
      <sheetName val="fr_BS4"/>
      <sheetName val="P&amp;L_Adjustment4"/>
      <sheetName val="Main_Menu4"/>
      <sheetName val="Schedule_Contract_&amp;_SILO4"/>
      <sheetName val="Sales_and_Collections4"/>
      <sheetName val="Cost_of_Sales4"/>
      <sheetName val="Operating_Expenses_4"/>
      <sheetName val="Est__Income_By_Rig4"/>
      <sheetName val="Leasing_TA_Duri4"/>
      <sheetName val="TA_Jakarta4"/>
      <sheetName val="Breakdown_Cost-Well_Control4"/>
      <sheetName val="P_&amp;_L_1st-Invst-Well_Control4"/>
      <sheetName val="Asset_TA4"/>
      <sheetName val="Detail_COGS4"/>
      <sheetName val="CM_Tgl4"/>
      <sheetName val="Combined_FA4"/>
      <sheetName val="Permanent_info8"/>
      <sheetName val="details_fiscal_adjustments8"/>
      <sheetName val="Sum_empcost8"/>
      <sheetName val="Data_Sheet6"/>
      <sheetName val="Trial_Bal7"/>
      <sheetName val="Notes_to_BS7"/>
      <sheetName val="Mutasi_Final6"/>
      <sheetName val="fiscal_depr(E)7"/>
      <sheetName val="1998_CITR7"/>
      <sheetName val="NY_ADMIN6"/>
      <sheetName val="Mei_20076"/>
      <sheetName val="FA_Movement_IBIC7"/>
      <sheetName val="Client_Aje7"/>
      <sheetName val="Journal_Template7"/>
      <sheetName val="WIP_DETAIL_(GL_VS_NMP)6"/>
      <sheetName val="NO_FAKTUR7"/>
      <sheetName val="Gaikindo_Report7"/>
      <sheetName val="data_wp6"/>
      <sheetName val="Accounts_Payable_(AA)5"/>
      <sheetName val="1721-A1_(terbaru)5"/>
      <sheetName val="FA_Movement6"/>
      <sheetName val="Other_charges_(income)7"/>
      <sheetName val="WK_Local5"/>
      <sheetName val="FA_FISKAL6"/>
      <sheetName val="Accrued_(ckrg)6"/>
      <sheetName val="PROD_FRY-MONODON5"/>
      <sheetName val="TBCons_KMB045"/>
      <sheetName val="FE-1771$_P15"/>
      <sheetName val="RWP_335"/>
      <sheetName val="sep_ST5"/>
      <sheetName val="trf_multiple_dnrks5"/>
      <sheetName val="Q_15"/>
      <sheetName val="Horizon_Cost_Saves_Pkg5"/>
      <sheetName val="cost_recovery5"/>
      <sheetName val="Detail_Lead5"/>
      <sheetName val="Phasing_by_Month5"/>
      <sheetName val="Cost_Input_Sheet5"/>
      <sheetName val="C1_NOV5"/>
      <sheetName val="P&amp;L_INPUT5"/>
      <sheetName val="Portofolio_Trading5"/>
      <sheetName val="APAC_Q1FY09_-_Oracle5"/>
      <sheetName val="jan_book5"/>
      <sheetName val="Ref-As_Is_GL_acc5"/>
      <sheetName val="OthAsset_roll5"/>
      <sheetName val="Input_Sheet5"/>
      <sheetName val="Table_55"/>
      <sheetName val="TAX_LIST6"/>
      <sheetName val="Location_Details__2_5"/>
      <sheetName val="AR_EXPORT5"/>
      <sheetName val="MAP_BS5"/>
      <sheetName val="_WP_SPT_2012_-_23_04_2013_xlsx5"/>
      <sheetName val="SUMMARY_20015"/>
      <sheetName val="New_format_sales5"/>
      <sheetName val="TBC05_Net5"/>
      <sheetName val="Depreciation__schedule6"/>
      <sheetName val="Penyusutan_(2)6"/>
      <sheetName val="disposal_assets6"/>
      <sheetName val="provision_(3)6"/>
      <sheetName val="Recon-Art_216"/>
      <sheetName val="FA-gainloss_(2)6"/>
      <sheetName val="fiscal_corr6"/>
      <sheetName val="1771_26"/>
      <sheetName val="1771_2(E)6"/>
      <sheetName val="Depr-Comp_(2)6"/>
      <sheetName val="Marshal_(3)6"/>
      <sheetName val="Marshal_(2)6"/>
      <sheetName val="provision_(2)6"/>
      <sheetName val="fiscal_corr_(3)6"/>
      <sheetName val="fiscal_corr_(2)6"/>
      <sheetName val="CostRecovery_-_JV6"/>
      <sheetName val="PENJ_NERACA5"/>
      <sheetName val="CASH_FLOW5"/>
      <sheetName val="Pnrmanent_info5"/>
      <sheetName val="Input__EAST5"/>
      <sheetName val="bill_qty5"/>
      <sheetName val="Simple_Coff_5"/>
      <sheetName val="I-PPh_Final5"/>
      <sheetName val="OT_August__Drmx__085"/>
      <sheetName val="DATA_SLIP5"/>
      <sheetName val="1200_205"/>
      <sheetName val="CC_15"/>
      <sheetName val="CC_25"/>
      <sheetName val="CC_35"/>
      <sheetName val="United_Kingdom5"/>
      <sheetName val="RE_reconciliation5"/>
      <sheetName val="V_D_5-25"/>
      <sheetName val="LE767_GLOBAL_CHECKLIST_updated5"/>
      <sheetName val="PO_&amp;_TL_Market_Specific5"/>
      <sheetName val="Issue_Sheet5"/>
      <sheetName val="I__SAP_Screen5"/>
      <sheetName val="II__OTR_-_BAS_G15"/>
      <sheetName val="III__AR_Recon5"/>
      <sheetName val="IV__AR5"/>
      <sheetName val="V_Zero_rated5"/>
      <sheetName val="VI__IC_Recon_828_to_22135"/>
      <sheetName val="IC_Recon_800-22135"/>
      <sheetName val="Capital_Purchases_BAS5"/>
      <sheetName val="VII__AP_BAS_G115"/>
      <sheetName val="VIII__KN_Rec5"/>
      <sheetName val="IX_ITR5"/>
      <sheetName val="X__120410015"/>
      <sheetName val="XI__Cust_Output_GST5"/>
      <sheetName val="XII_Vend_Input_GST5"/>
      <sheetName val="å's_=5"/>
      <sheetName val="Invoice_Cross_Reference5"/>
      <sheetName val="Spec_221045"/>
      <sheetName val="N_100_F_Lead5"/>
      <sheetName val="WP_IC_Exp_January_20105"/>
      <sheetName val="fr_BS5"/>
      <sheetName val="P&amp;L_Adjustment5"/>
      <sheetName val="Main_Menu5"/>
      <sheetName val="Schedule_Contract_&amp;_SILO5"/>
      <sheetName val="Sales_and_Collections5"/>
      <sheetName val="Cost_of_Sales5"/>
      <sheetName val="Operating_Expenses_5"/>
      <sheetName val="Est__Income_By_Rig5"/>
      <sheetName val="Leasing_TA_Duri5"/>
      <sheetName val="TA_Jakarta5"/>
      <sheetName val="Breakdown_Cost-Well_Control5"/>
      <sheetName val="P_&amp;_L_1st-Invst-Well_Control5"/>
      <sheetName val="Asset_TA5"/>
      <sheetName val="Detail_COGS5"/>
      <sheetName val="CM_Tgl5"/>
      <sheetName val="Combined_FA5"/>
      <sheetName val="Permanent_info10"/>
      <sheetName val="details_fiscal_adjustments10"/>
      <sheetName val="Sum_empcost10"/>
      <sheetName val="Data_Sheet8"/>
      <sheetName val="Trial_Bal9"/>
      <sheetName val="Notes_to_BS9"/>
      <sheetName val="Mutasi_Final8"/>
      <sheetName val="fiscal_depr(E)9"/>
      <sheetName val="1998_CITR9"/>
      <sheetName val="NY_ADMIN8"/>
      <sheetName val="Mei_20078"/>
      <sheetName val="FA_Movement_IBIC9"/>
      <sheetName val="Client_Aje9"/>
      <sheetName val="Journal_Template9"/>
      <sheetName val="WIP_DETAIL_(GL_VS_NMP)8"/>
      <sheetName val="NO_FAKTUR9"/>
      <sheetName val="Gaikindo_Report9"/>
      <sheetName val="data_wp8"/>
      <sheetName val="Accounts_Payable_(AA)7"/>
      <sheetName val="1721-A1_(terbaru)7"/>
      <sheetName val="FA_Movement8"/>
      <sheetName val="Other_charges_(income)9"/>
      <sheetName val="WK_Local7"/>
      <sheetName val="FA_FISKAL8"/>
      <sheetName val="Accrued_(ckrg)8"/>
      <sheetName val="PROD_FRY-MONODON7"/>
      <sheetName val="TBCons_KMB047"/>
      <sheetName val="FE-1771$_P17"/>
      <sheetName val="RWP_337"/>
      <sheetName val="sep_ST7"/>
      <sheetName val="trf_multiple_dnrks7"/>
      <sheetName val="Q_17"/>
      <sheetName val="Horizon_Cost_Saves_Pkg7"/>
      <sheetName val="cost_recovery7"/>
      <sheetName val="Detail_Lead7"/>
      <sheetName val="Phasing_by_Month7"/>
      <sheetName val="Cost_Input_Sheet7"/>
      <sheetName val="C1_NOV7"/>
      <sheetName val="P&amp;L_INPUT7"/>
      <sheetName val="Portofolio_Trading7"/>
      <sheetName val="APAC_Q1FY09_-_Oracle7"/>
      <sheetName val="jan_book7"/>
      <sheetName val="Ref-As_Is_GL_acc7"/>
      <sheetName val="OthAsset_roll7"/>
      <sheetName val="Input_Sheet7"/>
      <sheetName val="Table_57"/>
      <sheetName val="TAX_LIST8"/>
      <sheetName val="Location_Details__2_7"/>
      <sheetName val="AR_EXPORT7"/>
      <sheetName val="MAP_BS7"/>
      <sheetName val="_WP_SPT_2012_-_23_04_2013_xlsx7"/>
      <sheetName val="SUMMARY_20017"/>
      <sheetName val="New_format_sales7"/>
      <sheetName val="TBC05_Net7"/>
      <sheetName val="Depreciation__schedule8"/>
      <sheetName val="Penyusutan_(2)8"/>
      <sheetName val="disposal_assets8"/>
      <sheetName val="provision_(3)8"/>
      <sheetName val="Recon-Art_218"/>
      <sheetName val="FA-gainloss_(2)8"/>
      <sheetName val="fiscal_corr8"/>
      <sheetName val="1771_28"/>
      <sheetName val="1771_2(E)8"/>
      <sheetName val="Depr-Comp_(2)8"/>
      <sheetName val="Marshal_(3)8"/>
      <sheetName val="Marshal_(2)8"/>
      <sheetName val="provision_(2)8"/>
      <sheetName val="fiscal_corr_(3)8"/>
      <sheetName val="fiscal_corr_(2)8"/>
      <sheetName val="CostRecovery_-_JV8"/>
      <sheetName val="PENJ_NERACA7"/>
      <sheetName val="CASH_FLOW7"/>
      <sheetName val="Pnrmanent_info7"/>
      <sheetName val="Input__EAST7"/>
      <sheetName val="bill_qty7"/>
      <sheetName val="Simple_Coff_7"/>
      <sheetName val="I-PPh_Final7"/>
      <sheetName val="OT_August__Drmx__087"/>
      <sheetName val="DATA_SLIP7"/>
      <sheetName val="1200_207"/>
      <sheetName val="CC_17"/>
      <sheetName val="CC_27"/>
      <sheetName val="CC_37"/>
      <sheetName val="United_Kingdom7"/>
      <sheetName val="RE_reconciliation7"/>
      <sheetName val="V_D_5-27"/>
      <sheetName val="LE767_GLOBAL_CHECKLIST_updated7"/>
      <sheetName val="PO_&amp;_TL_Market_Specific7"/>
      <sheetName val="Issue_Sheet7"/>
      <sheetName val="I__SAP_Screen7"/>
      <sheetName val="II__OTR_-_BAS_G17"/>
      <sheetName val="III__AR_Recon7"/>
      <sheetName val="IV__AR7"/>
      <sheetName val="V_Zero_rated7"/>
      <sheetName val="VI__IC_Recon_828_to_22137"/>
      <sheetName val="IC_Recon_800-22137"/>
      <sheetName val="Capital_Purchases_BAS7"/>
      <sheetName val="VII__AP_BAS_G117"/>
      <sheetName val="VIII__KN_Rec7"/>
      <sheetName val="IX_ITR7"/>
      <sheetName val="X__120410017"/>
      <sheetName val="XI__Cust_Output_GST7"/>
      <sheetName val="XII_Vend_Input_GST7"/>
      <sheetName val="å's_=7"/>
      <sheetName val="Invoice_Cross_Reference7"/>
      <sheetName val="Spec_221047"/>
      <sheetName val="N_100_F_Lead7"/>
      <sheetName val="WP_IC_Exp_January_20107"/>
      <sheetName val="fr_BS7"/>
      <sheetName val="P&amp;L_Adjustment7"/>
      <sheetName val="Main_Menu7"/>
      <sheetName val="Schedule_Contract_&amp;_SILO7"/>
      <sheetName val="Sales_and_Collections7"/>
      <sheetName val="Cost_of_Sales7"/>
      <sheetName val="Operating_Expenses_7"/>
      <sheetName val="Est__Income_By_Rig7"/>
      <sheetName val="Leasing_TA_Duri7"/>
      <sheetName val="TA_Jakarta7"/>
      <sheetName val="Breakdown_Cost-Well_Control7"/>
      <sheetName val="P_&amp;_L_1st-Invst-Well_Control7"/>
      <sheetName val="Asset_TA7"/>
      <sheetName val="Detail_COGS7"/>
      <sheetName val="CM_Tgl7"/>
      <sheetName val="Combined_FA7"/>
      <sheetName val="Permanent_info11"/>
      <sheetName val="details_fiscal_adjustments11"/>
      <sheetName val="Sum_empcost11"/>
      <sheetName val="Data_Sheet9"/>
      <sheetName val="Trial_Bal10"/>
      <sheetName val="Notes_to_BS10"/>
      <sheetName val="Mutasi_Final9"/>
      <sheetName val="fiscal_depr(E)10"/>
      <sheetName val="1998_CITR10"/>
      <sheetName val="NY_ADMIN9"/>
      <sheetName val="Mei_20079"/>
      <sheetName val="FA_Movement_IBIC10"/>
      <sheetName val="Client_Aje10"/>
      <sheetName val="Journal_Template10"/>
      <sheetName val="WIP_DETAIL_(GL_VS_NMP)9"/>
      <sheetName val="NO_FAKTUR10"/>
      <sheetName val="Gaikindo_Report10"/>
      <sheetName val="data_wp9"/>
      <sheetName val="Accounts_Payable_(AA)8"/>
      <sheetName val="1721-A1_(terbaru)8"/>
      <sheetName val="FA_Movement9"/>
      <sheetName val="Other_charges_(income)10"/>
      <sheetName val="WK_Local8"/>
      <sheetName val="FA_FISKAL9"/>
      <sheetName val="Accrued_(ckrg)9"/>
      <sheetName val="PROD_FRY-MONODON8"/>
      <sheetName val="TBCons_KMB048"/>
      <sheetName val="FE-1771$_P18"/>
      <sheetName val="RWP_338"/>
      <sheetName val="sep_ST8"/>
      <sheetName val="trf_multiple_dnrks8"/>
      <sheetName val="Q_18"/>
      <sheetName val="Horizon_Cost_Saves_Pkg8"/>
      <sheetName val="cost_recovery8"/>
      <sheetName val="Detail_Lead8"/>
      <sheetName val="Phasing_by_Month8"/>
      <sheetName val="Cost_Input_Sheet8"/>
      <sheetName val="C1_NOV8"/>
      <sheetName val="P&amp;L_INPUT8"/>
      <sheetName val="Portofolio_Trading8"/>
      <sheetName val="APAC_Q1FY09_-_Oracle8"/>
      <sheetName val="jan_book8"/>
      <sheetName val="Ref-As_Is_GL_acc8"/>
      <sheetName val="OthAsset_roll8"/>
      <sheetName val="Input_Sheet8"/>
      <sheetName val="Table_58"/>
      <sheetName val="TAX_LIST9"/>
      <sheetName val="Location_Details__2_8"/>
      <sheetName val="AR_EXPORT8"/>
      <sheetName val="MAP_BS8"/>
      <sheetName val="_WP_SPT_2012_-_23_04_2013_xlsx8"/>
      <sheetName val="SUMMARY_20018"/>
      <sheetName val="New_format_sales8"/>
      <sheetName val="TBC05_Net8"/>
      <sheetName val="Depreciation__schedule9"/>
      <sheetName val="Penyusutan_(2)9"/>
      <sheetName val="disposal_assets9"/>
      <sheetName val="provision_(3)9"/>
      <sheetName val="Recon-Art_219"/>
      <sheetName val="FA-gainloss_(2)9"/>
      <sheetName val="fiscal_corr9"/>
      <sheetName val="1771_29"/>
      <sheetName val="1771_2(E)9"/>
      <sheetName val="Depr-Comp_(2)9"/>
      <sheetName val="Marshal_(3)9"/>
      <sheetName val="Marshal_(2)9"/>
      <sheetName val="provision_(2)9"/>
      <sheetName val="fiscal_corr_(3)9"/>
      <sheetName val="fiscal_corr_(2)9"/>
      <sheetName val="CostRecovery_-_JV9"/>
      <sheetName val="PENJ_NERACA8"/>
      <sheetName val="CASH_FLOW8"/>
      <sheetName val="Pnrmanent_info8"/>
      <sheetName val="Input__EAST8"/>
      <sheetName val="bill_qty8"/>
      <sheetName val="Simple_Coff_8"/>
      <sheetName val="I-PPh_Final8"/>
      <sheetName val="OT_August__Drmx__088"/>
      <sheetName val="DATA_SLIP8"/>
      <sheetName val="1200_208"/>
      <sheetName val="CC_18"/>
      <sheetName val="CC_28"/>
      <sheetName val="CC_38"/>
      <sheetName val="United_Kingdom8"/>
      <sheetName val="RE_reconciliation8"/>
      <sheetName val="V_D_5-28"/>
      <sheetName val="LE767_GLOBAL_CHECKLIST_updated8"/>
      <sheetName val="PO_&amp;_TL_Market_Specific8"/>
      <sheetName val="Issue_Sheet8"/>
      <sheetName val="I__SAP_Screen8"/>
      <sheetName val="II__OTR_-_BAS_G18"/>
      <sheetName val="III__AR_Recon8"/>
      <sheetName val="IV__AR8"/>
      <sheetName val="V_Zero_rated8"/>
      <sheetName val="VI__IC_Recon_828_to_22138"/>
      <sheetName val="IC_Recon_800-22138"/>
      <sheetName val="Capital_Purchases_BAS8"/>
      <sheetName val="VII__AP_BAS_G118"/>
      <sheetName val="VIII__KN_Rec8"/>
      <sheetName val="IX_ITR8"/>
      <sheetName val="X__120410018"/>
      <sheetName val="XI__Cust_Output_GST8"/>
      <sheetName val="XII_Vend_Input_GST8"/>
      <sheetName val="å's_=8"/>
      <sheetName val="Invoice_Cross_Reference8"/>
      <sheetName val="Spec_221048"/>
      <sheetName val="N_100_F_Lead8"/>
      <sheetName val="WP_IC_Exp_January_20108"/>
      <sheetName val="fr_BS8"/>
      <sheetName val="P&amp;L_Adjustment8"/>
      <sheetName val="Main_Menu8"/>
      <sheetName val="Schedule_Contract_&amp;_SILO8"/>
      <sheetName val="Sales_and_Collections8"/>
      <sheetName val="Cost_of_Sales8"/>
      <sheetName val="Operating_Expenses_8"/>
      <sheetName val="Est__Income_By_Rig8"/>
      <sheetName val="Leasing_TA_Duri8"/>
      <sheetName val="TA_Jakarta8"/>
      <sheetName val="Breakdown_Cost-Well_Control8"/>
      <sheetName val="P_&amp;_L_1st-Invst-Well_Control8"/>
      <sheetName val="Asset_TA8"/>
      <sheetName val="Detail_COGS8"/>
      <sheetName val="CM_Tgl8"/>
      <sheetName val="Combined_FA8"/>
      <sheetName val=""/>
      <sheetName val="ocean voyage"/>
      <sheetName val="Bal.Sheet"/>
      <sheetName val="OpTrack"/>
      <sheetName val="VAT OUT GL"/>
      <sheetName val="Table"/>
      <sheetName val="CFWork"/>
      <sheetName val="E-9.3(PBC)"/>
      <sheetName val="@GeneralInfo"/>
      <sheetName val="1771-I2__"/>
      <sheetName val="1771-I2_x005f_x005f_x005f_x0000__x005f_x005f_x000"/>
      <sheetName val="PEMAKAIAN PAKAN &amp; OBAT"/>
      <sheetName val="Contracts"/>
      <sheetName val="WACC-Temp 2003"/>
      <sheetName val="Curve"/>
      <sheetName val="Wtr &amp; Dist"/>
      <sheetName val="Power plant"/>
      <sheetName val="Pg2"/>
      <sheetName val="REF_ONLY1"/>
      <sheetName val="(ABS)_JUL-AGST'071"/>
      <sheetName val="Income_Statement"/>
      <sheetName val="Account_Code"/>
      <sheetName val="ESTIMASI_MITRA"/>
      <sheetName val="S_e_p"/>
      <sheetName val="M_a_y"/>
      <sheetName val="J_u_l"/>
      <sheetName val="N_o_v"/>
      <sheetName val="O_c_t"/>
      <sheetName val="M_a_r"/>
      <sheetName val="F_e_b"/>
      <sheetName val="J_a_n"/>
      <sheetName val="00_received_in_01"/>
      <sheetName val="A_p_r"/>
      <sheetName val="A_u_g"/>
      <sheetName val="Per_GL_J_a_n"/>
      <sheetName val="Data_Cust_(2)"/>
      <sheetName val="N_3"/>
      <sheetName val="4_1_Placement_w_o_b"/>
      <sheetName val="Kewajiban_Lainnya"/>
      <sheetName val="Flash_var_"/>
      <sheetName val="960_1123_03cleared"/>
      <sheetName val="Workshop_Tools"/>
      <sheetName val="FE-1770_P1"/>
      <sheetName val="Exc__Rate"/>
      <sheetName val="2_Gaji-Bag"/>
      <sheetName val="ocean_voyage"/>
      <sheetName val="REF_ONLY2"/>
      <sheetName val="(ABS)_JUL-AGST'072"/>
      <sheetName val="Income_Statement1"/>
      <sheetName val="Account_Code1"/>
      <sheetName val="ESTIMASI_MITRA1"/>
      <sheetName val="S_e_p1"/>
      <sheetName val="M_a_y1"/>
      <sheetName val="J_u_l1"/>
      <sheetName val="N_o_v1"/>
      <sheetName val="O_c_t1"/>
      <sheetName val="M_a_r1"/>
      <sheetName val="F_e_b1"/>
      <sheetName val="J_a_n1"/>
      <sheetName val="00_received_in_011"/>
      <sheetName val="A_p_r1"/>
      <sheetName val="A_u_g1"/>
      <sheetName val="Per_GL_J_a_n1"/>
      <sheetName val="Data_Cust_(2)1"/>
      <sheetName val="N_31"/>
      <sheetName val="4_1_Placement_w_o_b1"/>
      <sheetName val="Kewajiban_Lainnya1"/>
      <sheetName val="Flash_var_1"/>
      <sheetName val="960_1123_03cleared1"/>
      <sheetName val="Workshop_Tools1"/>
      <sheetName val="FE-1770_P11"/>
      <sheetName val="Exc__Rate1"/>
      <sheetName val="2_Gaji-Bag1"/>
      <sheetName val="ocean_voyage1"/>
      <sheetName val="TABEL"/>
      <sheetName val="MFWP"/>
      <sheetName val="Petrosea"/>
      <sheetName val="DATA FORWARDER"/>
      <sheetName val="Val_Ind"/>
      <sheetName val="Val_Mean"/>
      <sheetName val="Mult_Decrement"/>
      <sheetName val="Val_Result"/>
      <sheetName val="Plan_Rules"/>
      <sheetName val="Feb Audited"/>
      <sheetName val="P &amp; L"/>
      <sheetName val="P&amp;L"/>
      <sheetName val="11-FX rates"/>
      <sheetName val="Tax Rate"/>
      <sheetName val="tbl"/>
      <sheetName val="ekspirasi"/>
      <sheetName val="kematian"/>
      <sheetName val="NT"/>
      <sheetName val="tahapan&amp;penarikan"/>
      <sheetName val="analis"/>
      <sheetName val="panther"/>
      <sheetName val="JSB"/>
      <sheetName val="KODJA"/>
      <sheetName val="Overall _4_"/>
      <sheetName val="Overall _2_"/>
      <sheetName val="nto71"/>
      <sheetName val="Cruser Sp71"/>
      <sheetName val="dtxl"/>
      <sheetName val="Biaya"/>
      <sheetName val="A. Data Permintaan Produk"/>
      <sheetName val="C. Data Faktur "/>
      <sheetName val="Data Kalender"/>
      <sheetName val="M. Data Biaya Kirim"/>
      <sheetName val="SheetGMP"/>
      <sheetName val="SheetGMT"/>
      <sheetName val="Profit &amp; Loss Account"/>
      <sheetName val="Factors"/>
      <sheetName val="Project Summary"/>
      <sheetName val="Batam"/>
      <sheetName val="Donat"/>
      <sheetName val="Demand projections"/>
      <sheetName val="Coverage calcs"/>
      <sheetName val="J"/>
      <sheetName val="Deferred Rev"/>
      <sheetName val="Anciliary Revenues"/>
      <sheetName val="basis"/>
      <sheetName val="AKTIVA1TB"/>
      <sheetName val="F-2"/>
      <sheetName val="SUM (2)"/>
      <sheetName val="Planting"/>
      <sheetName val="1771-I2_x005f_x0000__x000"/>
      <sheetName val="1771-I2_x005f_x005f_x0000"/>
      <sheetName val="1771-I2_x005f_x005f_x005f_x005f_x005f_x005f_x0000"/>
      <sheetName val="1771-I2_x0000"/>
      <sheetName val="1771-I2_x005f_x005f_x005f_x0000__x000"/>
      <sheetName val="1771-I2_x005f_x005f_x005f_x005f_x0000"/>
      <sheetName val="1771-I2_x005f_x005f_x005f_x005f_x005f_x005f_x005f"/>
      <sheetName val="kriteria"/>
      <sheetName val="A1104"/>
      <sheetName val="FI 30 Jun'06"/>
      <sheetName val="62404"/>
      <sheetName val="Trial"/>
      <sheetName val="Safety 2"/>
      <sheetName val="Perkiraan"/>
      <sheetName val="Laba-Rugi"/>
      <sheetName val="Premi Iuran"/>
      <sheetName val="PPE Movement"/>
      <sheetName val="LP2"/>
      <sheetName val="SPT"/>
      <sheetName val="KPKom"/>
      <sheetName val="SIK"/>
      <sheetName val="SPPP"/>
      <sheetName val="Berkas"/>
      <sheetName val="BCD"/>
      <sheetName val="AnlSPT"/>
      <sheetName val="Rasio"/>
      <sheetName val="APro"/>
      <sheetName val="DbTF"/>
      <sheetName val="DbKtr"/>
      <sheetName val="DbPem"/>
      <sheetName val="Tarif"/>
      <sheetName val="Kode"/>
      <sheetName val="DK"/>
      <sheetName val="LPIS"/>
      <sheetName val="Tanah"/>
      <sheetName val="Permanent_info14"/>
      <sheetName val="details_fiscal_adjustments14"/>
      <sheetName val="Sum_empcost14"/>
      <sheetName val="Data_Sheet12"/>
      <sheetName val="Trial_Bal13"/>
      <sheetName val="Notes_to_BS13"/>
      <sheetName val="Mutasi_Final12"/>
      <sheetName val="fiscal_depr(E)13"/>
      <sheetName val="1998_CITR13"/>
      <sheetName val="NY_ADMIN12"/>
      <sheetName val="Mei_200712"/>
      <sheetName val="FA_Movement_IBIC13"/>
      <sheetName val="Client_Aje13"/>
      <sheetName val="Journal_Template13"/>
      <sheetName val="WIP_DETAIL_(GL_VS_NMP)12"/>
      <sheetName val="NO_FAKTUR13"/>
      <sheetName val="Gaikindo_Report13"/>
      <sheetName val="data_wp12"/>
      <sheetName val="Accounts_Payable_(AA)11"/>
      <sheetName val="1721-A1_(terbaru)11"/>
      <sheetName val="FA_Movement12"/>
      <sheetName val="Other_charges_(income)13"/>
      <sheetName val="WK_Local11"/>
      <sheetName val="FA_FISKAL12"/>
      <sheetName val="Accrued_(ckrg)12"/>
      <sheetName val="PROD_FRY-MONODON11"/>
      <sheetName val="TBCons_KMB0411"/>
      <sheetName val="FE-1771$_P111"/>
      <sheetName val="RWP_3311"/>
      <sheetName val="sep_ST11"/>
      <sheetName val="trf_multiple_dnrks11"/>
      <sheetName val="Q_111"/>
      <sheetName val="Horizon_Cost_Saves_Pkg11"/>
      <sheetName val="cost_recovery11"/>
      <sheetName val="Detail_Lead11"/>
      <sheetName val="Phasing_by_Month11"/>
      <sheetName val="Cost_Input_Sheet11"/>
      <sheetName val="C1_NOV11"/>
      <sheetName val="P&amp;L_INPUT11"/>
      <sheetName val="Portofolio_Trading11"/>
      <sheetName val="APAC_Q1FY09_-_Oracle11"/>
      <sheetName val="jan_book11"/>
      <sheetName val="Ref-As_Is_GL_acc11"/>
      <sheetName val="OthAsset_roll11"/>
      <sheetName val="Input_Sheet11"/>
      <sheetName val="Table_511"/>
      <sheetName val="TAX_LIST12"/>
      <sheetName val="Location_Details__2_11"/>
      <sheetName val="AR_EXPORT11"/>
      <sheetName val="MAP_BS11"/>
      <sheetName val="_WP_SPT_2012_-_23_04_2013_xls11"/>
      <sheetName val="SUMMARY_200111"/>
      <sheetName val="New_format_sales11"/>
      <sheetName val="TBC05_Net11"/>
      <sheetName val="Depreciation__schedule12"/>
      <sheetName val="Penyusutan_(2)12"/>
      <sheetName val="disposal_assets12"/>
      <sheetName val="provision_(3)12"/>
      <sheetName val="Recon-Art_2112"/>
      <sheetName val="FA-gainloss_(2)12"/>
      <sheetName val="fiscal_corr12"/>
      <sheetName val="1771_212"/>
      <sheetName val="1771_2(E)12"/>
      <sheetName val="Depr-Comp_(2)12"/>
      <sheetName val="Marshal_(3)12"/>
      <sheetName val="Marshal_(2)12"/>
      <sheetName val="provision_(2)12"/>
      <sheetName val="fiscal_corr_(3)12"/>
      <sheetName val="fiscal_corr_(2)12"/>
      <sheetName val="CostRecovery_-_JV12"/>
      <sheetName val="PENJ_NERACA11"/>
      <sheetName val="CASH_FLOW11"/>
      <sheetName val="Pnrmanent_info11"/>
      <sheetName val="Input__EAST11"/>
      <sheetName val="bill_qty11"/>
      <sheetName val="Simple_Coff_11"/>
      <sheetName val="I-PPh_Final11"/>
      <sheetName val="OT_August__Drmx__0811"/>
      <sheetName val="DATA_SLIP11"/>
      <sheetName val="1200_2011"/>
      <sheetName val="CC_111"/>
      <sheetName val="CC_211"/>
      <sheetName val="CC_311"/>
      <sheetName val="United_Kingdom11"/>
      <sheetName val="RE_reconciliation11"/>
      <sheetName val="V_D_5-211"/>
      <sheetName val="LE767_GLOBAL_CHECKLIST_update11"/>
      <sheetName val="PO_&amp;_TL_Market_Specific11"/>
      <sheetName val="Issue_Sheet11"/>
      <sheetName val="I__SAP_Screen11"/>
      <sheetName val="II__OTR_-_BAS_G111"/>
      <sheetName val="III__AR_Recon11"/>
      <sheetName val="IV__AR11"/>
      <sheetName val="V_Zero_rated11"/>
      <sheetName val="VI__IC_Recon_828_to_221311"/>
      <sheetName val="IC_Recon_800-221311"/>
      <sheetName val="Capital_Purchases_BAS11"/>
      <sheetName val="VII__AP_BAS_G1111"/>
      <sheetName val="VIII__KN_Rec11"/>
      <sheetName val="IX_ITR11"/>
      <sheetName val="X__1204100111"/>
      <sheetName val="XI__Cust_Output_GST11"/>
      <sheetName val="XII_Vend_Input_GST11"/>
      <sheetName val="å's_=11"/>
      <sheetName val="Invoice_Cross_Reference11"/>
      <sheetName val="Spec_2210411"/>
      <sheetName val="N_100_F_Lead11"/>
      <sheetName val="WP_IC_Exp_January_201011"/>
      <sheetName val="fr_BS11"/>
      <sheetName val="P&amp;L_Adjustment11"/>
      <sheetName val="Main_Menu11"/>
      <sheetName val="Schedule_Contract_&amp;_SILO11"/>
      <sheetName val="Sales_and_Collections11"/>
      <sheetName val="Cost_of_Sales11"/>
      <sheetName val="Operating_Expenses_11"/>
      <sheetName val="Est__Income_By_Rig11"/>
      <sheetName val="Leasing_TA_Duri11"/>
      <sheetName val="TA_Jakarta11"/>
      <sheetName val="Breakdown_Cost-Well_Control11"/>
      <sheetName val="P_&amp;_L_1st-Invst-Well_Control11"/>
      <sheetName val="Asset_TA11"/>
      <sheetName val="Detail_COGS11"/>
      <sheetName val="CM_Tgl11"/>
      <sheetName val="Combined_FA11"/>
      <sheetName val="Permanent_info13"/>
      <sheetName val="details_fiscal_adjustments13"/>
      <sheetName val="Sum_empcost13"/>
      <sheetName val="Data_Sheet11"/>
      <sheetName val="Trial_Bal12"/>
      <sheetName val="Notes_to_BS12"/>
      <sheetName val="Mutasi_Final11"/>
      <sheetName val="fiscal_depr(E)12"/>
      <sheetName val="1998_CITR12"/>
      <sheetName val="NY_ADMIN11"/>
      <sheetName val="Mei_200711"/>
      <sheetName val="FA_Movement_IBIC12"/>
      <sheetName val="Client_Aje12"/>
      <sheetName val="Journal_Template12"/>
      <sheetName val="WIP_DETAIL_(GL_VS_NMP)11"/>
      <sheetName val="NO_FAKTUR12"/>
      <sheetName val="Gaikindo_Report12"/>
      <sheetName val="data_wp11"/>
      <sheetName val="Accounts_Payable_(AA)10"/>
      <sheetName val="1721-A1_(terbaru)10"/>
      <sheetName val="FA_Movement11"/>
      <sheetName val="Other_charges_(income)12"/>
      <sheetName val="WK_Local10"/>
      <sheetName val="FA_FISKAL11"/>
      <sheetName val="Accrued_(ckrg)11"/>
      <sheetName val="PROD_FRY-MONODON10"/>
      <sheetName val="TBCons_KMB0410"/>
      <sheetName val="FE-1771$_P110"/>
      <sheetName val="RWP_3310"/>
      <sheetName val="sep_ST10"/>
      <sheetName val="trf_multiple_dnrks10"/>
      <sheetName val="Q_110"/>
      <sheetName val="Horizon_Cost_Saves_Pkg10"/>
      <sheetName val="cost_recovery10"/>
      <sheetName val="Detail_Lead10"/>
      <sheetName val="Phasing_by_Month10"/>
      <sheetName val="Cost_Input_Sheet10"/>
      <sheetName val="C1_NOV10"/>
      <sheetName val="P&amp;L_INPUT10"/>
      <sheetName val="Portofolio_Trading10"/>
      <sheetName val="APAC_Q1FY09_-_Oracle10"/>
      <sheetName val="jan_book10"/>
      <sheetName val="Ref-As_Is_GL_acc10"/>
      <sheetName val="OthAsset_roll10"/>
      <sheetName val="Input_Sheet10"/>
      <sheetName val="Table_510"/>
      <sheetName val="TAX_LIST11"/>
      <sheetName val="Location_Details__2_10"/>
      <sheetName val="AR_EXPORT10"/>
      <sheetName val="MAP_BS10"/>
      <sheetName val="_WP_SPT_2012_-_23_04_2013_xls10"/>
      <sheetName val="SUMMARY_200110"/>
      <sheetName val="New_format_sales10"/>
      <sheetName val="TBC05_Net10"/>
      <sheetName val="Depreciation__schedule11"/>
      <sheetName val="Penyusutan_(2)11"/>
      <sheetName val="disposal_assets11"/>
      <sheetName val="provision_(3)11"/>
      <sheetName val="Recon-Art_2111"/>
      <sheetName val="FA-gainloss_(2)11"/>
      <sheetName val="fiscal_corr11"/>
      <sheetName val="1771_211"/>
      <sheetName val="1771_2(E)11"/>
      <sheetName val="Depr-Comp_(2)11"/>
      <sheetName val="Marshal_(3)11"/>
      <sheetName val="Marshal_(2)11"/>
      <sheetName val="provision_(2)11"/>
      <sheetName val="fiscal_corr_(3)11"/>
      <sheetName val="fiscal_corr_(2)11"/>
      <sheetName val="CostRecovery_-_JV11"/>
      <sheetName val="PENJ_NERACA10"/>
      <sheetName val="CASH_FLOW10"/>
      <sheetName val="Pnrmanent_info10"/>
      <sheetName val="Input__EAST10"/>
      <sheetName val="bill_qty10"/>
      <sheetName val="Simple_Coff_10"/>
      <sheetName val="I-PPh_Final10"/>
      <sheetName val="OT_August__Drmx__0810"/>
      <sheetName val="DATA_SLIP10"/>
      <sheetName val="1200_2010"/>
      <sheetName val="CC_110"/>
      <sheetName val="CC_210"/>
      <sheetName val="CC_310"/>
      <sheetName val="United_Kingdom10"/>
      <sheetName val="RE_reconciliation10"/>
      <sheetName val="V_D_5-210"/>
      <sheetName val="LE767_GLOBAL_CHECKLIST_update10"/>
      <sheetName val="PO_&amp;_TL_Market_Specific10"/>
      <sheetName val="Issue_Sheet10"/>
      <sheetName val="I__SAP_Screen10"/>
      <sheetName val="II__OTR_-_BAS_G110"/>
      <sheetName val="III__AR_Recon10"/>
      <sheetName val="IV__AR10"/>
      <sheetName val="V_Zero_rated10"/>
      <sheetName val="VI__IC_Recon_828_to_221310"/>
      <sheetName val="IC_Recon_800-221310"/>
      <sheetName val="Capital_Purchases_BAS10"/>
      <sheetName val="VII__AP_BAS_G1110"/>
      <sheetName val="VIII__KN_Rec10"/>
      <sheetName val="IX_ITR10"/>
      <sheetName val="X__1204100110"/>
      <sheetName val="XI__Cust_Output_GST10"/>
      <sheetName val="XII_Vend_Input_GST10"/>
      <sheetName val="å's_=10"/>
      <sheetName val="Invoice_Cross_Reference10"/>
      <sheetName val="Spec_2210410"/>
      <sheetName val="N_100_F_Lead10"/>
      <sheetName val="WP_IC_Exp_January_201010"/>
      <sheetName val="fr_BS10"/>
      <sheetName val="P&amp;L_Adjustment10"/>
      <sheetName val="Main_Menu10"/>
      <sheetName val="Schedule_Contract_&amp;_SILO10"/>
      <sheetName val="Sales_and_Collections10"/>
      <sheetName val="Cost_of_Sales10"/>
      <sheetName val="Operating_Expenses_10"/>
      <sheetName val="Est__Income_By_Rig10"/>
      <sheetName val="Leasing_TA_Duri10"/>
      <sheetName val="TA_Jakarta10"/>
      <sheetName val="Breakdown_Cost-Well_Control10"/>
      <sheetName val="P_&amp;_L_1st-Invst-Well_Control10"/>
      <sheetName val="Asset_TA10"/>
      <sheetName val="Detail_COGS10"/>
      <sheetName val="CM_Tgl10"/>
      <sheetName val="Combined_FA10"/>
      <sheetName val="Permanent_info12"/>
      <sheetName val="details_fiscal_adjustments12"/>
      <sheetName val="Sum_empcost12"/>
      <sheetName val="Data_Sheet10"/>
      <sheetName val="Trial_Bal11"/>
      <sheetName val="Notes_to_BS11"/>
      <sheetName val="Mutasi_Final10"/>
      <sheetName val="fiscal_depr(E)11"/>
      <sheetName val="1998_CITR11"/>
      <sheetName val="NY_ADMIN10"/>
      <sheetName val="Mei_200710"/>
      <sheetName val="FA_Movement_IBIC11"/>
      <sheetName val="Client_Aje11"/>
      <sheetName val="Journal_Template11"/>
      <sheetName val="WIP_DETAIL_(GL_VS_NMP)10"/>
      <sheetName val="NO_FAKTUR11"/>
      <sheetName val="Gaikindo_Report11"/>
      <sheetName val="data_wp10"/>
      <sheetName val="Accounts_Payable_(AA)9"/>
      <sheetName val="1721-A1_(terbaru)9"/>
      <sheetName val="FA_Movement10"/>
      <sheetName val="Other_charges_(income)11"/>
      <sheetName val="WK_Local9"/>
      <sheetName val="FA_FISKAL10"/>
      <sheetName val="Accrued_(ckrg)10"/>
      <sheetName val="PROD_FRY-MONODON9"/>
      <sheetName val="TBCons_KMB049"/>
      <sheetName val="FE-1771$_P19"/>
      <sheetName val="RWP_339"/>
      <sheetName val="sep_ST9"/>
      <sheetName val="trf_multiple_dnrks9"/>
      <sheetName val="Q_19"/>
      <sheetName val="Horizon_Cost_Saves_Pkg9"/>
      <sheetName val="cost_recovery9"/>
      <sheetName val="Detail_Lead9"/>
      <sheetName val="Phasing_by_Month9"/>
      <sheetName val="Cost_Input_Sheet9"/>
      <sheetName val="C1_NOV9"/>
      <sheetName val="P&amp;L_INPUT9"/>
      <sheetName val="Portofolio_Trading9"/>
      <sheetName val="APAC_Q1FY09_-_Oracle9"/>
      <sheetName val="jan_book9"/>
      <sheetName val="Ref-As_Is_GL_acc9"/>
      <sheetName val="OthAsset_roll9"/>
      <sheetName val="Input_Sheet9"/>
      <sheetName val="Table_59"/>
      <sheetName val="TAX_LIST10"/>
      <sheetName val="Location_Details__2_9"/>
      <sheetName val="AR_EXPORT9"/>
      <sheetName val="MAP_BS9"/>
      <sheetName val="_WP_SPT_2012_-_23_04_2013_xlsx9"/>
      <sheetName val="SUMMARY_20019"/>
      <sheetName val="New_format_sales9"/>
      <sheetName val="TBC05_Net9"/>
      <sheetName val="Depreciation__schedule10"/>
      <sheetName val="Penyusutan_(2)10"/>
      <sheetName val="disposal_assets10"/>
      <sheetName val="provision_(3)10"/>
      <sheetName val="Recon-Art_2110"/>
      <sheetName val="FA-gainloss_(2)10"/>
      <sheetName val="fiscal_corr10"/>
      <sheetName val="1771_210"/>
      <sheetName val="1771_2(E)10"/>
      <sheetName val="Depr-Comp_(2)10"/>
      <sheetName val="Marshal_(3)10"/>
      <sheetName val="Marshal_(2)10"/>
      <sheetName val="provision_(2)10"/>
      <sheetName val="fiscal_corr_(3)10"/>
      <sheetName val="fiscal_corr_(2)10"/>
      <sheetName val="CostRecovery_-_JV10"/>
      <sheetName val="PENJ_NERACA9"/>
      <sheetName val="CASH_FLOW9"/>
      <sheetName val="Pnrmanent_info9"/>
      <sheetName val="Input__EAST9"/>
      <sheetName val="bill_qty9"/>
      <sheetName val="Simple_Coff_9"/>
      <sheetName val="I-PPh_Final9"/>
      <sheetName val="OT_August__Drmx__089"/>
      <sheetName val="DATA_SLIP9"/>
      <sheetName val="1200_209"/>
      <sheetName val="CC_19"/>
      <sheetName val="CC_29"/>
      <sheetName val="CC_39"/>
      <sheetName val="United_Kingdom9"/>
      <sheetName val="RE_reconciliation9"/>
      <sheetName val="V_D_5-29"/>
      <sheetName val="LE767_GLOBAL_CHECKLIST_updated9"/>
      <sheetName val="PO_&amp;_TL_Market_Specific9"/>
      <sheetName val="Issue_Sheet9"/>
      <sheetName val="I__SAP_Screen9"/>
      <sheetName val="II__OTR_-_BAS_G19"/>
      <sheetName val="III__AR_Recon9"/>
      <sheetName val="IV__AR9"/>
      <sheetName val="V_Zero_rated9"/>
      <sheetName val="VI__IC_Recon_828_to_22139"/>
      <sheetName val="IC_Recon_800-22139"/>
      <sheetName val="Capital_Purchases_BAS9"/>
      <sheetName val="VII__AP_BAS_G119"/>
      <sheetName val="VIII__KN_Rec9"/>
      <sheetName val="IX_ITR9"/>
      <sheetName val="X__120410019"/>
      <sheetName val="XI__Cust_Output_GST9"/>
      <sheetName val="XII_Vend_Input_GST9"/>
      <sheetName val="å's_=9"/>
      <sheetName val="Invoice_Cross_Reference9"/>
      <sheetName val="Spec_221049"/>
      <sheetName val="N_100_F_Lead9"/>
      <sheetName val="WP_IC_Exp_January_20109"/>
      <sheetName val="fr_BS9"/>
      <sheetName val="P&amp;L_Adjustment9"/>
      <sheetName val="Main_Menu9"/>
      <sheetName val="Schedule_Contract_&amp;_SILO9"/>
      <sheetName val="Sales_and_Collections9"/>
      <sheetName val="Cost_of_Sales9"/>
      <sheetName val="Operating_Expenses_9"/>
      <sheetName val="Est__Income_By_Rig9"/>
      <sheetName val="Leasing_TA_Duri9"/>
      <sheetName val="TA_Jakarta9"/>
      <sheetName val="Breakdown_Cost-Well_Control9"/>
      <sheetName val="P_&amp;_L_1st-Invst-Well_Control9"/>
      <sheetName val="Asset_TA9"/>
      <sheetName val="Detail_COGS9"/>
      <sheetName val="CM_Tgl9"/>
      <sheetName val="Combined_FA9"/>
      <sheetName val="Permanent_info16"/>
      <sheetName val="details_fiscal_adjustments16"/>
      <sheetName val="Sum_empcost16"/>
      <sheetName val="Data_Sheet14"/>
      <sheetName val="Trial_Bal15"/>
      <sheetName val="Notes_to_BS15"/>
      <sheetName val="Mutasi_Final14"/>
      <sheetName val="fiscal_depr(E)15"/>
      <sheetName val="1998_CITR15"/>
      <sheetName val="NY_ADMIN14"/>
      <sheetName val="Mei_200714"/>
      <sheetName val="FA_Movement_IBIC15"/>
      <sheetName val="Client_Aje15"/>
      <sheetName val="Journal_Template15"/>
      <sheetName val="WIP_DETAIL_(GL_VS_NMP)14"/>
      <sheetName val="NO_FAKTUR15"/>
      <sheetName val="Gaikindo_Report15"/>
      <sheetName val="data_wp14"/>
      <sheetName val="Accounts_Payable_(AA)13"/>
      <sheetName val="1721-A1_(terbaru)13"/>
      <sheetName val="FA_Movement14"/>
      <sheetName val="Other_charges_(income)15"/>
      <sheetName val="WK_Local13"/>
      <sheetName val="FA_FISKAL14"/>
      <sheetName val="Accrued_(ckrg)14"/>
      <sheetName val="PROD_FRY-MONODON13"/>
      <sheetName val="TBCons_KMB0413"/>
      <sheetName val="FE-1771$_P113"/>
      <sheetName val="RWP_3313"/>
      <sheetName val="sep_ST13"/>
      <sheetName val="trf_multiple_dnrks13"/>
      <sheetName val="Q_113"/>
      <sheetName val="Horizon_Cost_Saves_Pkg13"/>
      <sheetName val="cost_recovery13"/>
      <sheetName val="Detail_Lead13"/>
      <sheetName val="Phasing_by_Month13"/>
      <sheetName val="Cost_Input_Sheet13"/>
      <sheetName val="C1_NOV13"/>
      <sheetName val="P&amp;L_INPUT13"/>
      <sheetName val="Portofolio_Trading13"/>
      <sheetName val="APAC_Q1FY09_-_Oracle13"/>
      <sheetName val="jan_book13"/>
      <sheetName val="Ref-As_Is_GL_acc13"/>
      <sheetName val="OthAsset_roll13"/>
      <sheetName val="Input_Sheet13"/>
      <sheetName val="Table_513"/>
      <sheetName val="TAX_LIST14"/>
      <sheetName val="Location_Details__2_13"/>
      <sheetName val="AR_EXPORT13"/>
      <sheetName val="MAP_BS13"/>
      <sheetName val="_WP_SPT_2012_-_23_04_2013_xls13"/>
      <sheetName val="SUMMARY_200113"/>
      <sheetName val="New_format_sales13"/>
      <sheetName val="TBC05_Net13"/>
      <sheetName val="Depreciation__schedule14"/>
      <sheetName val="Penyusutan_(2)14"/>
      <sheetName val="disposal_assets14"/>
      <sheetName val="provision_(3)14"/>
      <sheetName val="Recon-Art_2114"/>
      <sheetName val="FA-gainloss_(2)14"/>
      <sheetName val="fiscal_corr14"/>
      <sheetName val="1771_214"/>
      <sheetName val="1771_2(E)14"/>
      <sheetName val="Depr-Comp_(2)14"/>
      <sheetName val="Marshal_(3)14"/>
      <sheetName val="Marshal_(2)14"/>
      <sheetName val="provision_(2)14"/>
      <sheetName val="fiscal_corr_(3)14"/>
      <sheetName val="fiscal_corr_(2)14"/>
      <sheetName val="CostRecovery_-_JV14"/>
      <sheetName val="PENJ_NERACA13"/>
      <sheetName val="CASH_FLOW13"/>
      <sheetName val="Pnrmanent_info13"/>
      <sheetName val="Input__EAST13"/>
      <sheetName val="bill_qty13"/>
      <sheetName val="Simple_Coff_13"/>
      <sheetName val="I-PPh_Final13"/>
      <sheetName val="OT_August__Drmx__0813"/>
      <sheetName val="DATA_SLIP13"/>
      <sheetName val="1200_2013"/>
      <sheetName val="CC_113"/>
      <sheetName val="CC_213"/>
      <sheetName val="CC_313"/>
      <sheetName val="United_Kingdom13"/>
      <sheetName val="RE_reconciliation13"/>
      <sheetName val="V_D_5-213"/>
      <sheetName val="LE767_GLOBAL_CHECKLIST_update13"/>
      <sheetName val="PO_&amp;_TL_Market_Specific13"/>
      <sheetName val="Issue_Sheet13"/>
      <sheetName val="I__SAP_Screen13"/>
      <sheetName val="II__OTR_-_BAS_G113"/>
      <sheetName val="III__AR_Recon13"/>
      <sheetName val="IV__AR13"/>
      <sheetName val="V_Zero_rated13"/>
      <sheetName val="VI__IC_Recon_828_to_221313"/>
      <sheetName val="IC_Recon_800-221313"/>
      <sheetName val="Capital_Purchases_BAS13"/>
      <sheetName val="VII__AP_BAS_G1113"/>
      <sheetName val="VIII__KN_Rec13"/>
      <sheetName val="IX_ITR13"/>
      <sheetName val="X__1204100113"/>
      <sheetName val="XI__Cust_Output_GST13"/>
      <sheetName val="XII_Vend_Input_GST13"/>
      <sheetName val="å's_=13"/>
      <sheetName val="Permanent_info15"/>
      <sheetName val="details_fiscal_adjustments15"/>
      <sheetName val="Sum_empcost15"/>
      <sheetName val="Data_Sheet13"/>
      <sheetName val="Trial_Bal14"/>
      <sheetName val="Notes_to_BS14"/>
      <sheetName val="Mutasi_Final13"/>
      <sheetName val="fiscal_depr(E)14"/>
      <sheetName val="1998_CITR14"/>
      <sheetName val="NY_ADMIN13"/>
      <sheetName val="Mei_200713"/>
      <sheetName val="FA_Movement_IBIC14"/>
      <sheetName val="Client_Aje14"/>
      <sheetName val="Journal_Template14"/>
      <sheetName val="WIP_DETAIL_(GL_VS_NMP)13"/>
      <sheetName val="NO_FAKTUR14"/>
      <sheetName val="Gaikindo_Report14"/>
      <sheetName val="data_wp13"/>
      <sheetName val="Accounts_Payable_(AA)12"/>
      <sheetName val="1721-A1_(terbaru)12"/>
      <sheetName val="FA_Movement13"/>
      <sheetName val="Other_charges_(income)14"/>
      <sheetName val="WK_Local12"/>
      <sheetName val="FA_FISKAL13"/>
      <sheetName val="Accrued_(ckrg)13"/>
      <sheetName val="PROD_FRY-MONODON12"/>
      <sheetName val="TBCons_KMB0412"/>
      <sheetName val="FE-1771$_P112"/>
      <sheetName val="RWP_3312"/>
      <sheetName val="sep_ST12"/>
      <sheetName val="trf_multiple_dnrks12"/>
      <sheetName val="Q_112"/>
      <sheetName val="Horizon_Cost_Saves_Pkg12"/>
      <sheetName val="cost_recovery12"/>
      <sheetName val="Detail_Lead12"/>
      <sheetName val="Phasing_by_Month12"/>
      <sheetName val="Cost_Input_Sheet12"/>
      <sheetName val="C1_NOV12"/>
      <sheetName val="P&amp;L_INPUT12"/>
      <sheetName val="Portofolio_Trading12"/>
      <sheetName val="APAC_Q1FY09_-_Oracle12"/>
      <sheetName val="jan_book12"/>
      <sheetName val="Ref-As_Is_GL_acc12"/>
      <sheetName val="OthAsset_roll12"/>
      <sheetName val="Input_Sheet12"/>
      <sheetName val="Table_512"/>
      <sheetName val="TAX_LIST13"/>
      <sheetName val="Location_Details__2_12"/>
      <sheetName val="AR_EXPORT12"/>
      <sheetName val="MAP_BS12"/>
      <sheetName val="_WP_SPT_2012_-_23_04_2013_xls12"/>
      <sheetName val="SUMMARY_200112"/>
      <sheetName val="New_format_sales12"/>
      <sheetName val="TBC05_Net12"/>
      <sheetName val="Depreciation__schedule13"/>
      <sheetName val="Penyusutan_(2)13"/>
      <sheetName val="disposal_assets13"/>
      <sheetName val="provision_(3)13"/>
      <sheetName val="Recon-Art_2113"/>
      <sheetName val="FA-gainloss_(2)13"/>
      <sheetName val="fiscal_corr13"/>
      <sheetName val="1771_213"/>
      <sheetName val="1771_2(E)13"/>
      <sheetName val="Depr-Comp_(2)13"/>
      <sheetName val="Marshal_(3)13"/>
      <sheetName val="Marshal_(2)13"/>
      <sheetName val="provision_(2)13"/>
      <sheetName val="fiscal_corr_(3)13"/>
      <sheetName val="fiscal_corr_(2)13"/>
      <sheetName val="CostRecovery_-_JV13"/>
      <sheetName val="PENJ_NERACA12"/>
      <sheetName val="CASH_FLOW12"/>
      <sheetName val="Pnrmanent_info12"/>
      <sheetName val="Input__EAST12"/>
      <sheetName val="bill_qty12"/>
      <sheetName val="Simple_Coff_12"/>
      <sheetName val="I-PPh_Final12"/>
      <sheetName val="OT_August__Drmx__0812"/>
      <sheetName val="DATA_SLIP12"/>
      <sheetName val="1200_2012"/>
      <sheetName val="CC_112"/>
      <sheetName val="CC_212"/>
      <sheetName val="CC_312"/>
      <sheetName val="United_Kingdom12"/>
      <sheetName val="RE_reconciliation12"/>
      <sheetName val="V_D_5-212"/>
      <sheetName val="LE767_GLOBAL_CHECKLIST_update12"/>
      <sheetName val="PO_&amp;_TL_Market_Specific12"/>
      <sheetName val="Issue_Sheet12"/>
      <sheetName val="I__SAP_Screen12"/>
      <sheetName val="II__OTR_-_BAS_G112"/>
      <sheetName val="III__AR_Recon12"/>
      <sheetName val="IV__AR12"/>
      <sheetName val="V_Zero_rated12"/>
      <sheetName val="VI__IC_Recon_828_to_221312"/>
      <sheetName val="IC_Recon_800-221312"/>
      <sheetName val="Capital_Purchases_BAS12"/>
      <sheetName val="VII__AP_BAS_G1112"/>
      <sheetName val="VIII__KN_Rec12"/>
      <sheetName val="IX_ITR12"/>
      <sheetName val="X__1204100112"/>
      <sheetName val="XI__Cust_Output_GST12"/>
      <sheetName val="XII_Vend_Input_GST12"/>
      <sheetName val="å's_=12"/>
      <sheetName val="Invoice_Cross_Reference12"/>
      <sheetName val="Spec_2210412"/>
      <sheetName val="N_100_F_Lead12"/>
      <sheetName val="WP_IC_Exp_January_201012"/>
      <sheetName val="fr_BS12"/>
      <sheetName val="P&amp;L_Adjustment12"/>
      <sheetName val="Main_Menu12"/>
      <sheetName val="Schedule_Contract_&amp;_SILO12"/>
      <sheetName val="Sales_and_Collections12"/>
      <sheetName val="Cost_of_Sales12"/>
      <sheetName val="Operating_Expenses_12"/>
      <sheetName val="Est__Income_By_Rig12"/>
      <sheetName val="Leasing_TA_Duri12"/>
      <sheetName val="TA_Jakarta12"/>
      <sheetName val="Breakdown_Cost-Well_Control12"/>
      <sheetName val="P_&amp;_L_1st-Invst-Well_Control12"/>
      <sheetName val="Asset_TA12"/>
      <sheetName val="Detail_COGS12"/>
      <sheetName val="CM_Tgl12"/>
      <sheetName val="Combined_FA12"/>
      <sheetName val="Permanent_info23"/>
      <sheetName val="details_fiscal_adjustments23"/>
      <sheetName val="Sum_empcost23"/>
      <sheetName val="Data_Sheet21"/>
      <sheetName val="Trial_Bal22"/>
      <sheetName val="Notes_to_BS22"/>
      <sheetName val="Mutasi_Final21"/>
      <sheetName val="fiscal_depr(E)22"/>
      <sheetName val="1998_CITR22"/>
      <sheetName val="NY_ADMIN21"/>
      <sheetName val="Mei_200721"/>
      <sheetName val="FA_Movement_IBIC22"/>
      <sheetName val="Client_Aje22"/>
      <sheetName val="Journal_Template22"/>
      <sheetName val="WIP_DETAIL_(GL_VS_NMP)21"/>
      <sheetName val="NO_FAKTUR22"/>
      <sheetName val="Gaikindo_Report22"/>
      <sheetName val="data_wp21"/>
      <sheetName val="Accounts_Payable_(AA)20"/>
      <sheetName val="1721-A1_(terbaru)20"/>
      <sheetName val="FA_Movement21"/>
      <sheetName val="Other_charges_(income)22"/>
      <sheetName val="WK_Local20"/>
      <sheetName val="FA_FISKAL21"/>
      <sheetName val="Accrued_(ckrg)21"/>
      <sheetName val="PROD_FRY-MONODON20"/>
      <sheetName val="TBCons_KMB0420"/>
      <sheetName val="FE-1771$_P120"/>
      <sheetName val="RWP_3320"/>
      <sheetName val="sep_ST20"/>
      <sheetName val="trf_multiple_dnrks20"/>
      <sheetName val="Q_120"/>
      <sheetName val="Horizon_Cost_Saves_Pkg20"/>
      <sheetName val="cost_recovery20"/>
      <sheetName val="Detail_Lead20"/>
      <sheetName val="Phasing_by_Month20"/>
      <sheetName val="Cost_Input_Sheet20"/>
      <sheetName val="C1_NOV20"/>
      <sheetName val="P&amp;L_INPUT20"/>
      <sheetName val="Portofolio_Trading20"/>
      <sheetName val="APAC_Q1FY09_-_Oracle20"/>
      <sheetName val="jan_book20"/>
      <sheetName val="Ref-As_Is_GL_acc20"/>
      <sheetName val="OthAsset_roll20"/>
      <sheetName val="Input_Sheet20"/>
      <sheetName val="Table_520"/>
      <sheetName val="TAX_LIST21"/>
      <sheetName val="Location_Details__2_20"/>
      <sheetName val="AR_EXPORT20"/>
      <sheetName val="MAP_BS20"/>
      <sheetName val="_WP_SPT_2012_-_23_04_2013_xls20"/>
      <sheetName val="SUMMARY_200120"/>
      <sheetName val="New_format_sales20"/>
      <sheetName val="TBC05_Net20"/>
      <sheetName val="Depreciation__schedule21"/>
      <sheetName val="Penyusutan_(2)21"/>
      <sheetName val="disposal_assets21"/>
      <sheetName val="provision_(3)21"/>
      <sheetName val="Recon-Art_2121"/>
      <sheetName val="FA-gainloss_(2)21"/>
      <sheetName val="fiscal_corr21"/>
      <sheetName val="1771_221"/>
      <sheetName val="1771_2(E)21"/>
      <sheetName val="Depr-Comp_(2)21"/>
      <sheetName val="Marshal_(3)21"/>
      <sheetName val="Marshal_(2)21"/>
      <sheetName val="provision_(2)21"/>
      <sheetName val="fiscal_corr_(3)21"/>
      <sheetName val="fiscal_corr_(2)21"/>
      <sheetName val="CostRecovery_-_JV21"/>
      <sheetName val="PENJ_NERACA20"/>
      <sheetName val="CASH_FLOW20"/>
      <sheetName val="Pnrmanent_info20"/>
      <sheetName val="Input__EAST20"/>
      <sheetName val="bill_qty20"/>
      <sheetName val="Simple_Coff_20"/>
      <sheetName val="I-PPh_Final20"/>
      <sheetName val="OT_August__Drmx__0820"/>
      <sheetName val="DATA_SLIP20"/>
      <sheetName val="1200_2020"/>
      <sheetName val="CC_120"/>
      <sheetName val="CC_220"/>
      <sheetName val="CC_320"/>
      <sheetName val="United_Kingdom20"/>
      <sheetName val="RE_reconciliation20"/>
      <sheetName val="V_D_5-220"/>
      <sheetName val="LE767_GLOBAL_CHECKLIST_update20"/>
      <sheetName val="PO_&amp;_TL_Market_Specific20"/>
      <sheetName val="Issue_Sheet20"/>
      <sheetName val="I__SAP_Screen20"/>
      <sheetName val="II__OTR_-_BAS_G120"/>
      <sheetName val="III__AR_Recon20"/>
      <sheetName val="IV__AR20"/>
      <sheetName val="V_Zero_rated20"/>
      <sheetName val="VI__IC_Recon_828_to_221320"/>
      <sheetName val="IC_Recon_800-221320"/>
      <sheetName val="Capital_Purchases_BAS20"/>
      <sheetName val="VII__AP_BAS_G1120"/>
      <sheetName val="VIII__KN_Rec20"/>
      <sheetName val="IX_ITR20"/>
      <sheetName val="X__1204100120"/>
      <sheetName val="XI__Cust_Output_GST20"/>
      <sheetName val="XII_Vend_Input_GST20"/>
      <sheetName val="å's_=20"/>
      <sheetName val="Invoice_Cross_Reference18"/>
      <sheetName val="Spec_2210418"/>
      <sheetName val="N_100_F_Lead18"/>
      <sheetName val="WP_IC_Exp_January_201018"/>
      <sheetName val="fr_BS18"/>
      <sheetName val="P&amp;L_Adjustment18"/>
      <sheetName val="Main_Menu18"/>
      <sheetName val="Schedule_Contract_&amp;_SILO18"/>
      <sheetName val="Sales_and_Collections18"/>
      <sheetName val="Cost_of_Sales18"/>
      <sheetName val="Operating_Expenses_18"/>
      <sheetName val="Est__Income_By_Rig18"/>
      <sheetName val="Leasing_TA_Duri18"/>
      <sheetName val="TA_Jakarta18"/>
      <sheetName val="Breakdown_Cost-Well_Control18"/>
      <sheetName val="P_&amp;_L_1st-Invst-Well_Control18"/>
      <sheetName val="Asset_TA18"/>
      <sheetName val="Detail_COGS18"/>
      <sheetName val="CM_Tgl18"/>
      <sheetName val="Combined_FA18"/>
      <sheetName val="Permanent_info20"/>
      <sheetName val="details_fiscal_adjustments20"/>
      <sheetName val="Sum_empcost20"/>
      <sheetName val="Data_Sheet18"/>
      <sheetName val="Trial_Bal19"/>
      <sheetName val="Notes_to_BS19"/>
      <sheetName val="Mutasi_Final18"/>
      <sheetName val="fiscal_depr(E)19"/>
      <sheetName val="1998_CITR19"/>
      <sheetName val="NY_ADMIN18"/>
      <sheetName val="Mei_200718"/>
      <sheetName val="FA_Movement_IBIC19"/>
      <sheetName val="Client_Aje19"/>
      <sheetName val="Journal_Template19"/>
      <sheetName val="WIP_DETAIL_(GL_VS_NMP)18"/>
      <sheetName val="NO_FAKTUR19"/>
      <sheetName val="Gaikindo_Report19"/>
      <sheetName val="data_wp18"/>
      <sheetName val="Accounts_Payable_(AA)17"/>
      <sheetName val="1721-A1_(terbaru)17"/>
      <sheetName val="FA_Movement18"/>
      <sheetName val="Other_charges_(income)19"/>
      <sheetName val="WK_Local17"/>
      <sheetName val="FA_FISKAL18"/>
      <sheetName val="Accrued_(ckrg)18"/>
      <sheetName val="PROD_FRY-MONODON17"/>
      <sheetName val="TBCons_KMB0417"/>
      <sheetName val="FE-1771$_P117"/>
      <sheetName val="RWP_3317"/>
      <sheetName val="sep_ST17"/>
      <sheetName val="trf_multiple_dnrks17"/>
      <sheetName val="Q_117"/>
      <sheetName val="Horizon_Cost_Saves_Pkg17"/>
      <sheetName val="cost_recovery17"/>
      <sheetName val="Detail_Lead17"/>
      <sheetName val="Phasing_by_Month17"/>
      <sheetName val="Cost_Input_Sheet17"/>
      <sheetName val="C1_NOV17"/>
      <sheetName val="P&amp;L_INPUT17"/>
      <sheetName val="Portofolio_Trading17"/>
      <sheetName val="APAC_Q1FY09_-_Oracle17"/>
      <sheetName val="jan_book17"/>
      <sheetName val="Ref-As_Is_GL_acc17"/>
      <sheetName val="OthAsset_roll17"/>
      <sheetName val="Input_Sheet17"/>
      <sheetName val="Table_517"/>
      <sheetName val="TAX_LIST18"/>
      <sheetName val="Location_Details__2_17"/>
      <sheetName val="AR_EXPORT17"/>
      <sheetName val="MAP_BS17"/>
      <sheetName val="_WP_SPT_2012_-_23_04_2013_xls17"/>
      <sheetName val="SUMMARY_200117"/>
      <sheetName val="New_format_sales17"/>
      <sheetName val="TBC05_Net17"/>
      <sheetName val="Depreciation__schedule18"/>
      <sheetName val="Penyusutan_(2)18"/>
      <sheetName val="disposal_assets18"/>
      <sheetName val="provision_(3)18"/>
      <sheetName val="Recon-Art_2118"/>
      <sheetName val="FA-gainloss_(2)18"/>
      <sheetName val="fiscal_corr18"/>
      <sheetName val="1771_218"/>
      <sheetName val="1771_2(E)18"/>
      <sheetName val="Depr-Comp_(2)18"/>
      <sheetName val="Marshal_(3)18"/>
      <sheetName val="Marshal_(2)18"/>
      <sheetName val="provision_(2)18"/>
      <sheetName val="fiscal_corr_(3)18"/>
      <sheetName val="fiscal_corr_(2)18"/>
      <sheetName val="CostRecovery_-_JV18"/>
      <sheetName val="PENJ_NERACA17"/>
      <sheetName val="CASH_FLOW17"/>
      <sheetName val="Pnrmanent_info17"/>
      <sheetName val="Input__EAST17"/>
      <sheetName val="bill_qty17"/>
      <sheetName val="Simple_Coff_17"/>
      <sheetName val="I-PPh_Final17"/>
      <sheetName val="OT_August__Drmx__0817"/>
      <sheetName val="DATA_SLIP17"/>
      <sheetName val="1200_2017"/>
      <sheetName val="CC_117"/>
      <sheetName val="CC_217"/>
      <sheetName val="CC_317"/>
      <sheetName val="United_Kingdom17"/>
      <sheetName val="RE_reconciliation17"/>
      <sheetName val="V_D_5-217"/>
      <sheetName val="LE767_GLOBAL_CHECKLIST_update17"/>
      <sheetName val="PO_&amp;_TL_Market_Specific17"/>
      <sheetName val="Issue_Sheet17"/>
      <sheetName val="I__SAP_Screen17"/>
      <sheetName val="II__OTR_-_BAS_G117"/>
      <sheetName val="III__AR_Recon17"/>
      <sheetName val="IV__AR17"/>
      <sheetName val="V_Zero_rated17"/>
      <sheetName val="VI__IC_Recon_828_to_221317"/>
      <sheetName val="IC_Recon_800-221317"/>
      <sheetName val="Capital_Purchases_BAS17"/>
      <sheetName val="VII__AP_BAS_G1117"/>
      <sheetName val="VIII__KN_Rec17"/>
      <sheetName val="IX_ITR17"/>
      <sheetName val="X__1204100117"/>
      <sheetName val="XI__Cust_Output_GST17"/>
      <sheetName val="XII_Vend_Input_GST17"/>
      <sheetName val="å's_=17"/>
      <sheetName val="Invoice_Cross_Reference15"/>
      <sheetName val="Spec_2210415"/>
      <sheetName val="N_100_F_Lead15"/>
      <sheetName val="WP_IC_Exp_January_201015"/>
      <sheetName val="fr_BS15"/>
      <sheetName val="P&amp;L_Adjustment15"/>
      <sheetName val="Main_Menu15"/>
      <sheetName val="Schedule_Contract_&amp;_SILO15"/>
      <sheetName val="Sales_and_Collections15"/>
      <sheetName val="Cost_of_Sales15"/>
      <sheetName val="Operating_Expenses_15"/>
      <sheetName val="Est__Income_By_Rig15"/>
      <sheetName val="Leasing_TA_Duri15"/>
      <sheetName val="TA_Jakarta15"/>
      <sheetName val="Breakdown_Cost-Well_Control15"/>
      <sheetName val="P_&amp;_L_1st-Invst-Well_Control15"/>
      <sheetName val="Asset_TA15"/>
      <sheetName val="Detail_COGS15"/>
      <sheetName val="CM_Tgl15"/>
      <sheetName val="Combined_FA15"/>
      <sheetName val="Permanent_info18"/>
      <sheetName val="details_fiscal_adjustments18"/>
      <sheetName val="Sum_empcost18"/>
      <sheetName val="Data_Sheet16"/>
      <sheetName val="Trial_Bal17"/>
      <sheetName val="Notes_to_BS17"/>
      <sheetName val="Mutasi_Final16"/>
      <sheetName val="fiscal_depr(E)17"/>
      <sheetName val="1998_CITR17"/>
      <sheetName val="NY_ADMIN16"/>
      <sheetName val="Mei_200716"/>
      <sheetName val="FA_Movement_IBIC17"/>
      <sheetName val="Client_Aje17"/>
      <sheetName val="Journal_Template17"/>
      <sheetName val="WIP_DETAIL_(GL_VS_NMP)16"/>
      <sheetName val="NO_FAKTUR17"/>
      <sheetName val="Gaikindo_Report17"/>
      <sheetName val="data_wp16"/>
      <sheetName val="Accounts_Payable_(AA)15"/>
      <sheetName val="1721-A1_(terbaru)15"/>
      <sheetName val="FA_Movement16"/>
      <sheetName val="Other_charges_(income)17"/>
      <sheetName val="WK_Local15"/>
      <sheetName val="FA_FISKAL16"/>
      <sheetName val="Accrued_(ckrg)16"/>
      <sheetName val="PROD_FRY-MONODON15"/>
      <sheetName val="TBCons_KMB0415"/>
      <sheetName val="FE-1771$_P115"/>
      <sheetName val="RWP_3315"/>
      <sheetName val="sep_ST15"/>
      <sheetName val="trf_multiple_dnrks15"/>
      <sheetName val="Q_115"/>
      <sheetName val="Horizon_Cost_Saves_Pkg15"/>
      <sheetName val="cost_recovery15"/>
      <sheetName val="Detail_Lead15"/>
      <sheetName val="Phasing_by_Month15"/>
      <sheetName val="Cost_Input_Sheet15"/>
      <sheetName val="C1_NOV15"/>
      <sheetName val="P&amp;L_INPUT15"/>
      <sheetName val="Portofolio_Trading15"/>
      <sheetName val="APAC_Q1FY09_-_Oracle15"/>
      <sheetName val="jan_book15"/>
      <sheetName val="Ref-As_Is_GL_acc15"/>
      <sheetName val="OthAsset_roll15"/>
      <sheetName val="Input_Sheet15"/>
      <sheetName val="Table_515"/>
      <sheetName val="TAX_LIST16"/>
      <sheetName val="Location_Details__2_15"/>
      <sheetName val="AR_EXPORT15"/>
      <sheetName val="MAP_BS15"/>
      <sheetName val="_WP_SPT_2012_-_23_04_2013_xls15"/>
      <sheetName val="SUMMARY_200115"/>
      <sheetName val="New_format_sales15"/>
      <sheetName val="TBC05_Net15"/>
      <sheetName val="Depreciation__schedule16"/>
      <sheetName val="Penyusutan_(2)16"/>
      <sheetName val="disposal_assets16"/>
      <sheetName val="provision_(3)16"/>
      <sheetName val="Recon-Art_2116"/>
      <sheetName val="FA-gainloss_(2)16"/>
      <sheetName val="fiscal_corr16"/>
      <sheetName val="1771_216"/>
      <sheetName val="1771_2(E)16"/>
      <sheetName val="Depr-Comp_(2)16"/>
      <sheetName val="Marshal_(3)16"/>
      <sheetName val="Marshal_(2)16"/>
      <sheetName val="provision_(2)16"/>
      <sheetName val="fiscal_corr_(3)16"/>
      <sheetName val="fiscal_corr_(2)16"/>
      <sheetName val="CostRecovery_-_JV16"/>
      <sheetName val="PENJ_NERACA15"/>
      <sheetName val="CASH_FLOW15"/>
      <sheetName val="Pnrmanent_info15"/>
      <sheetName val="Input__EAST15"/>
      <sheetName val="bill_qty15"/>
      <sheetName val="Simple_Coff_15"/>
      <sheetName val="I-PPh_Final15"/>
      <sheetName val="OT_August__Drmx__0815"/>
      <sheetName val="DATA_SLIP15"/>
      <sheetName val="1200_2015"/>
      <sheetName val="CC_115"/>
      <sheetName val="CC_215"/>
      <sheetName val="CC_315"/>
      <sheetName val="United_Kingdom15"/>
      <sheetName val="RE_reconciliation15"/>
      <sheetName val="V_D_5-215"/>
      <sheetName val="LE767_GLOBAL_CHECKLIST_update15"/>
      <sheetName val="PO_&amp;_TL_Market_Specific15"/>
      <sheetName val="Issue_Sheet15"/>
      <sheetName val="I__SAP_Screen15"/>
      <sheetName val="II__OTR_-_BAS_G115"/>
      <sheetName val="III__AR_Recon15"/>
      <sheetName val="IV__AR15"/>
      <sheetName val="V_Zero_rated15"/>
      <sheetName val="VI__IC_Recon_828_to_221315"/>
      <sheetName val="IC_Recon_800-221315"/>
      <sheetName val="Capital_Purchases_BAS15"/>
      <sheetName val="VII__AP_BAS_G1115"/>
      <sheetName val="VIII__KN_Rec15"/>
      <sheetName val="IX_ITR15"/>
      <sheetName val="X__1204100115"/>
      <sheetName val="XI__Cust_Output_GST15"/>
      <sheetName val="XII_Vend_Input_GST15"/>
      <sheetName val="å's_=15"/>
      <sheetName val="Invoice_Cross_Reference14"/>
      <sheetName val="Spec_2210414"/>
      <sheetName val="N_100_F_Lead14"/>
      <sheetName val="WP_IC_Exp_January_201014"/>
      <sheetName val="fr_BS14"/>
      <sheetName val="P&amp;L_Adjustment14"/>
      <sheetName val="Main_Menu14"/>
      <sheetName val="Schedule_Contract_&amp;_SILO14"/>
      <sheetName val="Sales_and_Collections14"/>
      <sheetName val="Cost_of_Sales14"/>
      <sheetName val="Operating_Expenses_14"/>
      <sheetName val="Est__Income_By_Rig14"/>
      <sheetName val="Leasing_TA_Duri14"/>
      <sheetName val="TA_Jakarta14"/>
      <sheetName val="Breakdown_Cost-Well_Control14"/>
      <sheetName val="P_&amp;_L_1st-Invst-Well_Control14"/>
      <sheetName val="Asset_TA14"/>
      <sheetName val="Detail_COGS14"/>
      <sheetName val="CM_Tgl14"/>
      <sheetName val="Combined_FA14"/>
      <sheetName val="Permanent_info17"/>
      <sheetName val="details_fiscal_adjustments17"/>
      <sheetName val="Sum_empcost17"/>
      <sheetName val="Data_Sheet15"/>
      <sheetName val="Trial_Bal16"/>
      <sheetName val="Notes_to_BS16"/>
      <sheetName val="Mutasi_Final15"/>
      <sheetName val="fiscal_depr(E)16"/>
      <sheetName val="1998_CITR16"/>
      <sheetName val="NY_ADMIN15"/>
      <sheetName val="Mei_200715"/>
      <sheetName val="FA_Movement_IBIC16"/>
      <sheetName val="Client_Aje16"/>
      <sheetName val="Journal_Template16"/>
      <sheetName val="WIP_DETAIL_(GL_VS_NMP)15"/>
      <sheetName val="NO_FAKTUR16"/>
      <sheetName val="Gaikindo_Report16"/>
      <sheetName val="data_wp15"/>
      <sheetName val="Accounts_Payable_(AA)14"/>
      <sheetName val="1721-A1_(terbaru)14"/>
      <sheetName val="FA_Movement15"/>
      <sheetName val="Other_charges_(income)16"/>
      <sheetName val="WK_Local14"/>
      <sheetName val="FA_FISKAL15"/>
      <sheetName val="Accrued_(ckrg)15"/>
      <sheetName val="PROD_FRY-MONODON14"/>
      <sheetName val="TBCons_KMB0414"/>
      <sheetName val="FE-1771$_P114"/>
      <sheetName val="RWP_3314"/>
      <sheetName val="sep_ST14"/>
      <sheetName val="trf_multiple_dnrks14"/>
      <sheetName val="Q_114"/>
      <sheetName val="Horizon_Cost_Saves_Pkg14"/>
      <sheetName val="cost_recovery14"/>
      <sheetName val="Detail_Lead14"/>
      <sheetName val="Phasing_by_Month14"/>
      <sheetName val="Cost_Input_Sheet14"/>
      <sheetName val="C1_NOV14"/>
      <sheetName val="P&amp;L_INPUT14"/>
      <sheetName val="Portofolio_Trading14"/>
      <sheetName val="APAC_Q1FY09_-_Oracle14"/>
      <sheetName val="jan_book14"/>
      <sheetName val="Ref-As_Is_GL_acc14"/>
      <sheetName val="OthAsset_roll14"/>
      <sheetName val="Input_Sheet14"/>
      <sheetName val="Table_514"/>
      <sheetName val="TAX_LIST15"/>
      <sheetName val="Location_Details__2_14"/>
      <sheetName val="AR_EXPORT14"/>
      <sheetName val="MAP_BS14"/>
      <sheetName val="_WP_SPT_2012_-_23_04_2013_xls14"/>
      <sheetName val="SUMMARY_200114"/>
      <sheetName val="New_format_sales14"/>
      <sheetName val="TBC05_Net14"/>
      <sheetName val="Depreciation__schedule15"/>
      <sheetName val="Penyusutan_(2)15"/>
      <sheetName val="disposal_assets15"/>
      <sheetName val="provision_(3)15"/>
      <sheetName val="Recon-Art_2115"/>
      <sheetName val="FA-gainloss_(2)15"/>
      <sheetName val="fiscal_corr15"/>
      <sheetName val="1771_215"/>
      <sheetName val="1771_2(E)15"/>
      <sheetName val="Depr-Comp_(2)15"/>
      <sheetName val="Marshal_(3)15"/>
      <sheetName val="Marshal_(2)15"/>
      <sheetName val="provision_(2)15"/>
      <sheetName val="fiscal_corr_(3)15"/>
      <sheetName val="fiscal_corr_(2)15"/>
      <sheetName val="CostRecovery_-_JV15"/>
      <sheetName val="PENJ_NERACA14"/>
      <sheetName val="CASH_FLOW14"/>
      <sheetName val="Pnrmanent_info14"/>
      <sheetName val="Input__EAST14"/>
      <sheetName val="bill_qty14"/>
      <sheetName val="Simple_Coff_14"/>
      <sheetName val="I-PPh_Final14"/>
      <sheetName val="OT_August__Drmx__0814"/>
      <sheetName val="DATA_SLIP14"/>
      <sheetName val="1200_2014"/>
      <sheetName val="CC_114"/>
      <sheetName val="CC_214"/>
      <sheetName val="CC_314"/>
      <sheetName val="United_Kingdom14"/>
      <sheetName val="RE_reconciliation14"/>
      <sheetName val="V_D_5-214"/>
      <sheetName val="LE767_GLOBAL_CHECKLIST_update14"/>
      <sheetName val="PO_&amp;_TL_Market_Specific14"/>
      <sheetName val="Issue_Sheet14"/>
      <sheetName val="I__SAP_Screen14"/>
      <sheetName val="II__OTR_-_BAS_G114"/>
      <sheetName val="III__AR_Recon14"/>
      <sheetName val="IV__AR14"/>
      <sheetName val="V_Zero_rated14"/>
      <sheetName val="VI__IC_Recon_828_to_221314"/>
      <sheetName val="IC_Recon_800-221314"/>
      <sheetName val="Capital_Purchases_BAS14"/>
      <sheetName val="VII__AP_BAS_G1114"/>
      <sheetName val="VIII__KN_Rec14"/>
      <sheetName val="IX_ITR14"/>
      <sheetName val="X__1204100114"/>
      <sheetName val="XI__Cust_Output_GST14"/>
      <sheetName val="XII_Vend_Input_GST14"/>
      <sheetName val="å's_=14"/>
      <sheetName val="Invoice_Cross_Reference13"/>
      <sheetName val="Spec_2210413"/>
      <sheetName val="N_100_F_Lead13"/>
      <sheetName val="WP_IC_Exp_January_201013"/>
      <sheetName val="fr_BS13"/>
      <sheetName val="P&amp;L_Adjustment13"/>
      <sheetName val="Main_Menu13"/>
      <sheetName val="Schedule_Contract_&amp;_SILO13"/>
      <sheetName val="Sales_and_Collections13"/>
      <sheetName val="Cost_of_Sales13"/>
      <sheetName val="Operating_Expenses_13"/>
      <sheetName val="Est__Income_By_Rig13"/>
      <sheetName val="Leasing_TA_Duri13"/>
      <sheetName val="TA_Jakarta13"/>
      <sheetName val="Breakdown_Cost-Well_Control13"/>
      <sheetName val="P_&amp;_L_1st-Invst-Well_Control13"/>
      <sheetName val="Asset_TA13"/>
      <sheetName val="Detail_COGS13"/>
      <sheetName val="CM_Tgl13"/>
      <sheetName val="Combined_FA13"/>
      <sheetName val="Permanent_info19"/>
      <sheetName val="details_fiscal_adjustments19"/>
      <sheetName val="Sum_empcost19"/>
      <sheetName val="Data_Sheet17"/>
      <sheetName val="Trial_Bal18"/>
      <sheetName val="Notes_to_BS18"/>
      <sheetName val="Mutasi_Final17"/>
      <sheetName val="fiscal_depr(E)18"/>
      <sheetName val="1998_CITR18"/>
      <sheetName val="NY_ADMIN17"/>
      <sheetName val="Mei_200717"/>
      <sheetName val="FA_Movement_IBIC18"/>
      <sheetName val="Client_Aje18"/>
      <sheetName val="Journal_Template18"/>
      <sheetName val="WIP_DETAIL_(GL_VS_NMP)17"/>
      <sheetName val="NO_FAKTUR18"/>
      <sheetName val="Gaikindo_Report18"/>
      <sheetName val="data_wp17"/>
      <sheetName val="Accounts_Payable_(AA)16"/>
      <sheetName val="1721-A1_(terbaru)16"/>
      <sheetName val="FA_Movement17"/>
      <sheetName val="Other_charges_(income)18"/>
      <sheetName val="WK_Local16"/>
      <sheetName val="FA_FISKAL17"/>
      <sheetName val="Accrued_(ckrg)17"/>
      <sheetName val="PROD_FRY-MONODON16"/>
      <sheetName val="TBCons_KMB0416"/>
      <sheetName val="FE-1771$_P116"/>
      <sheetName val="RWP_3316"/>
      <sheetName val="sep_ST16"/>
      <sheetName val="trf_multiple_dnrks16"/>
      <sheetName val="Q_116"/>
      <sheetName val="Horizon_Cost_Saves_Pkg16"/>
      <sheetName val="cost_recovery16"/>
      <sheetName val="Detail_Lead16"/>
      <sheetName val="Phasing_by_Month16"/>
      <sheetName val="Cost_Input_Sheet16"/>
      <sheetName val="C1_NOV16"/>
      <sheetName val="P&amp;L_INPUT16"/>
      <sheetName val="Portofolio_Trading16"/>
      <sheetName val="APAC_Q1FY09_-_Oracle16"/>
      <sheetName val="jan_book16"/>
      <sheetName val="Ref-As_Is_GL_acc16"/>
      <sheetName val="OthAsset_roll16"/>
      <sheetName val="Input_Sheet16"/>
      <sheetName val="Table_516"/>
      <sheetName val="TAX_LIST17"/>
      <sheetName val="Location_Details__2_16"/>
      <sheetName val="AR_EXPORT16"/>
      <sheetName val="MAP_BS16"/>
      <sheetName val="_WP_SPT_2012_-_23_04_2013_xls16"/>
      <sheetName val="SUMMARY_200116"/>
      <sheetName val="New_format_sales16"/>
      <sheetName val="TBC05_Net16"/>
      <sheetName val="Depreciation__schedule17"/>
      <sheetName val="Penyusutan_(2)17"/>
      <sheetName val="disposal_assets17"/>
      <sheetName val="provision_(3)17"/>
      <sheetName val="Recon-Art_2117"/>
      <sheetName val="FA-gainloss_(2)17"/>
      <sheetName val="fiscal_corr17"/>
      <sheetName val="1771_217"/>
      <sheetName val="1771_2(E)17"/>
      <sheetName val="Depr-Comp_(2)17"/>
      <sheetName val="Marshal_(3)17"/>
      <sheetName val="Marshal_(2)17"/>
      <sheetName val="provision_(2)17"/>
      <sheetName val="fiscal_corr_(3)17"/>
      <sheetName val="fiscal_corr_(2)17"/>
      <sheetName val="CostRecovery_-_JV17"/>
      <sheetName val="PENJ_NERACA16"/>
      <sheetName val="CASH_FLOW16"/>
      <sheetName val="Pnrmanent_info16"/>
      <sheetName val="Input__EAST16"/>
      <sheetName val="bill_qty16"/>
      <sheetName val="Simple_Coff_16"/>
      <sheetName val="I-PPh_Final16"/>
      <sheetName val="OT_August__Drmx__0816"/>
      <sheetName val="DATA_SLIP16"/>
      <sheetName val="1200_2016"/>
      <sheetName val="CC_116"/>
      <sheetName val="CC_216"/>
      <sheetName val="CC_316"/>
      <sheetName val="United_Kingdom16"/>
      <sheetName val="RE_reconciliation16"/>
      <sheetName val="V_D_5-216"/>
      <sheetName val="LE767_GLOBAL_CHECKLIST_update16"/>
      <sheetName val="PO_&amp;_TL_Market_Specific16"/>
      <sheetName val="Issue_Sheet16"/>
      <sheetName val="I__SAP_Screen16"/>
      <sheetName val="II__OTR_-_BAS_G116"/>
      <sheetName val="III__AR_Recon16"/>
      <sheetName val="IV__AR16"/>
      <sheetName val="V_Zero_rated16"/>
      <sheetName val="VI__IC_Recon_828_to_221316"/>
      <sheetName val="IC_Recon_800-221316"/>
      <sheetName val="Capital_Purchases_BAS16"/>
      <sheetName val="VII__AP_BAS_G1116"/>
      <sheetName val="VIII__KN_Rec16"/>
      <sheetName val="IX_ITR16"/>
      <sheetName val="X__1204100116"/>
      <sheetName val="XI__Cust_Output_GST16"/>
      <sheetName val="XII_Vend_Input_GST16"/>
      <sheetName val="å's_=16"/>
      <sheetName val="Permanent_info21"/>
      <sheetName val="details_fiscal_adjustments21"/>
      <sheetName val="Sum_empcost21"/>
      <sheetName val="Data_Sheet19"/>
      <sheetName val="Trial_Bal20"/>
      <sheetName val="Notes_to_BS20"/>
      <sheetName val="Mutasi_Final19"/>
      <sheetName val="fiscal_depr(E)20"/>
      <sheetName val="1998_CITR20"/>
      <sheetName val="NY_ADMIN19"/>
      <sheetName val="Mei_200719"/>
      <sheetName val="FA_Movement_IBIC20"/>
      <sheetName val="Client_Aje20"/>
      <sheetName val="Journal_Template20"/>
      <sheetName val="WIP_DETAIL_(GL_VS_NMP)19"/>
      <sheetName val="NO_FAKTUR20"/>
      <sheetName val="Gaikindo_Report20"/>
      <sheetName val="data_wp19"/>
      <sheetName val="Accounts_Payable_(AA)18"/>
      <sheetName val="1721-A1_(terbaru)18"/>
      <sheetName val="FA_Movement19"/>
      <sheetName val="Other_charges_(income)20"/>
      <sheetName val="WK_Local18"/>
      <sheetName val="FA_FISKAL19"/>
      <sheetName val="Accrued_(ckrg)19"/>
      <sheetName val="PROD_FRY-MONODON18"/>
      <sheetName val="TBCons_KMB0418"/>
      <sheetName val="FE-1771$_P118"/>
      <sheetName val="RWP_3318"/>
      <sheetName val="sep_ST18"/>
      <sheetName val="trf_multiple_dnrks18"/>
      <sheetName val="Q_118"/>
      <sheetName val="Horizon_Cost_Saves_Pkg18"/>
      <sheetName val="cost_recovery18"/>
      <sheetName val="Detail_Lead18"/>
      <sheetName val="Phasing_by_Month18"/>
      <sheetName val="Cost_Input_Sheet18"/>
      <sheetName val="C1_NOV18"/>
      <sheetName val="P&amp;L_INPUT18"/>
      <sheetName val="Portofolio_Trading18"/>
      <sheetName val="APAC_Q1FY09_-_Oracle18"/>
      <sheetName val="jan_book18"/>
      <sheetName val="Ref-As_Is_GL_acc18"/>
      <sheetName val="OthAsset_roll18"/>
      <sheetName val="Input_Sheet18"/>
      <sheetName val="Table_518"/>
      <sheetName val="TAX_LIST19"/>
      <sheetName val="Location_Details__2_18"/>
      <sheetName val="AR_EXPORT18"/>
      <sheetName val="MAP_BS18"/>
      <sheetName val="_WP_SPT_2012_-_23_04_2013_xls18"/>
      <sheetName val="SUMMARY_200118"/>
      <sheetName val="New_format_sales18"/>
      <sheetName val="TBC05_Net18"/>
      <sheetName val="Depreciation__schedule19"/>
      <sheetName val="Penyusutan_(2)19"/>
      <sheetName val="disposal_assets19"/>
      <sheetName val="provision_(3)19"/>
      <sheetName val="Recon-Art_2119"/>
      <sheetName val="FA-gainloss_(2)19"/>
      <sheetName val="fiscal_corr19"/>
      <sheetName val="1771_219"/>
      <sheetName val="1771_2(E)19"/>
      <sheetName val="Depr-Comp_(2)19"/>
      <sheetName val="Marshal_(3)19"/>
      <sheetName val="Marshal_(2)19"/>
      <sheetName val="provision_(2)19"/>
      <sheetName val="fiscal_corr_(3)19"/>
      <sheetName val="fiscal_corr_(2)19"/>
      <sheetName val="CostRecovery_-_JV19"/>
      <sheetName val="PENJ_NERACA18"/>
      <sheetName val="CASH_FLOW18"/>
      <sheetName val="Pnrmanent_info18"/>
      <sheetName val="Input__EAST18"/>
      <sheetName val="bill_qty18"/>
      <sheetName val="Simple_Coff_18"/>
      <sheetName val="I-PPh_Final18"/>
      <sheetName val="OT_August__Drmx__0818"/>
      <sheetName val="DATA_SLIP18"/>
      <sheetName val="1200_2018"/>
      <sheetName val="CC_118"/>
      <sheetName val="CC_218"/>
      <sheetName val="CC_318"/>
      <sheetName val="United_Kingdom18"/>
      <sheetName val="RE_reconciliation18"/>
      <sheetName val="V_D_5-218"/>
      <sheetName val="LE767_GLOBAL_CHECKLIST_update18"/>
      <sheetName val="PO_&amp;_TL_Market_Specific18"/>
      <sheetName val="Issue_Sheet18"/>
      <sheetName val="I__SAP_Screen18"/>
      <sheetName val="II__OTR_-_BAS_G118"/>
      <sheetName val="III__AR_Recon18"/>
      <sheetName val="IV__AR18"/>
      <sheetName val="V_Zero_rated18"/>
      <sheetName val="VI__IC_Recon_828_to_221318"/>
      <sheetName val="IC_Recon_800-221318"/>
      <sheetName val="Capital_Purchases_BAS18"/>
      <sheetName val="VII__AP_BAS_G1118"/>
      <sheetName val="VIII__KN_Rec18"/>
      <sheetName val="IX_ITR18"/>
      <sheetName val="X__1204100118"/>
      <sheetName val="XI__Cust_Output_GST18"/>
      <sheetName val="XII_Vend_Input_GST18"/>
      <sheetName val="å's_=18"/>
      <sheetName val="Invoice_Cross_Reference16"/>
      <sheetName val="Spec_2210416"/>
      <sheetName val="N_100_F_Lead16"/>
      <sheetName val="WP_IC_Exp_January_201016"/>
      <sheetName val="fr_BS16"/>
      <sheetName val="P&amp;L_Adjustment16"/>
      <sheetName val="Main_Menu16"/>
      <sheetName val="Schedule_Contract_&amp;_SILO16"/>
      <sheetName val="Sales_and_Collections16"/>
      <sheetName val="Cost_of_Sales16"/>
      <sheetName val="Operating_Expenses_16"/>
      <sheetName val="Est__Income_By_Rig16"/>
      <sheetName val="Leasing_TA_Duri16"/>
      <sheetName val="TA_Jakarta16"/>
      <sheetName val="Breakdown_Cost-Well_Control16"/>
      <sheetName val="P_&amp;_L_1st-Invst-Well_Control16"/>
      <sheetName val="Asset_TA16"/>
      <sheetName val="Detail_COGS16"/>
      <sheetName val="CM_Tgl16"/>
      <sheetName val="Combined_FA16"/>
      <sheetName val="Permanent_info22"/>
      <sheetName val="details_fiscal_adjustments22"/>
      <sheetName val="Sum_empcost22"/>
      <sheetName val="Data_Sheet20"/>
      <sheetName val="Trial_Bal21"/>
      <sheetName val="Notes_to_BS21"/>
      <sheetName val="Mutasi_Final20"/>
      <sheetName val="fiscal_depr(E)21"/>
      <sheetName val="1998_CITR21"/>
      <sheetName val="NY_ADMIN20"/>
      <sheetName val="Mei_200720"/>
      <sheetName val="FA_Movement_IBIC21"/>
      <sheetName val="Client_Aje21"/>
      <sheetName val="Journal_Template21"/>
      <sheetName val="WIP_DETAIL_(GL_VS_NMP)20"/>
      <sheetName val="NO_FAKTUR21"/>
      <sheetName val="Gaikindo_Report21"/>
      <sheetName val="data_wp20"/>
      <sheetName val="Accounts_Payable_(AA)19"/>
      <sheetName val="1721-A1_(terbaru)19"/>
      <sheetName val="FA_Movement20"/>
      <sheetName val="Other_charges_(income)21"/>
      <sheetName val="WK_Local19"/>
      <sheetName val="FA_FISKAL20"/>
      <sheetName val="Accrued_(ckrg)20"/>
      <sheetName val="PROD_FRY-MONODON19"/>
      <sheetName val="TBCons_KMB0419"/>
      <sheetName val="FE-1771$_P119"/>
      <sheetName val="RWP_3319"/>
      <sheetName val="sep_ST19"/>
      <sheetName val="trf_multiple_dnrks19"/>
      <sheetName val="Q_119"/>
      <sheetName val="Horizon_Cost_Saves_Pkg19"/>
      <sheetName val="cost_recovery19"/>
      <sheetName val="Detail_Lead19"/>
      <sheetName val="Phasing_by_Month19"/>
      <sheetName val="Cost_Input_Sheet19"/>
      <sheetName val="C1_NOV19"/>
      <sheetName val="P&amp;L_INPUT19"/>
      <sheetName val="Portofolio_Trading19"/>
      <sheetName val="APAC_Q1FY09_-_Oracle19"/>
      <sheetName val="jan_book19"/>
      <sheetName val="Ref-As_Is_GL_acc19"/>
      <sheetName val="OthAsset_roll19"/>
      <sheetName val="Input_Sheet19"/>
      <sheetName val="Table_519"/>
      <sheetName val="TAX_LIST20"/>
      <sheetName val="Location_Details__2_19"/>
      <sheetName val="AR_EXPORT19"/>
      <sheetName val="MAP_BS19"/>
      <sheetName val="_WP_SPT_2012_-_23_04_2013_xls19"/>
      <sheetName val="SUMMARY_200119"/>
      <sheetName val="New_format_sales19"/>
      <sheetName val="TBC05_Net19"/>
      <sheetName val="Depreciation__schedule20"/>
      <sheetName val="Penyusutan_(2)20"/>
      <sheetName val="disposal_assets20"/>
      <sheetName val="provision_(3)20"/>
      <sheetName val="Recon-Art_2120"/>
      <sheetName val="FA-gainloss_(2)20"/>
      <sheetName val="fiscal_corr20"/>
      <sheetName val="1771_220"/>
      <sheetName val="1771_2(E)20"/>
      <sheetName val="Depr-Comp_(2)20"/>
      <sheetName val="Marshal_(3)20"/>
      <sheetName val="Marshal_(2)20"/>
      <sheetName val="provision_(2)20"/>
      <sheetName val="fiscal_corr_(3)20"/>
      <sheetName val="fiscal_corr_(2)20"/>
      <sheetName val="CostRecovery_-_JV20"/>
      <sheetName val="PENJ_NERACA19"/>
      <sheetName val="CASH_FLOW19"/>
      <sheetName val="Pnrmanent_info19"/>
      <sheetName val="Input__EAST19"/>
      <sheetName val="bill_qty19"/>
      <sheetName val="Simple_Coff_19"/>
      <sheetName val="I-PPh_Final19"/>
      <sheetName val="OT_August__Drmx__0819"/>
      <sheetName val="DATA_SLIP19"/>
      <sheetName val="1200_2019"/>
      <sheetName val="CC_119"/>
      <sheetName val="CC_219"/>
      <sheetName val="CC_319"/>
      <sheetName val="United_Kingdom19"/>
      <sheetName val="RE_reconciliation19"/>
      <sheetName val="V_D_5-219"/>
      <sheetName val="LE767_GLOBAL_CHECKLIST_update19"/>
      <sheetName val="PO_&amp;_TL_Market_Specific19"/>
      <sheetName val="Issue_Sheet19"/>
      <sheetName val="I__SAP_Screen19"/>
      <sheetName val="II__OTR_-_BAS_G119"/>
      <sheetName val="III__AR_Recon19"/>
      <sheetName val="IV__AR19"/>
      <sheetName val="V_Zero_rated19"/>
      <sheetName val="VI__IC_Recon_828_to_221319"/>
      <sheetName val="IC_Recon_800-221319"/>
      <sheetName val="Capital_Purchases_BAS19"/>
      <sheetName val="VII__AP_BAS_G1119"/>
      <sheetName val="VIII__KN_Rec19"/>
      <sheetName val="IX_ITR19"/>
      <sheetName val="X__1204100119"/>
      <sheetName val="XI__Cust_Output_GST19"/>
      <sheetName val="XII_Vend_Input_GST19"/>
      <sheetName val="å's_=19"/>
      <sheetName val="Invoice_Cross_Reference17"/>
      <sheetName val="Spec_2210417"/>
      <sheetName val="N_100_F_Lead17"/>
      <sheetName val="WP_IC_Exp_January_201017"/>
      <sheetName val="fr_BS17"/>
      <sheetName val="P&amp;L_Adjustment17"/>
      <sheetName val="Main_Menu17"/>
      <sheetName val="Schedule_Contract_&amp;_SILO17"/>
      <sheetName val="Sales_and_Collections17"/>
      <sheetName val="Cost_of_Sales17"/>
      <sheetName val="Operating_Expenses_17"/>
      <sheetName val="Est__Income_By_Rig17"/>
      <sheetName val="Leasing_TA_Duri17"/>
      <sheetName val="TA_Jakarta17"/>
      <sheetName val="Breakdown_Cost-Well_Control17"/>
      <sheetName val="P_&amp;_L_1st-Invst-Well_Control17"/>
      <sheetName val="Asset_TA17"/>
      <sheetName val="Detail_COGS17"/>
      <sheetName val="CM_Tgl17"/>
      <sheetName val="Combined_FA17"/>
      <sheetName val="Permanent_info24"/>
      <sheetName val="details_fiscal_adjustments24"/>
      <sheetName val="Sum_empcost24"/>
      <sheetName val="Data_Sheet22"/>
      <sheetName val="Trial_Bal23"/>
      <sheetName val="Notes_to_BS23"/>
      <sheetName val="Mutasi_Final22"/>
      <sheetName val="fiscal_depr(E)23"/>
      <sheetName val="1998_CITR23"/>
      <sheetName val="NY_ADMIN22"/>
      <sheetName val="Mei_200722"/>
      <sheetName val="FA_Movement_IBIC23"/>
      <sheetName val="Client_Aje23"/>
      <sheetName val="Journal_Template23"/>
      <sheetName val="WIP_DETAIL_(GL_VS_NMP)22"/>
      <sheetName val="NO_FAKTUR23"/>
      <sheetName val="Gaikindo_Report23"/>
      <sheetName val="data_wp22"/>
      <sheetName val="Accounts_Payable_(AA)21"/>
      <sheetName val="1721-A1_(terbaru)21"/>
      <sheetName val="FA_Movement22"/>
      <sheetName val="Other_charges_(income)23"/>
      <sheetName val="WK_Local21"/>
      <sheetName val="FA_FISKAL22"/>
      <sheetName val="Accrued_(ckrg)22"/>
      <sheetName val="PROD_FRY-MONODON21"/>
      <sheetName val="TBCons_KMB0421"/>
      <sheetName val="FE-1771$_P121"/>
      <sheetName val="RWP_3321"/>
      <sheetName val="sep_ST21"/>
      <sheetName val="trf_multiple_dnrks21"/>
      <sheetName val="Q_121"/>
      <sheetName val="Horizon_Cost_Saves_Pkg21"/>
      <sheetName val="cost_recovery21"/>
      <sheetName val="Detail_Lead21"/>
      <sheetName val="Phasing_by_Month21"/>
      <sheetName val="Cost_Input_Sheet21"/>
      <sheetName val="C1_NOV21"/>
      <sheetName val="P&amp;L_INPUT21"/>
      <sheetName val="Portofolio_Trading21"/>
      <sheetName val="APAC_Q1FY09_-_Oracle21"/>
      <sheetName val="jan_book21"/>
      <sheetName val="Ref-As_Is_GL_acc21"/>
      <sheetName val="OthAsset_roll21"/>
      <sheetName val="Input_Sheet21"/>
      <sheetName val="Table_521"/>
      <sheetName val="TAX_LIST22"/>
      <sheetName val="Location_Details__2_21"/>
      <sheetName val="AR_EXPORT21"/>
      <sheetName val="MAP_BS21"/>
      <sheetName val="_WP_SPT_2012_-_23_04_2013_xls21"/>
      <sheetName val="SUMMARY_200121"/>
      <sheetName val="New_format_sales21"/>
      <sheetName val="TBC05_Net21"/>
      <sheetName val="Depreciation__schedule22"/>
      <sheetName val="Penyusutan_(2)22"/>
      <sheetName val="disposal_assets22"/>
      <sheetName val="provision_(3)22"/>
      <sheetName val="Recon-Art_2122"/>
      <sheetName val="FA-gainloss_(2)22"/>
      <sheetName val="fiscal_corr22"/>
      <sheetName val="1771_222"/>
      <sheetName val="1771_2(E)22"/>
      <sheetName val="Depr-Comp_(2)22"/>
      <sheetName val="Marshal_(3)22"/>
      <sheetName val="Marshal_(2)22"/>
      <sheetName val="provision_(2)22"/>
      <sheetName val="fiscal_corr_(3)22"/>
      <sheetName val="fiscal_corr_(2)22"/>
      <sheetName val="CostRecovery_-_JV22"/>
      <sheetName val="PENJ_NERACA21"/>
      <sheetName val="CASH_FLOW21"/>
      <sheetName val="Pnrmanent_info21"/>
      <sheetName val="Input__EAST21"/>
      <sheetName val="bill_qty21"/>
      <sheetName val="Simple_Coff_21"/>
      <sheetName val="I-PPh_Final21"/>
      <sheetName val="OT_August__Drmx__0821"/>
      <sheetName val="DATA_SLIP21"/>
      <sheetName val="1200_2021"/>
      <sheetName val="CC_121"/>
      <sheetName val="CC_221"/>
      <sheetName val="CC_321"/>
      <sheetName val="United_Kingdom21"/>
      <sheetName val="RE_reconciliation21"/>
      <sheetName val="V_D_5-221"/>
      <sheetName val="LE767_GLOBAL_CHECKLIST_update21"/>
      <sheetName val="PO_&amp;_TL_Market_Specific21"/>
      <sheetName val="Issue_Sheet21"/>
      <sheetName val="I__SAP_Screen21"/>
      <sheetName val="II__OTR_-_BAS_G121"/>
      <sheetName val="III__AR_Recon21"/>
      <sheetName val="IV__AR21"/>
      <sheetName val="V_Zero_rated21"/>
      <sheetName val="VI__IC_Recon_828_to_221321"/>
      <sheetName val="IC_Recon_800-221321"/>
      <sheetName val="Capital_Purchases_BAS21"/>
      <sheetName val="VII__AP_BAS_G1121"/>
      <sheetName val="VIII__KN_Rec21"/>
      <sheetName val="IX_ITR21"/>
      <sheetName val="X__1204100121"/>
      <sheetName val="XI__Cust_Output_GST21"/>
      <sheetName val="XII_Vend_Input_GST21"/>
      <sheetName val="å's_=21"/>
      <sheetName val="Invoice_Cross_Reference19"/>
      <sheetName val="Spec_2210419"/>
      <sheetName val="N_100_F_Lead19"/>
      <sheetName val="WP_IC_Exp_January_201019"/>
      <sheetName val="fr_BS19"/>
      <sheetName val="P&amp;L_Adjustment19"/>
      <sheetName val="Main_Menu19"/>
      <sheetName val="Schedule_Contract_&amp;_SILO19"/>
      <sheetName val="Sales_and_Collections19"/>
      <sheetName val="Cost_of_Sales19"/>
      <sheetName val="Operating_Expenses_19"/>
      <sheetName val="Est__Income_By_Rig19"/>
      <sheetName val="Leasing_TA_Duri19"/>
      <sheetName val="TA_Jakarta19"/>
      <sheetName val="Breakdown_Cost-Well_Control19"/>
      <sheetName val="P_&amp;_L_1st-Invst-Well_Control19"/>
      <sheetName val="Asset_TA19"/>
      <sheetName val="Detail_COGS19"/>
      <sheetName val="CM_Tgl19"/>
      <sheetName val="Combined_FA19"/>
      <sheetName val="低值品"/>
      <sheetName val="Permanent_info25"/>
      <sheetName val="details_fiscal_adjustments25"/>
      <sheetName val="Sum_empcost25"/>
      <sheetName val="Data_Sheet23"/>
      <sheetName val="Trial_Bal24"/>
      <sheetName val="Notes_to_BS24"/>
      <sheetName val="Mutasi_Final23"/>
      <sheetName val="fiscal_depr(E)24"/>
      <sheetName val="1998_CITR24"/>
      <sheetName val="NY_ADMIN23"/>
      <sheetName val="Mei_200723"/>
      <sheetName val="FA_Movement_IBIC24"/>
      <sheetName val="Client_Aje24"/>
      <sheetName val="Journal_Template24"/>
      <sheetName val="WIP_DETAIL_(GL_VS_NMP)23"/>
      <sheetName val="NO_FAKTUR24"/>
      <sheetName val="Gaikindo_Report24"/>
      <sheetName val="data_wp23"/>
      <sheetName val="Accounts_Payable_(AA)22"/>
      <sheetName val="1721-A1_(terbaru)22"/>
      <sheetName val="FA_Movement23"/>
      <sheetName val="Other_charges_(income)24"/>
      <sheetName val="WK_Local22"/>
      <sheetName val="FA_FISKAL23"/>
      <sheetName val="Accrued_(ckrg)23"/>
      <sheetName val="PROD_FRY-MONODON22"/>
      <sheetName val="TBCons_KMB0422"/>
      <sheetName val="FE-1771$_P122"/>
      <sheetName val="RWP_3322"/>
      <sheetName val="sep_ST22"/>
      <sheetName val="trf_multiple_dnrks22"/>
      <sheetName val="Q_122"/>
      <sheetName val="Horizon_Cost_Saves_Pkg22"/>
      <sheetName val="cost_recovery22"/>
      <sheetName val="Detail_Lead22"/>
      <sheetName val="Phasing_by_Month22"/>
      <sheetName val="Cost_Input_Sheet22"/>
      <sheetName val="C1_NOV22"/>
      <sheetName val="P&amp;L_INPUT22"/>
      <sheetName val="Portofolio_Trading22"/>
      <sheetName val="APAC_Q1FY09_-_Oracle22"/>
      <sheetName val="jan_book22"/>
      <sheetName val="Ref-As_Is_GL_acc22"/>
      <sheetName val="OthAsset_roll22"/>
      <sheetName val="Input_Sheet22"/>
      <sheetName val="Table_522"/>
      <sheetName val="TAX_LIST23"/>
      <sheetName val="Location_Details__2_22"/>
      <sheetName val="AR_EXPORT22"/>
      <sheetName val="MAP_BS22"/>
      <sheetName val="_WP_SPT_2012_-_23_04_2013_xls22"/>
      <sheetName val="SUMMARY_200122"/>
      <sheetName val="New_format_sales22"/>
      <sheetName val="TBC05_Net22"/>
      <sheetName val="Depreciation__schedule23"/>
      <sheetName val="Penyusutan_(2)23"/>
      <sheetName val="disposal_assets23"/>
      <sheetName val="provision_(3)23"/>
      <sheetName val="Recon-Art_2123"/>
      <sheetName val="FA-gainloss_(2)23"/>
      <sheetName val="fiscal_corr23"/>
      <sheetName val="1771_223"/>
      <sheetName val="1771_2(E)23"/>
      <sheetName val="Depr-Comp_(2)23"/>
      <sheetName val="Marshal_(3)23"/>
      <sheetName val="Marshal_(2)23"/>
      <sheetName val="provision_(2)23"/>
      <sheetName val="fiscal_corr_(3)23"/>
      <sheetName val="fiscal_corr_(2)23"/>
      <sheetName val="CostRecovery_-_JV23"/>
      <sheetName val="PENJ_NERACA22"/>
      <sheetName val="CASH_FLOW22"/>
      <sheetName val="Pnrmanent_info22"/>
      <sheetName val="Input__EAST22"/>
      <sheetName val="bill_qty22"/>
      <sheetName val="Simple_Coff_22"/>
      <sheetName val="I-PPh_Final22"/>
      <sheetName val="OT_August__Drmx__0822"/>
      <sheetName val="DATA_SLIP22"/>
      <sheetName val="1200_2022"/>
      <sheetName val="CC_122"/>
      <sheetName val="CC_222"/>
      <sheetName val="CC_322"/>
      <sheetName val="United_Kingdom22"/>
      <sheetName val="RE_reconciliation22"/>
      <sheetName val="V_D_5-222"/>
      <sheetName val="LE767_GLOBAL_CHECKLIST_update22"/>
      <sheetName val="PO_&amp;_TL_Market_Specific22"/>
      <sheetName val="Issue_Sheet22"/>
      <sheetName val="I__SAP_Screen22"/>
      <sheetName val="II__OTR_-_BAS_G122"/>
      <sheetName val="III__AR_Recon22"/>
      <sheetName val="IV__AR22"/>
      <sheetName val="V_Zero_rated22"/>
      <sheetName val="VI__IC_Recon_828_to_221322"/>
      <sheetName val="IC_Recon_800-221322"/>
      <sheetName val="Capital_Purchases_BAS22"/>
      <sheetName val="VII__AP_BAS_G1122"/>
      <sheetName val="VIII__KN_Rec22"/>
      <sheetName val="IX_ITR22"/>
      <sheetName val="X__1204100122"/>
      <sheetName val="XI__Cust_Output_GST22"/>
      <sheetName val="XII_Vend_Input_GST22"/>
      <sheetName val="å's_=22"/>
      <sheetName val="Invoice_Cross_Reference20"/>
      <sheetName val="Spec_2210420"/>
      <sheetName val="N_100_F_Lead20"/>
      <sheetName val="WP_IC_Exp_January_201020"/>
      <sheetName val="fr_BS20"/>
      <sheetName val="P&amp;L_Adjustment20"/>
      <sheetName val="Main_Menu20"/>
      <sheetName val="Schedule_Contract_&amp;_SILO20"/>
      <sheetName val="Sales_and_Collections20"/>
      <sheetName val="Cost_of_Sales20"/>
      <sheetName val="Operating_Expenses_20"/>
      <sheetName val="Est__Income_By_Rig20"/>
      <sheetName val="Leasing_TA_Duri20"/>
      <sheetName val="TA_Jakarta20"/>
      <sheetName val="Breakdown_Cost-Well_Control20"/>
      <sheetName val="P_&amp;_L_1st-Invst-Well_Control20"/>
      <sheetName val="Asset_TA20"/>
      <sheetName val="Detail_COGS20"/>
      <sheetName val="CM_Tgl20"/>
      <sheetName val="Combined_FA20"/>
      <sheetName val="CMA Addition"/>
      <sheetName val="Machinery"/>
      <sheetName val="Feb"/>
      <sheetName val="Tbl_OT"/>
      <sheetName val="Reconciliation"/>
      <sheetName val="PS"/>
      <sheetName val="P&amp;L98"/>
      <sheetName val="OST Agustus"/>
      <sheetName val="KK_Cadangan"/>
      <sheetName val="JD"/>
      <sheetName val="Confirmation"/>
      <sheetName val="ID"/>
      <sheetName val="DATA TRANSFER"/>
      <sheetName val="StCdes"/>
      <sheetName val="BS-ly"/>
      <sheetName val="VOC-UHT"/>
      <sheetName val="VOC-CON "/>
      <sheetName val="-ASLI-"/>
      <sheetName val="Data Request"/>
      <sheetName val="PD"/>
      <sheetName val="PTKP"/>
      <sheetName val="PS data"/>
      <sheetName val="Bal Sheet"/>
      <sheetName val="FA Fiscal 2012 SAP"/>
      <sheetName val="XREF"/>
      <sheetName val="Section"/>
      <sheetName val="KKA"/>
      <sheetName val="WORD"/>
      <sheetName val="Down Payment Invoice"/>
      <sheetName val="GL"/>
      <sheetName val="GJ"/>
      <sheetName val="Parameter"/>
      <sheetName val="วงเครดิต 3"/>
      <sheetName val="Order_Oct_w40"/>
      <sheetName val="Order_Oct_w41"/>
      <sheetName val="jvr"/>
      <sheetName val="B"/>
      <sheetName val="Template "/>
      <sheetName val="ASSETS"/>
      <sheetName val="confirmation (UP DATE 05052012"/>
      <sheetName val="confirmation (UP DATE 31122011"/>
      <sheetName val="confirmation (UP DATE 2013"/>
      <sheetName val="confirmation (UP DATE 2013-feb)"/>
      <sheetName val="UP DATE NPWP 2013(juli11-2013)"/>
      <sheetName val="pph21-data jkk&amp;jkm-2014"/>
      <sheetName val="pph21-Desember-2014"/>
      <sheetName val="UANG BONUS(2014)"/>
      <sheetName val="pph21-Nopember-2014"/>
      <sheetName val="pph21-Oktober-2015"/>
      <sheetName val="pph21-September-2015"/>
      <sheetName val="pph21-Agustus-2015"/>
      <sheetName val="THR 2015juli "/>
      <sheetName val="pph21-juli-2015"/>
      <sheetName val="pph21-juni-2015"/>
      <sheetName val="pph21-Mei-2015"/>
      <sheetName val="pph21-April-2015"/>
      <sheetName val="pph21-Maret-2015"/>
      <sheetName val="pph21-februari-2015"/>
      <sheetName val="pph21-januari-2015"/>
      <sheetName val="REKAP SALARY"/>
      <sheetName val="income tax calc_2015"/>
      <sheetName val="1-income jan15"/>
      <sheetName val="2-income feb15"/>
      <sheetName val="3-income mar15"/>
      <sheetName val="4-income apr15"/>
      <sheetName val="5-income mei15"/>
      <sheetName val="6-income juni14"/>
      <sheetName val="7-income juli14"/>
      <sheetName val="8-income agust14"/>
      <sheetName val="9-income september14"/>
      <sheetName val="10-income oktober14"/>
      <sheetName val="11-income nopember14"/>
      <sheetName val="income tax calc_2014 (Mazars)"/>
      <sheetName val="income tax calc_2014 (Mazar (2)"/>
      <sheetName val="12-income nopember14"/>
      <sheetName val="6-income juni15"/>
      <sheetName val="7-income juLi15"/>
      <sheetName val="8-income aug15"/>
      <sheetName val="9-income sept15"/>
      <sheetName val="10-income okto15"/>
      <sheetName val="income tax calc_2014 (APMJ)1-12"/>
      <sheetName val="income tax calc_2014 (APMJ)1-11"/>
      <sheetName val="peserta NPWP2015"/>
      <sheetName val="A&amp;C"/>
      <sheetName val="Exchange_Rates"/>
      <sheetName val="Forex_Sensitivity"/>
      <sheetName val="GL40"/>
      <sheetName val="KHUSUS BRAVO II"/>
      <sheetName val="upload"/>
      <sheetName val="VESLIS97"/>
      <sheetName val="V_List"/>
      <sheetName val="KER KER UMUM (2)"/>
      <sheetName val="VendData"/>
      <sheetName val="Vehicle Type"/>
      <sheetName val="Posting Adjustment"/>
      <sheetName val="CGSsp"/>
      <sheetName val="CGSgm2"/>
      <sheetName val="Sales"/>
      <sheetName val="Input Reference"/>
      <sheetName val="Inventory Value Reference"/>
      <sheetName val="CurMonPMAC"/>
      <sheetName val="OLDMAP"/>
      <sheetName val="Disposals"/>
      <sheetName val="SET"/>
      <sheetName val="Assumption &amp; Result"/>
      <sheetName val="benefit"/>
      <sheetName val="U"/>
      <sheetName val="1771-I2_x0000__x000"/>
      <sheetName val="General Info"/>
      <sheetName val="ACTIVE EMP SHARP"/>
      <sheetName val="_REF"/>
      <sheetName val="Irregular Income"/>
      <sheetName val="DropDowns"/>
      <sheetName val="A-HC"/>
      <sheetName val="Engineering Workload"/>
      <sheetName val="Scenarios and Sensitivities"/>
      <sheetName val="DI-ESTI"/>
      <sheetName val="LPP"/>
      <sheetName val="Sheet2 PLT"/>
      <sheetName val="Wages"/>
      <sheetName val="REF_ONLY3"/>
      <sheetName val="Income_Statement2"/>
      <sheetName val="(ABS)_JUL-AGST'073"/>
      <sheetName val="Flash_var_2"/>
      <sheetName val="960_1123_03cleared2"/>
      <sheetName val="Workshop_Tools2"/>
      <sheetName val="FE-1770_P12"/>
      <sheetName val="Exc__Rate2"/>
      <sheetName val="Account_Code2"/>
      <sheetName val="2_Gaji-Bag2"/>
      <sheetName val="Tab_Daten"/>
      <sheetName val="S_e_p2"/>
      <sheetName val="M_a_y2"/>
      <sheetName val="J_u_l2"/>
      <sheetName val="N_o_v2"/>
      <sheetName val="O_c_t2"/>
      <sheetName val="M_a_r2"/>
      <sheetName val="F_e_b2"/>
      <sheetName val="J_a_n2"/>
      <sheetName val="00_received_in_012"/>
      <sheetName val="A_p_r2"/>
      <sheetName val="A_u_g2"/>
      <sheetName val="Per_GL_J_a_n2"/>
      <sheetName val="CMA_Addition"/>
      <sheetName val="AR_Karyawan"/>
      <sheetName val="Bal_Sheet"/>
      <sheetName val="VAT_OUT_GL"/>
      <sheetName val="E-9_3(PBC)"/>
      <sheetName val="trf_7_jht"/>
      <sheetName val="Overall__4_"/>
      <sheetName val="Overall__2_"/>
      <sheetName val="Cruser_Sp71"/>
      <sheetName val="KHUSUS_BRAVO_II"/>
      <sheetName val="2-2022_AP_SUBS"/>
      <sheetName val="TERM_OF_PAYMENT"/>
      <sheetName val="Data_Cust_(2)2"/>
      <sheetName val="N_32"/>
      <sheetName val="4_1_Placement_w_o_b2"/>
      <sheetName val="Kewajiban_Lainnya2"/>
      <sheetName val="ESTIMASI_MITRA2"/>
      <sheetName val="Deferred_Rev"/>
      <sheetName val="ocean_voyage2"/>
      <sheetName val="Table_and_Names"/>
      <sheetName val="PEMAKAIAN_PAKAN_&amp;_OBAT"/>
      <sheetName val="WACC-Temp_2003"/>
      <sheetName val="Wtr_&amp;_Dist"/>
      <sheetName val="Power_plant"/>
      <sheetName val="Profit_&amp;_Loss_Account"/>
      <sheetName val="_Posting"/>
      <sheetName val="Safety_2"/>
      <sheetName val="Engineering_Workload"/>
      <sheetName val="DATA_FORWARDER"/>
      <sheetName val="Feb_Audited"/>
      <sheetName val="P_&amp;_L"/>
      <sheetName val="11-FX_rates"/>
      <sheetName val="Rincian_beban_operasi"/>
      <sheetName val="Penyusutan_Kendaraan"/>
      <sheetName val="A__Data_Permintaan_Produk"/>
      <sheetName val="C__Data_Faktur_"/>
      <sheetName val="Data_Kalender"/>
      <sheetName val="M__Data_Biaya_Kirim"/>
      <sheetName val="Tax_Rate"/>
      <sheetName val="5610_1-1_TOP"/>
      <sheetName val="วงเครดิต_3"/>
      <sheetName val="SUM_(2)"/>
      <sheetName val="Scenarios_and_Sensitivities"/>
      <sheetName val="Project_Summary"/>
      <sheetName val="Demand_projections"/>
      <sheetName val="Coverage_calcs"/>
      <sheetName val="VOC-CON_"/>
      <sheetName val="FI_30_Jun'06"/>
      <sheetName val="ING"/>
      <sheetName val="Constants"/>
      <sheetName val="PB(B)"/>
      <sheetName val=" INCOME STATEMENT"/>
      <sheetName val="Pivot"/>
      <sheetName val="Lookups"/>
      <sheetName val="Down_Payment_Invoice"/>
      <sheetName val="Overall__4_1"/>
      <sheetName val="Overall__2_1"/>
      <sheetName val="Cruser_Sp711"/>
      <sheetName val="Down_Payment_Invoice1"/>
      <sheetName val="PA"/>
      <sheetName val="Lists"/>
      <sheetName val="Permanent_info34"/>
      <sheetName val="details_fiscal_adjustments34"/>
      <sheetName val="Sum_empcost34"/>
      <sheetName val="Trial_Bal33"/>
      <sheetName val="Notes_to_BS33"/>
      <sheetName val="Data_Sheet32"/>
      <sheetName val="Mutasi_Final32"/>
      <sheetName val="fiscal_depr(E)33"/>
      <sheetName val="1998_CITR33"/>
      <sheetName val="NY_ADMIN32"/>
      <sheetName val="Mei_200732"/>
      <sheetName val="FA_Movement_IBIC33"/>
      <sheetName val="Client_Aje33"/>
      <sheetName val="Journal_Template33"/>
      <sheetName val="WIP_DETAIL_(GL_VS_NMP)32"/>
      <sheetName val="NO_FAKTUR33"/>
      <sheetName val="Gaikindo_Report33"/>
      <sheetName val="data_wp32"/>
      <sheetName val="Accounts_Payable_(AA)31"/>
      <sheetName val="FA_Movement32"/>
      <sheetName val="Other_charges_(income)33"/>
      <sheetName val="WK_Local31"/>
      <sheetName val="FA_FISKAL32"/>
      <sheetName val="PROD_FRY-MONODON31"/>
      <sheetName val="TBCons_KMB0431"/>
      <sheetName val="Accrued_(ckrg)32"/>
      <sheetName val="1721-A1_(terbaru)31"/>
      <sheetName val="trf_multiple_dnrks31"/>
      <sheetName val="Q_131"/>
      <sheetName val="FE-1771$_P131"/>
      <sheetName val="RWP_3331"/>
      <sheetName val="sep_ST31"/>
      <sheetName val="Horizon_Cost_Saves_Pkg31"/>
      <sheetName val="cost_recovery31"/>
      <sheetName val="Detail_Lead31"/>
      <sheetName val="Phasing_by_Month31"/>
      <sheetName val="Cost_Input_Sheet31"/>
      <sheetName val="C1_NOV31"/>
      <sheetName val="P&amp;L_INPUT31"/>
      <sheetName val="Portofolio_Trading31"/>
      <sheetName val="APAC_Q1FY09_-_Oracle31"/>
      <sheetName val="jan_book31"/>
      <sheetName val="_WP_SPT_2012_-_23_04_2013_xls31"/>
      <sheetName val="SUMMARY_200131"/>
      <sheetName val="OthAsset_roll31"/>
      <sheetName val="Ref-As_Is_GL_acc31"/>
      <sheetName val="Location_Details__2_31"/>
      <sheetName val="Input_Sheet31"/>
      <sheetName val="MAP_BS31"/>
      <sheetName val="New_format_sales31"/>
      <sheetName val="Table_531"/>
      <sheetName val="TAX_LIST32"/>
      <sheetName val="AR_EXPORT31"/>
      <sheetName val="1200_2031"/>
      <sheetName val="TBC05_Net31"/>
      <sheetName val="Depreciation__schedule32"/>
      <sheetName val="Penyusutan_(2)32"/>
      <sheetName val="disposal_assets32"/>
      <sheetName val="provision_(3)32"/>
      <sheetName val="Recon-Art_2132"/>
      <sheetName val="FA-gainloss_(2)32"/>
      <sheetName val="fiscal_corr32"/>
      <sheetName val="1771_232"/>
      <sheetName val="1771_2(E)32"/>
      <sheetName val="Depr-Comp_(2)32"/>
      <sheetName val="Marshal_(3)32"/>
      <sheetName val="Marshal_(2)32"/>
      <sheetName val="provision_(2)32"/>
      <sheetName val="fiscal_corr_(3)32"/>
      <sheetName val="fiscal_corr_(2)32"/>
      <sheetName val="CostRecovery_-_JV32"/>
      <sheetName val="PENJ_NERACA31"/>
      <sheetName val="CASH_FLOW31"/>
      <sheetName val="Pnrmanent_info31"/>
      <sheetName val="Input__EAST31"/>
      <sheetName val="bill_qty31"/>
      <sheetName val="Simple_Coff_31"/>
      <sheetName val="I-PPh_Final31"/>
      <sheetName val="OT_August__Drmx__0831"/>
      <sheetName val="DATA_SLIP31"/>
      <sheetName val="CC_131"/>
      <sheetName val="CC_231"/>
      <sheetName val="CC_331"/>
      <sheetName val="United_Kingdom31"/>
      <sheetName val="RE_reconciliation31"/>
      <sheetName val="V_D_5-231"/>
      <sheetName val="LE767_GLOBAL_CHECKLIST_update31"/>
      <sheetName val="PO_&amp;_TL_Market_Specific31"/>
      <sheetName val="Issue_Sheet31"/>
      <sheetName val="I__SAP_Screen31"/>
      <sheetName val="II__OTR_-_BAS_G131"/>
      <sheetName val="III__AR_Recon31"/>
      <sheetName val="IV__AR31"/>
      <sheetName val="V_Zero_rated31"/>
      <sheetName val="VI__IC_Recon_828_to_221331"/>
      <sheetName val="IC_Recon_800-221331"/>
      <sheetName val="Capital_Purchases_BAS31"/>
      <sheetName val="VII__AP_BAS_G1131"/>
      <sheetName val="VIII__KN_Rec31"/>
      <sheetName val="IX_ITR31"/>
      <sheetName val="X__1204100131"/>
      <sheetName val="XI__Cust_Output_GST31"/>
      <sheetName val="XII_Vend_Input_GST31"/>
      <sheetName val="å's_=31"/>
      <sheetName val="fr_BS29"/>
      <sheetName val="P&amp;L_Adjustment29"/>
      <sheetName val="Main_Menu29"/>
      <sheetName val="Schedule_Contract_&amp;_SILO29"/>
      <sheetName val="Sales_and_Collections29"/>
      <sheetName val="Cost_of_Sales29"/>
      <sheetName val="Operating_Expenses_29"/>
      <sheetName val="Est__Income_By_Rig29"/>
      <sheetName val="Leasing_TA_Duri29"/>
      <sheetName val="TA_Jakarta29"/>
      <sheetName val="Breakdown_Cost-Well_Control29"/>
      <sheetName val="P_&amp;_L_1st-Invst-Well_Control29"/>
      <sheetName val="Asset_TA29"/>
      <sheetName val="Detail_COGS29"/>
      <sheetName val="N_100_F_Lead29"/>
      <sheetName val="WP_IC_Exp_January_201029"/>
      <sheetName val="Invoice_Cross_Reference29"/>
      <sheetName val="Spec_2210429"/>
      <sheetName val="CM_Tgl29"/>
      <sheetName val="Combined_FA29"/>
      <sheetName val="REF_ONLY8"/>
      <sheetName val="(ABS)_JUL-AGST'079"/>
      <sheetName val="960_1123_03cleared8"/>
      <sheetName val="Flash_var_8"/>
      <sheetName val="Workshop_Tools8"/>
      <sheetName val="FE-1770_P18"/>
      <sheetName val="Exc__Rate8"/>
      <sheetName val="TERM_OF_PAYMENT8"/>
      <sheetName val="trf_7_jht8"/>
      <sheetName val="5610_1-1_TOP8"/>
      <sheetName val="ESTIMASI_MITRA8"/>
      <sheetName val="S_e_p8"/>
      <sheetName val="M_a_y8"/>
      <sheetName val="J_u_l8"/>
      <sheetName val="N_o_v8"/>
      <sheetName val="O_c_t8"/>
      <sheetName val="M_a_r8"/>
      <sheetName val="F_e_b8"/>
      <sheetName val="J_a_n8"/>
      <sheetName val="00_received_in_018"/>
      <sheetName val="A_p_r8"/>
      <sheetName val="A_u_g8"/>
      <sheetName val="Per_GL_J_a_n8"/>
      <sheetName val="Tax_Rate8"/>
      <sheetName val="Permanent_info26"/>
      <sheetName val="details_fiscal_adjustments26"/>
      <sheetName val="Sum_empcost26"/>
      <sheetName val="Data_Sheet24"/>
      <sheetName val="Trial_Bal25"/>
      <sheetName val="Notes_to_BS25"/>
      <sheetName val="Mutasi_Final24"/>
      <sheetName val="fiscal_depr(E)25"/>
      <sheetName val="1998_CITR25"/>
      <sheetName val="NY_ADMIN24"/>
      <sheetName val="Mei_200724"/>
      <sheetName val="FA_Movement_IBIC25"/>
      <sheetName val="Client_Aje25"/>
      <sheetName val="Journal_Template25"/>
      <sheetName val="WIP_DETAIL_(GL_VS_NMP)24"/>
      <sheetName val="NO_FAKTUR25"/>
      <sheetName val="Gaikindo_Report25"/>
      <sheetName val="data_wp24"/>
      <sheetName val="Accounts_Payable_(AA)23"/>
      <sheetName val="1721-A1_(terbaru)23"/>
      <sheetName val="FA_Movement24"/>
      <sheetName val="Other_charges_(income)25"/>
      <sheetName val="WK_Local23"/>
      <sheetName val="FA_FISKAL24"/>
      <sheetName val="Accrued_(ckrg)24"/>
      <sheetName val="PROD_FRY-MONODON23"/>
      <sheetName val="TBCons_KMB0423"/>
      <sheetName val="FE-1771$_P123"/>
      <sheetName val="RWP_3323"/>
      <sheetName val="sep_ST23"/>
      <sheetName val="trf_multiple_dnrks23"/>
      <sheetName val="Q_123"/>
      <sheetName val="Horizon_Cost_Saves_Pkg23"/>
      <sheetName val="cost_recovery23"/>
      <sheetName val="Detail_Lead23"/>
      <sheetName val="Phasing_by_Month23"/>
      <sheetName val="Cost_Input_Sheet23"/>
      <sheetName val="C1_NOV23"/>
      <sheetName val="P&amp;L_INPUT23"/>
      <sheetName val="Portofolio_Trading23"/>
      <sheetName val="APAC_Q1FY09_-_Oracle23"/>
      <sheetName val="jan_book23"/>
      <sheetName val="Ref-As_Is_GL_acc23"/>
      <sheetName val="OthAsset_roll23"/>
      <sheetName val="Input_Sheet23"/>
      <sheetName val="Table_523"/>
      <sheetName val="TAX_LIST24"/>
      <sheetName val="Location_Details__2_23"/>
      <sheetName val="AR_EXPORT23"/>
      <sheetName val="MAP_BS23"/>
      <sheetName val="_WP_SPT_2012_-_23_04_2013_xls23"/>
      <sheetName val="SUMMARY_200123"/>
      <sheetName val="New_format_sales23"/>
      <sheetName val="TBC05_Net23"/>
      <sheetName val="Depreciation__schedule24"/>
      <sheetName val="Penyusutan_(2)24"/>
      <sheetName val="disposal_assets24"/>
      <sheetName val="provision_(3)24"/>
      <sheetName val="Recon-Art_2124"/>
      <sheetName val="FA-gainloss_(2)24"/>
      <sheetName val="fiscal_corr24"/>
      <sheetName val="1771_224"/>
      <sheetName val="1771_2(E)24"/>
      <sheetName val="Depr-Comp_(2)24"/>
      <sheetName val="Marshal_(3)24"/>
      <sheetName val="Marshal_(2)24"/>
      <sheetName val="provision_(2)24"/>
      <sheetName val="fiscal_corr_(3)24"/>
      <sheetName val="fiscal_corr_(2)24"/>
      <sheetName val="CostRecovery_-_JV24"/>
      <sheetName val="PENJ_NERACA23"/>
      <sheetName val="CASH_FLOW23"/>
      <sheetName val="Pnrmanent_info23"/>
      <sheetName val="Input__EAST23"/>
      <sheetName val="bill_qty23"/>
      <sheetName val="Simple_Coff_23"/>
      <sheetName val="I-PPh_Final23"/>
      <sheetName val="OT_August__Drmx__0823"/>
      <sheetName val="DATA_SLIP23"/>
      <sheetName val="1200_2023"/>
      <sheetName val="CC_123"/>
      <sheetName val="CC_223"/>
      <sheetName val="CC_323"/>
      <sheetName val="United_Kingdom23"/>
      <sheetName val="RE_reconciliation23"/>
      <sheetName val="V_D_5-223"/>
      <sheetName val="LE767_GLOBAL_CHECKLIST_update23"/>
      <sheetName val="PO_&amp;_TL_Market_Specific23"/>
      <sheetName val="Issue_Sheet23"/>
      <sheetName val="I__SAP_Screen23"/>
      <sheetName val="II__OTR_-_BAS_G123"/>
      <sheetName val="III__AR_Recon23"/>
      <sheetName val="IV__AR23"/>
      <sheetName val="V_Zero_rated23"/>
      <sheetName val="VI__IC_Recon_828_to_221323"/>
      <sheetName val="IC_Recon_800-221323"/>
      <sheetName val="Capital_Purchases_BAS23"/>
      <sheetName val="VII__AP_BAS_G1123"/>
      <sheetName val="VIII__KN_Rec23"/>
      <sheetName val="IX_ITR23"/>
      <sheetName val="X__1204100123"/>
      <sheetName val="XI__Cust_Output_GST23"/>
      <sheetName val="XII_Vend_Input_GST23"/>
      <sheetName val="å's_=23"/>
      <sheetName val="Invoice_Cross_Reference21"/>
      <sheetName val="Spec_2210421"/>
      <sheetName val="N_100_F_Lead21"/>
      <sheetName val="WP_IC_Exp_January_201021"/>
      <sheetName val="fr_BS21"/>
      <sheetName val="P&amp;L_Adjustment21"/>
      <sheetName val="Main_Menu21"/>
      <sheetName val="Schedule_Contract_&amp;_SILO21"/>
      <sheetName val="Sales_and_Collections21"/>
      <sheetName val="Cost_of_Sales21"/>
      <sheetName val="Operating_Expenses_21"/>
      <sheetName val="Est__Income_By_Rig21"/>
      <sheetName val="Leasing_TA_Duri21"/>
      <sheetName val="TA_Jakarta21"/>
      <sheetName val="Breakdown_Cost-Well_Control21"/>
      <sheetName val="P_&amp;_L_1st-Invst-Well_Control21"/>
      <sheetName val="Asset_TA21"/>
      <sheetName val="Detail_COGS21"/>
      <sheetName val="CM_Tgl21"/>
      <sheetName val="Combined_FA21"/>
      <sheetName val="Permanent_info27"/>
      <sheetName val="details_fiscal_adjustments27"/>
      <sheetName val="Sum_empcost27"/>
      <sheetName val="Trial_Bal26"/>
      <sheetName val="Notes_to_BS26"/>
      <sheetName val="Data_Sheet25"/>
      <sheetName val="Mutasi_Final25"/>
      <sheetName val="fiscal_depr(E)26"/>
      <sheetName val="1998_CITR26"/>
      <sheetName val="NY_ADMIN25"/>
      <sheetName val="Mei_200725"/>
      <sheetName val="FA_Movement_IBIC26"/>
      <sheetName val="Client_Aje26"/>
      <sheetName val="Journal_Template26"/>
      <sheetName val="WIP_DETAIL_(GL_VS_NMP)25"/>
      <sheetName val="NO_FAKTUR26"/>
      <sheetName val="Gaikindo_Report26"/>
      <sheetName val="data_wp25"/>
      <sheetName val="Accounts_Payable_(AA)24"/>
      <sheetName val="FA_Movement25"/>
      <sheetName val="Other_charges_(income)26"/>
      <sheetName val="WK_Local24"/>
      <sheetName val="FA_FISKAL25"/>
      <sheetName val="PROD_FRY-MONODON24"/>
      <sheetName val="TBCons_KMB0424"/>
      <sheetName val="Accrued_(ckrg)25"/>
      <sheetName val="1721-A1_(terbaru)24"/>
      <sheetName val="trf_multiple_dnrks24"/>
      <sheetName val="Q_124"/>
      <sheetName val="FE-1771$_P124"/>
      <sheetName val="RWP_3324"/>
      <sheetName val="sep_ST24"/>
      <sheetName val="Horizon_Cost_Saves_Pkg24"/>
      <sheetName val="cost_recovery24"/>
      <sheetName val="Detail_Lead24"/>
      <sheetName val="Phasing_by_Month24"/>
      <sheetName val="Cost_Input_Sheet24"/>
      <sheetName val="C1_NOV24"/>
      <sheetName val="P&amp;L_INPUT24"/>
      <sheetName val="Portofolio_Trading24"/>
      <sheetName val="APAC_Q1FY09_-_Oracle24"/>
      <sheetName val="jan_book24"/>
      <sheetName val="_WP_SPT_2012_-_23_04_2013_xls24"/>
      <sheetName val="SUMMARY_200124"/>
      <sheetName val="OthAsset_roll24"/>
      <sheetName val="Ref-As_Is_GL_acc24"/>
      <sheetName val="Location_Details__2_24"/>
      <sheetName val="Input_Sheet24"/>
      <sheetName val="MAP_BS24"/>
      <sheetName val="New_format_sales24"/>
      <sheetName val="Table_524"/>
      <sheetName val="TAX_LIST25"/>
      <sheetName val="AR_EXPORT24"/>
      <sheetName val="1200_2024"/>
      <sheetName val="TBC05_Net24"/>
      <sheetName val="Depreciation__schedule25"/>
      <sheetName val="Penyusutan_(2)25"/>
      <sheetName val="disposal_assets25"/>
      <sheetName val="provision_(3)25"/>
      <sheetName val="Recon-Art_2125"/>
      <sheetName val="FA-gainloss_(2)25"/>
      <sheetName val="fiscal_corr25"/>
      <sheetName val="1771_225"/>
      <sheetName val="1771_2(E)25"/>
      <sheetName val="Depr-Comp_(2)25"/>
      <sheetName val="Marshal_(3)25"/>
      <sheetName val="Marshal_(2)25"/>
      <sheetName val="provision_(2)25"/>
      <sheetName val="fiscal_corr_(3)25"/>
      <sheetName val="fiscal_corr_(2)25"/>
      <sheetName val="CostRecovery_-_JV25"/>
      <sheetName val="PENJ_NERACA24"/>
      <sheetName val="CASH_FLOW24"/>
      <sheetName val="Pnrmanent_info24"/>
      <sheetName val="Input__EAST24"/>
      <sheetName val="bill_qty24"/>
      <sheetName val="Simple_Coff_24"/>
      <sheetName val="I-PPh_Final24"/>
      <sheetName val="OT_August__Drmx__0824"/>
      <sheetName val="DATA_SLIP24"/>
      <sheetName val="CC_124"/>
      <sheetName val="CC_224"/>
      <sheetName val="CC_324"/>
      <sheetName val="United_Kingdom24"/>
      <sheetName val="RE_reconciliation24"/>
      <sheetName val="V_D_5-224"/>
      <sheetName val="LE767_GLOBAL_CHECKLIST_update24"/>
      <sheetName val="PO_&amp;_TL_Market_Specific24"/>
      <sheetName val="Issue_Sheet24"/>
      <sheetName val="I__SAP_Screen24"/>
      <sheetName val="II__OTR_-_BAS_G124"/>
      <sheetName val="III__AR_Recon24"/>
      <sheetName val="IV__AR24"/>
      <sheetName val="V_Zero_rated24"/>
      <sheetName val="VI__IC_Recon_828_to_221324"/>
      <sheetName val="IC_Recon_800-221324"/>
      <sheetName val="Capital_Purchases_BAS24"/>
      <sheetName val="VII__AP_BAS_G1124"/>
      <sheetName val="VIII__KN_Rec24"/>
      <sheetName val="IX_ITR24"/>
      <sheetName val="X__1204100124"/>
      <sheetName val="XI__Cust_Output_GST24"/>
      <sheetName val="XII_Vend_Input_GST24"/>
      <sheetName val="å's_=24"/>
      <sheetName val="fr_BS22"/>
      <sheetName val="P&amp;L_Adjustment22"/>
      <sheetName val="Main_Menu22"/>
      <sheetName val="Schedule_Contract_&amp;_SILO22"/>
      <sheetName val="Sales_and_Collections22"/>
      <sheetName val="Cost_of_Sales22"/>
      <sheetName val="Operating_Expenses_22"/>
      <sheetName val="Est__Income_By_Rig22"/>
      <sheetName val="Leasing_TA_Duri22"/>
      <sheetName val="TA_Jakarta22"/>
      <sheetName val="Breakdown_Cost-Well_Control22"/>
      <sheetName val="P_&amp;_L_1st-Invst-Well_Control22"/>
      <sheetName val="Asset_TA22"/>
      <sheetName val="Detail_COGS22"/>
      <sheetName val="N_100_F_Lead22"/>
      <sheetName val="WP_IC_Exp_January_201022"/>
      <sheetName val="Invoice_Cross_Reference22"/>
      <sheetName val="Spec_2210422"/>
      <sheetName val="CM_Tgl22"/>
      <sheetName val="Combined_FA22"/>
      <sheetName val="TERM_OF_PAYMENT1"/>
      <sheetName val="trf_7_jht1"/>
      <sheetName val="5610_1-1_TOP1"/>
      <sheetName val="Tax_Rate1"/>
      <sheetName val="Permanent_info29"/>
      <sheetName val="details_fiscal_adjustments29"/>
      <sheetName val="Sum_empcost29"/>
      <sheetName val="Trial_Bal28"/>
      <sheetName val="Notes_to_BS28"/>
      <sheetName val="Data_Sheet27"/>
      <sheetName val="Mutasi_Final27"/>
      <sheetName val="fiscal_depr(E)28"/>
      <sheetName val="1998_CITR28"/>
      <sheetName val="NY_ADMIN27"/>
      <sheetName val="Mei_200727"/>
      <sheetName val="FA_Movement_IBIC28"/>
      <sheetName val="Client_Aje28"/>
      <sheetName val="Journal_Template28"/>
      <sheetName val="WIP_DETAIL_(GL_VS_NMP)27"/>
      <sheetName val="NO_FAKTUR28"/>
      <sheetName val="Gaikindo_Report28"/>
      <sheetName val="data_wp27"/>
      <sheetName val="Accounts_Payable_(AA)26"/>
      <sheetName val="FA_Movement27"/>
      <sheetName val="Other_charges_(income)28"/>
      <sheetName val="WK_Local26"/>
      <sheetName val="FA_FISKAL27"/>
      <sheetName val="PROD_FRY-MONODON26"/>
      <sheetName val="TBCons_KMB0426"/>
      <sheetName val="Accrued_(ckrg)27"/>
      <sheetName val="1721-A1_(terbaru)26"/>
      <sheetName val="trf_multiple_dnrks26"/>
      <sheetName val="Q_126"/>
      <sheetName val="FE-1771$_P126"/>
      <sheetName val="RWP_3326"/>
      <sheetName val="sep_ST26"/>
      <sheetName val="Horizon_Cost_Saves_Pkg26"/>
      <sheetName val="cost_recovery26"/>
      <sheetName val="Detail_Lead26"/>
      <sheetName val="Phasing_by_Month26"/>
      <sheetName val="Cost_Input_Sheet26"/>
      <sheetName val="C1_NOV26"/>
      <sheetName val="P&amp;L_INPUT26"/>
      <sheetName val="Portofolio_Trading26"/>
      <sheetName val="APAC_Q1FY09_-_Oracle26"/>
      <sheetName val="jan_book26"/>
      <sheetName val="_WP_SPT_2012_-_23_04_2013_xls26"/>
      <sheetName val="SUMMARY_200126"/>
      <sheetName val="OthAsset_roll26"/>
      <sheetName val="Ref-As_Is_GL_acc26"/>
      <sheetName val="Location_Details__2_26"/>
      <sheetName val="Input_Sheet26"/>
      <sheetName val="MAP_BS26"/>
      <sheetName val="New_format_sales26"/>
      <sheetName val="Table_526"/>
      <sheetName val="TAX_LIST27"/>
      <sheetName val="AR_EXPORT26"/>
      <sheetName val="1200_2026"/>
      <sheetName val="TBC05_Net26"/>
      <sheetName val="Depreciation__schedule27"/>
      <sheetName val="Penyusutan_(2)27"/>
      <sheetName val="disposal_assets27"/>
      <sheetName val="provision_(3)27"/>
      <sheetName val="Recon-Art_2127"/>
      <sheetName val="FA-gainloss_(2)27"/>
      <sheetName val="fiscal_corr27"/>
      <sheetName val="1771_227"/>
      <sheetName val="1771_2(E)27"/>
      <sheetName val="Depr-Comp_(2)27"/>
      <sheetName val="Marshal_(3)27"/>
      <sheetName val="Marshal_(2)27"/>
      <sheetName val="provision_(2)27"/>
      <sheetName val="fiscal_corr_(3)27"/>
      <sheetName val="fiscal_corr_(2)27"/>
      <sheetName val="CostRecovery_-_JV27"/>
      <sheetName val="PENJ_NERACA26"/>
      <sheetName val="CASH_FLOW26"/>
      <sheetName val="Pnrmanent_info26"/>
      <sheetName val="Input__EAST26"/>
      <sheetName val="bill_qty26"/>
      <sheetName val="Simple_Coff_26"/>
      <sheetName val="I-PPh_Final26"/>
      <sheetName val="OT_August__Drmx__0826"/>
      <sheetName val="DATA_SLIP26"/>
      <sheetName val="CC_126"/>
      <sheetName val="CC_226"/>
      <sheetName val="CC_326"/>
      <sheetName val="United_Kingdom26"/>
      <sheetName val="RE_reconciliation26"/>
      <sheetName val="V_D_5-226"/>
      <sheetName val="LE767_GLOBAL_CHECKLIST_update26"/>
      <sheetName val="PO_&amp;_TL_Market_Specific26"/>
      <sheetName val="Issue_Sheet26"/>
      <sheetName val="I__SAP_Screen26"/>
      <sheetName val="II__OTR_-_BAS_G126"/>
      <sheetName val="III__AR_Recon26"/>
      <sheetName val="IV__AR26"/>
      <sheetName val="V_Zero_rated26"/>
      <sheetName val="VI__IC_Recon_828_to_221326"/>
      <sheetName val="IC_Recon_800-221326"/>
      <sheetName val="Capital_Purchases_BAS26"/>
      <sheetName val="VII__AP_BAS_G1126"/>
      <sheetName val="VIII__KN_Rec26"/>
      <sheetName val="IX_ITR26"/>
      <sheetName val="X__1204100126"/>
      <sheetName val="XI__Cust_Output_GST26"/>
      <sheetName val="XII_Vend_Input_GST26"/>
      <sheetName val="å's_=26"/>
      <sheetName val="fr_BS24"/>
      <sheetName val="P&amp;L_Adjustment24"/>
      <sheetName val="Main_Menu24"/>
      <sheetName val="Schedule_Contract_&amp;_SILO24"/>
      <sheetName val="Sales_and_Collections24"/>
      <sheetName val="Cost_of_Sales24"/>
      <sheetName val="Operating_Expenses_24"/>
      <sheetName val="Est__Income_By_Rig24"/>
      <sheetName val="Leasing_TA_Duri24"/>
      <sheetName val="TA_Jakarta24"/>
      <sheetName val="Breakdown_Cost-Well_Control24"/>
      <sheetName val="P_&amp;_L_1st-Invst-Well_Control24"/>
      <sheetName val="Asset_TA24"/>
      <sheetName val="Detail_COGS24"/>
      <sheetName val="N_100_F_Lead24"/>
      <sheetName val="WP_IC_Exp_January_201024"/>
      <sheetName val="Invoice_Cross_Reference24"/>
      <sheetName val="Spec_2210424"/>
      <sheetName val="CM_Tgl24"/>
      <sheetName val="Combined_FA24"/>
      <sheetName val="(ABS)_JUL-AGST'074"/>
      <sheetName val="960_1123_03cleared3"/>
      <sheetName val="Flash_var_3"/>
      <sheetName val="Workshop_Tools3"/>
      <sheetName val="FE-1770_P13"/>
      <sheetName val="Exc__Rate3"/>
      <sheetName val="TERM_OF_PAYMENT3"/>
      <sheetName val="trf_7_jht3"/>
      <sheetName val="5610_1-1_TOP3"/>
      <sheetName val="ESTIMASI_MITRA3"/>
      <sheetName val="S_e_p3"/>
      <sheetName val="M_a_y3"/>
      <sheetName val="J_u_l3"/>
      <sheetName val="N_o_v3"/>
      <sheetName val="O_c_t3"/>
      <sheetName val="M_a_r3"/>
      <sheetName val="F_e_b3"/>
      <sheetName val="J_a_n3"/>
      <sheetName val="00_received_in_013"/>
      <sheetName val="A_p_r3"/>
      <sheetName val="A_u_g3"/>
      <sheetName val="Per_GL_J_a_n3"/>
      <sheetName val="Tax_Rate3"/>
      <sheetName val="Permanent_info28"/>
      <sheetName val="details_fiscal_adjustments28"/>
      <sheetName val="Sum_empcost28"/>
      <sheetName val="Trial_Bal27"/>
      <sheetName val="Notes_to_BS27"/>
      <sheetName val="Data_Sheet26"/>
      <sheetName val="Mutasi_Final26"/>
      <sheetName val="fiscal_depr(E)27"/>
      <sheetName val="1998_CITR27"/>
      <sheetName val="NY_ADMIN26"/>
      <sheetName val="Mei_200726"/>
      <sheetName val="FA_Movement_IBIC27"/>
      <sheetName val="Client_Aje27"/>
      <sheetName val="Journal_Template27"/>
      <sheetName val="WIP_DETAIL_(GL_VS_NMP)26"/>
      <sheetName val="NO_FAKTUR27"/>
      <sheetName val="Gaikindo_Report27"/>
      <sheetName val="data_wp26"/>
      <sheetName val="Accounts_Payable_(AA)25"/>
      <sheetName val="FA_Movement26"/>
      <sheetName val="Other_charges_(income)27"/>
      <sheetName val="WK_Local25"/>
      <sheetName val="FA_FISKAL26"/>
      <sheetName val="PROD_FRY-MONODON25"/>
      <sheetName val="TBCons_KMB0425"/>
      <sheetName val="Accrued_(ckrg)26"/>
      <sheetName val="1721-A1_(terbaru)25"/>
      <sheetName val="trf_multiple_dnrks25"/>
      <sheetName val="Q_125"/>
      <sheetName val="FE-1771$_P125"/>
      <sheetName val="RWP_3325"/>
      <sheetName val="sep_ST25"/>
      <sheetName val="Horizon_Cost_Saves_Pkg25"/>
      <sheetName val="cost_recovery25"/>
      <sheetName val="Detail_Lead25"/>
      <sheetName val="Phasing_by_Month25"/>
      <sheetName val="Cost_Input_Sheet25"/>
      <sheetName val="C1_NOV25"/>
      <sheetName val="P&amp;L_INPUT25"/>
      <sheetName val="Portofolio_Trading25"/>
      <sheetName val="APAC_Q1FY09_-_Oracle25"/>
      <sheetName val="jan_book25"/>
      <sheetName val="_WP_SPT_2012_-_23_04_2013_xls25"/>
      <sheetName val="SUMMARY_200125"/>
      <sheetName val="OthAsset_roll25"/>
      <sheetName val="Ref-As_Is_GL_acc25"/>
      <sheetName val="Location_Details__2_25"/>
      <sheetName val="Input_Sheet25"/>
      <sheetName val="MAP_BS25"/>
      <sheetName val="New_format_sales25"/>
      <sheetName val="Table_525"/>
      <sheetName val="TAX_LIST26"/>
      <sheetName val="AR_EXPORT25"/>
      <sheetName val="1200_2025"/>
      <sheetName val="TBC05_Net25"/>
      <sheetName val="Depreciation__schedule26"/>
      <sheetName val="Penyusutan_(2)26"/>
      <sheetName val="disposal_assets26"/>
      <sheetName val="provision_(3)26"/>
      <sheetName val="Recon-Art_2126"/>
      <sheetName val="FA-gainloss_(2)26"/>
      <sheetName val="fiscal_corr26"/>
      <sheetName val="1771_226"/>
      <sheetName val="1771_2(E)26"/>
      <sheetName val="Depr-Comp_(2)26"/>
      <sheetName val="Marshal_(3)26"/>
      <sheetName val="Marshal_(2)26"/>
      <sheetName val="provision_(2)26"/>
      <sheetName val="fiscal_corr_(3)26"/>
      <sheetName val="fiscal_corr_(2)26"/>
      <sheetName val="CostRecovery_-_JV26"/>
      <sheetName val="PENJ_NERACA25"/>
      <sheetName val="CASH_FLOW25"/>
      <sheetName val="Pnrmanent_info25"/>
      <sheetName val="Input__EAST25"/>
      <sheetName val="bill_qty25"/>
      <sheetName val="Simple_Coff_25"/>
      <sheetName val="I-PPh_Final25"/>
      <sheetName val="OT_August__Drmx__0825"/>
      <sheetName val="DATA_SLIP25"/>
      <sheetName val="CC_125"/>
      <sheetName val="CC_225"/>
      <sheetName val="CC_325"/>
      <sheetName val="United_Kingdom25"/>
      <sheetName val="RE_reconciliation25"/>
      <sheetName val="V_D_5-225"/>
      <sheetName val="LE767_GLOBAL_CHECKLIST_update25"/>
      <sheetName val="PO_&amp;_TL_Market_Specific25"/>
      <sheetName val="Issue_Sheet25"/>
      <sheetName val="I__SAP_Screen25"/>
      <sheetName val="II__OTR_-_BAS_G125"/>
      <sheetName val="III__AR_Recon25"/>
      <sheetName val="IV__AR25"/>
      <sheetName val="V_Zero_rated25"/>
      <sheetName val="VI__IC_Recon_828_to_221325"/>
      <sheetName val="IC_Recon_800-221325"/>
      <sheetName val="Capital_Purchases_BAS25"/>
      <sheetName val="VII__AP_BAS_G1125"/>
      <sheetName val="VIII__KN_Rec25"/>
      <sheetName val="IX_ITR25"/>
      <sheetName val="X__1204100125"/>
      <sheetName val="XI__Cust_Output_GST25"/>
      <sheetName val="XII_Vend_Input_GST25"/>
      <sheetName val="å's_=25"/>
      <sheetName val="fr_BS23"/>
      <sheetName val="P&amp;L_Adjustment23"/>
      <sheetName val="Main_Menu23"/>
      <sheetName val="Schedule_Contract_&amp;_SILO23"/>
      <sheetName val="Sales_and_Collections23"/>
      <sheetName val="Cost_of_Sales23"/>
      <sheetName val="Operating_Expenses_23"/>
      <sheetName val="Est__Income_By_Rig23"/>
      <sheetName val="Leasing_TA_Duri23"/>
      <sheetName val="TA_Jakarta23"/>
      <sheetName val="Breakdown_Cost-Well_Control23"/>
      <sheetName val="P_&amp;_L_1st-Invst-Well_Control23"/>
      <sheetName val="Asset_TA23"/>
      <sheetName val="Detail_COGS23"/>
      <sheetName val="N_100_F_Lead23"/>
      <sheetName val="WP_IC_Exp_January_201023"/>
      <sheetName val="Invoice_Cross_Reference23"/>
      <sheetName val="Spec_2210423"/>
      <sheetName val="CM_Tgl23"/>
      <sheetName val="Combined_FA23"/>
      <sheetName val="TERM_OF_PAYMENT2"/>
      <sheetName val="trf_7_jht2"/>
      <sheetName val="5610_1-1_TOP2"/>
      <sheetName val="Tax_Rate2"/>
      <sheetName val="Permanent_info30"/>
      <sheetName val="details_fiscal_adjustments30"/>
      <sheetName val="Sum_empcost30"/>
      <sheetName val="Trial_Bal29"/>
      <sheetName val="Notes_to_BS29"/>
      <sheetName val="Data_Sheet28"/>
      <sheetName val="Mutasi_Final28"/>
      <sheetName val="fiscal_depr(E)29"/>
      <sheetName val="1998_CITR29"/>
      <sheetName val="NY_ADMIN28"/>
      <sheetName val="Mei_200728"/>
      <sheetName val="FA_Movement_IBIC29"/>
      <sheetName val="Client_Aje29"/>
      <sheetName val="Journal_Template29"/>
      <sheetName val="WIP_DETAIL_(GL_VS_NMP)28"/>
      <sheetName val="NO_FAKTUR29"/>
      <sheetName val="Gaikindo_Report29"/>
      <sheetName val="data_wp28"/>
      <sheetName val="Accounts_Payable_(AA)27"/>
      <sheetName val="FA_Movement28"/>
      <sheetName val="Other_charges_(income)29"/>
      <sheetName val="WK_Local27"/>
      <sheetName val="FA_FISKAL28"/>
      <sheetName val="PROD_FRY-MONODON27"/>
      <sheetName val="TBCons_KMB0427"/>
      <sheetName val="Accrued_(ckrg)28"/>
      <sheetName val="1721-A1_(terbaru)27"/>
      <sheetName val="trf_multiple_dnrks27"/>
      <sheetName val="Q_127"/>
      <sheetName val="FE-1771$_P127"/>
      <sheetName val="RWP_3327"/>
      <sheetName val="sep_ST27"/>
      <sheetName val="Horizon_Cost_Saves_Pkg27"/>
      <sheetName val="cost_recovery27"/>
      <sheetName val="Detail_Lead27"/>
      <sheetName val="Phasing_by_Month27"/>
      <sheetName val="Cost_Input_Sheet27"/>
      <sheetName val="C1_NOV27"/>
      <sheetName val="P&amp;L_INPUT27"/>
      <sheetName val="Portofolio_Trading27"/>
      <sheetName val="APAC_Q1FY09_-_Oracle27"/>
      <sheetName val="jan_book27"/>
      <sheetName val="_WP_SPT_2012_-_23_04_2013_xls27"/>
      <sheetName val="SUMMARY_200127"/>
      <sheetName val="OthAsset_roll27"/>
      <sheetName val="Ref-As_Is_GL_acc27"/>
      <sheetName val="Location_Details__2_27"/>
      <sheetName val="Input_Sheet27"/>
      <sheetName val="MAP_BS27"/>
      <sheetName val="New_format_sales27"/>
      <sheetName val="Table_527"/>
      <sheetName val="TAX_LIST28"/>
      <sheetName val="AR_EXPORT27"/>
      <sheetName val="1200_2027"/>
      <sheetName val="TBC05_Net27"/>
      <sheetName val="Depreciation__schedule28"/>
      <sheetName val="Penyusutan_(2)28"/>
      <sheetName val="disposal_assets28"/>
      <sheetName val="provision_(3)28"/>
      <sheetName val="Recon-Art_2128"/>
      <sheetName val="FA-gainloss_(2)28"/>
      <sheetName val="fiscal_corr28"/>
      <sheetName val="1771_228"/>
      <sheetName val="1771_2(E)28"/>
      <sheetName val="Depr-Comp_(2)28"/>
      <sheetName val="Marshal_(3)28"/>
      <sheetName val="Marshal_(2)28"/>
      <sheetName val="provision_(2)28"/>
      <sheetName val="fiscal_corr_(3)28"/>
      <sheetName val="fiscal_corr_(2)28"/>
      <sheetName val="CostRecovery_-_JV28"/>
      <sheetName val="PENJ_NERACA27"/>
      <sheetName val="CASH_FLOW27"/>
      <sheetName val="Pnrmanent_info27"/>
      <sheetName val="Input__EAST27"/>
      <sheetName val="bill_qty27"/>
      <sheetName val="Simple_Coff_27"/>
      <sheetName val="I-PPh_Final27"/>
      <sheetName val="OT_August__Drmx__0827"/>
      <sheetName val="DATA_SLIP27"/>
      <sheetName val="CC_127"/>
      <sheetName val="CC_227"/>
      <sheetName val="CC_327"/>
      <sheetName val="United_Kingdom27"/>
      <sheetName val="RE_reconciliation27"/>
      <sheetName val="V_D_5-227"/>
      <sheetName val="LE767_GLOBAL_CHECKLIST_update27"/>
      <sheetName val="PO_&amp;_TL_Market_Specific27"/>
      <sheetName val="Issue_Sheet27"/>
      <sheetName val="I__SAP_Screen27"/>
      <sheetName val="II__OTR_-_BAS_G127"/>
      <sheetName val="III__AR_Recon27"/>
      <sheetName val="IV__AR27"/>
      <sheetName val="V_Zero_rated27"/>
      <sheetName val="VI__IC_Recon_828_to_221327"/>
      <sheetName val="IC_Recon_800-221327"/>
      <sheetName val="Capital_Purchases_BAS27"/>
      <sheetName val="VII__AP_BAS_G1127"/>
      <sheetName val="VIII__KN_Rec27"/>
      <sheetName val="IX_ITR27"/>
      <sheetName val="X__1204100127"/>
      <sheetName val="XI__Cust_Output_GST27"/>
      <sheetName val="XII_Vend_Input_GST27"/>
      <sheetName val="å's_=27"/>
      <sheetName val="fr_BS25"/>
      <sheetName val="P&amp;L_Adjustment25"/>
      <sheetName val="Main_Menu25"/>
      <sheetName val="Schedule_Contract_&amp;_SILO25"/>
      <sheetName val="Sales_and_Collections25"/>
      <sheetName val="Cost_of_Sales25"/>
      <sheetName val="Operating_Expenses_25"/>
      <sheetName val="Est__Income_By_Rig25"/>
      <sheetName val="Leasing_TA_Duri25"/>
      <sheetName val="TA_Jakarta25"/>
      <sheetName val="Breakdown_Cost-Well_Control25"/>
      <sheetName val="P_&amp;_L_1st-Invst-Well_Control25"/>
      <sheetName val="Asset_TA25"/>
      <sheetName val="Detail_COGS25"/>
      <sheetName val="N_100_F_Lead25"/>
      <sheetName val="WP_IC_Exp_January_201025"/>
      <sheetName val="Invoice_Cross_Reference25"/>
      <sheetName val="Spec_2210425"/>
      <sheetName val="CM_Tgl25"/>
      <sheetName val="Combined_FA25"/>
      <sheetName val="REF_ONLY4"/>
      <sheetName val="(ABS)_JUL-AGST'075"/>
      <sheetName val="960_1123_03cleared4"/>
      <sheetName val="Flash_var_4"/>
      <sheetName val="Workshop_Tools4"/>
      <sheetName val="FE-1770_P14"/>
      <sheetName val="Exc__Rate4"/>
      <sheetName val="TERM_OF_PAYMENT4"/>
      <sheetName val="trf_7_jht4"/>
      <sheetName val="5610_1-1_TOP4"/>
      <sheetName val="ESTIMASI_MITRA4"/>
      <sheetName val="S_e_p4"/>
      <sheetName val="M_a_y4"/>
      <sheetName val="J_u_l4"/>
      <sheetName val="N_o_v4"/>
      <sheetName val="O_c_t4"/>
      <sheetName val="M_a_r4"/>
      <sheetName val="F_e_b4"/>
      <sheetName val="J_a_n4"/>
      <sheetName val="00_received_in_014"/>
      <sheetName val="A_p_r4"/>
      <sheetName val="A_u_g4"/>
      <sheetName val="Per_GL_J_a_n4"/>
      <sheetName val="Tax_Rate4"/>
      <sheetName val="Permanent_info33"/>
      <sheetName val="details_fiscal_adjustments33"/>
      <sheetName val="Sum_empcost33"/>
      <sheetName val="Data_Sheet31"/>
      <sheetName val="Trial_Bal32"/>
      <sheetName val="Notes_to_BS32"/>
      <sheetName val="Mutasi_Final31"/>
      <sheetName val="fiscal_depr(E)32"/>
      <sheetName val="1998_CITR32"/>
      <sheetName val="NY_ADMIN31"/>
      <sheetName val="Mei_200731"/>
      <sheetName val="FA_Movement_IBIC32"/>
      <sheetName val="Client_Aje32"/>
      <sheetName val="Journal_Template32"/>
      <sheetName val="WIP_DETAIL_(GL_VS_NMP)31"/>
      <sheetName val="NO_FAKTUR32"/>
      <sheetName val="Gaikindo_Report32"/>
      <sheetName val="data_wp31"/>
      <sheetName val="Accounts_Payable_(AA)30"/>
      <sheetName val="1721-A1_(terbaru)30"/>
      <sheetName val="FA_Movement31"/>
      <sheetName val="Other_charges_(income)32"/>
      <sheetName val="WK_Local30"/>
      <sheetName val="FA_FISKAL31"/>
      <sheetName val="Accrued_(ckrg)31"/>
      <sheetName val="PROD_FRY-MONODON30"/>
      <sheetName val="TBCons_KMB0430"/>
      <sheetName val="FE-1771$_P130"/>
      <sheetName val="RWP_3330"/>
      <sheetName val="sep_ST30"/>
      <sheetName val="trf_multiple_dnrks30"/>
      <sheetName val="Q_130"/>
      <sheetName val="Horizon_Cost_Saves_Pkg30"/>
      <sheetName val="cost_recovery30"/>
      <sheetName val="Detail_Lead30"/>
      <sheetName val="Phasing_by_Month30"/>
      <sheetName val="Cost_Input_Sheet30"/>
      <sheetName val="C1_NOV30"/>
      <sheetName val="P&amp;L_INPUT30"/>
      <sheetName val="Portofolio_Trading30"/>
      <sheetName val="APAC_Q1FY09_-_Oracle30"/>
      <sheetName val="jan_book30"/>
      <sheetName val="Ref-As_Is_GL_acc30"/>
      <sheetName val="OthAsset_roll30"/>
      <sheetName val="Input_Sheet30"/>
      <sheetName val="Table_530"/>
      <sheetName val="TAX_LIST31"/>
      <sheetName val="Location_Details__2_30"/>
      <sheetName val="AR_EXPORT30"/>
      <sheetName val="MAP_BS30"/>
      <sheetName val="_WP_SPT_2012_-_23_04_2013_xls30"/>
      <sheetName val="SUMMARY_200130"/>
      <sheetName val="New_format_sales30"/>
      <sheetName val="TBC05_Net30"/>
      <sheetName val="Depreciation__schedule31"/>
      <sheetName val="Penyusutan_(2)31"/>
      <sheetName val="disposal_assets31"/>
      <sheetName val="provision_(3)31"/>
      <sheetName val="Recon-Art_2131"/>
      <sheetName val="FA-gainloss_(2)31"/>
      <sheetName val="fiscal_corr31"/>
      <sheetName val="1771_231"/>
      <sheetName val="1771_2(E)31"/>
      <sheetName val="Depr-Comp_(2)31"/>
      <sheetName val="Marshal_(3)31"/>
      <sheetName val="Marshal_(2)31"/>
      <sheetName val="provision_(2)31"/>
      <sheetName val="fiscal_corr_(3)31"/>
      <sheetName val="fiscal_corr_(2)31"/>
      <sheetName val="CostRecovery_-_JV31"/>
      <sheetName val="PENJ_NERACA30"/>
      <sheetName val="CASH_FLOW30"/>
      <sheetName val="Pnrmanent_info30"/>
      <sheetName val="Input__EAST30"/>
      <sheetName val="bill_qty30"/>
      <sheetName val="Simple_Coff_30"/>
      <sheetName val="I-PPh_Final30"/>
      <sheetName val="OT_August__Drmx__0830"/>
      <sheetName val="DATA_SLIP30"/>
      <sheetName val="1200_2030"/>
      <sheetName val="CC_130"/>
      <sheetName val="CC_230"/>
      <sheetName val="CC_330"/>
      <sheetName val="United_Kingdom30"/>
      <sheetName val="RE_reconciliation30"/>
      <sheetName val="V_D_5-230"/>
      <sheetName val="LE767_GLOBAL_CHECKLIST_update30"/>
      <sheetName val="PO_&amp;_TL_Market_Specific30"/>
      <sheetName val="Issue_Sheet30"/>
      <sheetName val="I__SAP_Screen30"/>
      <sheetName val="II__OTR_-_BAS_G130"/>
      <sheetName val="III__AR_Recon30"/>
      <sheetName val="IV__AR30"/>
      <sheetName val="V_Zero_rated30"/>
      <sheetName val="VI__IC_Recon_828_to_221330"/>
      <sheetName val="IC_Recon_800-221330"/>
      <sheetName val="Capital_Purchases_BAS30"/>
      <sheetName val="VII__AP_BAS_G1130"/>
      <sheetName val="VIII__KN_Rec30"/>
      <sheetName val="IX_ITR30"/>
      <sheetName val="X__1204100130"/>
      <sheetName val="XI__Cust_Output_GST30"/>
      <sheetName val="XII_Vend_Input_GST30"/>
      <sheetName val="å's_=30"/>
      <sheetName val="Invoice_Cross_Reference28"/>
      <sheetName val="Spec_2210428"/>
      <sheetName val="N_100_F_Lead28"/>
      <sheetName val="WP_IC_Exp_January_201028"/>
      <sheetName val="fr_BS28"/>
      <sheetName val="P&amp;L_Adjustment28"/>
      <sheetName val="Main_Menu28"/>
      <sheetName val="Schedule_Contract_&amp;_SILO28"/>
      <sheetName val="Sales_and_Collections28"/>
      <sheetName val="Cost_of_Sales28"/>
      <sheetName val="Operating_Expenses_28"/>
      <sheetName val="Est__Income_By_Rig28"/>
      <sheetName val="Leasing_TA_Duri28"/>
      <sheetName val="TA_Jakarta28"/>
      <sheetName val="Breakdown_Cost-Well_Control28"/>
      <sheetName val="P_&amp;_L_1st-Invst-Well_Control28"/>
      <sheetName val="Asset_TA28"/>
      <sheetName val="Detail_COGS28"/>
      <sheetName val="CM_Tgl28"/>
      <sheetName val="Combined_FA28"/>
      <sheetName val="REF_ONLY7"/>
      <sheetName val="(ABS)_JUL-AGST'078"/>
      <sheetName val="960_1123_03cleared7"/>
      <sheetName val="Flash_var_7"/>
      <sheetName val="Workshop_Tools7"/>
      <sheetName val="FE-1770_P17"/>
      <sheetName val="Exc__Rate7"/>
      <sheetName val="TERM_OF_PAYMENT7"/>
      <sheetName val="trf_7_jht7"/>
      <sheetName val="5610_1-1_TOP7"/>
      <sheetName val="ESTIMASI_MITRA7"/>
      <sheetName val="S_e_p7"/>
      <sheetName val="M_a_y7"/>
      <sheetName val="J_u_l7"/>
      <sheetName val="N_o_v7"/>
      <sheetName val="O_c_t7"/>
      <sheetName val="M_a_r7"/>
      <sheetName val="F_e_b7"/>
      <sheetName val="J_a_n7"/>
      <sheetName val="00_received_in_017"/>
      <sheetName val="A_p_r7"/>
      <sheetName val="A_u_g7"/>
      <sheetName val="Per_GL_J_a_n7"/>
      <sheetName val="Tax_Rate7"/>
      <sheetName val="Permanent_info31"/>
      <sheetName val="details_fiscal_adjustments31"/>
      <sheetName val="Sum_empcost31"/>
      <sheetName val="Trial_Bal30"/>
      <sheetName val="Notes_to_BS30"/>
      <sheetName val="Data_Sheet29"/>
      <sheetName val="Mutasi_Final29"/>
      <sheetName val="fiscal_depr(E)30"/>
      <sheetName val="1998_CITR30"/>
      <sheetName val="NY_ADMIN29"/>
      <sheetName val="Mei_200729"/>
      <sheetName val="FA_Movement_IBIC30"/>
      <sheetName val="Client_Aje30"/>
      <sheetName val="Journal_Template30"/>
      <sheetName val="WIP_DETAIL_(GL_VS_NMP)29"/>
      <sheetName val="NO_FAKTUR30"/>
      <sheetName val="Gaikindo_Report30"/>
      <sheetName val="data_wp29"/>
      <sheetName val="Accounts_Payable_(AA)28"/>
      <sheetName val="FA_Movement29"/>
      <sheetName val="Other_charges_(income)30"/>
      <sheetName val="WK_Local28"/>
      <sheetName val="FA_FISKAL29"/>
      <sheetName val="PROD_FRY-MONODON28"/>
      <sheetName val="TBCons_KMB0428"/>
      <sheetName val="Accrued_(ckrg)29"/>
      <sheetName val="1721-A1_(terbaru)28"/>
      <sheetName val="trf_multiple_dnrks28"/>
      <sheetName val="Q_128"/>
      <sheetName val="FE-1771$_P128"/>
      <sheetName val="RWP_3328"/>
      <sheetName val="sep_ST28"/>
      <sheetName val="Horizon_Cost_Saves_Pkg28"/>
      <sheetName val="cost_recovery28"/>
      <sheetName val="Detail_Lead28"/>
      <sheetName val="Phasing_by_Month28"/>
      <sheetName val="Cost_Input_Sheet28"/>
      <sheetName val="C1_NOV28"/>
      <sheetName val="P&amp;L_INPUT28"/>
      <sheetName val="Portofolio_Trading28"/>
      <sheetName val="APAC_Q1FY09_-_Oracle28"/>
      <sheetName val="jan_book28"/>
      <sheetName val="_WP_SPT_2012_-_23_04_2013_xls28"/>
      <sheetName val="SUMMARY_200128"/>
      <sheetName val="OthAsset_roll28"/>
      <sheetName val="Ref-As_Is_GL_acc28"/>
      <sheetName val="Location_Details__2_28"/>
      <sheetName val="Input_Sheet28"/>
      <sheetName val="MAP_BS28"/>
      <sheetName val="New_format_sales28"/>
      <sheetName val="Table_528"/>
      <sheetName val="TAX_LIST29"/>
      <sheetName val="AR_EXPORT28"/>
      <sheetName val="1200_2028"/>
      <sheetName val="TBC05_Net28"/>
      <sheetName val="Depreciation__schedule29"/>
      <sheetName val="Penyusutan_(2)29"/>
      <sheetName val="disposal_assets29"/>
      <sheetName val="provision_(3)29"/>
      <sheetName val="Recon-Art_2129"/>
      <sheetName val="FA-gainloss_(2)29"/>
      <sheetName val="fiscal_corr29"/>
      <sheetName val="1771_229"/>
      <sheetName val="1771_2(E)29"/>
      <sheetName val="Depr-Comp_(2)29"/>
      <sheetName val="Marshal_(3)29"/>
      <sheetName val="Marshal_(2)29"/>
      <sheetName val="provision_(2)29"/>
      <sheetName val="fiscal_corr_(3)29"/>
      <sheetName val="fiscal_corr_(2)29"/>
      <sheetName val="CostRecovery_-_JV29"/>
      <sheetName val="PENJ_NERACA28"/>
      <sheetName val="CASH_FLOW28"/>
      <sheetName val="Pnrmanent_info28"/>
      <sheetName val="Input__EAST28"/>
      <sheetName val="bill_qty28"/>
      <sheetName val="Simple_Coff_28"/>
      <sheetName val="I-PPh_Final28"/>
      <sheetName val="OT_August__Drmx__0828"/>
      <sheetName val="DATA_SLIP28"/>
      <sheetName val="CC_128"/>
      <sheetName val="CC_228"/>
      <sheetName val="CC_328"/>
      <sheetName val="United_Kingdom28"/>
      <sheetName val="RE_reconciliation28"/>
      <sheetName val="V_D_5-228"/>
      <sheetName val="LE767_GLOBAL_CHECKLIST_update28"/>
      <sheetName val="PO_&amp;_TL_Market_Specific28"/>
      <sheetName val="Issue_Sheet28"/>
      <sheetName val="I__SAP_Screen28"/>
      <sheetName val="II__OTR_-_BAS_G128"/>
      <sheetName val="III__AR_Recon28"/>
      <sheetName val="IV__AR28"/>
      <sheetName val="V_Zero_rated28"/>
      <sheetName val="VI__IC_Recon_828_to_221328"/>
      <sheetName val="IC_Recon_800-221328"/>
      <sheetName val="Capital_Purchases_BAS28"/>
      <sheetName val="VII__AP_BAS_G1128"/>
      <sheetName val="VIII__KN_Rec28"/>
      <sheetName val="IX_ITR28"/>
      <sheetName val="X__1204100128"/>
      <sheetName val="XI__Cust_Output_GST28"/>
      <sheetName val="XII_Vend_Input_GST28"/>
      <sheetName val="å's_=28"/>
      <sheetName val="fr_BS26"/>
      <sheetName val="P&amp;L_Adjustment26"/>
      <sheetName val="Main_Menu26"/>
      <sheetName val="Schedule_Contract_&amp;_SILO26"/>
      <sheetName val="Sales_and_Collections26"/>
      <sheetName val="Cost_of_Sales26"/>
      <sheetName val="Operating_Expenses_26"/>
      <sheetName val="Est__Income_By_Rig26"/>
      <sheetName val="Leasing_TA_Duri26"/>
      <sheetName val="TA_Jakarta26"/>
      <sheetName val="Breakdown_Cost-Well_Control26"/>
      <sheetName val="P_&amp;_L_1st-Invst-Well_Control26"/>
      <sheetName val="Asset_TA26"/>
      <sheetName val="Detail_COGS26"/>
      <sheetName val="N_100_F_Lead26"/>
      <sheetName val="WP_IC_Exp_January_201026"/>
      <sheetName val="Invoice_Cross_Reference26"/>
      <sheetName val="Spec_2210426"/>
      <sheetName val="CM_Tgl26"/>
      <sheetName val="Combined_FA26"/>
      <sheetName val="REF_ONLY5"/>
      <sheetName val="(ABS)_JUL-AGST'076"/>
      <sheetName val="960_1123_03cleared5"/>
      <sheetName val="Flash_var_5"/>
      <sheetName val="Workshop_Tools5"/>
      <sheetName val="FE-1770_P15"/>
      <sheetName val="Exc__Rate5"/>
      <sheetName val="TERM_OF_PAYMENT5"/>
      <sheetName val="trf_7_jht5"/>
      <sheetName val="5610_1-1_TOP5"/>
      <sheetName val="ESTIMASI_MITRA5"/>
      <sheetName val="S_e_p5"/>
      <sheetName val="M_a_y5"/>
      <sheetName val="J_u_l5"/>
      <sheetName val="N_o_v5"/>
      <sheetName val="O_c_t5"/>
      <sheetName val="M_a_r5"/>
      <sheetName val="F_e_b5"/>
      <sheetName val="J_a_n5"/>
      <sheetName val="00_received_in_015"/>
      <sheetName val="A_p_r5"/>
      <sheetName val="A_u_g5"/>
      <sheetName val="Per_GL_J_a_n5"/>
      <sheetName val="Tax_Rate5"/>
      <sheetName val="Permanent_info32"/>
      <sheetName val="details_fiscal_adjustments32"/>
      <sheetName val="Sum_empcost32"/>
      <sheetName val="Trial_Bal31"/>
      <sheetName val="Notes_to_BS31"/>
      <sheetName val="Data_Sheet30"/>
      <sheetName val="Mutasi_Final30"/>
      <sheetName val="fiscal_depr(E)31"/>
      <sheetName val="1998_CITR31"/>
      <sheetName val="NY_ADMIN30"/>
      <sheetName val="Mei_200730"/>
      <sheetName val="FA_Movement_IBIC31"/>
      <sheetName val="Client_Aje31"/>
      <sheetName val="Journal_Template31"/>
      <sheetName val="WIP_DETAIL_(GL_VS_NMP)30"/>
      <sheetName val="NO_FAKTUR31"/>
      <sheetName val="Gaikindo_Report31"/>
      <sheetName val="data_wp30"/>
      <sheetName val="Accounts_Payable_(AA)29"/>
      <sheetName val="FA_Movement30"/>
      <sheetName val="Other_charges_(income)31"/>
      <sheetName val="WK_Local29"/>
      <sheetName val="FA_FISKAL30"/>
      <sheetName val="PROD_FRY-MONODON29"/>
      <sheetName val="TBCons_KMB0429"/>
      <sheetName val="Accrued_(ckrg)30"/>
      <sheetName val="1721-A1_(terbaru)29"/>
      <sheetName val="trf_multiple_dnrks29"/>
      <sheetName val="Q_129"/>
      <sheetName val="FE-1771$_P129"/>
      <sheetName val="RWP_3329"/>
      <sheetName val="sep_ST29"/>
      <sheetName val="Horizon_Cost_Saves_Pkg29"/>
      <sheetName val="cost_recovery29"/>
      <sheetName val="Detail_Lead29"/>
      <sheetName val="Phasing_by_Month29"/>
      <sheetName val="Cost_Input_Sheet29"/>
      <sheetName val="C1_NOV29"/>
      <sheetName val="P&amp;L_INPUT29"/>
      <sheetName val="Portofolio_Trading29"/>
      <sheetName val="APAC_Q1FY09_-_Oracle29"/>
      <sheetName val="jan_book29"/>
      <sheetName val="_WP_SPT_2012_-_23_04_2013_xls29"/>
      <sheetName val="SUMMARY_200129"/>
      <sheetName val="OthAsset_roll29"/>
      <sheetName val="Ref-As_Is_GL_acc29"/>
      <sheetName val="Location_Details__2_29"/>
      <sheetName val="Input_Sheet29"/>
      <sheetName val="MAP_BS29"/>
      <sheetName val="New_format_sales29"/>
      <sheetName val="Table_529"/>
      <sheetName val="TAX_LIST30"/>
      <sheetName val="AR_EXPORT29"/>
      <sheetName val="1200_2029"/>
      <sheetName val="TBC05_Net29"/>
      <sheetName val="Depreciation__schedule30"/>
      <sheetName val="Penyusutan_(2)30"/>
      <sheetName val="disposal_assets30"/>
      <sheetName val="provision_(3)30"/>
      <sheetName val="Recon-Art_2130"/>
      <sheetName val="FA-gainloss_(2)30"/>
      <sheetName val="fiscal_corr30"/>
      <sheetName val="1771_230"/>
      <sheetName val="1771_2(E)30"/>
      <sheetName val="Depr-Comp_(2)30"/>
      <sheetName val="Marshal_(3)30"/>
      <sheetName val="Marshal_(2)30"/>
      <sheetName val="provision_(2)30"/>
      <sheetName val="fiscal_corr_(3)30"/>
      <sheetName val="fiscal_corr_(2)30"/>
      <sheetName val="CostRecovery_-_JV30"/>
      <sheetName val="PENJ_NERACA29"/>
      <sheetName val="CASH_FLOW29"/>
      <sheetName val="Pnrmanent_info29"/>
      <sheetName val="Input__EAST29"/>
      <sheetName val="bill_qty29"/>
      <sheetName val="Simple_Coff_29"/>
      <sheetName val="I-PPh_Final29"/>
      <sheetName val="OT_August__Drmx__0829"/>
      <sheetName val="DATA_SLIP29"/>
      <sheetName val="CC_129"/>
      <sheetName val="CC_229"/>
      <sheetName val="CC_329"/>
      <sheetName val="United_Kingdom29"/>
      <sheetName val="RE_reconciliation29"/>
      <sheetName val="V_D_5-229"/>
      <sheetName val="LE767_GLOBAL_CHECKLIST_update29"/>
      <sheetName val="PO_&amp;_TL_Market_Specific29"/>
      <sheetName val="Issue_Sheet29"/>
      <sheetName val="I__SAP_Screen29"/>
      <sheetName val="II__OTR_-_BAS_G129"/>
      <sheetName val="III__AR_Recon29"/>
      <sheetName val="IV__AR29"/>
      <sheetName val="V_Zero_rated29"/>
      <sheetName val="VI__IC_Recon_828_to_221329"/>
      <sheetName val="IC_Recon_800-221329"/>
      <sheetName val="Capital_Purchases_BAS29"/>
      <sheetName val="VII__AP_BAS_G1129"/>
      <sheetName val="VIII__KN_Rec29"/>
      <sheetName val="IX_ITR29"/>
      <sheetName val="X__1204100129"/>
      <sheetName val="XI__Cust_Output_GST29"/>
      <sheetName val="XII_Vend_Input_GST29"/>
      <sheetName val="å's_=29"/>
      <sheetName val="fr_BS27"/>
      <sheetName val="P&amp;L_Adjustment27"/>
      <sheetName val="Main_Menu27"/>
      <sheetName val="Schedule_Contract_&amp;_SILO27"/>
      <sheetName val="Sales_and_Collections27"/>
      <sheetName val="Cost_of_Sales27"/>
      <sheetName val="Operating_Expenses_27"/>
      <sheetName val="Est__Income_By_Rig27"/>
      <sheetName val="Leasing_TA_Duri27"/>
      <sheetName val="TA_Jakarta27"/>
      <sheetName val="Breakdown_Cost-Well_Control27"/>
      <sheetName val="P_&amp;_L_1st-Invst-Well_Control27"/>
      <sheetName val="Asset_TA27"/>
      <sheetName val="Detail_COGS27"/>
      <sheetName val="N_100_F_Lead27"/>
      <sheetName val="WP_IC_Exp_January_201027"/>
      <sheetName val="Invoice_Cross_Reference27"/>
      <sheetName val="Spec_2210427"/>
      <sheetName val="CM_Tgl27"/>
      <sheetName val="Combined_FA27"/>
      <sheetName val="REF_ONLY6"/>
      <sheetName val="(ABS)_JUL-AGST'077"/>
      <sheetName val="960_1123_03cleared6"/>
      <sheetName val="Flash_var_6"/>
      <sheetName val="Workshop_Tools6"/>
      <sheetName val="FE-1770_P16"/>
      <sheetName val="Exc__Rate6"/>
      <sheetName val="TERM_OF_PAYMENT6"/>
      <sheetName val="trf_7_jht6"/>
      <sheetName val="5610_1-1_TOP6"/>
      <sheetName val="ESTIMASI_MITRA6"/>
      <sheetName val="S_e_p6"/>
      <sheetName val="M_a_y6"/>
      <sheetName val="J_u_l6"/>
      <sheetName val="N_o_v6"/>
      <sheetName val="O_c_t6"/>
      <sheetName val="M_a_r6"/>
      <sheetName val="F_e_b6"/>
      <sheetName val="J_a_n6"/>
      <sheetName val="00_received_in_016"/>
      <sheetName val="A_p_r6"/>
      <sheetName val="A_u_g6"/>
      <sheetName val="Per_GL_J_a_n6"/>
      <sheetName val="Tax_Rate6"/>
      <sheetName val="Permanent_info37"/>
      <sheetName val="details_fiscal_adjustments37"/>
      <sheetName val="Sum_empcost37"/>
      <sheetName val="Data_Sheet35"/>
      <sheetName val="Trial_Bal36"/>
      <sheetName val="Notes_to_BS36"/>
      <sheetName val="Mutasi_Final35"/>
      <sheetName val="fiscal_depr(E)36"/>
      <sheetName val="1998_CITR36"/>
      <sheetName val="NY_ADMIN35"/>
      <sheetName val="Mei_200735"/>
      <sheetName val="FA_Movement_IBIC36"/>
      <sheetName val="Client_Aje36"/>
      <sheetName val="Journal_Template36"/>
      <sheetName val="WIP_DETAIL_(GL_VS_NMP)35"/>
      <sheetName val="NO_FAKTUR36"/>
      <sheetName val="Gaikindo_Report36"/>
      <sheetName val="data_wp35"/>
      <sheetName val="Accounts_Payable_(AA)34"/>
      <sheetName val="1721-A1_(terbaru)34"/>
      <sheetName val="FA_Movement35"/>
      <sheetName val="Other_charges_(income)36"/>
      <sheetName val="WK_Local34"/>
      <sheetName val="FA_FISKAL35"/>
      <sheetName val="Accrued_(ckrg)35"/>
      <sheetName val="PROD_FRY-MONODON34"/>
      <sheetName val="TBCons_KMB0434"/>
      <sheetName val="FE-1771$_P134"/>
      <sheetName val="RWP_3334"/>
      <sheetName val="sep_ST34"/>
      <sheetName val="trf_multiple_dnrks34"/>
      <sheetName val="Q_134"/>
      <sheetName val="Horizon_Cost_Saves_Pkg34"/>
      <sheetName val="cost_recovery34"/>
      <sheetName val="Detail_Lead34"/>
      <sheetName val="Phasing_by_Month34"/>
      <sheetName val="Cost_Input_Sheet34"/>
      <sheetName val="C1_NOV34"/>
      <sheetName val="P&amp;L_INPUT34"/>
      <sheetName val="Portofolio_Trading34"/>
      <sheetName val="APAC_Q1FY09_-_Oracle34"/>
      <sheetName val="jan_book34"/>
      <sheetName val="Ref-As_Is_GL_acc34"/>
      <sheetName val="OthAsset_roll34"/>
      <sheetName val="Input_Sheet34"/>
      <sheetName val="Table_534"/>
      <sheetName val="TAX_LIST35"/>
      <sheetName val="Location_Details__2_34"/>
      <sheetName val="AR_EXPORT34"/>
      <sheetName val="MAP_BS34"/>
      <sheetName val="_WP_SPT_2012_-_23_04_2013_xls34"/>
      <sheetName val="SUMMARY_200134"/>
      <sheetName val="New_format_sales34"/>
      <sheetName val="TBC05_Net34"/>
      <sheetName val="Depreciation__schedule35"/>
      <sheetName val="Penyusutan_(2)35"/>
      <sheetName val="disposal_assets35"/>
      <sheetName val="provision_(3)35"/>
      <sheetName val="Recon-Art_2135"/>
      <sheetName val="FA-gainloss_(2)35"/>
      <sheetName val="fiscal_corr35"/>
      <sheetName val="1771_235"/>
      <sheetName val="1771_2(E)35"/>
      <sheetName val="Depr-Comp_(2)35"/>
      <sheetName val="Marshal_(3)35"/>
      <sheetName val="Marshal_(2)35"/>
      <sheetName val="provision_(2)35"/>
      <sheetName val="fiscal_corr_(3)35"/>
      <sheetName val="fiscal_corr_(2)35"/>
      <sheetName val="CostRecovery_-_JV35"/>
      <sheetName val="PENJ_NERACA34"/>
      <sheetName val="CASH_FLOW34"/>
      <sheetName val="Pnrmanent_info34"/>
      <sheetName val="Input__EAST34"/>
      <sheetName val="bill_qty34"/>
      <sheetName val="Simple_Coff_34"/>
      <sheetName val="I-PPh_Final34"/>
      <sheetName val="OT_August__Drmx__0834"/>
      <sheetName val="DATA_SLIP34"/>
      <sheetName val="1200_2034"/>
      <sheetName val="CC_134"/>
      <sheetName val="CC_234"/>
      <sheetName val="CC_334"/>
      <sheetName val="United_Kingdom34"/>
      <sheetName val="RE_reconciliation34"/>
      <sheetName val="V_D_5-234"/>
      <sheetName val="LE767_GLOBAL_CHECKLIST_update34"/>
      <sheetName val="PO_&amp;_TL_Market_Specific34"/>
      <sheetName val="Issue_Sheet34"/>
      <sheetName val="I__SAP_Screen34"/>
      <sheetName val="II__OTR_-_BAS_G134"/>
      <sheetName val="III__AR_Recon34"/>
      <sheetName val="IV__AR34"/>
      <sheetName val="V_Zero_rated34"/>
      <sheetName val="VI__IC_Recon_828_to_221334"/>
      <sheetName val="IC_Recon_800-221334"/>
      <sheetName val="Capital_Purchases_BAS34"/>
      <sheetName val="VII__AP_BAS_G1134"/>
      <sheetName val="VIII__KN_Rec34"/>
      <sheetName val="IX_ITR34"/>
      <sheetName val="X__1204100134"/>
      <sheetName val="XI__Cust_Output_GST34"/>
      <sheetName val="XII_Vend_Input_GST34"/>
      <sheetName val="å's_=34"/>
      <sheetName val="Invoice_Cross_Reference32"/>
      <sheetName val="Spec_2210432"/>
      <sheetName val="N_100_F_Lead32"/>
      <sheetName val="WP_IC_Exp_January_201032"/>
      <sheetName val="fr_BS32"/>
      <sheetName val="P&amp;L_Adjustment32"/>
      <sheetName val="Main_Menu32"/>
      <sheetName val="Schedule_Contract_&amp;_SILO32"/>
      <sheetName val="Sales_and_Collections32"/>
      <sheetName val="Cost_of_Sales32"/>
      <sheetName val="Operating_Expenses_32"/>
      <sheetName val="Est__Income_By_Rig32"/>
      <sheetName val="Leasing_TA_Duri32"/>
      <sheetName val="TA_Jakarta32"/>
      <sheetName val="Breakdown_Cost-Well_Control32"/>
      <sheetName val="P_&amp;_L_1st-Invst-Well_Control32"/>
      <sheetName val="Asset_TA32"/>
      <sheetName val="Detail_COGS32"/>
      <sheetName val="CM_Tgl32"/>
      <sheetName val="Combined_FA32"/>
      <sheetName val="REF_ONLY11"/>
      <sheetName val="(ABS)_JUL-AGST'0712"/>
      <sheetName val="960_1123_03cleared11"/>
      <sheetName val="Flash_var_11"/>
      <sheetName val="Workshop_Tools11"/>
      <sheetName val="FE-1770_P111"/>
      <sheetName val="Exc__Rate11"/>
      <sheetName val="TERM_OF_PAYMENT11"/>
      <sheetName val="trf_7_jht11"/>
      <sheetName val="5610_1-1_TOP11"/>
      <sheetName val="ESTIMASI_MITRA11"/>
      <sheetName val="S_e_p11"/>
      <sheetName val="M_a_y11"/>
      <sheetName val="J_u_l11"/>
      <sheetName val="N_o_v11"/>
      <sheetName val="O_c_t11"/>
      <sheetName val="M_a_r11"/>
      <sheetName val="F_e_b11"/>
      <sheetName val="J_a_n11"/>
      <sheetName val="00_received_in_0111"/>
      <sheetName val="A_p_r11"/>
      <sheetName val="A_u_g11"/>
      <sheetName val="Per_GL_J_a_n11"/>
      <sheetName val="Tax_Rate11"/>
      <sheetName val="Permanent_info35"/>
      <sheetName val="details_fiscal_adjustments35"/>
      <sheetName val="Sum_empcost35"/>
      <sheetName val="Data_Sheet33"/>
      <sheetName val="Trial_Bal34"/>
      <sheetName val="Notes_to_BS34"/>
      <sheetName val="Mutasi_Final33"/>
      <sheetName val="fiscal_depr(E)34"/>
      <sheetName val="1998_CITR34"/>
      <sheetName val="NY_ADMIN33"/>
      <sheetName val="Mei_200733"/>
      <sheetName val="FA_Movement_IBIC34"/>
      <sheetName val="Client_Aje34"/>
      <sheetName val="Journal_Template34"/>
      <sheetName val="WIP_DETAIL_(GL_VS_NMP)33"/>
      <sheetName val="NO_FAKTUR34"/>
      <sheetName val="Gaikindo_Report34"/>
      <sheetName val="data_wp33"/>
      <sheetName val="Accounts_Payable_(AA)32"/>
      <sheetName val="1721-A1_(terbaru)32"/>
      <sheetName val="FA_Movement33"/>
      <sheetName val="Other_charges_(income)34"/>
      <sheetName val="WK_Local32"/>
      <sheetName val="FA_FISKAL33"/>
      <sheetName val="Accrued_(ckrg)33"/>
      <sheetName val="PROD_FRY-MONODON32"/>
      <sheetName val="TBCons_KMB0432"/>
      <sheetName val="FE-1771$_P132"/>
      <sheetName val="RWP_3332"/>
      <sheetName val="sep_ST32"/>
      <sheetName val="trf_multiple_dnrks32"/>
      <sheetName val="Q_132"/>
      <sheetName val="Horizon_Cost_Saves_Pkg32"/>
      <sheetName val="cost_recovery32"/>
      <sheetName val="Detail_Lead32"/>
      <sheetName val="Phasing_by_Month32"/>
      <sheetName val="Cost_Input_Sheet32"/>
      <sheetName val="C1_NOV32"/>
      <sheetName val="P&amp;L_INPUT32"/>
      <sheetName val="Portofolio_Trading32"/>
      <sheetName val="APAC_Q1FY09_-_Oracle32"/>
      <sheetName val="jan_book32"/>
      <sheetName val="Ref-As_Is_GL_acc32"/>
      <sheetName val="OthAsset_roll32"/>
      <sheetName val="Input_Sheet32"/>
      <sheetName val="Table_532"/>
      <sheetName val="TAX_LIST33"/>
      <sheetName val="Location_Details__2_32"/>
      <sheetName val="AR_EXPORT32"/>
      <sheetName val="MAP_BS32"/>
      <sheetName val="_WP_SPT_2012_-_23_04_2013_xls32"/>
      <sheetName val="SUMMARY_200132"/>
      <sheetName val="New_format_sales32"/>
      <sheetName val="TBC05_Net32"/>
      <sheetName val="Depreciation__schedule33"/>
      <sheetName val="Penyusutan_(2)33"/>
      <sheetName val="disposal_assets33"/>
      <sheetName val="provision_(3)33"/>
      <sheetName val="Recon-Art_2133"/>
      <sheetName val="FA-gainloss_(2)33"/>
      <sheetName val="fiscal_corr33"/>
      <sheetName val="1771_233"/>
      <sheetName val="1771_2(E)33"/>
      <sheetName val="Depr-Comp_(2)33"/>
      <sheetName val="Marshal_(3)33"/>
      <sheetName val="Marshal_(2)33"/>
      <sheetName val="provision_(2)33"/>
      <sheetName val="fiscal_corr_(3)33"/>
      <sheetName val="fiscal_corr_(2)33"/>
      <sheetName val="CostRecovery_-_JV33"/>
      <sheetName val="PENJ_NERACA32"/>
      <sheetName val="CASH_FLOW32"/>
      <sheetName val="Pnrmanent_info32"/>
      <sheetName val="Input__EAST32"/>
      <sheetName val="bill_qty32"/>
      <sheetName val="Simple_Coff_32"/>
      <sheetName val="I-PPh_Final32"/>
      <sheetName val="OT_August__Drmx__0832"/>
      <sheetName val="DATA_SLIP32"/>
      <sheetName val="1200_2032"/>
      <sheetName val="CC_132"/>
      <sheetName val="CC_232"/>
      <sheetName val="CC_332"/>
      <sheetName val="United_Kingdom32"/>
      <sheetName val="RE_reconciliation32"/>
      <sheetName val="V_D_5-232"/>
      <sheetName val="LE767_GLOBAL_CHECKLIST_update32"/>
      <sheetName val="PO_&amp;_TL_Market_Specific32"/>
      <sheetName val="Issue_Sheet32"/>
      <sheetName val="I__SAP_Screen32"/>
      <sheetName val="II__OTR_-_BAS_G132"/>
      <sheetName val="III__AR_Recon32"/>
      <sheetName val="IV__AR32"/>
      <sheetName val="V_Zero_rated32"/>
      <sheetName val="VI__IC_Recon_828_to_221332"/>
      <sheetName val="IC_Recon_800-221332"/>
      <sheetName val="Capital_Purchases_BAS32"/>
      <sheetName val="VII__AP_BAS_G1132"/>
      <sheetName val="VIII__KN_Rec32"/>
      <sheetName val="IX_ITR32"/>
      <sheetName val="X__1204100132"/>
      <sheetName val="XI__Cust_Output_GST32"/>
      <sheetName val="XII_Vend_Input_GST32"/>
      <sheetName val="å's_=32"/>
      <sheetName val="Invoice_Cross_Reference30"/>
      <sheetName val="Spec_2210430"/>
      <sheetName val="N_100_F_Lead30"/>
      <sheetName val="WP_IC_Exp_January_201030"/>
      <sheetName val="fr_BS30"/>
      <sheetName val="P&amp;L_Adjustment30"/>
      <sheetName val="Main_Menu30"/>
      <sheetName val="Schedule_Contract_&amp;_SILO30"/>
      <sheetName val="Sales_and_Collections30"/>
      <sheetName val="Cost_of_Sales30"/>
      <sheetName val="Operating_Expenses_30"/>
      <sheetName val="Est__Income_By_Rig30"/>
      <sheetName val="Leasing_TA_Duri30"/>
      <sheetName val="TA_Jakarta30"/>
      <sheetName val="Breakdown_Cost-Well_Control30"/>
      <sheetName val="P_&amp;_L_1st-Invst-Well_Control30"/>
      <sheetName val="Asset_TA30"/>
      <sheetName val="Detail_COGS30"/>
      <sheetName val="CM_Tgl30"/>
      <sheetName val="Combined_FA30"/>
      <sheetName val="REF_ONLY9"/>
      <sheetName val="(ABS)_JUL-AGST'0710"/>
      <sheetName val="960_1123_03cleared9"/>
      <sheetName val="Flash_var_9"/>
      <sheetName val="Workshop_Tools9"/>
      <sheetName val="FE-1770_P19"/>
      <sheetName val="Exc__Rate9"/>
      <sheetName val="TERM_OF_PAYMENT9"/>
      <sheetName val="trf_7_jht9"/>
      <sheetName val="5610_1-1_TOP9"/>
      <sheetName val="ESTIMASI_MITRA9"/>
      <sheetName val="S_e_p9"/>
      <sheetName val="M_a_y9"/>
      <sheetName val="J_u_l9"/>
      <sheetName val="N_o_v9"/>
      <sheetName val="O_c_t9"/>
      <sheetName val="M_a_r9"/>
      <sheetName val="F_e_b9"/>
      <sheetName val="J_a_n9"/>
      <sheetName val="00_received_in_019"/>
      <sheetName val="A_p_r9"/>
      <sheetName val="A_u_g9"/>
      <sheetName val="Per_GL_J_a_n9"/>
      <sheetName val="Tax_Rate9"/>
      <sheetName val="Permanent_info36"/>
      <sheetName val="details_fiscal_adjustments36"/>
      <sheetName val="Sum_empcost36"/>
      <sheetName val="Data_Sheet34"/>
      <sheetName val="Trial_Bal35"/>
      <sheetName val="Notes_to_BS35"/>
      <sheetName val="Mutasi_Final34"/>
      <sheetName val="fiscal_depr(E)35"/>
      <sheetName val="1998_CITR35"/>
      <sheetName val="NY_ADMIN34"/>
      <sheetName val="Mei_200734"/>
      <sheetName val="FA_Movement_IBIC35"/>
      <sheetName val="Client_Aje35"/>
      <sheetName val="Journal_Template35"/>
      <sheetName val="WIP_DETAIL_(GL_VS_NMP)34"/>
      <sheetName val="NO_FAKTUR35"/>
      <sheetName val="Gaikindo_Report35"/>
      <sheetName val="data_wp34"/>
      <sheetName val="Accounts_Payable_(AA)33"/>
      <sheetName val="1721-A1_(terbaru)33"/>
      <sheetName val="FA_Movement34"/>
      <sheetName val="Other_charges_(income)35"/>
      <sheetName val="WK_Local33"/>
      <sheetName val="FA_FISKAL34"/>
      <sheetName val="Accrued_(ckrg)34"/>
      <sheetName val="PROD_FRY-MONODON33"/>
      <sheetName val="TBCons_KMB0433"/>
      <sheetName val="FE-1771$_P133"/>
      <sheetName val="RWP_3333"/>
      <sheetName val="sep_ST33"/>
      <sheetName val="trf_multiple_dnrks33"/>
      <sheetName val="Q_133"/>
      <sheetName val="Horizon_Cost_Saves_Pkg33"/>
      <sheetName val="cost_recovery33"/>
      <sheetName val="Detail_Lead33"/>
      <sheetName val="Phasing_by_Month33"/>
      <sheetName val="Cost_Input_Sheet33"/>
      <sheetName val="C1_NOV33"/>
      <sheetName val="P&amp;L_INPUT33"/>
      <sheetName val="Portofolio_Trading33"/>
      <sheetName val="APAC_Q1FY09_-_Oracle33"/>
      <sheetName val="jan_book33"/>
      <sheetName val="Ref-As_Is_GL_acc33"/>
      <sheetName val="OthAsset_roll33"/>
      <sheetName val="Input_Sheet33"/>
      <sheetName val="Table_533"/>
      <sheetName val="TAX_LIST34"/>
      <sheetName val="Location_Details__2_33"/>
      <sheetName val="AR_EXPORT33"/>
      <sheetName val="MAP_BS33"/>
      <sheetName val="_WP_SPT_2012_-_23_04_2013_xls33"/>
      <sheetName val="SUMMARY_200133"/>
      <sheetName val="New_format_sales33"/>
      <sheetName val="TBC05_Net33"/>
      <sheetName val="Depreciation__schedule34"/>
      <sheetName val="Penyusutan_(2)34"/>
      <sheetName val="disposal_assets34"/>
      <sheetName val="provision_(3)34"/>
      <sheetName val="Recon-Art_2134"/>
      <sheetName val="FA-gainloss_(2)34"/>
      <sheetName val="fiscal_corr34"/>
      <sheetName val="1771_234"/>
      <sheetName val="1771_2(E)34"/>
      <sheetName val="Depr-Comp_(2)34"/>
      <sheetName val="Marshal_(3)34"/>
      <sheetName val="Marshal_(2)34"/>
      <sheetName val="provision_(2)34"/>
      <sheetName val="fiscal_corr_(3)34"/>
      <sheetName val="fiscal_corr_(2)34"/>
      <sheetName val="CostRecovery_-_JV34"/>
      <sheetName val="PENJ_NERACA33"/>
      <sheetName val="CASH_FLOW33"/>
      <sheetName val="Pnrmanent_info33"/>
      <sheetName val="Input__EAST33"/>
      <sheetName val="bill_qty33"/>
      <sheetName val="Simple_Coff_33"/>
      <sheetName val="I-PPh_Final33"/>
      <sheetName val="OT_August__Drmx__0833"/>
      <sheetName val="DATA_SLIP33"/>
      <sheetName val="1200_2033"/>
      <sheetName val="CC_133"/>
      <sheetName val="CC_233"/>
      <sheetName val="CC_333"/>
      <sheetName val="United_Kingdom33"/>
      <sheetName val="RE_reconciliation33"/>
      <sheetName val="V_D_5-233"/>
      <sheetName val="LE767_GLOBAL_CHECKLIST_update33"/>
      <sheetName val="PO_&amp;_TL_Market_Specific33"/>
      <sheetName val="Issue_Sheet33"/>
      <sheetName val="I__SAP_Screen33"/>
      <sheetName val="II__OTR_-_BAS_G133"/>
      <sheetName val="III__AR_Recon33"/>
      <sheetName val="IV__AR33"/>
      <sheetName val="V_Zero_rated33"/>
      <sheetName val="VI__IC_Recon_828_to_221333"/>
      <sheetName val="IC_Recon_800-221333"/>
      <sheetName val="Capital_Purchases_BAS33"/>
      <sheetName val="VII__AP_BAS_G1133"/>
      <sheetName val="VIII__KN_Rec33"/>
      <sheetName val="IX_ITR33"/>
      <sheetName val="X__1204100133"/>
      <sheetName val="XI__Cust_Output_GST33"/>
      <sheetName val="XII_Vend_Input_GST33"/>
      <sheetName val="å's_=33"/>
      <sheetName val="Invoice_Cross_Reference31"/>
      <sheetName val="Spec_2210431"/>
      <sheetName val="N_100_F_Lead31"/>
      <sheetName val="WP_IC_Exp_January_201031"/>
      <sheetName val="fr_BS31"/>
      <sheetName val="P&amp;L_Adjustment31"/>
      <sheetName val="Main_Menu31"/>
      <sheetName val="Schedule_Contract_&amp;_SILO31"/>
      <sheetName val="Sales_and_Collections31"/>
      <sheetName val="Cost_of_Sales31"/>
      <sheetName val="Operating_Expenses_31"/>
      <sheetName val="Est__Income_By_Rig31"/>
      <sheetName val="Leasing_TA_Duri31"/>
      <sheetName val="TA_Jakarta31"/>
      <sheetName val="Breakdown_Cost-Well_Control31"/>
      <sheetName val="P_&amp;_L_1st-Invst-Well_Control31"/>
      <sheetName val="Asset_TA31"/>
      <sheetName val="Detail_COGS31"/>
      <sheetName val="CM_Tgl31"/>
      <sheetName val="Combined_FA31"/>
      <sheetName val="REF_ONLY10"/>
      <sheetName val="(ABS)_JUL-AGST'0711"/>
      <sheetName val="960_1123_03cleared10"/>
      <sheetName val="Flash_var_10"/>
      <sheetName val="Workshop_Tools10"/>
      <sheetName val="FE-1770_P110"/>
      <sheetName val="Exc__Rate10"/>
      <sheetName val="TERM_OF_PAYMENT10"/>
      <sheetName val="trf_7_jht10"/>
      <sheetName val="5610_1-1_TOP10"/>
      <sheetName val="ESTIMASI_MITRA10"/>
      <sheetName val="S_e_p10"/>
      <sheetName val="M_a_y10"/>
      <sheetName val="J_u_l10"/>
      <sheetName val="N_o_v10"/>
      <sheetName val="O_c_t10"/>
      <sheetName val="M_a_r10"/>
      <sheetName val="F_e_b10"/>
      <sheetName val="J_a_n10"/>
      <sheetName val="00_received_in_0110"/>
      <sheetName val="A_p_r10"/>
      <sheetName val="A_u_g10"/>
      <sheetName val="Per_GL_J_a_n10"/>
      <sheetName val="Tax_Rate10"/>
      <sheetName val="Permanent_info38"/>
      <sheetName val="details_fiscal_adjustments38"/>
      <sheetName val="Sum_empcost38"/>
      <sheetName val="Data_Sheet36"/>
      <sheetName val="Trial_Bal37"/>
      <sheetName val="Notes_to_BS37"/>
      <sheetName val="Mutasi_Final36"/>
      <sheetName val="fiscal_depr(E)37"/>
      <sheetName val="1998_CITR37"/>
      <sheetName val="NY_ADMIN36"/>
      <sheetName val="Mei_200736"/>
      <sheetName val="FA_Movement_IBIC37"/>
      <sheetName val="Client_Aje37"/>
      <sheetName val="Journal_Template37"/>
      <sheetName val="WIP_DETAIL_(GL_VS_NMP)36"/>
      <sheetName val="NO_FAKTUR37"/>
      <sheetName val="Gaikindo_Report37"/>
      <sheetName val="data_wp36"/>
      <sheetName val="Accounts_Payable_(AA)35"/>
      <sheetName val="1721-A1_(terbaru)35"/>
      <sheetName val="FA_Movement36"/>
      <sheetName val="Other_charges_(income)37"/>
      <sheetName val="WK_Local35"/>
      <sheetName val="FA_FISKAL36"/>
      <sheetName val="Accrued_(ckrg)36"/>
      <sheetName val="PROD_FRY-MONODON35"/>
      <sheetName val="TBCons_KMB0435"/>
      <sheetName val="FE-1771$_P135"/>
      <sheetName val="RWP_3335"/>
      <sheetName val="sep_ST35"/>
      <sheetName val="trf_multiple_dnrks35"/>
      <sheetName val="Q_135"/>
      <sheetName val="Horizon_Cost_Saves_Pkg35"/>
      <sheetName val="cost_recovery35"/>
      <sheetName val="Detail_Lead35"/>
      <sheetName val="Phasing_by_Month35"/>
      <sheetName val="Cost_Input_Sheet35"/>
      <sheetName val="C1_NOV35"/>
      <sheetName val="P&amp;L_INPUT35"/>
      <sheetName val="Portofolio_Trading35"/>
      <sheetName val="APAC_Q1FY09_-_Oracle35"/>
      <sheetName val="jan_book35"/>
      <sheetName val="Ref-As_Is_GL_acc35"/>
      <sheetName val="OthAsset_roll35"/>
      <sheetName val="Input_Sheet35"/>
      <sheetName val="Table_535"/>
      <sheetName val="TAX_LIST36"/>
      <sheetName val="Location_Details__2_35"/>
      <sheetName val="AR_EXPORT35"/>
      <sheetName val="MAP_BS35"/>
      <sheetName val="_WP_SPT_2012_-_23_04_2013_xls35"/>
      <sheetName val="SUMMARY_200135"/>
      <sheetName val="New_format_sales35"/>
      <sheetName val="TBC05_Net35"/>
      <sheetName val="Depreciation__schedule36"/>
      <sheetName val="Penyusutan_(2)36"/>
      <sheetName val="disposal_assets36"/>
      <sheetName val="provision_(3)36"/>
      <sheetName val="Recon-Art_2136"/>
      <sheetName val="FA-gainloss_(2)36"/>
      <sheetName val="fiscal_corr36"/>
      <sheetName val="1771_236"/>
      <sheetName val="1771_2(E)36"/>
      <sheetName val="Depr-Comp_(2)36"/>
      <sheetName val="Marshal_(3)36"/>
      <sheetName val="Marshal_(2)36"/>
      <sheetName val="provision_(2)36"/>
      <sheetName val="fiscal_corr_(3)36"/>
      <sheetName val="fiscal_corr_(2)36"/>
      <sheetName val="CostRecovery_-_JV36"/>
      <sheetName val="PENJ_NERACA35"/>
      <sheetName val="CASH_FLOW35"/>
      <sheetName val="Pnrmanent_info35"/>
      <sheetName val="Input__EAST35"/>
      <sheetName val="bill_qty35"/>
      <sheetName val="Simple_Coff_35"/>
      <sheetName val="I-PPh_Final35"/>
      <sheetName val="OT_August__Drmx__0835"/>
      <sheetName val="DATA_SLIP35"/>
      <sheetName val="1200_2035"/>
      <sheetName val="CC_135"/>
      <sheetName val="CC_235"/>
      <sheetName val="CC_335"/>
      <sheetName val="United_Kingdom35"/>
      <sheetName val="RE_reconciliation35"/>
      <sheetName val="V_D_5-235"/>
      <sheetName val="LE767_GLOBAL_CHECKLIST_update35"/>
      <sheetName val="PO_&amp;_TL_Market_Specific35"/>
      <sheetName val="Issue_Sheet35"/>
      <sheetName val="I__SAP_Screen35"/>
      <sheetName val="II__OTR_-_BAS_G135"/>
      <sheetName val="III__AR_Recon35"/>
      <sheetName val="IV__AR35"/>
      <sheetName val="V_Zero_rated35"/>
      <sheetName val="VI__IC_Recon_828_to_221335"/>
      <sheetName val="IC_Recon_800-221335"/>
      <sheetName val="Capital_Purchases_BAS35"/>
      <sheetName val="VII__AP_BAS_G1135"/>
      <sheetName val="VIII__KN_Rec35"/>
      <sheetName val="IX_ITR35"/>
      <sheetName val="X__1204100135"/>
      <sheetName val="XI__Cust_Output_GST35"/>
      <sheetName val="XII_Vend_Input_GST35"/>
      <sheetName val="å's_=35"/>
      <sheetName val="Invoice_Cross_Reference33"/>
      <sheetName val="Spec_2210433"/>
      <sheetName val="N_100_F_Lead33"/>
      <sheetName val="WP_IC_Exp_January_201033"/>
      <sheetName val="fr_BS33"/>
      <sheetName val="P&amp;L_Adjustment33"/>
      <sheetName val="Main_Menu33"/>
      <sheetName val="Schedule_Contract_&amp;_SILO33"/>
      <sheetName val="Sales_and_Collections33"/>
      <sheetName val="Cost_of_Sales33"/>
      <sheetName val="Operating_Expenses_33"/>
      <sheetName val="Est__Income_By_Rig33"/>
      <sheetName val="Leasing_TA_Duri33"/>
      <sheetName val="TA_Jakarta33"/>
      <sheetName val="Breakdown_Cost-Well_Control33"/>
      <sheetName val="P_&amp;_L_1st-Invst-Well_Control33"/>
      <sheetName val="Asset_TA33"/>
      <sheetName val="Detail_COGS33"/>
      <sheetName val="CM_Tgl33"/>
      <sheetName val="Combined_FA33"/>
      <sheetName val="REF_ONLY12"/>
      <sheetName val="(ABS)_JUL-AGST'0713"/>
      <sheetName val="960_1123_03cleared12"/>
      <sheetName val="Flash_var_12"/>
      <sheetName val="Workshop_Tools12"/>
      <sheetName val="FE-1770_P112"/>
      <sheetName val="Exc__Rate12"/>
      <sheetName val="TERM_OF_PAYMENT12"/>
      <sheetName val="trf_7_jht12"/>
      <sheetName val="5610_1-1_TOP12"/>
      <sheetName val="ESTIMASI_MITRA12"/>
      <sheetName val="S_e_p12"/>
      <sheetName val="M_a_y12"/>
      <sheetName val="J_u_l12"/>
      <sheetName val="N_o_v12"/>
      <sheetName val="O_c_t12"/>
      <sheetName val="M_a_r12"/>
      <sheetName val="F_e_b12"/>
      <sheetName val="J_a_n12"/>
      <sheetName val="00_received_in_0112"/>
      <sheetName val="A_p_r12"/>
      <sheetName val="A_u_g12"/>
      <sheetName val="Per_GL_J_a_n12"/>
      <sheetName val="Tax_Rate12"/>
      <sheetName val="Permanent_info41"/>
      <sheetName val="details_fiscal_adjustments41"/>
      <sheetName val="Sum_empcost41"/>
      <sheetName val="Data_Sheet39"/>
      <sheetName val="Trial_Bal40"/>
      <sheetName val="Notes_to_BS40"/>
      <sheetName val="Mutasi_Final39"/>
      <sheetName val="fiscal_depr(E)40"/>
      <sheetName val="1998_CITR40"/>
      <sheetName val="NY_ADMIN39"/>
      <sheetName val="Mei_200739"/>
      <sheetName val="FA_Movement_IBIC40"/>
      <sheetName val="Client_Aje40"/>
      <sheetName val="Journal_Template40"/>
      <sheetName val="WIP_DETAIL_(GL_VS_NMP)39"/>
      <sheetName val="NO_FAKTUR40"/>
      <sheetName val="Gaikindo_Report40"/>
      <sheetName val="data_wp39"/>
      <sheetName val="Accounts_Payable_(AA)38"/>
      <sheetName val="1721-A1_(terbaru)38"/>
      <sheetName val="FA_Movement39"/>
      <sheetName val="Other_charges_(income)40"/>
      <sheetName val="WK_Local38"/>
      <sheetName val="FA_FISKAL39"/>
      <sheetName val="Accrued_(ckrg)39"/>
      <sheetName val="PROD_FRY-MONODON38"/>
      <sheetName val="TBCons_KMB0438"/>
      <sheetName val="FE-1771$_P138"/>
      <sheetName val="RWP_3338"/>
      <sheetName val="sep_ST38"/>
      <sheetName val="trf_multiple_dnrks38"/>
      <sheetName val="Q_138"/>
      <sheetName val="Horizon_Cost_Saves_Pkg38"/>
      <sheetName val="cost_recovery38"/>
      <sheetName val="Detail_Lead38"/>
      <sheetName val="Phasing_by_Month38"/>
      <sheetName val="Cost_Input_Sheet38"/>
      <sheetName val="C1_NOV38"/>
      <sheetName val="P&amp;L_INPUT38"/>
      <sheetName val="Portofolio_Trading38"/>
      <sheetName val="APAC_Q1FY09_-_Oracle38"/>
      <sheetName val="jan_book38"/>
      <sheetName val="Ref-As_Is_GL_acc38"/>
      <sheetName val="OthAsset_roll38"/>
      <sheetName val="Input_Sheet38"/>
      <sheetName val="Table_538"/>
      <sheetName val="TAX_LIST39"/>
      <sheetName val="Location_Details__2_38"/>
      <sheetName val="AR_EXPORT38"/>
      <sheetName val="MAP_BS38"/>
      <sheetName val="_WP_SPT_2012_-_23_04_2013_xls38"/>
      <sheetName val="SUMMARY_200138"/>
      <sheetName val="New_format_sales38"/>
      <sheetName val="TBC05_Net38"/>
      <sheetName val="Depreciation__schedule39"/>
      <sheetName val="Penyusutan_(2)39"/>
      <sheetName val="disposal_assets39"/>
      <sheetName val="provision_(3)39"/>
      <sheetName val="Recon-Art_2139"/>
      <sheetName val="FA-gainloss_(2)39"/>
      <sheetName val="fiscal_corr39"/>
      <sheetName val="1771_239"/>
      <sheetName val="1771_2(E)39"/>
      <sheetName val="Depr-Comp_(2)39"/>
      <sheetName val="Marshal_(3)39"/>
      <sheetName val="Marshal_(2)39"/>
      <sheetName val="provision_(2)39"/>
      <sheetName val="fiscal_corr_(3)39"/>
      <sheetName val="fiscal_corr_(2)39"/>
      <sheetName val="CostRecovery_-_JV39"/>
      <sheetName val="PENJ_NERACA38"/>
      <sheetName val="CASH_FLOW38"/>
      <sheetName val="Pnrmanent_info38"/>
      <sheetName val="Input__EAST38"/>
      <sheetName val="bill_qty38"/>
      <sheetName val="Simple_Coff_38"/>
      <sheetName val="I-PPh_Final38"/>
      <sheetName val="OT_August__Drmx__0838"/>
      <sheetName val="DATA_SLIP38"/>
      <sheetName val="1200_2038"/>
      <sheetName val="CC_138"/>
      <sheetName val="CC_238"/>
      <sheetName val="CC_338"/>
      <sheetName val="United_Kingdom38"/>
      <sheetName val="RE_reconciliation38"/>
      <sheetName val="V_D_5-238"/>
      <sheetName val="LE767_GLOBAL_CHECKLIST_update38"/>
      <sheetName val="PO_&amp;_TL_Market_Specific38"/>
      <sheetName val="Issue_Sheet38"/>
      <sheetName val="I__SAP_Screen38"/>
      <sheetName val="II__OTR_-_BAS_G138"/>
      <sheetName val="III__AR_Recon38"/>
      <sheetName val="IV__AR38"/>
      <sheetName val="V_Zero_rated38"/>
      <sheetName val="VI__IC_Recon_828_to_221338"/>
      <sheetName val="IC_Recon_800-221338"/>
      <sheetName val="Capital_Purchases_BAS38"/>
      <sheetName val="VII__AP_BAS_G1138"/>
      <sheetName val="VIII__KN_Rec38"/>
      <sheetName val="IX_ITR38"/>
      <sheetName val="X__1204100138"/>
      <sheetName val="XI__Cust_Output_GST38"/>
      <sheetName val="XII_Vend_Input_GST38"/>
      <sheetName val="å's_=38"/>
      <sheetName val="Invoice_Cross_Reference36"/>
      <sheetName val="Spec_2210436"/>
      <sheetName val="N_100_F_Lead36"/>
      <sheetName val="WP_IC_Exp_January_201036"/>
      <sheetName val="fr_BS36"/>
      <sheetName val="P&amp;L_Adjustment36"/>
      <sheetName val="Main_Menu36"/>
      <sheetName val="Schedule_Contract_&amp;_SILO36"/>
      <sheetName val="Sales_and_Collections36"/>
      <sheetName val="Cost_of_Sales36"/>
      <sheetName val="Operating_Expenses_36"/>
      <sheetName val="Est__Income_By_Rig36"/>
      <sheetName val="Leasing_TA_Duri36"/>
      <sheetName val="TA_Jakarta36"/>
      <sheetName val="Breakdown_Cost-Well_Control36"/>
      <sheetName val="P_&amp;_L_1st-Invst-Well_Control36"/>
      <sheetName val="Asset_TA36"/>
      <sheetName val="Detail_COGS36"/>
      <sheetName val="CM_Tgl36"/>
      <sheetName val="Combined_FA36"/>
      <sheetName val="REF_ONLY15"/>
      <sheetName val="(ABS)_JUL-AGST'0716"/>
      <sheetName val="960_1123_03cleared15"/>
      <sheetName val="Flash_var_15"/>
      <sheetName val="Workshop_Tools15"/>
      <sheetName val="FE-1770_P115"/>
      <sheetName val="Exc__Rate15"/>
      <sheetName val="TERM_OF_PAYMENT15"/>
      <sheetName val="trf_7_jht15"/>
      <sheetName val="5610_1-1_TOP15"/>
      <sheetName val="ESTIMASI_MITRA15"/>
      <sheetName val="S_e_p15"/>
      <sheetName val="M_a_y15"/>
      <sheetName val="J_u_l15"/>
      <sheetName val="N_o_v15"/>
      <sheetName val="O_c_t15"/>
      <sheetName val="M_a_r15"/>
      <sheetName val="F_e_b15"/>
      <sheetName val="J_a_n15"/>
      <sheetName val="00_received_in_0115"/>
      <sheetName val="A_p_r15"/>
      <sheetName val="A_u_g15"/>
      <sheetName val="Per_GL_J_a_n15"/>
      <sheetName val="Tax_Rate15"/>
      <sheetName val="Permanent_info40"/>
      <sheetName val="details_fiscal_adjustments40"/>
      <sheetName val="Sum_empcost40"/>
      <sheetName val="Data_Sheet38"/>
      <sheetName val="Trial_Bal39"/>
      <sheetName val="Notes_to_BS39"/>
      <sheetName val="Mutasi_Final38"/>
      <sheetName val="fiscal_depr(E)39"/>
      <sheetName val="1998_CITR39"/>
      <sheetName val="NY_ADMIN38"/>
      <sheetName val="Mei_200738"/>
      <sheetName val="FA_Movement_IBIC39"/>
      <sheetName val="Client_Aje39"/>
      <sheetName val="Journal_Template39"/>
      <sheetName val="WIP_DETAIL_(GL_VS_NMP)38"/>
      <sheetName val="NO_FAKTUR39"/>
      <sheetName val="Gaikindo_Report39"/>
      <sheetName val="data_wp38"/>
      <sheetName val="Accounts_Payable_(AA)37"/>
      <sheetName val="1721-A1_(terbaru)37"/>
      <sheetName val="FA_Movement38"/>
      <sheetName val="Other_charges_(income)39"/>
      <sheetName val="WK_Local37"/>
      <sheetName val="FA_FISKAL38"/>
      <sheetName val="Accrued_(ckrg)38"/>
      <sheetName val="PROD_FRY-MONODON37"/>
      <sheetName val="TBCons_KMB0437"/>
      <sheetName val="FE-1771$_P137"/>
      <sheetName val="RWP_3337"/>
      <sheetName val="sep_ST37"/>
      <sheetName val="trf_multiple_dnrks37"/>
      <sheetName val="Q_137"/>
      <sheetName val="Horizon_Cost_Saves_Pkg37"/>
      <sheetName val="cost_recovery37"/>
      <sheetName val="Detail_Lead37"/>
      <sheetName val="Phasing_by_Month37"/>
      <sheetName val="Cost_Input_Sheet37"/>
      <sheetName val="C1_NOV37"/>
      <sheetName val="P&amp;L_INPUT37"/>
      <sheetName val="Portofolio_Trading37"/>
      <sheetName val="APAC_Q1FY09_-_Oracle37"/>
      <sheetName val="jan_book37"/>
      <sheetName val="Ref-As_Is_GL_acc37"/>
      <sheetName val="OthAsset_roll37"/>
      <sheetName val="Input_Sheet37"/>
      <sheetName val="Table_537"/>
      <sheetName val="TAX_LIST38"/>
      <sheetName val="Location_Details__2_37"/>
      <sheetName val="AR_EXPORT37"/>
      <sheetName val="MAP_BS37"/>
      <sheetName val="_WP_SPT_2012_-_23_04_2013_xls37"/>
      <sheetName val="SUMMARY_200137"/>
      <sheetName val="New_format_sales37"/>
      <sheetName val="TBC05_Net37"/>
      <sheetName val="Depreciation__schedule38"/>
      <sheetName val="Penyusutan_(2)38"/>
      <sheetName val="disposal_assets38"/>
      <sheetName val="provision_(3)38"/>
      <sheetName val="Recon-Art_2138"/>
      <sheetName val="FA-gainloss_(2)38"/>
      <sheetName val="fiscal_corr38"/>
      <sheetName val="1771_238"/>
      <sheetName val="1771_2(E)38"/>
      <sheetName val="Depr-Comp_(2)38"/>
      <sheetName val="Marshal_(3)38"/>
      <sheetName val="Marshal_(2)38"/>
      <sheetName val="provision_(2)38"/>
      <sheetName val="fiscal_corr_(3)38"/>
      <sheetName val="fiscal_corr_(2)38"/>
      <sheetName val="CostRecovery_-_JV38"/>
      <sheetName val="PENJ_NERACA37"/>
      <sheetName val="CASH_FLOW37"/>
      <sheetName val="Pnrmanent_info37"/>
      <sheetName val="Input__EAST37"/>
      <sheetName val="bill_qty37"/>
      <sheetName val="Simple_Coff_37"/>
      <sheetName val="I-PPh_Final37"/>
      <sheetName val="OT_August__Drmx__0837"/>
      <sheetName val="DATA_SLIP37"/>
      <sheetName val="1200_2037"/>
      <sheetName val="CC_137"/>
      <sheetName val="CC_237"/>
      <sheetName val="CC_337"/>
      <sheetName val="United_Kingdom37"/>
      <sheetName val="RE_reconciliation37"/>
      <sheetName val="V_D_5-237"/>
      <sheetName val="LE767_GLOBAL_CHECKLIST_update37"/>
      <sheetName val="PO_&amp;_TL_Market_Specific37"/>
      <sheetName val="Issue_Sheet37"/>
      <sheetName val="I__SAP_Screen37"/>
      <sheetName val="II__OTR_-_BAS_G137"/>
      <sheetName val="III__AR_Recon37"/>
      <sheetName val="IV__AR37"/>
      <sheetName val="V_Zero_rated37"/>
      <sheetName val="VI__IC_Recon_828_to_221337"/>
      <sheetName val="IC_Recon_800-221337"/>
      <sheetName val="Capital_Purchases_BAS37"/>
      <sheetName val="VII__AP_BAS_G1137"/>
      <sheetName val="VIII__KN_Rec37"/>
      <sheetName val="IX_ITR37"/>
      <sheetName val="X__1204100137"/>
      <sheetName val="XI__Cust_Output_GST37"/>
      <sheetName val="XII_Vend_Input_GST37"/>
      <sheetName val="å's_=37"/>
      <sheetName val="Invoice_Cross_Reference35"/>
      <sheetName val="Spec_2210435"/>
      <sheetName val="N_100_F_Lead35"/>
      <sheetName val="WP_IC_Exp_January_201035"/>
      <sheetName val="fr_BS35"/>
      <sheetName val="P&amp;L_Adjustment35"/>
      <sheetName val="Main_Menu35"/>
      <sheetName val="Schedule_Contract_&amp;_SILO35"/>
      <sheetName val="Sales_and_Collections35"/>
      <sheetName val="Cost_of_Sales35"/>
      <sheetName val="Operating_Expenses_35"/>
      <sheetName val="Est__Income_By_Rig35"/>
      <sheetName val="Leasing_TA_Duri35"/>
      <sheetName val="TA_Jakarta35"/>
      <sheetName val="Breakdown_Cost-Well_Control35"/>
      <sheetName val="P_&amp;_L_1st-Invst-Well_Control35"/>
      <sheetName val="Asset_TA35"/>
      <sheetName val="Detail_COGS35"/>
      <sheetName val="CM_Tgl35"/>
      <sheetName val="Combined_FA35"/>
      <sheetName val="REF_ONLY14"/>
      <sheetName val="(ABS)_JUL-AGST'0715"/>
      <sheetName val="960_1123_03cleared14"/>
      <sheetName val="Flash_var_14"/>
      <sheetName val="Workshop_Tools14"/>
      <sheetName val="FE-1770_P114"/>
      <sheetName val="Exc__Rate14"/>
      <sheetName val="TERM_OF_PAYMENT14"/>
      <sheetName val="trf_7_jht14"/>
      <sheetName val="5610_1-1_TOP14"/>
      <sheetName val="ESTIMASI_MITRA14"/>
      <sheetName val="S_e_p14"/>
      <sheetName val="M_a_y14"/>
      <sheetName val="J_u_l14"/>
      <sheetName val="N_o_v14"/>
      <sheetName val="O_c_t14"/>
      <sheetName val="M_a_r14"/>
      <sheetName val="F_e_b14"/>
      <sheetName val="J_a_n14"/>
      <sheetName val="00_received_in_0114"/>
      <sheetName val="A_p_r14"/>
      <sheetName val="A_u_g14"/>
      <sheetName val="Per_GL_J_a_n14"/>
      <sheetName val="Tax_Rate14"/>
      <sheetName val="Permanent_info39"/>
      <sheetName val="details_fiscal_adjustments39"/>
      <sheetName val="Sum_empcost39"/>
      <sheetName val="Data_Sheet37"/>
      <sheetName val="Trial_Bal38"/>
      <sheetName val="Notes_to_BS38"/>
      <sheetName val="Mutasi_Final37"/>
      <sheetName val="fiscal_depr(E)38"/>
      <sheetName val="1998_CITR38"/>
      <sheetName val="NY_ADMIN37"/>
      <sheetName val="Mei_200737"/>
      <sheetName val="FA_Movement_IBIC38"/>
      <sheetName val="Client_Aje38"/>
      <sheetName val="Journal_Template38"/>
      <sheetName val="WIP_DETAIL_(GL_VS_NMP)37"/>
      <sheetName val="NO_FAKTUR38"/>
      <sheetName val="Gaikindo_Report38"/>
      <sheetName val="data_wp37"/>
      <sheetName val="Accounts_Payable_(AA)36"/>
      <sheetName val="1721-A1_(terbaru)36"/>
      <sheetName val="FA_Movement37"/>
      <sheetName val="Other_charges_(income)38"/>
      <sheetName val="WK_Local36"/>
      <sheetName val="FA_FISKAL37"/>
      <sheetName val="Accrued_(ckrg)37"/>
      <sheetName val="PROD_FRY-MONODON36"/>
      <sheetName val="TBCons_KMB0436"/>
      <sheetName val="FE-1771$_P136"/>
      <sheetName val="RWP_3336"/>
      <sheetName val="sep_ST36"/>
      <sheetName val="trf_multiple_dnrks36"/>
      <sheetName val="Q_136"/>
      <sheetName val="Horizon_Cost_Saves_Pkg36"/>
      <sheetName val="cost_recovery36"/>
      <sheetName val="Detail_Lead36"/>
      <sheetName val="Phasing_by_Month36"/>
      <sheetName val="Cost_Input_Sheet36"/>
      <sheetName val="C1_NOV36"/>
      <sheetName val="P&amp;L_INPUT36"/>
      <sheetName val="Portofolio_Trading36"/>
      <sheetName val="APAC_Q1FY09_-_Oracle36"/>
      <sheetName val="jan_book36"/>
      <sheetName val="Ref-As_Is_GL_acc36"/>
      <sheetName val="OthAsset_roll36"/>
      <sheetName val="Input_Sheet36"/>
      <sheetName val="Table_536"/>
      <sheetName val="TAX_LIST37"/>
      <sheetName val="Location_Details__2_36"/>
      <sheetName val="AR_EXPORT36"/>
      <sheetName val="MAP_BS36"/>
      <sheetName val="_WP_SPT_2012_-_23_04_2013_xls36"/>
      <sheetName val="SUMMARY_200136"/>
      <sheetName val="New_format_sales36"/>
      <sheetName val="TBC05_Net36"/>
      <sheetName val="Depreciation__schedule37"/>
      <sheetName val="Penyusutan_(2)37"/>
      <sheetName val="disposal_assets37"/>
      <sheetName val="provision_(3)37"/>
      <sheetName val="Recon-Art_2137"/>
      <sheetName val="FA-gainloss_(2)37"/>
      <sheetName val="fiscal_corr37"/>
      <sheetName val="1771_237"/>
      <sheetName val="1771_2(E)37"/>
      <sheetName val="Depr-Comp_(2)37"/>
      <sheetName val="Marshal_(3)37"/>
      <sheetName val="Marshal_(2)37"/>
      <sheetName val="provision_(2)37"/>
      <sheetName val="fiscal_corr_(3)37"/>
      <sheetName val="fiscal_corr_(2)37"/>
      <sheetName val="CostRecovery_-_JV37"/>
      <sheetName val="PENJ_NERACA36"/>
      <sheetName val="CASH_FLOW36"/>
      <sheetName val="Pnrmanent_info36"/>
      <sheetName val="Input__EAST36"/>
      <sheetName val="bill_qty36"/>
      <sheetName val="Simple_Coff_36"/>
      <sheetName val="I-PPh_Final36"/>
      <sheetName val="OT_August__Drmx__0836"/>
      <sheetName val="DATA_SLIP36"/>
      <sheetName val="1200_2036"/>
      <sheetName val="CC_136"/>
      <sheetName val="CC_236"/>
      <sheetName val="CC_336"/>
      <sheetName val="United_Kingdom36"/>
      <sheetName val="RE_reconciliation36"/>
      <sheetName val="V_D_5-236"/>
      <sheetName val="LE767_GLOBAL_CHECKLIST_update36"/>
      <sheetName val="PO_&amp;_TL_Market_Specific36"/>
      <sheetName val="Issue_Sheet36"/>
      <sheetName val="I__SAP_Screen36"/>
      <sheetName val="II__OTR_-_BAS_G136"/>
      <sheetName val="III__AR_Recon36"/>
      <sheetName val="IV__AR36"/>
      <sheetName val="V_Zero_rated36"/>
      <sheetName val="VI__IC_Recon_828_to_221336"/>
      <sheetName val="IC_Recon_800-221336"/>
      <sheetName val="Capital_Purchases_BAS36"/>
      <sheetName val="VII__AP_BAS_G1136"/>
      <sheetName val="VIII__KN_Rec36"/>
      <sheetName val="IX_ITR36"/>
      <sheetName val="X__1204100136"/>
      <sheetName val="XI__Cust_Output_GST36"/>
      <sheetName val="XII_Vend_Input_GST36"/>
      <sheetName val="å's_=36"/>
      <sheetName val="Invoice_Cross_Reference34"/>
      <sheetName val="Spec_2210434"/>
      <sheetName val="N_100_F_Lead34"/>
      <sheetName val="WP_IC_Exp_January_201034"/>
      <sheetName val="fr_BS34"/>
      <sheetName val="P&amp;L_Adjustment34"/>
      <sheetName val="Main_Menu34"/>
      <sheetName val="Schedule_Contract_&amp;_SILO34"/>
      <sheetName val="Sales_and_Collections34"/>
      <sheetName val="Cost_of_Sales34"/>
      <sheetName val="Operating_Expenses_34"/>
      <sheetName val="Est__Income_By_Rig34"/>
      <sheetName val="Leasing_TA_Duri34"/>
      <sheetName val="TA_Jakarta34"/>
      <sheetName val="Breakdown_Cost-Well_Control34"/>
      <sheetName val="P_&amp;_L_1st-Invst-Well_Control34"/>
      <sheetName val="Asset_TA34"/>
      <sheetName val="Detail_COGS34"/>
      <sheetName val="CM_Tgl34"/>
      <sheetName val="Combined_FA34"/>
      <sheetName val="REF_ONLY13"/>
      <sheetName val="(ABS)_JUL-AGST'0714"/>
      <sheetName val="960_1123_03cleared13"/>
      <sheetName val="Flash_var_13"/>
      <sheetName val="Workshop_Tools13"/>
      <sheetName val="FE-1770_P113"/>
      <sheetName val="Exc__Rate13"/>
      <sheetName val="TERM_OF_PAYMENT13"/>
      <sheetName val="trf_7_jht13"/>
      <sheetName val="5610_1-1_TOP13"/>
      <sheetName val="ESTIMASI_MITRA13"/>
      <sheetName val="S_e_p13"/>
      <sheetName val="M_a_y13"/>
      <sheetName val="J_u_l13"/>
      <sheetName val="N_o_v13"/>
      <sheetName val="O_c_t13"/>
      <sheetName val="M_a_r13"/>
      <sheetName val="F_e_b13"/>
      <sheetName val="J_a_n13"/>
      <sheetName val="00_received_in_0113"/>
      <sheetName val="A_p_r13"/>
      <sheetName val="A_u_g13"/>
      <sheetName val="Per_GL_J_a_n13"/>
      <sheetName val="Tax_Rate13"/>
      <sheetName val="Permanent_info43"/>
      <sheetName val="details_fiscal_adjustments43"/>
      <sheetName val="Sum_empcost43"/>
      <sheetName val="Data_Sheet41"/>
      <sheetName val="Trial_Bal42"/>
      <sheetName val="Notes_to_BS42"/>
      <sheetName val="Mutasi_Final41"/>
      <sheetName val="fiscal_depr(E)42"/>
      <sheetName val="1998_CITR42"/>
      <sheetName val="NY_ADMIN41"/>
      <sheetName val="Mei_200741"/>
      <sheetName val="FA_Movement_IBIC42"/>
      <sheetName val="Client_Aje42"/>
      <sheetName val="Journal_Template42"/>
      <sheetName val="WIP_DETAIL_(GL_VS_NMP)41"/>
      <sheetName val="NO_FAKTUR42"/>
      <sheetName val="Gaikindo_Report42"/>
      <sheetName val="data_wp41"/>
      <sheetName val="Accounts_Payable_(AA)40"/>
      <sheetName val="1721-A1_(terbaru)40"/>
      <sheetName val="FA_Movement41"/>
      <sheetName val="Other_charges_(income)42"/>
      <sheetName val="WK_Local40"/>
      <sheetName val="FA_FISKAL41"/>
      <sheetName val="Accrued_(ckrg)41"/>
      <sheetName val="PROD_FRY-MONODON40"/>
      <sheetName val="TBCons_KMB0440"/>
      <sheetName val="FE-1771$_P140"/>
      <sheetName val="RWP_3340"/>
      <sheetName val="sep_ST40"/>
      <sheetName val="trf_multiple_dnrks40"/>
      <sheetName val="Q_140"/>
      <sheetName val="Horizon_Cost_Saves_Pkg40"/>
      <sheetName val="cost_recovery40"/>
      <sheetName val="Detail_Lead40"/>
      <sheetName val="Phasing_by_Month40"/>
      <sheetName val="Cost_Input_Sheet40"/>
      <sheetName val="C1_NOV40"/>
      <sheetName val="P&amp;L_INPUT40"/>
      <sheetName val="Portofolio_Trading40"/>
      <sheetName val="APAC_Q1FY09_-_Oracle40"/>
      <sheetName val="jan_book40"/>
      <sheetName val="Ref-As_Is_GL_acc40"/>
      <sheetName val="OthAsset_roll40"/>
      <sheetName val="Input_Sheet40"/>
      <sheetName val="Table_540"/>
      <sheetName val="TAX_LIST41"/>
      <sheetName val="Location_Details__2_40"/>
      <sheetName val="AR_EXPORT40"/>
      <sheetName val="MAP_BS40"/>
      <sheetName val="_WP_SPT_2012_-_23_04_2013_xls40"/>
      <sheetName val="SUMMARY_200140"/>
      <sheetName val="New_format_sales40"/>
      <sheetName val="TBC05_Net40"/>
      <sheetName val="Depreciation__schedule41"/>
      <sheetName val="Penyusutan_(2)41"/>
      <sheetName val="disposal_assets41"/>
      <sheetName val="provision_(3)41"/>
      <sheetName val="Recon-Art_2141"/>
      <sheetName val="FA-gainloss_(2)41"/>
      <sheetName val="fiscal_corr41"/>
      <sheetName val="1771_241"/>
      <sheetName val="1771_2(E)41"/>
      <sheetName val="Depr-Comp_(2)41"/>
      <sheetName val="Marshal_(3)41"/>
      <sheetName val="Marshal_(2)41"/>
      <sheetName val="provision_(2)41"/>
      <sheetName val="fiscal_corr_(3)41"/>
      <sheetName val="fiscal_corr_(2)41"/>
      <sheetName val="CostRecovery_-_JV41"/>
      <sheetName val="PENJ_NERACA40"/>
      <sheetName val="CASH_FLOW40"/>
      <sheetName val="Pnrmanent_info40"/>
      <sheetName val="Input__EAST40"/>
      <sheetName val="bill_qty40"/>
      <sheetName val="Simple_Coff_40"/>
      <sheetName val="I-PPh_Final40"/>
      <sheetName val="OT_August__Drmx__0840"/>
      <sheetName val="DATA_SLIP40"/>
      <sheetName val="1200_2040"/>
      <sheetName val="CC_140"/>
      <sheetName val="CC_240"/>
      <sheetName val="CC_340"/>
      <sheetName val="United_Kingdom40"/>
      <sheetName val="RE_reconciliation40"/>
      <sheetName val="V_D_5-240"/>
      <sheetName val="LE767_GLOBAL_CHECKLIST_update40"/>
      <sheetName val="PO_&amp;_TL_Market_Specific40"/>
      <sheetName val="Issue_Sheet40"/>
      <sheetName val="I__SAP_Screen40"/>
      <sheetName val="II__OTR_-_BAS_G140"/>
      <sheetName val="III__AR_Recon40"/>
      <sheetName val="IV__AR40"/>
      <sheetName val="V_Zero_rated40"/>
      <sheetName val="VI__IC_Recon_828_to_221340"/>
      <sheetName val="IC_Recon_800-221340"/>
      <sheetName val="Capital_Purchases_BAS40"/>
      <sheetName val="VII__AP_BAS_G1140"/>
      <sheetName val="VIII__KN_Rec40"/>
      <sheetName val="IX_ITR40"/>
      <sheetName val="X__1204100140"/>
      <sheetName val="XI__Cust_Output_GST40"/>
      <sheetName val="XII_Vend_Input_GST40"/>
      <sheetName val="å's_=40"/>
      <sheetName val="Invoice_Cross_Reference38"/>
      <sheetName val="Spec_2210438"/>
      <sheetName val="N_100_F_Lead38"/>
      <sheetName val="WP_IC_Exp_January_201038"/>
      <sheetName val="fr_BS38"/>
      <sheetName val="P&amp;L_Adjustment38"/>
      <sheetName val="Main_Menu38"/>
      <sheetName val="Schedule_Contract_&amp;_SILO38"/>
      <sheetName val="Sales_and_Collections38"/>
      <sheetName val="Cost_of_Sales38"/>
      <sheetName val="Operating_Expenses_38"/>
      <sheetName val="Est__Income_By_Rig38"/>
      <sheetName val="Leasing_TA_Duri38"/>
      <sheetName val="TA_Jakarta38"/>
      <sheetName val="Breakdown_Cost-Well_Control38"/>
      <sheetName val="P_&amp;_L_1st-Invst-Well_Control38"/>
      <sheetName val="Asset_TA38"/>
      <sheetName val="Detail_COGS38"/>
      <sheetName val="CM_Tgl38"/>
      <sheetName val="Combined_FA38"/>
      <sheetName val="REF_ONLY17"/>
      <sheetName val="(ABS)_JUL-AGST'0718"/>
      <sheetName val="960_1123_03cleared17"/>
      <sheetName val="Flash_var_17"/>
      <sheetName val="Workshop_Tools17"/>
      <sheetName val="FE-1770_P117"/>
      <sheetName val="Exc__Rate17"/>
      <sheetName val="TERM_OF_PAYMENT17"/>
      <sheetName val="trf_7_jht17"/>
      <sheetName val="5610_1-1_TOP17"/>
      <sheetName val="ESTIMASI_MITRA17"/>
      <sheetName val="S_e_p17"/>
      <sheetName val="M_a_y17"/>
      <sheetName val="J_u_l17"/>
      <sheetName val="N_o_v17"/>
      <sheetName val="O_c_t17"/>
      <sheetName val="M_a_r17"/>
      <sheetName val="F_e_b17"/>
      <sheetName val="J_a_n17"/>
      <sheetName val="00_received_in_0117"/>
      <sheetName val="A_p_r17"/>
      <sheetName val="A_u_g17"/>
      <sheetName val="Per_GL_J_a_n17"/>
      <sheetName val="Tax_Rate17"/>
      <sheetName val="Permanent_info42"/>
      <sheetName val="details_fiscal_adjustments42"/>
      <sheetName val="Sum_empcost42"/>
      <sheetName val="Data_Sheet40"/>
      <sheetName val="Trial_Bal41"/>
      <sheetName val="Notes_to_BS41"/>
      <sheetName val="Mutasi_Final40"/>
      <sheetName val="fiscal_depr(E)41"/>
      <sheetName val="1998_CITR41"/>
      <sheetName val="NY_ADMIN40"/>
      <sheetName val="Mei_200740"/>
      <sheetName val="FA_Movement_IBIC41"/>
      <sheetName val="Client_Aje41"/>
      <sheetName val="Journal_Template41"/>
      <sheetName val="WIP_DETAIL_(GL_VS_NMP)40"/>
      <sheetName val="NO_FAKTUR41"/>
      <sheetName val="Gaikindo_Report41"/>
      <sheetName val="data_wp40"/>
      <sheetName val="Accounts_Payable_(AA)39"/>
      <sheetName val="1721-A1_(terbaru)39"/>
      <sheetName val="FA_Movement40"/>
      <sheetName val="Other_charges_(income)41"/>
      <sheetName val="WK_Local39"/>
      <sheetName val="FA_FISKAL40"/>
      <sheetName val="Accrued_(ckrg)40"/>
      <sheetName val="PROD_FRY-MONODON39"/>
      <sheetName val="TBCons_KMB0439"/>
      <sheetName val="FE-1771$_P139"/>
      <sheetName val="RWP_3339"/>
      <sheetName val="sep_ST39"/>
      <sheetName val="trf_multiple_dnrks39"/>
      <sheetName val="Q_139"/>
      <sheetName val="Horizon_Cost_Saves_Pkg39"/>
      <sheetName val="cost_recovery39"/>
      <sheetName val="Detail_Lead39"/>
      <sheetName val="Phasing_by_Month39"/>
      <sheetName val="Cost_Input_Sheet39"/>
      <sheetName val="C1_NOV39"/>
      <sheetName val="P&amp;L_INPUT39"/>
      <sheetName val="Portofolio_Trading39"/>
      <sheetName val="APAC_Q1FY09_-_Oracle39"/>
      <sheetName val="jan_book39"/>
      <sheetName val="Ref-As_Is_GL_acc39"/>
      <sheetName val="OthAsset_roll39"/>
      <sheetName val="Input_Sheet39"/>
      <sheetName val="Table_539"/>
      <sheetName val="TAX_LIST40"/>
      <sheetName val="Location_Details__2_39"/>
      <sheetName val="AR_EXPORT39"/>
      <sheetName val="MAP_BS39"/>
      <sheetName val="_WP_SPT_2012_-_23_04_2013_xls39"/>
      <sheetName val="SUMMARY_200139"/>
      <sheetName val="New_format_sales39"/>
      <sheetName val="TBC05_Net39"/>
      <sheetName val="Depreciation__schedule40"/>
      <sheetName val="Penyusutan_(2)40"/>
      <sheetName val="disposal_assets40"/>
      <sheetName val="provision_(3)40"/>
      <sheetName val="Recon-Art_2140"/>
      <sheetName val="FA-gainloss_(2)40"/>
      <sheetName val="fiscal_corr40"/>
      <sheetName val="1771_240"/>
      <sheetName val="1771_2(E)40"/>
      <sheetName val="Depr-Comp_(2)40"/>
      <sheetName val="Marshal_(3)40"/>
      <sheetName val="Marshal_(2)40"/>
      <sheetName val="provision_(2)40"/>
      <sheetName val="fiscal_corr_(3)40"/>
      <sheetName val="fiscal_corr_(2)40"/>
      <sheetName val="CostRecovery_-_JV40"/>
      <sheetName val="PENJ_NERACA39"/>
      <sheetName val="CASH_FLOW39"/>
      <sheetName val="Pnrmanent_info39"/>
      <sheetName val="Input__EAST39"/>
      <sheetName val="bill_qty39"/>
      <sheetName val="Simple_Coff_39"/>
      <sheetName val="I-PPh_Final39"/>
      <sheetName val="OT_August__Drmx__0839"/>
      <sheetName val="DATA_SLIP39"/>
      <sheetName val="1200_2039"/>
      <sheetName val="CC_139"/>
      <sheetName val="CC_239"/>
      <sheetName val="CC_339"/>
      <sheetName val="United_Kingdom39"/>
      <sheetName val="RE_reconciliation39"/>
      <sheetName val="V_D_5-239"/>
      <sheetName val="LE767_GLOBAL_CHECKLIST_update39"/>
      <sheetName val="PO_&amp;_TL_Market_Specific39"/>
      <sheetName val="Issue_Sheet39"/>
      <sheetName val="I__SAP_Screen39"/>
      <sheetName val="II__OTR_-_BAS_G139"/>
      <sheetName val="III__AR_Recon39"/>
      <sheetName val="IV__AR39"/>
      <sheetName val="V_Zero_rated39"/>
      <sheetName val="VI__IC_Recon_828_to_221339"/>
      <sheetName val="IC_Recon_800-221339"/>
      <sheetName val="Capital_Purchases_BAS39"/>
      <sheetName val="VII__AP_BAS_G1139"/>
      <sheetName val="VIII__KN_Rec39"/>
      <sheetName val="IX_ITR39"/>
      <sheetName val="X__1204100139"/>
      <sheetName val="XI__Cust_Output_GST39"/>
      <sheetName val="XII_Vend_Input_GST39"/>
      <sheetName val="å's_=39"/>
      <sheetName val="Invoice_Cross_Reference37"/>
      <sheetName val="Spec_2210437"/>
      <sheetName val="N_100_F_Lead37"/>
      <sheetName val="WP_IC_Exp_January_201037"/>
      <sheetName val="fr_BS37"/>
      <sheetName val="P&amp;L_Adjustment37"/>
      <sheetName val="Main_Menu37"/>
      <sheetName val="Schedule_Contract_&amp;_SILO37"/>
      <sheetName val="Sales_and_Collections37"/>
      <sheetName val="Cost_of_Sales37"/>
      <sheetName val="Operating_Expenses_37"/>
      <sheetName val="Est__Income_By_Rig37"/>
      <sheetName val="Leasing_TA_Duri37"/>
      <sheetName val="TA_Jakarta37"/>
      <sheetName val="Breakdown_Cost-Well_Control37"/>
      <sheetName val="P_&amp;_L_1st-Invst-Well_Control37"/>
      <sheetName val="Asset_TA37"/>
      <sheetName val="Detail_COGS37"/>
      <sheetName val="CM_Tgl37"/>
      <sheetName val="Combined_FA37"/>
      <sheetName val="REF_ONLY16"/>
      <sheetName val="(ABS)_JUL-AGST'0717"/>
      <sheetName val="960_1123_03cleared16"/>
      <sheetName val="Flash_var_16"/>
      <sheetName val="Workshop_Tools16"/>
      <sheetName val="FE-1770_P116"/>
      <sheetName val="Exc__Rate16"/>
      <sheetName val="TERM_OF_PAYMENT16"/>
      <sheetName val="trf_7_jht16"/>
      <sheetName val="5610_1-1_TOP16"/>
      <sheetName val="ESTIMASI_MITRA16"/>
      <sheetName val="S_e_p16"/>
      <sheetName val="M_a_y16"/>
      <sheetName val="J_u_l16"/>
      <sheetName val="N_o_v16"/>
      <sheetName val="O_c_t16"/>
      <sheetName val="M_a_r16"/>
      <sheetName val="F_e_b16"/>
      <sheetName val="J_a_n16"/>
      <sheetName val="00_received_in_0116"/>
      <sheetName val="A_p_r16"/>
      <sheetName val="A_u_g16"/>
      <sheetName val="Per_GL_J_a_n16"/>
      <sheetName val="Tax_Rate16"/>
      <sheetName val="ASSET"/>
      <sheetName val="L I - ATY"/>
      <sheetName val="summary-1"/>
      <sheetName val="Fin.High"/>
      <sheetName val="Additions Interface"/>
      <sheetName val="Coeff"/>
      <sheetName val="Input_FX_Actuals"/>
      <sheetName val="budget idr"/>
      <sheetName val="data (2)"/>
      <sheetName val="Workings"/>
      <sheetName val="ByCC"/>
      <sheetName val="Trial Balance Input File"/>
      <sheetName val="trf"/>
      <sheetName val="cov"/>
      <sheetName val="EE-PROP"/>
      <sheetName val="TblPajak"/>
      <sheetName val="trf multiple"/>
      <sheetName val="trfakt sgl"/>
      <sheetName val="Asumsi by Own"/>
      <sheetName val="Permanent_info44"/>
      <sheetName val="details_fiscal_adjustments44"/>
      <sheetName val="Sum_empcost44"/>
      <sheetName val="Data_Sheet42"/>
      <sheetName val="Trial_Bal43"/>
      <sheetName val="Notes_to_BS43"/>
      <sheetName val="Mutasi_Final42"/>
      <sheetName val="fiscal_depr(E)43"/>
      <sheetName val="1998_CITR43"/>
      <sheetName val="NY_ADMIN42"/>
      <sheetName val="Mei_200742"/>
      <sheetName val="FA_Movement_IBIC43"/>
      <sheetName val="Client_Aje43"/>
      <sheetName val="Journal_Template43"/>
      <sheetName val="WIP_DETAIL_(GL_VS_NMP)42"/>
      <sheetName val="NO_FAKTUR43"/>
      <sheetName val="Gaikindo_Report43"/>
      <sheetName val="data_wp42"/>
      <sheetName val="Accounts_Payable_(AA)41"/>
      <sheetName val="1721-A1_(terbaru)41"/>
      <sheetName val="FA_Movement42"/>
      <sheetName val="Other_charges_(income)43"/>
      <sheetName val="WK_Local41"/>
      <sheetName val="FA_FISKAL42"/>
      <sheetName val="Accrued_(ckrg)42"/>
      <sheetName val="PROD_FRY-MONODON41"/>
      <sheetName val="TBCons_KMB0441"/>
      <sheetName val="FE-1771$_P141"/>
      <sheetName val="RWP_3341"/>
      <sheetName val="sep_ST41"/>
      <sheetName val="trf_multiple_dnrks41"/>
      <sheetName val="Q_141"/>
      <sheetName val="Horizon_Cost_Saves_Pkg41"/>
      <sheetName val="cost_recovery41"/>
      <sheetName val="Detail_Lead41"/>
      <sheetName val="Phasing_by_Month41"/>
      <sheetName val="Cost_Input_Sheet41"/>
      <sheetName val="C1_NOV41"/>
      <sheetName val="P&amp;L_INPUT41"/>
      <sheetName val="Portofolio_Trading41"/>
      <sheetName val="APAC_Q1FY09_-_Oracle41"/>
      <sheetName val="jan_book41"/>
      <sheetName val="Ref-As_Is_GL_acc41"/>
      <sheetName val="OthAsset_roll41"/>
      <sheetName val="Input_Sheet41"/>
      <sheetName val="Table_541"/>
      <sheetName val="TAX_LIST42"/>
      <sheetName val="Location_Details__2_41"/>
      <sheetName val="AR_EXPORT41"/>
      <sheetName val="MAP_BS41"/>
      <sheetName val="_WP_SPT_2012_-_23_04_2013_xls41"/>
      <sheetName val="SUMMARY_200141"/>
      <sheetName val="New_format_sales41"/>
      <sheetName val="TBC05_Net41"/>
      <sheetName val="Depreciation__schedule42"/>
      <sheetName val="Penyusutan_(2)42"/>
      <sheetName val="disposal_assets42"/>
      <sheetName val="provision_(3)42"/>
      <sheetName val="Recon-Art_2142"/>
      <sheetName val="FA-gainloss_(2)42"/>
      <sheetName val="fiscal_corr42"/>
      <sheetName val="1771_242"/>
      <sheetName val="1771_2(E)42"/>
      <sheetName val="Depr-Comp_(2)42"/>
      <sheetName val="Marshal_(3)42"/>
      <sheetName val="Marshal_(2)42"/>
      <sheetName val="provision_(2)42"/>
      <sheetName val="fiscal_corr_(3)42"/>
      <sheetName val="fiscal_corr_(2)42"/>
      <sheetName val="CostRecovery_-_JV42"/>
      <sheetName val="PENJ_NERACA41"/>
      <sheetName val="CASH_FLOW41"/>
      <sheetName val="Pnrmanent_info41"/>
      <sheetName val="Input__EAST41"/>
      <sheetName val="bill_qty41"/>
      <sheetName val="Simple_Coff_41"/>
      <sheetName val="I-PPh_Final41"/>
      <sheetName val="OT_August__Drmx__0841"/>
      <sheetName val="DATA_SLIP41"/>
      <sheetName val="1200_2041"/>
      <sheetName val="CC_141"/>
      <sheetName val="CC_241"/>
      <sheetName val="CC_341"/>
      <sheetName val="United_Kingdom41"/>
      <sheetName val="RE_reconciliation41"/>
      <sheetName val="V_D_5-241"/>
      <sheetName val="LE767_GLOBAL_CHECKLIST_update41"/>
      <sheetName val="PO_&amp;_TL_Market_Specific41"/>
      <sheetName val="Issue_Sheet41"/>
      <sheetName val="I__SAP_Screen41"/>
      <sheetName val="II__OTR_-_BAS_G141"/>
      <sheetName val="III__AR_Recon41"/>
      <sheetName val="IV__AR41"/>
      <sheetName val="V_Zero_rated41"/>
      <sheetName val="VI__IC_Recon_828_to_221341"/>
      <sheetName val="IC_Recon_800-221341"/>
      <sheetName val="Capital_Purchases_BAS41"/>
      <sheetName val="VII__AP_BAS_G1141"/>
      <sheetName val="VIII__KN_Rec41"/>
      <sheetName val="IX_ITR41"/>
      <sheetName val="X__1204100141"/>
      <sheetName val="XI__Cust_Output_GST41"/>
      <sheetName val="XII_Vend_Input_GST41"/>
      <sheetName val="å's_=41"/>
      <sheetName val="Invoice_Cross_Reference39"/>
      <sheetName val="Spec_2210439"/>
      <sheetName val="N_100_F_Lead39"/>
      <sheetName val="WP_IC_Exp_January_201039"/>
      <sheetName val="fr_BS39"/>
      <sheetName val="P&amp;L_Adjustment39"/>
      <sheetName val="Main_Menu39"/>
      <sheetName val="Schedule_Contract_&amp;_SILO39"/>
      <sheetName val="Sales_and_Collections39"/>
      <sheetName val="Cost_of_Sales39"/>
      <sheetName val="Operating_Expenses_39"/>
      <sheetName val="Est__Income_By_Rig39"/>
      <sheetName val="Leasing_TA_Duri39"/>
      <sheetName val="TA_Jakarta39"/>
      <sheetName val="Breakdown_Cost-Well_Control39"/>
      <sheetName val="P_&amp;_L_1st-Invst-Well_Control39"/>
      <sheetName val="Asset_TA39"/>
      <sheetName val="Detail_COGS39"/>
      <sheetName val="CM_Tgl39"/>
      <sheetName val="Combined_FA39"/>
      <sheetName val="REF_ONLY18"/>
      <sheetName val="(ABS)_JUL-AGST'0719"/>
      <sheetName val="960_1123_03cleared18"/>
      <sheetName val="Flash_var_18"/>
      <sheetName val="Workshop_Tools18"/>
      <sheetName val="FE-1770_P118"/>
      <sheetName val="Exc__Rate18"/>
      <sheetName val="TERM_OF_PAYMENT18"/>
      <sheetName val="trf_7_jht18"/>
      <sheetName val="5610_1-1_TOP18"/>
      <sheetName val="ESTIMASI_MITRA18"/>
      <sheetName val="S_e_p18"/>
      <sheetName val="M_a_y18"/>
      <sheetName val="J_u_l18"/>
      <sheetName val="N_o_v18"/>
      <sheetName val="O_c_t18"/>
      <sheetName val="M_a_r18"/>
      <sheetName val="F_e_b18"/>
      <sheetName val="J_a_n18"/>
      <sheetName val="00_received_in_0118"/>
      <sheetName val="A_p_r18"/>
      <sheetName val="A_u_g18"/>
      <sheetName val="Per_GL_J_a_n18"/>
      <sheetName val="Tax_Rate18"/>
      <sheetName val="Permanent_info45"/>
      <sheetName val="details_fiscal_adjustments45"/>
      <sheetName val="Sum_empcost45"/>
      <sheetName val="Data_Sheet43"/>
      <sheetName val="Trial_Bal44"/>
      <sheetName val="Notes_to_BS44"/>
      <sheetName val="Mutasi_Final43"/>
      <sheetName val="fiscal_depr(E)44"/>
      <sheetName val="1998_CITR44"/>
      <sheetName val="NY_ADMIN43"/>
      <sheetName val="Mei_200743"/>
      <sheetName val="FA_Movement_IBIC44"/>
      <sheetName val="Client_Aje44"/>
      <sheetName val="Journal_Template44"/>
      <sheetName val="WIP_DETAIL_(GL_VS_NMP)43"/>
      <sheetName val="NO_FAKTUR44"/>
      <sheetName val="Gaikindo_Report44"/>
      <sheetName val="data_wp43"/>
      <sheetName val="Accounts_Payable_(AA)42"/>
      <sheetName val="1721-A1_(terbaru)42"/>
      <sheetName val="FA_Movement43"/>
      <sheetName val="Other_charges_(income)44"/>
      <sheetName val="WK_Local42"/>
      <sheetName val="FA_FISKAL43"/>
      <sheetName val="Accrued_(ckrg)43"/>
      <sheetName val="PROD_FRY-MONODON42"/>
      <sheetName val="TBCons_KMB0442"/>
      <sheetName val="FE-1771$_P142"/>
      <sheetName val="RWP_3342"/>
      <sheetName val="sep_ST42"/>
      <sheetName val="trf_multiple_dnrks42"/>
      <sheetName val="Q_142"/>
      <sheetName val="Horizon_Cost_Saves_Pkg42"/>
      <sheetName val="cost_recovery42"/>
      <sheetName val="Detail_Lead42"/>
      <sheetName val="Phasing_by_Month42"/>
      <sheetName val="Cost_Input_Sheet42"/>
      <sheetName val="C1_NOV42"/>
      <sheetName val="P&amp;L_INPUT42"/>
      <sheetName val="Portofolio_Trading42"/>
      <sheetName val="APAC_Q1FY09_-_Oracle42"/>
      <sheetName val="jan_book42"/>
      <sheetName val="Ref-As_Is_GL_acc42"/>
      <sheetName val="OthAsset_roll42"/>
      <sheetName val="Input_Sheet42"/>
      <sheetName val="Table_542"/>
      <sheetName val="TAX_LIST43"/>
      <sheetName val="Location_Details__2_42"/>
      <sheetName val="AR_EXPORT42"/>
      <sheetName val="MAP_BS42"/>
      <sheetName val="_WP_SPT_2012_-_23_04_2013_xls42"/>
      <sheetName val="SUMMARY_200142"/>
      <sheetName val="New_format_sales42"/>
      <sheetName val="TBC05_Net42"/>
      <sheetName val="Depreciation__schedule43"/>
      <sheetName val="Penyusutan_(2)43"/>
      <sheetName val="disposal_assets43"/>
      <sheetName val="provision_(3)43"/>
      <sheetName val="Recon-Art_2143"/>
      <sheetName val="FA-gainloss_(2)43"/>
      <sheetName val="fiscal_corr43"/>
      <sheetName val="1771_243"/>
      <sheetName val="1771_2(E)43"/>
      <sheetName val="Depr-Comp_(2)43"/>
      <sheetName val="Marshal_(3)43"/>
      <sheetName val="Marshal_(2)43"/>
      <sheetName val="provision_(2)43"/>
      <sheetName val="fiscal_corr_(3)43"/>
      <sheetName val="fiscal_corr_(2)43"/>
      <sheetName val="CostRecovery_-_JV43"/>
      <sheetName val="PENJ_NERACA42"/>
      <sheetName val="CASH_FLOW42"/>
      <sheetName val="Pnrmanent_info42"/>
      <sheetName val="Input__EAST42"/>
      <sheetName val="bill_qty42"/>
      <sheetName val="Simple_Coff_42"/>
      <sheetName val="I-PPh_Final42"/>
      <sheetName val="OT_August__Drmx__0842"/>
      <sheetName val="DATA_SLIP42"/>
      <sheetName val="1200_2042"/>
      <sheetName val="CC_142"/>
      <sheetName val="CC_242"/>
      <sheetName val="CC_342"/>
      <sheetName val="United_Kingdom42"/>
      <sheetName val="RE_reconciliation42"/>
      <sheetName val="V_D_5-242"/>
      <sheetName val="LE767_GLOBAL_CHECKLIST_update42"/>
      <sheetName val="PO_&amp;_TL_Market_Specific42"/>
      <sheetName val="Issue_Sheet42"/>
      <sheetName val="I__SAP_Screen42"/>
      <sheetName val="II__OTR_-_BAS_G142"/>
      <sheetName val="III__AR_Recon42"/>
      <sheetName val="IV__AR42"/>
      <sheetName val="V_Zero_rated42"/>
      <sheetName val="VI__IC_Recon_828_to_221342"/>
      <sheetName val="IC_Recon_800-221342"/>
      <sheetName val="Capital_Purchases_BAS42"/>
      <sheetName val="VII__AP_BAS_G1142"/>
      <sheetName val="VIII__KN_Rec42"/>
      <sheetName val="IX_ITR42"/>
      <sheetName val="X__1204100142"/>
      <sheetName val="XI__Cust_Output_GST42"/>
      <sheetName val="XII_Vend_Input_GST42"/>
      <sheetName val="å's_=42"/>
      <sheetName val="Invoice_Cross_Reference40"/>
      <sheetName val="Spec_2210440"/>
      <sheetName val="N_100_F_Lead40"/>
      <sheetName val="WP_IC_Exp_January_201040"/>
      <sheetName val="fr_BS40"/>
      <sheetName val="P&amp;L_Adjustment40"/>
      <sheetName val="Main_Menu40"/>
      <sheetName val="Schedule_Contract_&amp;_SILO40"/>
      <sheetName val="Sales_and_Collections40"/>
      <sheetName val="Cost_of_Sales40"/>
      <sheetName val="Operating_Expenses_40"/>
      <sheetName val="Est__Income_By_Rig40"/>
      <sheetName val="Leasing_TA_Duri40"/>
      <sheetName val="TA_Jakarta40"/>
      <sheetName val="Breakdown_Cost-Well_Control40"/>
      <sheetName val="P_&amp;_L_1st-Invst-Well_Control40"/>
      <sheetName val="Asset_TA40"/>
      <sheetName val="Detail_COGS40"/>
      <sheetName val="CM_Tgl40"/>
      <sheetName val="Combined_FA40"/>
      <sheetName val="REF_ONLY19"/>
      <sheetName val="(ABS)_JUL-AGST'0720"/>
      <sheetName val="960_1123_03cleared19"/>
      <sheetName val="Flash_var_19"/>
      <sheetName val="Workshop_Tools19"/>
      <sheetName val="FE-1770_P119"/>
      <sheetName val="Exc__Rate19"/>
      <sheetName val="TERM_OF_PAYMENT19"/>
      <sheetName val="trf_7_jht19"/>
      <sheetName val="5610_1-1_TOP19"/>
      <sheetName val="ESTIMASI_MITRA19"/>
      <sheetName val="S_e_p19"/>
      <sheetName val="M_a_y19"/>
      <sheetName val="J_u_l19"/>
      <sheetName val="N_o_v19"/>
      <sheetName val="O_c_t19"/>
      <sheetName val="M_a_r19"/>
      <sheetName val="F_e_b19"/>
      <sheetName val="J_a_n19"/>
      <sheetName val="00_received_in_0119"/>
      <sheetName val="A_p_r19"/>
      <sheetName val="A_u_g19"/>
      <sheetName val="Per_GL_J_a_n19"/>
      <sheetName val="Tax_Rate19"/>
      <sheetName val="Tab_Daten1"/>
      <sheetName val="AR_Karyawan1"/>
      <sheetName val="2-2022_AP_SUBS1"/>
      <sheetName val="Permanent_info46"/>
      <sheetName val="details_fiscal_adjustments46"/>
      <sheetName val="Sum_empcost46"/>
      <sheetName val="Data_Sheet44"/>
      <sheetName val="Trial_Bal45"/>
      <sheetName val="Notes_to_BS45"/>
      <sheetName val="Mutasi_Final44"/>
      <sheetName val="fiscal_depr(E)45"/>
      <sheetName val="1998_CITR45"/>
      <sheetName val="NY_ADMIN44"/>
      <sheetName val="Mei_200744"/>
      <sheetName val="FA_Movement_IBIC45"/>
      <sheetName val="Client_Aje45"/>
      <sheetName val="Journal_Template45"/>
      <sheetName val="WIP_DETAIL_(GL_VS_NMP)44"/>
      <sheetName val="NO_FAKTUR45"/>
      <sheetName val="Gaikindo_Report45"/>
      <sheetName val="data_wp44"/>
      <sheetName val="Accounts_Payable_(AA)43"/>
      <sheetName val="1721-A1_(terbaru)43"/>
      <sheetName val="FA_Movement44"/>
      <sheetName val="Other_charges_(income)45"/>
      <sheetName val="WK_Local43"/>
      <sheetName val="FA_FISKAL44"/>
      <sheetName val="Accrued_(ckrg)44"/>
      <sheetName val="PROD_FRY-MONODON43"/>
      <sheetName val="TBCons_KMB0443"/>
      <sheetName val="FE-1771$_P143"/>
      <sheetName val="RWP_3343"/>
      <sheetName val="sep_ST43"/>
      <sheetName val="trf_multiple_dnrks43"/>
      <sheetName val="Q_143"/>
      <sheetName val="Horizon_Cost_Saves_Pkg43"/>
      <sheetName val="cost_recovery43"/>
      <sheetName val="Detail_Lead43"/>
      <sheetName val="Phasing_by_Month43"/>
      <sheetName val="Cost_Input_Sheet43"/>
      <sheetName val="C1_NOV43"/>
      <sheetName val="P&amp;L_INPUT43"/>
      <sheetName val="Portofolio_Trading43"/>
      <sheetName val="APAC_Q1FY09_-_Oracle43"/>
      <sheetName val="jan_book43"/>
      <sheetName val="Ref-As_Is_GL_acc43"/>
      <sheetName val="OthAsset_roll43"/>
      <sheetName val="Input_Sheet43"/>
      <sheetName val="Table_543"/>
      <sheetName val="TAX_LIST44"/>
      <sheetName val="Location_Details__2_43"/>
      <sheetName val="AR_EXPORT43"/>
      <sheetName val="MAP_BS43"/>
      <sheetName val="_WP_SPT_2012_-_23_04_2013_xls43"/>
      <sheetName val="SUMMARY_200143"/>
      <sheetName val="New_format_sales43"/>
      <sheetName val="TBC05_Net43"/>
      <sheetName val="Depreciation__schedule44"/>
      <sheetName val="Penyusutan_(2)44"/>
      <sheetName val="disposal_assets44"/>
      <sheetName val="provision_(3)44"/>
      <sheetName val="Recon-Art_2144"/>
      <sheetName val="FA-gainloss_(2)44"/>
      <sheetName val="fiscal_corr44"/>
      <sheetName val="1771_244"/>
      <sheetName val="1771_2(E)44"/>
      <sheetName val="Depr-Comp_(2)44"/>
      <sheetName val="Marshal_(3)44"/>
      <sheetName val="Marshal_(2)44"/>
      <sheetName val="provision_(2)44"/>
      <sheetName val="fiscal_corr_(3)44"/>
      <sheetName val="fiscal_corr_(2)44"/>
      <sheetName val="CostRecovery_-_JV44"/>
      <sheetName val="PENJ_NERACA43"/>
      <sheetName val="CASH_FLOW43"/>
      <sheetName val="Pnrmanent_info43"/>
      <sheetName val="Input__EAST43"/>
      <sheetName val="bill_qty43"/>
      <sheetName val="Simple_Coff_43"/>
      <sheetName val="I-PPh_Final43"/>
      <sheetName val="OT_August__Drmx__0843"/>
      <sheetName val="DATA_SLIP43"/>
      <sheetName val="1200_2043"/>
      <sheetName val="CC_143"/>
      <sheetName val="CC_243"/>
      <sheetName val="CC_343"/>
      <sheetName val="United_Kingdom43"/>
      <sheetName val="RE_reconciliation43"/>
      <sheetName val="V_D_5-243"/>
      <sheetName val="LE767_GLOBAL_CHECKLIST_update43"/>
      <sheetName val="PO_&amp;_TL_Market_Specific43"/>
      <sheetName val="Issue_Sheet43"/>
      <sheetName val="I__SAP_Screen43"/>
      <sheetName val="II__OTR_-_BAS_G143"/>
      <sheetName val="III__AR_Recon43"/>
      <sheetName val="IV__AR43"/>
      <sheetName val="V_Zero_rated43"/>
      <sheetName val="VI__IC_Recon_828_to_221343"/>
      <sheetName val="IC_Recon_800-221343"/>
      <sheetName val="Capital_Purchases_BAS43"/>
      <sheetName val="VII__AP_BAS_G1143"/>
      <sheetName val="VIII__KN_Rec43"/>
      <sheetName val="IX_ITR43"/>
      <sheetName val="X__1204100143"/>
      <sheetName val="XI__Cust_Output_GST43"/>
      <sheetName val="XII_Vend_Input_GST43"/>
      <sheetName val="å's_=43"/>
      <sheetName val="Invoice_Cross_Reference41"/>
      <sheetName val="Spec_2210441"/>
      <sheetName val="N_100_F_Lead41"/>
      <sheetName val="WP_IC_Exp_January_201041"/>
      <sheetName val="fr_BS41"/>
      <sheetName val="P&amp;L_Adjustment41"/>
      <sheetName val="Main_Menu41"/>
      <sheetName val="Schedule_Contract_&amp;_SILO41"/>
      <sheetName val="Sales_and_Collections41"/>
      <sheetName val="Cost_of_Sales41"/>
      <sheetName val="Operating_Expenses_41"/>
      <sheetName val="Est__Income_By_Rig41"/>
      <sheetName val="Leasing_TA_Duri41"/>
      <sheetName val="TA_Jakarta41"/>
      <sheetName val="Breakdown_Cost-Well_Control41"/>
      <sheetName val="P_&amp;_L_1st-Invst-Well_Control41"/>
      <sheetName val="Asset_TA41"/>
      <sheetName val="Detail_COGS41"/>
      <sheetName val="CM_Tgl41"/>
      <sheetName val="Combined_FA41"/>
      <sheetName val="REF_ONLY20"/>
      <sheetName val="(ABS)_JUL-AGST'0721"/>
      <sheetName val="960_1123_03cleared20"/>
      <sheetName val="Flash_var_20"/>
      <sheetName val="Workshop_Tools20"/>
      <sheetName val="FE-1770_P120"/>
      <sheetName val="Exc__Rate20"/>
      <sheetName val="TERM_OF_PAYMENT20"/>
      <sheetName val="trf_7_jht20"/>
      <sheetName val="5610_1-1_TOP20"/>
      <sheetName val="ESTIMASI_MITRA20"/>
      <sheetName val="S_e_p20"/>
      <sheetName val="M_a_y20"/>
      <sheetName val="J_u_l20"/>
      <sheetName val="N_o_v20"/>
      <sheetName val="O_c_t20"/>
      <sheetName val="M_a_r20"/>
      <sheetName val="F_e_b20"/>
      <sheetName val="J_a_n20"/>
      <sheetName val="00_received_in_0120"/>
      <sheetName val="A_p_r20"/>
      <sheetName val="A_u_g20"/>
      <sheetName val="Per_GL_J_a_n20"/>
      <sheetName val="Tax_Rate20"/>
      <sheetName val="Tab_Daten2"/>
      <sheetName val="AR_Karyawan2"/>
      <sheetName val="2-2022_AP_SUBS2"/>
      <sheetName val="Permanent_info47"/>
      <sheetName val="details_fiscal_adjustments47"/>
      <sheetName val="Sum_empcost47"/>
      <sheetName val="Trial_Bal46"/>
      <sheetName val="Notes_to_BS46"/>
      <sheetName val="Data_Sheet45"/>
      <sheetName val="Mutasi_Final45"/>
      <sheetName val="Client_Aje46"/>
      <sheetName val="fiscal_depr(E)46"/>
      <sheetName val="FA_Movement_IBIC46"/>
      <sheetName val="NO_FAKTUR46"/>
      <sheetName val="Journal_Template46"/>
      <sheetName val="1998_CITR46"/>
      <sheetName val="Gaikindo_Report46"/>
      <sheetName val="NY_ADMIN45"/>
      <sheetName val="Mei_200745"/>
      <sheetName val="WIP_DETAIL_(GL_VS_NMP)45"/>
      <sheetName val="PROD_FRY-MONODON44"/>
      <sheetName val="data_wp45"/>
      <sheetName val="Accounts_Payable_(AA)44"/>
      <sheetName val="Other_charges_(income)46"/>
      <sheetName val="FA_FISKAL45"/>
      <sheetName val="Accrued_(ckrg)45"/>
      <sheetName val="trf_multiple_dnrks44"/>
      <sheetName val="Q_144"/>
      <sheetName val="WK_Local44"/>
      <sheetName val="FE-1771$_P144"/>
      <sheetName val="RWP_3344"/>
      <sheetName val="FA_Movement45"/>
      <sheetName val="TBCons_KMB0444"/>
      <sheetName val="1721-A1_(terbaru)44"/>
      <sheetName val="_WP_SPT_2012_-_23_04_2013_xls44"/>
      <sheetName val="SUMMARY_200144"/>
      <sheetName val="sep_ST44"/>
      <sheetName val="C1_NOV44"/>
      <sheetName val="Detail_Lead44"/>
      <sheetName val="Horizon_Cost_Saves_Pkg44"/>
      <sheetName val="P&amp;L_INPUT44"/>
      <sheetName val="Portofolio_Trading44"/>
      <sheetName val="APAC_Q1FY09_-_Oracle44"/>
      <sheetName val="cost_recovery44"/>
      <sheetName val="Phasing_by_Month44"/>
      <sheetName val="Cost_Input_Sheet44"/>
      <sheetName val="OthAsset_roll44"/>
      <sheetName val="jan_book44"/>
      <sheetName val="Ref-As_Is_GL_acc44"/>
      <sheetName val="Location_Details__2_44"/>
      <sheetName val="Input_Sheet44"/>
      <sheetName val="MAP_BS44"/>
      <sheetName val="New_format_sales44"/>
      <sheetName val="Table_544"/>
      <sheetName val="TAX_LIST45"/>
      <sheetName val="AR_EXPORT44"/>
      <sheetName val="TBC05_Net44"/>
      <sheetName val="Depreciation__schedule45"/>
      <sheetName val="Penyusutan_(2)45"/>
      <sheetName val="disposal_assets45"/>
      <sheetName val="provision_(3)45"/>
      <sheetName val="Recon-Art_2145"/>
      <sheetName val="FA-gainloss_(2)45"/>
      <sheetName val="fiscal_corr45"/>
      <sheetName val="1771_245"/>
      <sheetName val="1771_2(E)45"/>
      <sheetName val="Depr-Comp_(2)45"/>
      <sheetName val="Marshal_(3)45"/>
      <sheetName val="Marshal_(2)45"/>
      <sheetName val="provision_(2)45"/>
      <sheetName val="fiscal_corr_(3)45"/>
      <sheetName val="fiscal_corr_(2)45"/>
      <sheetName val="CostRecovery_-_JV45"/>
      <sheetName val="PENJ_NERACA44"/>
      <sheetName val="CASH_FLOW44"/>
      <sheetName val="Pnrmanent_info44"/>
      <sheetName val="Input__EAST44"/>
      <sheetName val="bill_qty44"/>
      <sheetName val="Simple_Coff_44"/>
      <sheetName val="I-PPh_Final44"/>
      <sheetName val="OT_August__Drmx__0844"/>
      <sheetName val="DATA_SLIP44"/>
      <sheetName val="1200_2044"/>
      <sheetName val="United_Kingdom44"/>
      <sheetName val="RE_reconciliation44"/>
      <sheetName val="V_D_5-244"/>
      <sheetName val="CC_144"/>
      <sheetName val="CC_244"/>
      <sheetName val="CC_344"/>
      <sheetName val="fr_BS42"/>
      <sheetName val="LE767_GLOBAL_CHECKLIST_update44"/>
      <sheetName val="PO_&amp;_TL_Market_Specific44"/>
      <sheetName val="Issue_Sheet44"/>
      <sheetName val="I__SAP_Screen44"/>
      <sheetName val="II__OTR_-_BAS_G144"/>
      <sheetName val="III__AR_Recon44"/>
      <sheetName val="IV__AR44"/>
      <sheetName val="V_Zero_rated44"/>
      <sheetName val="VI__IC_Recon_828_to_221344"/>
      <sheetName val="IC_Recon_800-221344"/>
      <sheetName val="Capital_Purchases_BAS44"/>
      <sheetName val="VII__AP_BAS_G1144"/>
      <sheetName val="VIII__KN_Rec44"/>
      <sheetName val="IX_ITR44"/>
      <sheetName val="X__1204100144"/>
      <sheetName val="XI__Cust_Output_GST44"/>
      <sheetName val="XII_Vend_Input_GST44"/>
      <sheetName val="å's_=44"/>
      <sheetName val="P&amp;L_Adjustment42"/>
      <sheetName val="Main_Menu42"/>
      <sheetName val="Schedule_Contract_&amp;_SILO42"/>
      <sheetName val="Sales_and_Collections42"/>
      <sheetName val="Cost_of_Sales42"/>
      <sheetName val="Operating_Expenses_42"/>
      <sheetName val="Est__Income_By_Rig42"/>
      <sheetName val="Leasing_TA_Duri42"/>
      <sheetName val="TA_Jakarta42"/>
      <sheetName val="Breakdown_Cost-Well_Control42"/>
      <sheetName val="P_&amp;_L_1st-Invst-Well_Control42"/>
      <sheetName val="Asset_TA42"/>
      <sheetName val="Detail_COGS42"/>
      <sheetName val="N_100_F_Lead42"/>
      <sheetName val="WP_IC_Exp_January_201042"/>
      <sheetName val="Invoice_Cross_Reference42"/>
      <sheetName val="Spec_2210442"/>
      <sheetName val="CM_Tgl42"/>
      <sheetName val="Combined_FA42"/>
      <sheetName val="REF_ONLY21"/>
      <sheetName val="(ABS)_JUL-AGST'0722"/>
      <sheetName val="960_1123_03cleared21"/>
      <sheetName val="Flash_var_21"/>
      <sheetName val="Workshop_Tools21"/>
      <sheetName val="FE-1770_P121"/>
      <sheetName val="Exc__Rate21"/>
      <sheetName val="TERM_OF_PAYMENT21"/>
      <sheetName val="trf_7_jht21"/>
      <sheetName val="5610_1-1_TOP21"/>
      <sheetName val="ESTIMASI_MITRA21"/>
      <sheetName val="S_e_p21"/>
      <sheetName val="M_a_y21"/>
      <sheetName val="J_u_l21"/>
      <sheetName val="N_o_v21"/>
      <sheetName val="O_c_t21"/>
      <sheetName val="M_a_r21"/>
      <sheetName val="F_e_b21"/>
      <sheetName val="J_a_n21"/>
      <sheetName val="00_received_in_0121"/>
      <sheetName val="A_p_r21"/>
      <sheetName val="A_u_g21"/>
      <sheetName val="Per_GL_J_a_n21"/>
      <sheetName val="Tax_Rate21"/>
      <sheetName val="Income_Statement3"/>
      <sheetName val="Tab_Daten3"/>
      <sheetName val="2_Gaji-Bag3"/>
      <sheetName val="AR_Karyawan3"/>
      <sheetName val="Account_Code3"/>
      <sheetName val="2-2022_AP_SUBS3"/>
      <sheetName val="Permanent_info48"/>
      <sheetName val="details_fiscal_adjustments48"/>
      <sheetName val="Sum_empcost48"/>
      <sheetName val="Trial_Bal47"/>
      <sheetName val="Notes_to_BS47"/>
      <sheetName val="Data_Sheet46"/>
      <sheetName val="Mutasi_Final46"/>
      <sheetName val="Client_Aje47"/>
      <sheetName val="fiscal_depr(E)47"/>
      <sheetName val="FA_Movement_IBIC47"/>
      <sheetName val="NO_FAKTUR47"/>
      <sheetName val="Journal_Template47"/>
      <sheetName val="1998_CITR47"/>
      <sheetName val="Gaikindo_Report47"/>
      <sheetName val="NY_ADMIN46"/>
      <sheetName val="Mei_200746"/>
      <sheetName val="WIP_DETAIL_(GL_VS_NMP)46"/>
      <sheetName val="PROD_FRY-MONODON45"/>
      <sheetName val="data_wp46"/>
      <sheetName val="Accounts_Payable_(AA)45"/>
      <sheetName val="Other_charges_(income)47"/>
      <sheetName val="FA_FISKAL46"/>
      <sheetName val="Accrued_(ckrg)46"/>
      <sheetName val="trf_multiple_dnrks45"/>
      <sheetName val="Q_145"/>
      <sheetName val="WK_Local45"/>
      <sheetName val="FE-1771$_P145"/>
      <sheetName val="RWP_3345"/>
      <sheetName val="FA_Movement46"/>
      <sheetName val="TBCons_KMB0445"/>
      <sheetName val="1721-A1_(terbaru)45"/>
      <sheetName val="_WP_SPT_2012_-_23_04_2013_xls45"/>
      <sheetName val="SUMMARY_200145"/>
      <sheetName val="sep_ST45"/>
      <sheetName val="C1_NOV45"/>
      <sheetName val="Detail_Lead45"/>
      <sheetName val="Horizon_Cost_Saves_Pkg45"/>
      <sheetName val="P&amp;L_INPUT45"/>
      <sheetName val="Portofolio_Trading45"/>
      <sheetName val="APAC_Q1FY09_-_Oracle45"/>
      <sheetName val="cost_recovery45"/>
      <sheetName val="Phasing_by_Month45"/>
      <sheetName val="Cost_Input_Sheet45"/>
      <sheetName val="OthAsset_roll45"/>
      <sheetName val="jan_book45"/>
      <sheetName val="Ref-As_Is_GL_acc45"/>
      <sheetName val="Location_Details__2_45"/>
      <sheetName val="Input_Sheet45"/>
      <sheetName val="MAP_BS45"/>
      <sheetName val="New_format_sales45"/>
      <sheetName val="Table_545"/>
      <sheetName val="TAX_LIST46"/>
      <sheetName val="AR_EXPORT45"/>
      <sheetName val="TBC05_Net45"/>
      <sheetName val="Depreciation__schedule46"/>
      <sheetName val="Penyusutan_(2)46"/>
      <sheetName val="disposal_assets46"/>
      <sheetName val="provision_(3)46"/>
      <sheetName val="Recon-Art_2146"/>
      <sheetName val="FA-gainloss_(2)46"/>
      <sheetName val="fiscal_corr46"/>
      <sheetName val="1771_246"/>
      <sheetName val="1771_2(E)46"/>
      <sheetName val="Depr-Comp_(2)46"/>
      <sheetName val="Marshal_(3)46"/>
      <sheetName val="Marshal_(2)46"/>
      <sheetName val="provision_(2)46"/>
      <sheetName val="fiscal_corr_(3)46"/>
      <sheetName val="fiscal_corr_(2)46"/>
      <sheetName val="CostRecovery_-_JV46"/>
      <sheetName val="PENJ_NERACA45"/>
      <sheetName val="CASH_FLOW45"/>
      <sheetName val="Pnrmanent_info45"/>
      <sheetName val="Input__EAST45"/>
      <sheetName val="bill_qty45"/>
      <sheetName val="Simple_Coff_45"/>
      <sheetName val="I-PPh_Final45"/>
      <sheetName val="OT_August__Drmx__0845"/>
      <sheetName val="DATA_SLIP45"/>
      <sheetName val="1200_2045"/>
      <sheetName val="United_Kingdom45"/>
      <sheetName val="RE_reconciliation45"/>
      <sheetName val="V_D_5-245"/>
      <sheetName val="CC_145"/>
      <sheetName val="CC_245"/>
      <sheetName val="CC_345"/>
      <sheetName val="fr_BS43"/>
      <sheetName val="LE767_GLOBAL_CHECKLIST_update45"/>
      <sheetName val="PO_&amp;_TL_Market_Specific45"/>
      <sheetName val="Issue_Sheet45"/>
      <sheetName val="I__SAP_Screen45"/>
      <sheetName val="II__OTR_-_BAS_G145"/>
      <sheetName val="III__AR_Recon45"/>
      <sheetName val="IV__AR45"/>
      <sheetName val="V_Zero_rated45"/>
      <sheetName val="VI__IC_Recon_828_to_221345"/>
      <sheetName val="IC_Recon_800-221345"/>
      <sheetName val="Capital_Purchases_BAS45"/>
      <sheetName val="VII__AP_BAS_G1145"/>
      <sheetName val="VIII__KN_Rec45"/>
      <sheetName val="IX_ITR45"/>
      <sheetName val="X__1204100145"/>
      <sheetName val="XI__Cust_Output_GST45"/>
      <sheetName val="XII_Vend_Input_GST45"/>
      <sheetName val="å's_=45"/>
      <sheetName val="P&amp;L_Adjustment43"/>
      <sheetName val="Main_Menu43"/>
      <sheetName val="Schedule_Contract_&amp;_SILO43"/>
      <sheetName val="Sales_and_Collections43"/>
      <sheetName val="Cost_of_Sales43"/>
      <sheetName val="Operating_Expenses_43"/>
      <sheetName val="Est__Income_By_Rig43"/>
      <sheetName val="Leasing_TA_Duri43"/>
      <sheetName val="TA_Jakarta43"/>
      <sheetName val="Breakdown_Cost-Well_Control43"/>
      <sheetName val="P_&amp;_L_1st-Invst-Well_Control43"/>
      <sheetName val="Asset_TA43"/>
      <sheetName val="Detail_COGS43"/>
      <sheetName val="N_100_F_Lead43"/>
      <sheetName val="WP_IC_Exp_January_201043"/>
      <sheetName val="Invoice_Cross_Reference43"/>
      <sheetName val="Spec_2210443"/>
      <sheetName val="CM_Tgl43"/>
      <sheetName val="Combined_FA43"/>
      <sheetName val="REF_ONLY22"/>
      <sheetName val="(ABS)_JUL-AGST'0723"/>
      <sheetName val="960_1123_03cleared22"/>
      <sheetName val="Flash_var_22"/>
      <sheetName val="Workshop_Tools22"/>
      <sheetName val="FE-1770_P122"/>
      <sheetName val="Exc__Rate22"/>
      <sheetName val="TERM_OF_PAYMENT22"/>
      <sheetName val="trf_7_jht22"/>
      <sheetName val="5610_1-1_TOP22"/>
      <sheetName val="ESTIMASI_MITRA22"/>
      <sheetName val="S_e_p22"/>
      <sheetName val="M_a_y22"/>
      <sheetName val="J_u_l22"/>
      <sheetName val="N_o_v22"/>
      <sheetName val="O_c_t22"/>
      <sheetName val="M_a_r22"/>
      <sheetName val="F_e_b22"/>
      <sheetName val="J_a_n22"/>
      <sheetName val="00_received_in_0122"/>
      <sheetName val="A_p_r22"/>
      <sheetName val="A_u_g22"/>
      <sheetName val="Per_GL_J_a_n22"/>
      <sheetName val="Tax_Rate22"/>
      <sheetName val="Income_Statement4"/>
      <sheetName val="Tab_Daten4"/>
      <sheetName val="2_Gaji-Bag4"/>
      <sheetName val="AR_Karyawan4"/>
      <sheetName val="Account_Code4"/>
      <sheetName val="2-2022_AP_SUBS4"/>
      <sheetName val="RKP MARET'11"/>
      <sheetName val="YearEnd02"/>
      <sheetName val="bayar_04_fak"/>
      <sheetName val="PPh badan"/>
    </sheetNames>
    <sheetDataSet>
      <sheetData sheetId="0" refreshError="1"/>
      <sheetData sheetId="1" refreshError="1">
        <row r="7">
          <cell r="E7" t="str">
            <v>PT NEWCREST SUMATRA MINERALS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7">
          <cell r="E7" t="str">
            <v>PT NEWCREST SUMATRA MINERALS</v>
          </cell>
        </row>
      </sheetData>
      <sheetData sheetId="7">
        <row r="7">
          <cell r="E7" t="str">
            <v>PT NEWCREST SUMATRA MINERALS</v>
          </cell>
        </row>
      </sheetData>
      <sheetData sheetId="8" refreshError="1"/>
      <sheetData sheetId="9">
        <row r="7">
          <cell r="E7" t="str">
            <v>PT NEWCREST SUMATRA MINERALS</v>
          </cell>
        </row>
      </sheetData>
      <sheetData sheetId="10" refreshError="1"/>
      <sheetData sheetId="11">
        <row r="7">
          <cell r="E7" t="str">
            <v>PT NEWCREST SUMATRA MINERALS</v>
          </cell>
        </row>
      </sheetData>
      <sheetData sheetId="12" refreshError="1"/>
      <sheetData sheetId="13">
        <row r="7">
          <cell r="E7" t="str">
            <v>PT NEWCREST SUMATRA MINERALS</v>
          </cell>
        </row>
      </sheetData>
      <sheetData sheetId="14" refreshError="1"/>
      <sheetData sheetId="15">
        <row r="7">
          <cell r="E7" t="str">
            <v>PT NEWCREST SUMATRA MINERALS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>
        <row r="31">
          <cell r="R31">
            <v>0</v>
          </cell>
        </row>
      </sheetData>
      <sheetData sheetId="156">
        <row r="7">
          <cell r="E7" t="str">
            <v>PT NEWCREST SUMATRA MINERALS</v>
          </cell>
        </row>
      </sheetData>
      <sheetData sheetId="157">
        <row r="7">
          <cell r="E7" t="str">
            <v>PT NEWCREST SUMATRA MINERALS</v>
          </cell>
        </row>
      </sheetData>
      <sheetData sheetId="158">
        <row r="7">
          <cell r="E7" t="str">
            <v>PT NEWCREST SUMATRA MINERALS</v>
          </cell>
        </row>
      </sheetData>
      <sheetData sheetId="159">
        <row r="31">
          <cell r="R31">
            <v>0</v>
          </cell>
        </row>
      </sheetData>
      <sheetData sheetId="160">
        <row r="31">
          <cell r="R31">
            <v>0</v>
          </cell>
        </row>
      </sheetData>
      <sheetData sheetId="161">
        <row r="31">
          <cell r="R31">
            <v>0</v>
          </cell>
        </row>
      </sheetData>
      <sheetData sheetId="162">
        <row r="7">
          <cell r="E7" t="str">
            <v>PT NEWCREST SUMATRA MINERALS</v>
          </cell>
        </row>
      </sheetData>
      <sheetData sheetId="163">
        <row r="31">
          <cell r="R31">
            <v>0</v>
          </cell>
        </row>
      </sheetData>
      <sheetData sheetId="164">
        <row r="31">
          <cell r="R31">
            <v>0</v>
          </cell>
        </row>
      </sheetData>
      <sheetData sheetId="165">
        <row r="31">
          <cell r="R31">
            <v>0</v>
          </cell>
        </row>
      </sheetData>
      <sheetData sheetId="166">
        <row r="31">
          <cell r="R31">
            <v>0</v>
          </cell>
        </row>
      </sheetData>
      <sheetData sheetId="167">
        <row r="31">
          <cell r="R31">
            <v>0</v>
          </cell>
        </row>
      </sheetData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>
        <row r="36">
          <cell r="G36">
            <v>0</v>
          </cell>
        </row>
      </sheetData>
      <sheetData sheetId="312">
        <row r="36">
          <cell r="G36">
            <v>0</v>
          </cell>
        </row>
      </sheetData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>
        <row r="31">
          <cell r="R31">
            <v>0</v>
          </cell>
        </row>
      </sheetData>
      <sheetData sheetId="437">
        <row r="7">
          <cell r="E7" t="str">
            <v>PT NEWCREST SUMATRA MINERALS</v>
          </cell>
        </row>
      </sheetData>
      <sheetData sheetId="438">
        <row r="7">
          <cell r="E7" t="str">
            <v>PT NEWCREST SUMATRA MINERALS</v>
          </cell>
        </row>
      </sheetData>
      <sheetData sheetId="439"/>
      <sheetData sheetId="440">
        <row r="31">
          <cell r="R31">
            <v>0</v>
          </cell>
        </row>
      </sheetData>
      <sheetData sheetId="441">
        <row r="36">
          <cell r="G36">
            <v>0</v>
          </cell>
        </row>
      </sheetData>
      <sheetData sheetId="442">
        <row r="31">
          <cell r="R31">
            <v>0</v>
          </cell>
        </row>
      </sheetData>
      <sheetData sheetId="443"/>
      <sheetData sheetId="444"/>
      <sheetData sheetId="445">
        <row r="36">
          <cell r="G36">
            <v>0</v>
          </cell>
        </row>
      </sheetData>
      <sheetData sheetId="446">
        <row r="7">
          <cell r="E7" t="str">
            <v>PT NEWCREST SUMATRA MINERALS</v>
          </cell>
        </row>
      </sheetData>
      <sheetData sheetId="447"/>
      <sheetData sheetId="448">
        <row r="36">
          <cell r="G36">
            <v>0</v>
          </cell>
        </row>
      </sheetData>
      <sheetData sheetId="449">
        <row r="7">
          <cell r="E7" t="str">
            <v>PT NEWCREST SUMATRA MINERALS</v>
          </cell>
        </row>
      </sheetData>
      <sheetData sheetId="450">
        <row r="36">
          <cell r="G36">
            <v>0</v>
          </cell>
        </row>
      </sheetData>
      <sheetData sheetId="451">
        <row r="7">
          <cell r="E7" t="str">
            <v>PT NEWCREST SUMATRA MINERALS</v>
          </cell>
        </row>
      </sheetData>
      <sheetData sheetId="452">
        <row r="7">
          <cell r="E7" t="str">
            <v>PT NEWCREST SUMATRA MINERALS</v>
          </cell>
        </row>
      </sheetData>
      <sheetData sheetId="453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>
        <row r="36">
          <cell r="G36">
            <v>0</v>
          </cell>
        </row>
      </sheetData>
      <sheetData sheetId="496">
        <row r="7">
          <cell r="E7" t="str">
            <v>PT NEWCREST SUMATRA MINERALS</v>
          </cell>
        </row>
      </sheetData>
      <sheetData sheetId="497">
        <row r="36">
          <cell r="G36">
            <v>0</v>
          </cell>
        </row>
      </sheetData>
      <sheetData sheetId="498">
        <row r="36">
          <cell r="G36">
            <v>0</v>
          </cell>
        </row>
      </sheetData>
      <sheetData sheetId="499">
        <row r="36">
          <cell r="G36">
            <v>0</v>
          </cell>
        </row>
      </sheetData>
      <sheetData sheetId="500">
        <row r="36">
          <cell r="G36">
            <v>0</v>
          </cell>
        </row>
      </sheetData>
      <sheetData sheetId="501">
        <row r="36">
          <cell r="G36">
            <v>0</v>
          </cell>
        </row>
      </sheetData>
      <sheetData sheetId="502">
        <row r="36">
          <cell r="G36">
            <v>0</v>
          </cell>
        </row>
      </sheetData>
      <sheetData sheetId="503">
        <row r="36">
          <cell r="G36">
            <v>0</v>
          </cell>
        </row>
      </sheetData>
      <sheetData sheetId="504">
        <row r="36">
          <cell r="G36">
            <v>0</v>
          </cell>
        </row>
      </sheetData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>
        <row r="36">
          <cell r="G36">
            <v>0</v>
          </cell>
        </row>
      </sheetData>
      <sheetData sheetId="522">
        <row r="7">
          <cell r="E7" t="str">
            <v>PT NEWCREST SUMATRA MINERALS</v>
          </cell>
        </row>
      </sheetData>
      <sheetData sheetId="523">
        <row r="31">
          <cell r="R31">
            <v>0</v>
          </cell>
        </row>
      </sheetData>
      <sheetData sheetId="524">
        <row r="7">
          <cell r="E7" t="str">
            <v>PT NEWCREST SUMATRA MINERALS</v>
          </cell>
        </row>
      </sheetData>
      <sheetData sheetId="525">
        <row r="7">
          <cell r="E7" t="str">
            <v>PT NEWCREST SUMATRA MINERALS</v>
          </cell>
        </row>
      </sheetData>
      <sheetData sheetId="526">
        <row r="31">
          <cell r="R31">
            <v>0</v>
          </cell>
        </row>
      </sheetData>
      <sheetData sheetId="527">
        <row r="31">
          <cell r="R31">
            <v>0</v>
          </cell>
        </row>
      </sheetData>
      <sheetData sheetId="528"/>
      <sheetData sheetId="529"/>
      <sheetData sheetId="530">
        <row r="36">
          <cell r="G36">
            <v>0</v>
          </cell>
        </row>
      </sheetData>
      <sheetData sheetId="531">
        <row r="31">
          <cell r="R31">
            <v>0</v>
          </cell>
        </row>
      </sheetData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>
        <row r="36">
          <cell r="G36">
            <v>0</v>
          </cell>
        </row>
      </sheetData>
      <sheetData sheetId="543"/>
      <sheetData sheetId="544"/>
      <sheetData sheetId="545"/>
      <sheetData sheetId="546"/>
      <sheetData sheetId="547"/>
      <sheetData sheetId="548"/>
      <sheetData sheetId="549"/>
      <sheetData sheetId="550">
        <row r="36">
          <cell r="G36">
            <v>0</v>
          </cell>
        </row>
      </sheetData>
      <sheetData sheetId="551">
        <row r="36">
          <cell r="G36">
            <v>0</v>
          </cell>
        </row>
      </sheetData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/>
      <sheetData sheetId="584" refreshError="1"/>
      <sheetData sheetId="585" refreshError="1"/>
      <sheetData sheetId="586"/>
      <sheetData sheetId="587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>
        <row r="7">
          <cell r="E7" t="str">
            <v>PT NEWCREST SUMATRA MINERALS</v>
          </cell>
        </row>
      </sheetData>
      <sheetData sheetId="628"/>
      <sheetData sheetId="629"/>
      <sheetData sheetId="630">
        <row r="7">
          <cell r="E7" t="str">
            <v>PT NEWCREST SUMATRA MINERALS</v>
          </cell>
        </row>
      </sheetData>
      <sheetData sheetId="631"/>
      <sheetData sheetId="632">
        <row r="36">
          <cell r="G36">
            <v>0</v>
          </cell>
        </row>
      </sheetData>
      <sheetData sheetId="633">
        <row r="7">
          <cell r="E7" t="str">
            <v>PT NEWCREST SUMATRA MINERALS</v>
          </cell>
        </row>
      </sheetData>
      <sheetData sheetId="634">
        <row r="31">
          <cell r="R31">
            <v>0</v>
          </cell>
        </row>
      </sheetData>
      <sheetData sheetId="635">
        <row r="31">
          <cell r="R31">
            <v>0</v>
          </cell>
        </row>
      </sheetData>
      <sheetData sheetId="636">
        <row r="7">
          <cell r="E7" t="str">
            <v>PT NEWCREST SUMATRA MINERALS</v>
          </cell>
        </row>
      </sheetData>
      <sheetData sheetId="637">
        <row r="31">
          <cell r="R31">
            <v>0</v>
          </cell>
        </row>
      </sheetData>
      <sheetData sheetId="638">
        <row r="31">
          <cell r="R31">
            <v>0</v>
          </cell>
        </row>
      </sheetData>
      <sheetData sheetId="639">
        <row r="7">
          <cell r="E7" t="str">
            <v>PT NEWCREST SUMATRA MINERALS</v>
          </cell>
        </row>
      </sheetData>
      <sheetData sheetId="640">
        <row r="31">
          <cell r="R31">
            <v>0</v>
          </cell>
        </row>
      </sheetData>
      <sheetData sheetId="641">
        <row r="31">
          <cell r="R31">
            <v>0</v>
          </cell>
        </row>
      </sheetData>
      <sheetData sheetId="642">
        <row r="7">
          <cell r="E7" t="str">
            <v>PT NEWCREST SUMATRA MINERALS</v>
          </cell>
        </row>
      </sheetData>
      <sheetData sheetId="643"/>
      <sheetData sheetId="644"/>
      <sheetData sheetId="645">
        <row r="7">
          <cell r="E7" t="str">
            <v>PT NEWCREST SUMATRA MINERALS</v>
          </cell>
        </row>
      </sheetData>
      <sheetData sheetId="646"/>
      <sheetData sheetId="647"/>
      <sheetData sheetId="648">
        <row r="7">
          <cell r="E7" t="str">
            <v>PT NEWCREST SUMATRA MINERALS</v>
          </cell>
        </row>
      </sheetData>
      <sheetData sheetId="649"/>
      <sheetData sheetId="650"/>
      <sheetData sheetId="651">
        <row r="7">
          <cell r="E7" t="str">
            <v>PT NEWCREST SUMATRA MINERALS</v>
          </cell>
        </row>
      </sheetData>
      <sheetData sheetId="652">
        <row r="7">
          <cell r="E7" t="str">
            <v>PT NEWCREST SUMATRA MINERALS</v>
          </cell>
        </row>
      </sheetData>
      <sheetData sheetId="653">
        <row r="7">
          <cell r="E7" t="str">
            <v>PT NEWCREST SUMATRA MINERALS</v>
          </cell>
        </row>
      </sheetData>
      <sheetData sheetId="654">
        <row r="7">
          <cell r="E7" t="str">
            <v>PT NEWCREST SUMATRA MINERALS</v>
          </cell>
        </row>
      </sheetData>
      <sheetData sheetId="655"/>
      <sheetData sheetId="656"/>
      <sheetData sheetId="657">
        <row r="7">
          <cell r="E7" t="str">
            <v>PT NEWCREST SUMATRA MINERALS</v>
          </cell>
        </row>
      </sheetData>
      <sheetData sheetId="658"/>
      <sheetData sheetId="659"/>
      <sheetData sheetId="660">
        <row r="7">
          <cell r="E7" t="str">
            <v>PT NEWCREST SUMATRA MINERALS</v>
          </cell>
        </row>
      </sheetData>
      <sheetData sheetId="661">
        <row r="31">
          <cell r="R31">
            <v>0</v>
          </cell>
        </row>
      </sheetData>
      <sheetData sheetId="662"/>
      <sheetData sheetId="663"/>
      <sheetData sheetId="664"/>
      <sheetData sheetId="665">
        <row r="7">
          <cell r="E7" t="str">
            <v>PT NEWCREST SUMATRA MINERALS</v>
          </cell>
        </row>
      </sheetData>
      <sheetData sheetId="666"/>
      <sheetData sheetId="667"/>
      <sheetData sheetId="668">
        <row r="7">
          <cell r="E7" t="str">
            <v>PT NEWCREST SUMATRA MINERALS</v>
          </cell>
        </row>
      </sheetData>
      <sheetData sheetId="669">
        <row r="7">
          <cell r="E7" t="str">
            <v>PT NEWCREST SUMATRA MINERALS</v>
          </cell>
        </row>
      </sheetData>
      <sheetData sheetId="670"/>
      <sheetData sheetId="67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>
        <row r="7">
          <cell r="E7" t="str">
            <v>PT NEWCREST SUMATRA MINERALS</v>
          </cell>
        </row>
      </sheetData>
      <sheetData sheetId="684"/>
      <sheetData sheetId="685"/>
      <sheetData sheetId="686">
        <row r="7">
          <cell r="E7" t="str">
            <v>PT NEWCREST SUMATRA MINERALS</v>
          </cell>
        </row>
      </sheetData>
      <sheetData sheetId="687"/>
      <sheetData sheetId="688">
        <row r="7">
          <cell r="E7" t="str">
            <v>PT NEWCREST SUMATRA MINERALS</v>
          </cell>
        </row>
      </sheetData>
      <sheetData sheetId="689">
        <row r="31">
          <cell r="R31">
            <v>0</v>
          </cell>
        </row>
      </sheetData>
      <sheetData sheetId="690">
        <row r="31">
          <cell r="R31">
            <v>0</v>
          </cell>
        </row>
      </sheetData>
      <sheetData sheetId="691">
        <row r="7">
          <cell r="E7" t="str">
            <v>PT NEWCREST SUMATRA MINERALS</v>
          </cell>
        </row>
      </sheetData>
      <sheetData sheetId="692"/>
      <sheetData sheetId="693">
        <row r="36">
          <cell r="G36">
            <v>0</v>
          </cell>
        </row>
      </sheetData>
      <sheetData sheetId="694">
        <row r="7">
          <cell r="E7" t="str">
            <v>PT NEWCREST SUMATRA MINERALS</v>
          </cell>
        </row>
      </sheetData>
      <sheetData sheetId="695"/>
      <sheetData sheetId="696"/>
      <sheetData sheetId="697">
        <row r="7">
          <cell r="E7" t="str">
            <v>PT NEWCREST SUMATRA MINERALS</v>
          </cell>
        </row>
      </sheetData>
      <sheetData sheetId="698"/>
      <sheetData sheetId="699"/>
      <sheetData sheetId="700">
        <row r="7">
          <cell r="E7" t="str">
            <v>PT NEWCREST SUMATRA MINERALS</v>
          </cell>
        </row>
      </sheetData>
      <sheetData sheetId="701"/>
      <sheetData sheetId="702"/>
      <sheetData sheetId="703">
        <row r="7">
          <cell r="E7" t="str">
            <v>PT NEWCREST SUMATRA MINERALS</v>
          </cell>
        </row>
      </sheetData>
      <sheetData sheetId="704">
        <row r="31">
          <cell r="R31">
            <v>0</v>
          </cell>
        </row>
      </sheetData>
      <sheetData sheetId="705"/>
      <sheetData sheetId="706">
        <row r="7">
          <cell r="E7" t="str">
            <v>PT NEWCREST SUMATRA MINERALS</v>
          </cell>
        </row>
      </sheetData>
      <sheetData sheetId="707">
        <row r="36">
          <cell r="G36">
            <v>0</v>
          </cell>
        </row>
      </sheetData>
      <sheetData sheetId="708"/>
      <sheetData sheetId="709"/>
      <sheetData sheetId="710">
        <row r="7">
          <cell r="E7" t="str">
            <v>PT NEWCREST SUMATRA MINERALS</v>
          </cell>
        </row>
      </sheetData>
      <sheetData sheetId="711">
        <row r="31">
          <cell r="R31">
            <v>0</v>
          </cell>
        </row>
      </sheetData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/>
      <sheetData sheetId="741" refreshError="1"/>
      <sheetData sheetId="742" refreshError="1"/>
      <sheetData sheetId="743" refreshError="1"/>
      <sheetData sheetId="744" refreshError="1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>
        <row r="7">
          <cell r="E7" t="str">
            <v>PT NEWCREST SUMATRA MINERALS</v>
          </cell>
        </row>
      </sheetData>
      <sheetData sheetId="1632">
        <row r="7">
          <cell r="E7" t="str">
            <v>PT NEWCREST SUMATRA MINERALS</v>
          </cell>
        </row>
      </sheetData>
      <sheetData sheetId="1633">
        <row r="36">
          <cell r="G36">
            <v>0</v>
          </cell>
        </row>
      </sheetData>
      <sheetData sheetId="1634">
        <row r="7">
          <cell r="E7" t="str">
            <v>PT NEWCREST SUMATRA MINERALS</v>
          </cell>
        </row>
      </sheetData>
      <sheetData sheetId="1635">
        <row r="7">
          <cell r="E7" t="str">
            <v>PT NEWCREST SUMATRA MINERALS</v>
          </cell>
        </row>
      </sheetData>
      <sheetData sheetId="1636">
        <row r="7">
          <cell r="E7" t="str">
            <v>PT NEWCREST SUMATRA MINERALS</v>
          </cell>
        </row>
      </sheetData>
      <sheetData sheetId="1637">
        <row r="7">
          <cell r="E7" t="str">
            <v>PT NEWCREST SUMATRA MINERALS</v>
          </cell>
        </row>
      </sheetData>
      <sheetData sheetId="1638">
        <row r="7">
          <cell r="E7" t="str">
            <v>PT NEWCREST SUMATRA MINERALS</v>
          </cell>
        </row>
      </sheetData>
      <sheetData sheetId="1639">
        <row r="7">
          <cell r="E7" t="str">
            <v>PT NEWCREST SUMATRA MINERALS</v>
          </cell>
        </row>
      </sheetData>
      <sheetData sheetId="1640">
        <row r="7">
          <cell r="E7" t="str">
            <v>PT NEWCREST SUMATRA MINERALS</v>
          </cell>
        </row>
      </sheetData>
      <sheetData sheetId="1641">
        <row r="7">
          <cell r="E7" t="str">
            <v>PT NEWCREST SUMATRA MINERALS</v>
          </cell>
        </row>
      </sheetData>
      <sheetData sheetId="1642">
        <row r="7">
          <cell r="E7" t="str">
            <v>PT NEWCREST SUMATRA MINERALS</v>
          </cell>
        </row>
      </sheetData>
      <sheetData sheetId="1643">
        <row r="7">
          <cell r="E7" t="str">
            <v>PT NEWCREST SUMATRA MINERALS</v>
          </cell>
        </row>
      </sheetData>
      <sheetData sheetId="1644">
        <row r="7">
          <cell r="E7" t="str">
            <v>PT NEWCREST SUMATRA MINERALS</v>
          </cell>
        </row>
      </sheetData>
      <sheetData sheetId="1645">
        <row r="7">
          <cell r="E7" t="str">
            <v>PT NEWCREST SUMATRA MINERALS</v>
          </cell>
        </row>
      </sheetData>
      <sheetData sheetId="1646">
        <row r="7">
          <cell r="E7" t="str">
            <v>PT NEWCREST SUMATRA MINERALS</v>
          </cell>
        </row>
      </sheetData>
      <sheetData sheetId="1647">
        <row r="7">
          <cell r="E7" t="str">
            <v>PT NEWCREST SUMATRA MINERALS</v>
          </cell>
        </row>
      </sheetData>
      <sheetData sheetId="1648"/>
      <sheetData sheetId="1649"/>
      <sheetData sheetId="1650"/>
      <sheetData sheetId="1651">
        <row r="7">
          <cell r="E7" t="str">
            <v>PT NEWCREST SUMATRA MINERALS</v>
          </cell>
        </row>
      </sheetData>
      <sheetData sheetId="1652">
        <row r="7">
          <cell r="E7" t="str">
            <v>PT NEWCREST SUMATRA MINERALS</v>
          </cell>
        </row>
      </sheetData>
      <sheetData sheetId="1653">
        <row r="7">
          <cell r="E7" t="str">
            <v>PT NEWCREST SUMATRA MINERALS</v>
          </cell>
        </row>
      </sheetData>
      <sheetData sheetId="1654">
        <row r="7">
          <cell r="E7" t="str">
            <v>PT NEWCREST SUMATRA MINERALS</v>
          </cell>
        </row>
      </sheetData>
      <sheetData sheetId="1655">
        <row r="7">
          <cell r="E7" t="str">
            <v>PT NEWCREST SUMATRA MINERALS</v>
          </cell>
        </row>
      </sheetData>
      <sheetData sheetId="1656">
        <row r="7">
          <cell r="E7" t="str">
            <v>PT NEWCREST SUMATRA MINERALS</v>
          </cell>
        </row>
      </sheetData>
      <sheetData sheetId="1657">
        <row r="7">
          <cell r="E7" t="str">
            <v>PT NEWCREST SUMATRA MINERALS</v>
          </cell>
        </row>
      </sheetData>
      <sheetData sheetId="1658"/>
      <sheetData sheetId="1659">
        <row r="7">
          <cell r="E7" t="str">
            <v>PT NEWCREST SUMATRA MINERALS</v>
          </cell>
        </row>
      </sheetData>
      <sheetData sheetId="1660">
        <row r="7">
          <cell r="E7" t="str">
            <v>PT NEWCREST SUMATRA MINERALS</v>
          </cell>
        </row>
      </sheetData>
      <sheetData sheetId="1661">
        <row r="7">
          <cell r="E7" t="str">
            <v>PT NEWCREST SUMATRA MINERALS</v>
          </cell>
        </row>
      </sheetData>
      <sheetData sheetId="1662">
        <row r="7">
          <cell r="E7" t="str">
            <v>PT NEWCREST SUMATRA MINERALS</v>
          </cell>
        </row>
      </sheetData>
      <sheetData sheetId="1663">
        <row r="7">
          <cell r="E7" t="str">
            <v>PT NEWCREST SUMATRA MINERALS</v>
          </cell>
        </row>
      </sheetData>
      <sheetData sheetId="1664">
        <row r="7">
          <cell r="E7" t="str">
            <v>PT NEWCREST SUMATRA MINERALS</v>
          </cell>
        </row>
      </sheetData>
      <sheetData sheetId="1665">
        <row r="7">
          <cell r="E7" t="str">
            <v>PT NEWCREST SUMATRA MINERALS</v>
          </cell>
        </row>
      </sheetData>
      <sheetData sheetId="1666">
        <row r="7">
          <cell r="E7" t="str">
            <v>PT NEWCREST SUMATRA MINERALS</v>
          </cell>
        </row>
      </sheetData>
      <sheetData sheetId="1667">
        <row r="7">
          <cell r="E7" t="str">
            <v>PT NEWCREST SUMATRA MINERALS</v>
          </cell>
        </row>
      </sheetData>
      <sheetData sheetId="1668">
        <row r="7">
          <cell r="E7" t="str">
            <v>PT NEWCREST SUMATRA MINERALS</v>
          </cell>
        </row>
      </sheetData>
      <sheetData sheetId="1669">
        <row r="7">
          <cell r="E7" t="str">
            <v>PT NEWCREST SUMATRA MINERALS</v>
          </cell>
        </row>
      </sheetData>
      <sheetData sheetId="1670">
        <row r="7">
          <cell r="E7" t="str">
            <v>PT NEWCREST SUMATRA MINERALS</v>
          </cell>
        </row>
      </sheetData>
      <sheetData sheetId="1671">
        <row r="7">
          <cell r="E7" t="str">
            <v>PT NEWCREST SUMATRA MINERALS</v>
          </cell>
        </row>
      </sheetData>
      <sheetData sheetId="1672">
        <row r="7">
          <cell r="E7" t="str">
            <v>PT NEWCREST SUMATRA MINERALS</v>
          </cell>
        </row>
      </sheetData>
      <sheetData sheetId="1673">
        <row r="7">
          <cell r="E7" t="str">
            <v>PT NEWCREST SUMATRA MINERALS</v>
          </cell>
        </row>
      </sheetData>
      <sheetData sheetId="1674">
        <row r="7">
          <cell r="E7" t="str">
            <v>PT NEWCREST SUMATRA MINERALS</v>
          </cell>
        </row>
      </sheetData>
      <sheetData sheetId="1675">
        <row r="7">
          <cell r="E7" t="str">
            <v>PT NEWCREST SUMATRA MINERALS</v>
          </cell>
        </row>
      </sheetData>
      <sheetData sheetId="1676">
        <row r="7">
          <cell r="E7" t="str">
            <v>PT NEWCREST SUMATRA MINERALS</v>
          </cell>
        </row>
      </sheetData>
      <sheetData sheetId="1677">
        <row r="7">
          <cell r="E7" t="str">
            <v>PT NEWCREST SUMATRA MINERALS</v>
          </cell>
        </row>
      </sheetData>
      <sheetData sheetId="1678">
        <row r="7">
          <cell r="E7" t="str">
            <v>PT NEWCREST SUMATRA MINERALS</v>
          </cell>
        </row>
      </sheetData>
      <sheetData sheetId="1679">
        <row r="7">
          <cell r="E7" t="str">
            <v>PT NEWCREST SUMATRA MINERALS</v>
          </cell>
        </row>
      </sheetData>
      <sheetData sheetId="1680">
        <row r="7">
          <cell r="E7" t="str">
            <v>PT NEWCREST SUMATRA MINERALS</v>
          </cell>
        </row>
      </sheetData>
      <sheetData sheetId="1681">
        <row r="7">
          <cell r="E7" t="str">
            <v>PT NEWCREST SUMATRA MINERALS</v>
          </cell>
        </row>
      </sheetData>
      <sheetData sheetId="1682">
        <row r="7">
          <cell r="E7" t="str">
            <v>PT NEWCREST SUMATRA MINERALS</v>
          </cell>
        </row>
      </sheetData>
      <sheetData sheetId="1683">
        <row r="7">
          <cell r="E7" t="str">
            <v>PT NEWCREST SUMATRA MINERALS</v>
          </cell>
        </row>
      </sheetData>
      <sheetData sheetId="1684">
        <row r="7">
          <cell r="E7" t="str">
            <v>PT NEWCREST SUMATRA MINERALS</v>
          </cell>
        </row>
      </sheetData>
      <sheetData sheetId="1685">
        <row r="7">
          <cell r="E7" t="str">
            <v>PT NEWCREST SUMATRA MINERALS</v>
          </cell>
        </row>
      </sheetData>
      <sheetData sheetId="1686">
        <row r="7">
          <cell r="E7" t="str">
            <v>PT NEWCREST SUMATRA MINERALS</v>
          </cell>
        </row>
      </sheetData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>
        <row r="31">
          <cell r="R31">
            <v>0</v>
          </cell>
        </row>
      </sheetData>
      <sheetData sheetId="1724">
        <row r="31">
          <cell r="R31">
            <v>0</v>
          </cell>
        </row>
      </sheetData>
      <sheetData sheetId="1725">
        <row r="31">
          <cell r="R31">
            <v>0</v>
          </cell>
        </row>
      </sheetData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>
        <row r="7">
          <cell r="E7" t="str">
            <v>PT NEWCREST SUMATRA MINERALS</v>
          </cell>
        </row>
      </sheetData>
      <sheetData sheetId="1868" refreshError="1"/>
      <sheetData sheetId="1869">
        <row r="7">
          <cell r="E7" t="str">
            <v>PT NEWCREST SUMATRA MINERALS</v>
          </cell>
        </row>
      </sheetData>
      <sheetData sheetId="1870"/>
      <sheetData sheetId="1871">
        <row r="7">
          <cell r="E7" t="str">
            <v>PT NEWCREST SUMATRA MINERALS</v>
          </cell>
        </row>
      </sheetData>
      <sheetData sheetId="1872">
        <row r="7">
          <cell r="E7" t="str">
            <v>PT NEWCREST SUMATRA MINERALS</v>
          </cell>
        </row>
      </sheetData>
      <sheetData sheetId="1873">
        <row r="7">
          <cell r="E7" t="str">
            <v>PT NEWCREST SUMATRA MINERALS</v>
          </cell>
        </row>
      </sheetData>
      <sheetData sheetId="1874">
        <row r="7">
          <cell r="E7" t="str">
            <v>PT NEWCREST SUMATRA MINERALS</v>
          </cell>
        </row>
      </sheetData>
      <sheetData sheetId="1875">
        <row r="7">
          <cell r="E7" t="str">
            <v>PT NEWCREST SUMATRA MINERALS</v>
          </cell>
        </row>
      </sheetData>
      <sheetData sheetId="1876">
        <row r="7">
          <cell r="E7" t="str">
            <v>PT NEWCREST SUMATRA MINERALS</v>
          </cell>
        </row>
      </sheetData>
      <sheetData sheetId="1877">
        <row r="7">
          <cell r="E7" t="str">
            <v>PT NEWCREST SUMATRA MINERALS</v>
          </cell>
        </row>
      </sheetData>
      <sheetData sheetId="1878">
        <row r="7">
          <cell r="E7" t="str">
            <v>PT NEWCREST SUMATRA MINERALS</v>
          </cell>
        </row>
      </sheetData>
      <sheetData sheetId="1879">
        <row r="7">
          <cell r="E7" t="str">
            <v>PT NEWCREST SUMATRA MINERALS</v>
          </cell>
        </row>
      </sheetData>
      <sheetData sheetId="1880">
        <row r="7">
          <cell r="E7" t="str">
            <v>PT NEWCREST SUMATRA MINERALS</v>
          </cell>
        </row>
      </sheetData>
      <sheetData sheetId="1881">
        <row r="7">
          <cell r="E7" t="str">
            <v>PT NEWCREST SUMATRA MINERALS</v>
          </cell>
        </row>
      </sheetData>
      <sheetData sheetId="1882">
        <row r="7">
          <cell r="E7" t="str">
            <v>PT NEWCREST SUMATRA MINERALS</v>
          </cell>
        </row>
      </sheetData>
      <sheetData sheetId="1883">
        <row r="7">
          <cell r="E7" t="str">
            <v>PT NEWCREST SUMATRA MINERALS</v>
          </cell>
        </row>
      </sheetData>
      <sheetData sheetId="1884">
        <row r="7">
          <cell r="E7" t="str">
            <v>PT NEWCREST SUMATRA MINERALS</v>
          </cell>
        </row>
      </sheetData>
      <sheetData sheetId="1885">
        <row r="7">
          <cell r="E7" t="str">
            <v>PT NEWCREST SUMATRA MINERALS</v>
          </cell>
        </row>
      </sheetData>
      <sheetData sheetId="1886">
        <row r="7">
          <cell r="E7" t="str">
            <v>PT NEWCREST SUMATRA MINERALS</v>
          </cell>
        </row>
      </sheetData>
      <sheetData sheetId="1887">
        <row r="7">
          <cell r="E7" t="str">
            <v>PT NEWCREST SUMATRA MINERALS</v>
          </cell>
        </row>
      </sheetData>
      <sheetData sheetId="1888">
        <row r="7">
          <cell r="E7" t="str">
            <v>PT NEWCREST SUMATRA MINERALS</v>
          </cell>
        </row>
      </sheetData>
      <sheetData sheetId="1889">
        <row r="7">
          <cell r="E7" t="str">
            <v>PT NEWCREST SUMATRA MINERALS</v>
          </cell>
        </row>
      </sheetData>
      <sheetData sheetId="1890">
        <row r="7">
          <cell r="E7" t="str">
            <v>PT NEWCREST SUMATRA MINERALS</v>
          </cell>
        </row>
      </sheetData>
      <sheetData sheetId="1891">
        <row r="7">
          <cell r="E7" t="str">
            <v>PT NEWCREST SUMATRA MINERALS</v>
          </cell>
        </row>
      </sheetData>
      <sheetData sheetId="1892">
        <row r="7">
          <cell r="E7" t="str">
            <v>PT NEWCREST SUMATRA MINERALS</v>
          </cell>
        </row>
      </sheetData>
      <sheetData sheetId="1893">
        <row r="7">
          <cell r="E7" t="str">
            <v>PT NEWCREST SUMATRA MINERALS</v>
          </cell>
        </row>
      </sheetData>
      <sheetData sheetId="1894">
        <row r="7">
          <cell r="E7" t="str">
            <v>PT NEWCREST SUMATRA MINERALS</v>
          </cell>
        </row>
      </sheetData>
      <sheetData sheetId="1895">
        <row r="7">
          <cell r="E7" t="str">
            <v>PT NEWCREST SUMATRA MINERALS</v>
          </cell>
        </row>
      </sheetData>
      <sheetData sheetId="1896">
        <row r="7">
          <cell r="E7" t="str">
            <v>PT NEWCREST SUMATRA MINERALS</v>
          </cell>
        </row>
      </sheetData>
      <sheetData sheetId="1897">
        <row r="7">
          <cell r="E7" t="str">
            <v>PT NEWCREST SUMATRA MINERALS</v>
          </cell>
        </row>
      </sheetData>
      <sheetData sheetId="1898">
        <row r="7">
          <cell r="E7" t="str">
            <v>PT NEWCREST SUMATRA MINERALS</v>
          </cell>
        </row>
      </sheetData>
      <sheetData sheetId="1899">
        <row r="7">
          <cell r="E7" t="str">
            <v>PT NEWCREST SUMATRA MINERALS</v>
          </cell>
        </row>
      </sheetData>
      <sheetData sheetId="1900">
        <row r="7">
          <cell r="E7" t="str">
            <v>PT NEWCREST SUMATRA MINERALS</v>
          </cell>
        </row>
      </sheetData>
      <sheetData sheetId="1901">
        <row r="7">
          <cell r="E7" t="str">
            <v>PT NEWCREST SUMATRA MINERALS</v>
          </cell>
        </row>
      </sheetData>
      <sheetData sheetId="1902">
        <row r="7">
          <cell r="E7" t="str">
            <v>PT NEWCREST SUMATRA MINERALS</v>
          </cell>
        </row>
      </sheetData>
      <sheetData sheetId="1903">
        <row r="7">
          <cell r="E7" t="str">
            <v>PT NEWCREST SUMATRA MINERALS</v>
          </cell>
        </row>
      </sheetData>
      <sheetData sheetId="1904">
        <row r="7">
          <cell r="E7" t="str">
            <v>PT NEWCREST SUMATRA MINERALS</v>
          </cell>
        </row>
      </sheetData>
      <sheetData sheetId="1905">
        <row r="7">
          <cell r="E7" t="str">
            <v>PT NEWCREST SUMATRA MINERALS</v>
          </cell>
        </row>
      </sheetData>
      <sheetData sheetId="1906">
        <row r="7">
          <cell r="E7" t="str">
            <v>PT NEWCREST SUMATRA MINERALS</v>
          </cell>
        </row>
      </sheetData>
      <sheetData sheetId="1907">
        <row r="7">
          <cell r="E7" t="str">
            <v>PT NEWCREST SUMATRA MINERALS</v>
          </cell>
        </row>
      </sheetData>
      <sheetData sheetId="1908">
        <row r="7">
          <cell r="E7" t="str">
            <v>PT NEWCREST SUMATRA MINERALS</v>
          </cell>
        </row>
      </sheetData>
      <sheetData sheetId="1909">
        <row r="7">
          <cell r="E7" t="str">
            <v>PT NEWCREST SUMATRA MINERALS</v>
          </cell>
        </row>
      </sheetData>
      <sheetData sheetId="1910">
        <row r="7">
          <cell r="E7" t="str">
            <v>PT NEWCREST SUMATRA MINERALS</v>
          </cell>
        </row>
      </sheetData>
      <sheetData sheetId="1911">
        <row r="7">
          <cell r="E7" t="str">
            <v>PT NEWCREST SUMATRA MINERALS</v>
          </cell>
        </row>
      </sheetData>
      <sheetData sheetId="1912">
        <row r="7">
          <cell r="E7" t="str">
            <v>PT NEWCREST SUMATRA MINERALS</v>
          </cell>
        </row>
      </sheetData>
      <sheetData sheetId="1913">
        <row r="7">
          <cell r="E7" t="str">
            <v>PT NEWCREST SUMATRA MINERALS</v>
          </cell>
        </row>
      </sheetData>
      <sheetData sheetId="1914">
        <row r="7">
          <cell r="E7" t="str">
            <v>PT NEWCREST SUMATRA MINERALS</v>
          </cell>
        </row>
      </sheetData>
      <sheetData sheetId="1915">
        <row r="7">
          <cell r="E7" t="str">
            <v>PT NEWCREST SUMATRA MINERALS</v>
          </cell>
        </row>
      </sheetData>
      <sheetData sheetId="1916">
        <row r="7">
          <cell r="E7" t="str">
            <v>PT NEWCREST SUMATRA MINERALS</v>
          </cell>
        </row>
      </sheetData>
      <sheetData sheetId="1917">
        <row r="7">
          <cell r="E7" t="str">
            <v>PT NEWCREST SUMATRA MINERALS</v>
          </cell>
        </row>
      </sheetData>
      <sheetData sheetId="1918">
        <row r="7">
          <cell r="E7" t="str">
            <v>PT NEWCREST SUMATRA MINERALS</v>
          </cell>
        </row>
      </sheetData>
      <sheetData sheetId="1919">
        <row r="7">
          <cell r="E7" t="str">
            <v>PT NEWCREST SUMATRA MINERALS</v>
          </cell>
        </row>
      </sheetData>
      <sheetData sheetId="1920">
        <row r="7">
          <cell r="E7" t="str">
            <v>PT NEWCREST SUMATRA MINERALS</v>
          </cell>
        </row>
      </sheetData>
      <sheetData sheetId="1921">
        <row r="7">
          <cell r="E7" t="str">
            <v>PT NEWCREST SUMATRA MINERALS</v>
          </cell>
        </row>
      </sheetData>
      <sheetData sheetId="1922">
        <row r="7">
          <cell r="E7" t="str">
            <v>PT NEWCREST SUMATRA MINERALS</v>
          </cell>
        </row>
      </sheetData>
      <sheetData sheetId="1923">
        <row r="7">
          <cell r="E7" t="str">
            <v>PT NEWCREST SUMATRA MINERALS</v>
          </cell>
        </row>
      </sheetData>
      <sheetData sheetId="1924">
        <row r="7">
          <cell r="E7" t="str">
            <v>PT NEWCREST SUMATRA MINERALS</v>
          </cell>
        </row>
      </sheetData>
      <sheetData sheetId="1925">
        <row r="7">
          <cell r="E7" t="str">
            <v>PT NEWCREST SUMATRA MINERALS</v>
          </cell>
        </row>
      </sheetData>
      <sheetData sheetId="1926">
        <row r="7">
          <cell r="E7" t="str">
            <v>PT NEWCREST SUMATRA MINERALS</v>
          </cell>
        </row>
      </sheetData>
      <sheetData sheetId="1927">
        <row r="7">
          <cell r="E7" t="str">
            <v>PT NEWCREST SUMATRA MINERALS</v>
          </cell>
        </row>
      </sheetData>
      <sheetData sheetId="1928">
        <row r="7">
          <cell r="E7" t="str">
            <v>PT NEWCREST SUMATRA MINERALS</v>
          </cell>
        </row>
      </sheetData>
      <sheetData sheetId="1929">
        <row r="7">
          <cell r="E7" t="str">
            <v>PT NEWCREST SUMATRA MINERALS</v>
          </cell>
        </row>
      </sheetData>
      <sheetData sheetId="1930">
        <row r="7">
          <cell r="E7" t="str">
            <v>PT NEWCREST SUMATRA MINERALS</v>
          </cell>
        </row>
      </sheetData>
      <sheetData sheetId="1931">
        <row r="7">
          <cell r="E7" t="str">
            <v>PT NEWCREST SUMATRA MINERALS</v>
          </cell>
        </row>
      </sheetData>
      <sheetData sheetId="1932">
        <row r="7">
          <cell r="E7" t="str">
            <v>PT NEWCREST SUMATRA MINERALS</v>
          </cell>
        </row>
      </sheetData>
      <sheetData sheetId="1933">
        <row r="7">
          <cell r="E7" t="str">
            <v>PT NEWCREST SUMATRA MINERALS</v>
          </cell>
        </row>
      </sheetData>
      <sheetData sheetId="1934">
        <row r="7">
          <cell r="E7" t="str">
            <v>PT NEWCREST SUMATRA MINERALS</v>
          </cell>
        </row>
      </sheetData>
      <sheetData sheetId="1935">
        <row r="7">
          <cell r="E7" t="str">
            <v>PT NEWCREST SUMATRA MINERALS</v>
          </cell>
        </row>
      </sheetData>
      <sheetData sheetId="1936">
        <row r="7">
          <cell r="E7" t="str">
            <v>PT NEWCREST SUMATRA MINERALS</v>
          </cell>
        </row>
      </sheetData>
      <sheetData sheetId="1937">
        <row r="7">
          <cell r="E7" t="str">
            <v>PT NEWCREST SUMATRA MINERALS</v>
          </cell>
        </row>
      </sheetData>
      <sheetData sheetId="1938">
        <row r="7">
          <cell r="E7" t="str">
            <v>PT NEWCREST SUMATRA MINERALS</v>
          </cell>
        </row>
      </sheetData>
      <sheetData sheetId="1939">
        <row r="7">
          <cell r="E7" t="str">
            <v>PT NEWCREST SUMATRA MINERALS</v>
          </cell>
        </row>
      </sheetData>
      <sheetData sheetId="1940">
        <row r="7">
          <cell r="E7" t="str">
            <v>PT NEWCREST SUMATRA MINERALS</v>
          </cell>
        </row>
      </sheetData>
      <sheetData sheetId="1941">
        <row r="7">
          <cell r="E7" t="str">
            <v>PT NEWCREST SUMATRA MINERALS</v>
          </cell>
        </row>
      </sheetData>
      <sheetData sheetId="1942">
        <row r="7">
          <cell r="E7" t="str">
            <v>PT NEWCREST SUMATRA MINERALS</v>
          </cell>
        </row>
      </sheetData>
      <sheetData sheetId="1943">
        <row r="7">
          <cell r="E7" t="str">
            <v>PT NEWCREST SUMATRA MINERALS</v>
          </cell>
        </row>
      </sheetData>
      <sheetData sheetId="1944">
        <row r="7">
          <cell r="E7" t="str">
            <v>PT NEWCREST SUMATRA MINERALS</v>
          </cell>
        </row>
      </sheetData>
      <sheetData sheetId="1945">
        <row r="7">
          <cell r="E7" t="str">
            <v>PT NEWCREST SUMATRA MINERALS</v>
          </cell>
        </row>
      </sheetData>
      <sheetData sheetId="1946">
        <row r="7">
          <cell r="E7" t="str">
            <v>PT NEWCREST SUMATRA MINERALS</v>
          </cell>
        </row>
      </sheetData>
      <sheetData sheetId="1947">
        <row r="7">
          <cell r="E7" t="str">
            <v>PT NEWCREST SUMATRA MINERALS</v>
          </cell>
        </row>
      </sheetData>
      <sheetData sheetId="1948">
        <row r="7">
          <cell r="E7" t="str">
            <v>PT NEWCREST SUMATRA MINERALS</v>
          </cell>
        </row>
      </sheetData>
      <sheetData sheetId="1949">
        <row r="7">
          <cell r="E7" t="str">
            <v>PT NEWCREST SUMATRA MINERALS</v>
          </cell>
        </row>
      </sheetData>
      <sheetData sheetId="1950">
        <row r="7">
          <cell r="E7" t="str">
            <v>PT NEWCREST SUMATRA MINERALS</v>
          </cell>
        </row>
      </sheetData>
      <sheetData sheetId="1951">
        <row r="7">
          <cell r="E7" t="str">
            <v>PT NEWCREST SUMATRA MINERALS</v>
          </cell>
        </row>
      </sheetData>
      <sheetData sheetId="1952">
        <row r="7">
          <cell r="E7" t="str">
            <v>PT NEWCREST SUMATRA MINERALS</v>
          </cell>
        </row>
      </sheetData>
      <sheetData sheetId="1953">
        <row r="7">
          <cell r="E7" t="str">
            <v>PT NEWCREST SUMATRA MINERALS</v>
          </cell>
        </row>
      </sheetData>
      <sheetData sheetId="1954">
        <row r="7">
          <cell r="E7" t="str">
            <v>PT NEWCREST SUMATRA MINERALS</v>
          </cell>
        </row>
      </sheetData>
      <sheetData sheetId="1955">
        <row r="7">
          <cell r="E7" t="str">
            <v>PT NEWCREST SUMATRA MINERALS</v>
          </cell>
        </row>
      </sheetData>
      <sheetData sheetId="1956">
        <row r="7">
          <cell r="E7" t="str">
            <v>PT NEWCREST SUMATRA MINERALS</v>
          </cell>
        </row>
      </sheetData>
      <sheetData sheetId="1957">
        <row r="7">
          <cell r="E7" t="str">
            <v>PT NEWCREST SUMATRA MINERALS</v>
          </cell>
        </row>
      </sheetData>
      <sheetData sheetId="1958">
        <row r="7">
          <cell r="E7" t="str">
            <v>PT NEWCREST SUMATRA MINERALS</v>
          </cell>
        </row>
      </sheetData>
      <sheetData sheetId="1959">
        <row r="7">
          <cell r="E7" t="str">
            <v>PT NEWCREST SUMATRA MINERALS</v>
          </cell>
        </row>
      </sheetData>
      <sheetData sheetId="1960">
        <row r="7">
          <cell r="E7" t="str">
            <v>PT NEWCREST SUMATRA MINERALS</v>
          </cell>
        </row>
      </sheetData>
      <sheetData sheetId="1961">
        <row r="7">
          <cell r="E7" t="str">
            <v>PT NEWCREST SUMATRA MINERALS</v>
          </cell>
        </row>
      </sheetData>
      <sheetData sheetId="1962">
        <row r="7">
          <cell r="E7" t="str">
            <v>PT NEWCREST SUMATRA MINERALS</v>
          </cell>
        </row>
      </sheetData>
      <sheetData sheetId="1963">
        <row r="7">
          <cell r="E7" t="str">
            <v>PT NEWCREST SUMATRA MINERALS</v>
          </cell>
        </row>
      </sheetData>
      <sheetData sheetId="1964">
        <row r="7">
          <cell r="E7" t="str">
            <v>PT NEWCREST SUMATRA MINERALS</v>
          </cell>
        </row>
      </sheetData>
      <sheetData sheetId="1965">
        <row r="7">
          <cell r="E7" t="str">
            <v>PT NEWCREST SUMATRA MINERALS</v>
          </cell>
        </row>
      </sheetData>
      <sheetData sheetId="1966">
        <row r="7">
          <cell r="E7" t="str">
            <v>PT NEWCREST SUMATRA MINERALS</v>
          </cell>
        </row>
      </sheetData>
      <sheetData sheetId="1967">
        <row r="7">
          <cell r="E7" t="str">
            <v>PT NEWCREST SUMATRA MINERALS</v>
          </cell>
        </row>
      </sheetData>
      <sheetData sheetId="1968">
        <row r="7">
          <cell r="E7" t="str">
            <v>PT NEWCREST SUMATRA MINERALS</v>
          </cell>
        </row>
      </sheetData>
      <sheetData sheetId="1969">
        <row r="7">
          <cell r="E7" t="str">
            <v>PT NEWCREST SUMATRA MINERALS</v>
          </cell>
        </row>
      </sheetData>
      <sheetData sheetId="1970">
        <row r="7">
          <cell r="E7" t="str">
            <v>PT NEWCREST SUMATRA MINERALS</v>
          </cell>
        </row>
      </sheetData>
      <sheetData sheetId="1971">
        <row r="7">
          <cell r="E7" t="str">
            <v>PT NEWCREST SUMATRA MINERALS</v>
          </cell>
        </row>
      </sheetData>
      <sheetData sheetId="1972">
        <row r="7">
          <cell r="E7" t="str">
            <v>PT NEWCREST SUMATRA MINERALS</v>
          </cell>
        </row>
      </sheetData>
      <sheetData sheetId="1973">
        <row r="7">
          <cell r="E7" t="str">
            <v>PT NEWCREST SUMATRA MINERALS</v>
          </cell>
        </row>
      </sheetData>
      <sheetData sheetId="1974">
        <row r="7">
          <cell r="E7" t="str">
            <v>PT NEWCREST SUMATRA MINERALS</v>
          </cell>
        </row>
      </sheetData>
      <sheetData sheetId="1975">
        <row r="7">
          <cell r="E7" t="str">
            <v>PT NEWCREST SUMATRA MINERALS</v>
          </cell>
        </row>
      </sheetData>
      <sheetData sheetId="1976">
        <row r="7">
          <cell r="E7" t="str">
            <v>PT NEWCREST SUMATRA MINERALS</v>
          </cell>
        </row>
      </sheetData>
      <sheetData sheetId="1977">
        <row r="7">
          <cell r="E7" t="str">
            <v>PT NEWCREST SUMATRA MINERALS</v>
          </cell>
        </row>
      </sheetData>
      <sheetData sheetId="1978">
        <row r="7">
          <cell r="E7" t="str">
            <v>PT NEWCREST SUMATRA MINERALS</v>
          </cell>
        </row>
      </sheetData>
      <sheetData sheetId="1979">
        <row r="7">
          <cell r="E7" t="str">
            <v>PT NEWCREST SUMATRA MINERALS</v>
          </cell>
        </row>
      </sheetData>
      <sheetData sheetId="1980">
        <row r="7">
          <cell r="E7" t="str">
            <v>PT NEWCREST SUMATRA MINERALS</v>
          </cell>
        </row>
      </sheetData>
      <sheetData sheetId="1981">
        <row r="7">
          <cell r="E7" t="str">
            <v>PT NEWCREST SUMATRA MINERALS</v>
          </cell>
        </row>
      </sheetData>
      <sheetData sheetId="1982">
        <row r="7">
          <cell r="E7" t="str">
            <v>PT NEWCREST SUMATRA MINERALS</v>
          </cell>
        </row>
      </sheetData>
      <sheetData sheetId="1983">
        <row r="7">
          <cell r="E7" t="str">
            <v>PT NEWCREST SUMATRA MINERALS</v>
          </cell>
        </row>
      </sheetData>
      <sheetData sheetId="1984">
        <row r="7">
          <cell r="E7" t="str">
            <v>PT NEWCREST SUMATRA MINERALS</v>
          </cell>
        </row>
      </sheetData>
      <sheetData sheetId="1985">
        <row r="7">
          <cell r="E7" t="str">
            <v>PT NEWCREST SUMATRA MINERALS</v>
          </cell>
        </row>
      </sheetData>
      <sheetData sheetId="1986">
        <row r="7">
          <cell r="E7" t="str">
            <v>PT NEWCREST SUMATRA MINERALS</v>
          </cell>
        </row>
      </sheetData>
      <sheetData sheetId="1987">
        <row r="7">
          <cell r="E7" t="str">
            <v>PT NEWCREST SUMATRA MINERALS</v>
          </cell>
        </row>
      </sheetData>
      <sheetData sheetId="1988">
        <row r="7">
          <cell r="E7" t="str">
            <v>PT NEWCREST SUMATRA MINERALS</v>
          </cell>
        </row>
      </sheetData>
      <sheetData sheetId="1989">
        <row r="7">
          <cell r="E7" t="str">
            <v>PT NEWCREST SUMATRA MINERALS</v>
          </cell>
        </row>
      </sheetData>
      <sheetData sheetId="1990">
        <row r="7">
          <cell r="E7" t="str">
            <v>PT NEWCREST SUMATRA MINERALS</v>
          </cell>
        </row>
      </sheetData>
      <sheetData sheetId="1991">
        <row r="7">
          <cell r="E7" t="str">
            <v>PT NEWCREST SUMATRA MINERALS</v>
          </cell>
        </row>
      </sheetData>
      <sheetData sheetId="1992">
        <row r="7">
          <cell r="E7" t="str">
            <v>PT NEWCREST SUMATRA MINERALS</v>
          </cell>
        </row>
      </sheetData>
      <sheetData sheetId="1993">
        <row r="7">
          <cell r="E7" t="str">
            <v>PT NEWCREST SUMATRA MINERALS</v>
          </cell>
        </row>
      </sheetData>
      <sheetData sheetId="1994">
        <row r="7">
          <cell r="E7" t="str">
            <v>PT NEWCREST SUMATRA MINERALS</v>
          </cell>
        </row>
      </sheetData>
      <sheetData sheetId="1995">
        <row r="7">
          <cell r="E7" t="str">
            <v>PT NEWCREST SUMATRA MINERALS</v>
          </cell>
        </row>
      </sheetData>
      <sheetData sheetId="1996">
        <row r="7">
          <cell r="E7" t="str">
            <v>PT NEWCREST SUMATRA MINERALS</v>
          </cell>
        </row>
      </sheetData>
      <sheetData sheetId="1997">
        <row r="7">
          <cell r="E7" t="str">
            <v>PT NEWCREST SUMATRA MINERALS</v>
          </cell>
        </row>
      </sheetData>
      <sheetData sheetId="1998">
        <row r="7">
          <cell r="E7" t="str">
            <v>PT NEWCREST SUMATRA MINERALS</v>
          </cell>
        </row>
      </sheetData>
      <sheetData sheetId="1999">
        <row r="7">
          <cell r="E7" t="str">
            <v>PT NEWCREST SUMATRA MINERALS</v>
          </cell>
        </row>
      </sheetData>
      <sheetData sheetId="2000">
        <row r="7">
          <cell r="E7" t="str">
            <v>PT NEWCREST SUMATRA MINERALS</v>
          </cell>
        </row>
      </sheetData>
      <sheetData sheetId="2001">
        <row r="7">
          <cell r="E7" t="str">
            <v>PT NEWCREST SUMATRA MINERALS</v>
          </cell>
        </row>
      </sheetData>
      <sheetData sheetId="2002">
        <row r="7">
          <cell r="E7" t="str">
            <v>PT NEWCREST SUMATRA MINERALS</v>
          </cell>
        </row>
      </sheetData>
      <sheetData sheetId="2003">
        <row r="7">
          <cell r="E7" t="str">
            <v>PT NEWCREST SUMATRA MINERALS</v>
          </cell>
        </row>
      </sheetData>
      <sheetData sheetId="2004">
        <row r="7">
          <cell r="E7" t="str">
            <v>PT NEWCREST SUMATRA MINERALS</v>
          </cell>
        </row>
      </sheetData>
      <sheetData sheetId="2005">
        <row r="7">
          <cell r="E7" t="str">
            <v>PT NEWCREST SUMATRA MINERALS</v>
          </cell>
        </row>
      </sheetData>
      <sheetData sheetId="2006">
        <row r="7">
          <cell r="E7" t="str">
            <v>PT NEWCREST SUMATRA MINERALS</v>
          </cell>
        </row>
      </sheetData>
      <sheetData sheetId="2007">
        <row r="7">
          <cell r="E7" t="str">
            <v>PT NEWCREST SUMATRA MINERALS</v>
          </cell>
        </row>
      </sheetData>
      <sheetData sheetId="2008">
        <row r="7">
          <cell r="E7" t="str">
            <v>PT NEWCREST SUMATRA MINERALS</v>
          </cell>
        </row>
      </sheetData>
      <sheetData sheetId="2009">
        <row r="7">
          <cell r="E7" t="str">
            <v>PT NEWCREST SUMATRA MINERALS</v>
          </cell>
        </row>
      </sheetData>
      <sheetData sheetId="2010">
        <row r="7">
          <cell r="E7" t="str">
            <v>PT NEWCREST SUMATRA MINERALS</v>
          </cell>
        </row>
      </sheetData>
      <sheetData sheetId="2011">
        <row r="7">
          <cell r="E7" t="str">
            <v>PT NEWCREST SUMATRA MINERALS</v>
          </cell>
        </row>
      </sheetData>
      <sheetData sheetId="2012">
        <row r="7">
          <cell r="E7" t="str">
            <v>PT NEWCREST SUMATRA MINERALS</v>
          </cell>
        </row>
      </sheetData>
      <sheetData sheetId="2013">
        <row r="7">
          <cell r="E7" t="str">
            <v>PT NEWCREST SUMATRA MINERALS</v>
          </cell>
        </row>
      </sheetData>
      <sheetData sheetId="2014">
        <row r="7">
          <cell r="E7" t="str">
            <v>PT NEWCREST SUMATRA MINERALS</v>
          </cell>
        </row>
      </sheetData>
      <sheetData sheetId="2015">
        <row r="7">
          <cell r="E7" t="str">
            <v>PT NEWCREST SUMATRA MINERALS</v>
          </cell>
        </row>
      </sheetData>
      <sheetData sheetId="2016">
        <row r="7">
          <cell r="E7" t="str">
            <v>PT NEWCREST SUMATRA MINERALS</v>
          </cell>
        </row>
      </sheetData>
      <sheetData sheetId="2017">
        <row r="7">
          <cell r="E7" t="str">
            <v>PT NEWCREST SUMATRA MINERALS</v>
          </cell>
        </row>
      </sheetData>
      <sheetData sheetId="2018">
        <row r="7">
          <cell r="E7" t="str">
            <v>PT NEWCREST SUMATRA MINERALS</v>
          </cell>
        </row>
      </sheetData>
      <sheetData sheetId="2019">
        <row r="7">
          <cell r="E7" t="str">
            <v>PT NEWCREST SUMATRA MINERALS</v>
          </cell>
        </row>
      </sheetData>
      <sheetData sheetId="2020">
        <row r="7">
          <cell r="E7" t="str">
            <v>PT NEWCREST SUMATRA MINERALS</v>
          </cell>
        </row>
      </sheetData>
      <sheetData sheetId="2021">
        <row r="7">
          <cell r="E7" t="str">
            <v>PT NEWCREST SUMATRA MINERALS</v>
          </cell>
        </row>
      </sheetData>
      <sheetData sheetId="2022">
        <row r="7">
          <cell r="E7" t="str">
            <v>PT NEWCREST SUMATRA MINERALS</v>
          </cell>
        </row>
      </sheetData>
      <sheetData sheetId="2023">
        <row r="7">
          <cell r="E7" t="str">
            <v>PT NEWCREST SUMATRA MINERALS</v>
          </cell>
        </row>
      </sheetData>
      <sheetData sheetId="2024">
        <row r="7">
          <cell r="E7" t="str">
            <v>PT NEWCREST SUMATRA MINERALS</v>
          </cell>
        </row>
      </sheetData>
      <sheetData sheetId="2025">
        <row r="7">
          <cell r="E7" t="str">
            <v>PT NEWCREST SUMATRA MINERALS</v>
          </cell>
        </row>
      </sheetData>
      <sheetData sheetId="2026">
        <row r="7">
          <cell r="E7" t="str">
            <v>PT NEWCREST SUMATRA MINERALS</v>
          </cell>
        </row>
      </sheetData>
      <sheetData sheetId="2027">
        <row r="7">
          <cell r="E7" t="str">
            <v>PT NEWCREST SUMATRA MINERALS</v>
          </cell>
        </row>
      </sheetData>
      <sheetData sheetId="2028">
        <row r="7">
          <cell r="E7" t="str">
            <v>PT NEWCREST SUMATRA MINERALS</v>
          </cell>
        </row>
      </sheetData>
      <sheetData sheetId="2029">
        <row r="7">
          <cell r="E7" t="str">
            <v>PT NEWCREST SUMATRA MINERALS</v>
          </cell>
        </row>
      </sheetData>
      <sheetData sheetId="2030">
        <row r="7">
          <cell r="E7" t="str">
            <v>PT NEWCREST SUMATRA MINERALS</v>
          </cell>
        </row>
      </sheetData>
      <sheetData sheetId="2031">
        <row r="7">
          <cell r="E7" t="str">
            <v>PT NEWCREST SUMATRA MINERALS</v>
          </cell>
        </row>
      </sheetData>
      <sheetData sheetId="2032">
        <row r="7">
          <cell r="E7" t="str">
            <v>PT NEWCREST SUMATRA MINERALS</v>
          </cell>
        </row>
      </sheetData>
      <sheetData sheetId="2033">
        <row r="7">
          <cell r="E7" t="str">
            <v>PT NEWCREST SUMATRA MINERALS</v>
          </cell>
        </row>
      </sheetData>
      <sheetData sheetId="2034">
        <row r="7">
          <cell r="E7" t="str">
            <v>PT NEWCREST SUMATRA MINERALS</v>
          </cell>
        </row>
      </sheetData>
      <sheetData sheetId="2035">
        <row r="7">
          <cell r="E7" t="str">
            <v>PT NEWCREST SUMATRA MINERALS</v>
          </cell>
        </row>
      </sheetData>
      <sheetData sheetId="2036">
        <row r="7">
          <cell r="E7" t="str">
            <v>PT NEWCREST SUMATRA MINERALS</v>
          </cell>
        </row>
      </sheetData>
      <sheetData sheetId="2037">
        <row r="7">
          <cell r="E7" t="str">
            <v>PT NEWCREST SUMATRA MINERALS</v>
          </cell>
        </row>
      </sheetData>
      <sheetData sheetId="2038">
        <row r="7">
          <cell r="E7" t="str">
            <v>PT NEWCREST SUMATRA MINERALS</v>
          </cell>
        </row>
      </sheetData>
      <sheetData sheetId="2039">
        <row r="7">
          <cell r="E7" t="str">
            <v>PT NEWCREST SUMATRA MINERALS</v>
          </cell>
        </row>
      </sheetData>
      <sheetData sheetId="2040">
        <row r="7">
          <cell r="E7" t="str">
            <v>PT NEWCREST SUMATRA MINERALS</v>
          </cell>
        </row>
      </sheetData>
      <sheetData sheetId="2041">
        <row r="7">
          <cell r="E7" t="str">
            <v>PT NEWCREST SUMATRA MINERALS</v>
          </cell>
        </row>
      </sheetData>
      <sheetData sheetId="2042">
        <row r="7">
          <cell r="E7" t="str">
            <v>PT NEWCREST SUMATRA MINERALS</v>
          </cell>
        </row>
      </sheetData>
      <sheetData sheetId="2043">
        <row r="7">
          <cell r="E7" t="str">
            <v>PT NEWCREST SUMATRA MINERALS</v>
          </cell>
        </row>
      </sheetData>
      <sheetData sheetId="2044">
        <row r="7">
          <cell r="E7" t="str">
            <v>PT NEWCREST SUMATRA MINERALS</v>
          </cell>
        </row>
      </sheetData>
      <sheetData sheetId="2045">
        <row r="7">
          <cell r="E7" t="str">
            <v>PT NEWCREST SUMATRA MINERALS</v>
          </cell>
        </row>
      </sheetData>
      <sheetData sheetId="2046">
        <row r="7">
          <cell r="E7" t="str">
            <v>PT NEWCREST SUMATRA MINERALS</v>
          </cell>
        </row>
      </sheetData>
      <sheetData sheetId="2047">
        <row r="7">
          <cell r="E7" t="str">
            <v>PT NEWCREST SUMATRA MINERALS</v>
          </cell>
        </row>
      </sheetData>
      <sheetData sheetId="2048">
        <row r="7">
          <cell r="E7" t="str">
            <v>PT NEWCREST SUMATRA MINERALS</v>
          </cell>
        </row>
      </sheetData>
      <sheetData sheetId="2049">
        <row r="7">
          <cell r="E7" t="str">
            <v>PT NEWCREST SUMATRA MINERALS</v>
          </cell>
        </row>
      </sheetData>
      <sheetData sheetId="2050">
        <row r="7">
          <cell r="E7" t="str">
            <v>PT NEWCREST SUMATRA MINERALS</v>
          </cell>
        </row>
      </sheetData>
      <sheetData sheetId="2051">
        <row r="7">
          <cell r="E7" t="str">
            <v>PT NEWCREST SUMATRA MINERALS</v>
          </cell>
        </row>
      </sheetData>
      <sheetData sheetId="2052">
        <row r="7">
          <cell r="E7" t="str">
            <v>PT NEWCREST SUMATRA MINERALS</v>
          </cell>
        </row>
      </sheetData>
      <sheetData sheetId="2053">
        <row r="7">
          <cell r="E7" t="str">
            <v>PT NEWCREST SUMATRA MINERALS</v>
          </cell>
        </row>
      </sheetData>
      <sheetData sheetId="2054">
        <row r="7">
          <cell r="E7" t="str">
            <v>PT NEWCREST SUMATRA MINERALS</v>
          </cell>
        </row>
      </sheetData>
      <sheetData sheetId="2055">
        <row r="7">
          <cell r="E7" t="str">
            <v>PT NEWCREST SUMATRA MINERALS</v>
          </cell>
        </row>
      </sheetData>
      <sheetData sheetId="2056">
        <row r="7">
          <cell r="E7" t="str">
            <v>PT NEWCREST SUMATRA MINERALS</v>
          </cell>
        </row>
      </sheetData>
      <sheetData sheetId="2057">
        <row r="7">
          <cell r="E7" t="str">
            <v>PT NEWCREST SUMATRA MINERALS</v>
          </cell>
        </row>
      </sheetData>
      <sheetData sheetId="2058">
        <row r="7">
          <cell r="E7" t="str">
            <v>PT NEWCREST SUMATRA MINERALS</v>
          </cell>
        </row>
      </sheetData>
      <sheetData sheetId="2059">
        <row r="7">
          <cell r="E7" t="str">
            <v>PT NEWCREST SUMATRA MINERALS</v>
          </cell>
        </row>
      </sheetData>
      <sheetData sheetId="2060">
        <row r="7">
          <cell r="E7" t="str">
            <v>PT NEWCREST SUMATRA MINERALS</v>
          </cell>
        </row>
      </sheetData>
      <sheetData sheetId="2061">
        <row r="7">
          <cell r="E7" t="str">
            <v>PT NEWCREST SUMATRA MINERALS</v>
          </cell>
        </row>
      </sheetData>
      <sheetData sheetId="2062">
        <row r="7">
          <cell r="E7" t="str">
            <v>PT NEWCREST SUMATRA MINERALS</v>
          </cell>
        </row>
      </sheetData>
      <sheetData sheetId="2063">
        <row r="7">
          <cell r="E7" t="str">
            <v>PT NEWCREST SUMATRA MINERALS</v>
          </cell>
        </row>
      </sheetData>
      <sheetData sheetId="2064">
        <row r="7">
          <cell r="E7" t="str">
            <v>PT NEWCREST SUMATRA MINERALS</v>
          </cell>
        </row>
      </sheetData>
      <sheetData sheetId="2065">
        <row r="7">
          <cell r="E7" t="str">
            <v>PT NEWCREST SUMATRA MINERALS</v>
          </cell>
        </row>
      </sheetData>
      <sheetData sheetId="2066">
        <row r="7">
          <cell r="E7" t="str">
            <v>PT NEWCREST SUMATRA MINERALS</v>
          </cell>
        </row>
      </sheetData>
      <sheetData sheetId="2067">
        <row r="7">
          <cell r="E7" t="str">
            <v>PT NEWCREST SUMATRA MINERALS</v>
          </cell>
        </row>
      </sheetData>
      <sheetData sheetId="2068">
        <row r="7">
          <cell r="E7" t="str">
            <v>PT NEWCREST SUMATRA MINERALS</v>
          </cell>
        </row>
      </sheetData>
      <sheetData sheetId="2069">
        <row r="7">
          <cell r="E7" t="str">
            <v>PT NEWCREST SUMATRA MINERALS</v>
          </cell>
        </row>
      </sheetData>
      <sheetData sheetId="2070">
        <row r="7">
          <cell r="E7" t="str">
            <v>PT NEWCREST SUMATRA MINERALS</v>
          </cell>
        </row>
      </sheetData>
      <sheetData sheetId="2071">
        <row r="7">
          <cell r="E7" t="str">
            <v>PT NEWCREST SUMATRA MINERALS</v>
          </cell>
        </row>
      </sheetData>
      <sheetData sheetId="2072">
        <row r="7">
          <cell r="E7" t="str">
            <v>PT NEWCREST SUMATRA MINERALS</v>
          </cell>
        </row>
      </sheetData>
      <sheetData sheetId="2073">
        <row r="7">
          <cell r="E7" t="str">
            <v>PT NEWCREST SUMATRA MINERALS</v>
          </cell>
        </row>
      </sheetData>
      <sheetData sheetId="2074">
        <row r="7">
          <cell r="E7" t="str">
            <v>PT NEWCREST SUMATRA MINERALS</v>
          </cell>
        </row>
      </sheetData>
      <sheetData sheetId="2075">
        <row r="7">
          <cell r="E7" t="str">
            <v>PT NEWCREST SUMATRA MINERALS</v>
          </cell>
        </row>
      </sheetData>
      <sheetData sheetId="2076">
        <row r="7">
          <cell r="E7" t="str">
            <v>PT NEWCREST SUMATRA MINERALS</v>
          </cell>
        </row>
      </sheetData>
      <sheetData sheetId="2077">
        <row r="7">
          <cell r="E7" t="str">
            <v>PT NEWCREST SUMATRA MINERALS</v>
          </cell>
        </row>
      </sheetData>
      <sheetData sheetId="2078">
        <row r="7">
          <cell r="E7" t="str">
            <v>PT NEWCREST SUMATRA MINERALS</v>
          </cell>
        </row>
      </sheetData>
      <sheetData sheetId="2079">
        <row r="7">
          <cell r="E7" t="str">
            <v>PT NEWCREST SUMATRA MINERALS</v>
          </cell>
        </row>
      </sheetData>
      <sheetData sheetId="2080">
        <row r="7">
          <cell r="E7" t="str">
            <v>PT NEWCREST SUMATRA MINERALS</v>
          </cell>
        </row>
      </sheetData>
      <sheetData sheetId="2081">
        <row r="7">
          <cell r="E7" t="str">
            <v>PT NEWCREST SUMATRA MINERALS</v>
          </cell>
        </row>
      </sheetData>
      <sheetData sheetId="2082">
        <row r="7">
          <cell r="E7" t="str">
            <v>PT NEWCREST SUMATRA MINERALS</v>
          </cell>
        </row>
      </sheetData>
      <sheetData sheetId="2083">
        <row r="7">
          <cell r="E7" t="str">
            <v>PT NEWCREST SUMATRA MINERALS</v>
          </cell>
        </row>
      </sheetData>
      <sheetData sheetId="2084">
        <row r="7">
          <cell r="E7" t="str">
            <v>PT NEWCREST SUMATRA MINERALS</v>
          </cell>
        </row>
      </sheetData>
      <sheetData sheetId="2085">
        <row r="7">
          <cell r="E7" t="str">
            <v>PT NEWCREST SUMATRA MINERALS</v>
          </cell>
        </row>
      </sheetData>
      <sheetData sheetId="2086">
        <row r="7">
          <cell r="E7" t="str">
            <v>PT NEWCREST SUMATRA MINERALS</v>
          </cell>
        </row>
      </sheetData>
      <sheetData sheetId="2087">
        <row r="7">
          <cell r="E7" t="str">
            <v>PT NEWCREST SUMATRA MINERALS</v>
          </cell>
        </row>
      </sheetData>
      <sheetData sheetId="2088">
        <row r="7">
          <cell r="E7" t="str">
            <v>PT NEWCREST SUMATRA MINERALS</v>
          </cell>
        </row>
      </sheetData>
      <sheetData sheetId="2089">
        <row r="7">
          <cell r="E7" t="str">
            <v>PT NEWCREST SUMATRA MINERALS</v>
          </cell>
        </row>
      </sheetData>
      <sheetData sheetId="2090">
        <row r="7">
          <cell r="E7" t="str">
            <v>PT NEWCREST SUMATRA MINERALS</v>
          </cell>
        </row>
      </sheetData>
      <sheetData sheetId="2091">
        <row r="7">
          <cell r="E7" t="str">
            <v>PT NEWCREST SUMATRA MINERALS</v>
          </cell>
        </row>
      </sheetData>
      <sheetData sheetId="2092">
        <row r="7">
          <cell r="E7" t="str">
            <v>PT NEWCREST SUMATRA MINERALS</v>
          </cell>
        </row>
      </sheetData>
      <sheetData sheetId="2093">
        <row r="7">
          <cell r="E7" t="str">
            <v>PT NEWCREST SUMATRA MINERALS</v>
          </cell>
        </row>
      </sheetData>
      <sheetData sheetId="2094">
        <row r="7">
          <cell r="E7" t="str">
            <v>PT NEWCREST SUMATRA MINERALS</v>
          </cell>
        </row>
      </sheetData>
      <sheetData sheetId="2095">
        <row r="7">
          <cell r="E7" t="str">
            <v>PT NEWCREST SUMATRA MINERALS</v>
          </cell>
        </row>
      </sheetData>
      <sheetData sheetId="2096">
        <row r="7">
          <cell r="E7" t="str">
            <v>PT NEWCREST SUMATRA MINERALS</v>
          </cell>
        </row>
      </sheetData>
      <sheetData sheetId="2097">
        <row r="7">
          <cell r="E7" t="str">
            <v>PT NEWCREST SUMATRA MINERALS</v>
          </cell>
        </row>
      </sheetData>
      <sheetData sheetId="2098">
        <row r="7">
          <cell r="E7" t="str">
            <v>PT NEWCREST SUMATRA MINERALS</v>
          </cell>
        </row>
      </sheetData>
      <sheetData sheetId="2099">
        <row r="7">
          <cell r="E7" t="str">
            <v>PT NEWCREST SUMATRA MINERALS</v>
          </cell>
        </row>
      </sheetData>
      <sheetData sheetId="2100">
        <row r="7">
          <cell r="E7" t="str">
            <v>PT NEWCREST SUMATRA MINERALS</v>
          </cell>
        </row>
      </sheetData>
      <sheetData sheetId="2101">
        <row r="7">
          <cell r="E7" t="str">
            <v>PT NEWCREST SUMATRA MINERALS</v>
          </cell>
        </row>
      </sheetData>
      <sheetData sheetId="2102">
        <row r="7">
          <cell r="E7" t="str">
            <v>PT NEWCREST SUMATRA MINERALS</v>
          </cell>
        </row>
      </sheetData>
      <sheetData sheetId="2103">
        <row r="7">
          <cell r="E7" t="str">
            <v>PT NEWCREST SUMATRA MINERALS</v>
          </cell>
        </row>
      </sheetData>
      <sheetData sheetId="2104">
        <row r="7">
          <cell r="E7" t="str">
            <v>PT NEWCREST SUMATRA MINERALS</v>
          </cell>
        </row>
      </sheetData>
      <sheetData sheetId="2105">
        <row r="7">
          <cell r="E7" t="str">
            <v>PT NEWCREST SUMATRA MINERALS</v>
          </cell>
        </row>
      </sheetData>
      <sheetData sheetId="2106">
        <row r="7">
          <cell r="E7" t="str">
            <v>PT NEWCREST SUMATRA MINERALS</v>
          </cell>
        </row>
      </sheetData>
      <sheetData sheetId="2107">
        <row r="7">
          <cell r="E7" t="str">
            <v>PT NEWCREST SUMATRA MINERALS</v>
          </cell>
        </row>
      </sheetData>
      <sheetData sheetId="2108">
        <row r="7">
          <cell r="E7" t="str">
            <v>PT NEWCREST SUMATRA MINERALS</v>
          </cell>
        </row>
      </sheetData>
      <sheetData sheetId="2109">
        <row r="7">
          <cell r="E7" t="str">
            <v>PT NEWCREST SUMATRA MINERALS</v>
          </cell>
        </row>
      </sheetData>
      <sheetData sheetId="2110">
        <row r="7">
          <cell r="E7" t="str">
            <v>PT NEWCREST SUMATRA MINERALS</v>
          </cell>
        </row>
      </sheetData>
      <sheetData sheetId="2111">
        <row r="7">
          <cell r="E7" t="str">
            <v>PT NEWCREST SUMATRA MINERALS</v>
          </cell>
        </row>
      </sheetData>
      <sheetData sheetId="2112">
        <row r="7">
          <cell r="E7" t="str">
            <v>PT NEWCREST SUMATRA MINERALS</v>
          </cell>
        </row>
      </sheetData>
      <sheetData sheetId="2113">
        <row r="7">
          <cell r="E7" t="str">
            <v>PT NEWCREST SUMATRA MINERALS</v>
          </cell>
        </row>
      </sheetData>
      <sheetData sheetId="2114">
        <row r="7">
          <cell r="E7" t="str">
            <v>PT NEWCREST SUMATRA MINERALS</v>
          </cell>
        </row>
      </sheetData>
      <sheetData sheetId="2115">
        <row r="7">
          <cell r="E7" t="str">
            <v>PT NEWCREST SUMATRA MINERALS</v>
          </cell>
        </row>
      </sheetData>
      <sheetData sheetId="2116">
        <row r="7">
          <cell r="E7" t="str">
            <v>PT NEWCREST SUMATRA MINERALS</v>
          </cell>
        </row>
      </sheetData>
      <sheetData sheetId="2117">
        <row r="7">
          <cell r="E7" t="str">
            <v>PT NEWCREST SUMATRA MINERALS</v>
          </cell>
        </row>
      </sheetData>
      <sheetData sheetId="2118">
        <row r="7">
          <cell r="E7" t="str">
            <v>PT NEWCREST SUMATRA MINERALS</v>
          </cell>
        </row>
      </sheetData>
      <sheetData sheetId="2119">
        <row r="7">
          <cell r="E7" t="str">
            <v>PT NEWCREST SUMATRA MINERALS</v>
          </cell>
        </row>
      </sheetData>
      <sheetData sheetId="2120">
        <row r="7">
          <cell r="E7" t="str">
            <v>PT NEWCREST SUMATRA MINERALS</v>
          </cell>
        </row>
      </sheetData>
      <sheetData sheetId="2121">
        <row r="7">
          <cell r="E7" t="str">
            <v>PT NEWCREST SUMATRA MINERALS</v>
          </cell>
        </row>
      </sheetData>
      <sheetData sheetId="2122">
        <row r="7">
          <cell r="E7" t="str">
            <v>PT NEWCREST SUMATRA MINERALS</v>
          </cell>
        </row>
      </sheetData>
      <sheetData sheetId="2123">
        <row r="7">
          <cell r="E7" t="str">
            <v>PT NEWCREST SUMATRA MINERALS</v>
          </cell>
        </row>
      </sheetData>
      <sheetData sheetId="2124">
        <row r="7">
          <cell r="E7" t="str">
            <v>PT NEWCREST SUMATRA MINERALS</v>
          </cell>
        </row>
      </sheetData>
      <sheetData sheetId="2125">
        <row r="7">
          <cell r="E7" t="str">
            <v>PT NEWCREST SUMATRA MINERALS</v>
          </cell>
        </row>
      </sheetData>
      <sheetData sheetId="2126">
        <row r="7">
          <cell r="E7" t="str">
            <v>PT NEWCREST SUMATRA MINERALS</v>
          </cell>
        </row>
      </sheetData>
      <sheetData sheetId="2127">
        <row r="7">
          <cell r="E7" t="str">
            <v>PT NEWCREST SUMATRA MINERALS</v>
          </cell>
        </row>
      </sheetData>
      <sheetData sheetId="2128">
        <row r="7">
          <cell r="E7" t="str">
            <v>PT NEWCREST SUMATRA MINERALS</v>
          </cell>
        </row>
      </sheetData>
      <sheetData sheetId="2129">
        <row r="7">
          <cell r="E7" t="str">
            <v>PT NEWCREST SUMATRA MINERALS</v>
          </cell>
        </row>
      </sheetData>
      <sheetData sheetId="2130">
        <row r="7">
          <cell r="E7" t="str">
            <v>PT NEWCREST SUMATRA MINERALS</v>
          </cell>
        </row>
      </sheetData>
      <sheetData sheetId="2131">
        <row r="7">
          <cell r="E7" t="str">
            <v>PT NEWCREST SUMATRA MINERALS</v>
          </cell>
        </row>
      </sheetData>
      <sheetData sheetId="2132">
        <row r="7">
          <cell r="E7" t="str">
            <v>PT NEWCREST SUMATRA MINERALS</v>
          </cell>
        </row>
      </sheetData>
      <sheetData sheetId="2133">
        <row r="7">
          <cell r="E7" t="str">
            <v>PT NEWCREST SUMATRA MINERALS</v>
          </cell>
        </row>
      </sheetData>
      <sheetData sheetId="2134">
        <row r="7">
          <cell r="E7" t="str">
            <v>PT NEWCREST SUMATRA MINERALS</v>
          </cell>
        </row>
      </sheetData>
      <sheetData sheetId="2135">
        <row r="7">
          <cell r="E7" t="str">
            <v>PT NEWCREST SUMATRA MINERALS</v>
          </cell>
        </row>
      </sheetData>
      <sheetData sheetId="2136">
        <row r="7">
          <cell r="E7" t="str">
            <v>PT NEWCREST SUMATRA MINERALS</v>
          </cell>
        </row>
      </sheetData>
      <sheetData sheetId="2137">
        <row r="7">
          <cell r="E7" t="str">
            <v>PT NEWCREST SUMATRA MINERALS</v>
          </cell>
        </row>
      </sheetData>
      <sheetData sheetId="2138">
        <row r="7">
          <cell r="E7" t="str">
            <v>PT NEWCREST SUMATRA MINERALS</v>
          </cell>
        </row>
      </sheetData>
      <sheetData sheetId="2139">
        <row r="7">
          <cell r="E7" t="str">
            <v>PT NEWCREST SUMATRA MINERALS</v>
          </cell>
        </row>
      </sheetData>
      <sheetData sheetId="2140">
        <row r="7">
          <cell r="E7" t="str">
            <v>PT NEWCREST SUMATRA MINERALS</v>
          </cell>
        </row>
      </sheetData>
      <sheetData sheetId="2141">
        <row r="7">
          <cell r="E7" t="str">
            <v>PT NEWCREST SUMATRA MINERALS</v>
          </cell>
        </row>
      </sheetData>
      <sheetData sheetId="2142">
        <row r="7">
          <cell r="E7" t="str">
            <v>PT NEWCREST SUMATRA MINERALS</v>
          </cell>
        </row>
      </sheetData>
      <sheetData sheetId="2143">
        <row r="7">
          <cell r="E7" t="str">
            <v>PT NEWCREST SUMATRA MINERALS</v>
          </cell>
        </row>
      </sheetData>
      <sheetData sheetId="2144">
        <row r="7">
          <cell r="E7" t="str">
            <v>PT NEWCREST SUMATRA MINERALS</v>
          </cell>
        </row>
      </sheetData>
      <sheetData sheetId="2145">
        <row r="7">
          <cell r="E7" t="str">
            <v>PT NEWCREST SUMATRA MINERALS</v>
          </cell>
        </row>
      </sheetData>
      <sheetData sheetId="2146">
        <row r="7">
          <cell r="E7" t="str">
            <v>PT NEWCREST SUMATRA MINERALS</v>
          </cell>
        </row>
      </sheetData>
      <sheetData sheetId="2147">
        <row r="7">
          <cell r="E7" t="str">
            <v>PT NEWCREST SUMATRA MINERALS</v>
          </cell>
        </row>
      </sheetData>
      <sheetData sheetId="2148">
        <row r="7">
          <cell r="E7" t="str">
            <v>PT NEWCREST SUMATRA MINERALS</v>
          </cell>
        </row>
      </sheetData>
      <sheetData sheetId="2149">
        <row r="7">
          <cell r="E7" t="str">
            <v>PT NEWCREST SUMATRA MINERALS</v>
          </cell>
        </row>
      </sheetData>
      <sheetData sheetId="2150">
        <row r="7">
          <cell r="E7" t="str">
            <v>PT NEWCREST SUMATRA MINERALS</v>
          </cell>
        </row>
      </sheetData>
      <sheetData sheetId="2151">
        <row r="7">
          <cell r="E7" t="str">
            <v>PT NEWCREST SUMATRA MINERALS</v>
          </cell>
        </row>
      </sheetData>
      <sheetData sheetId="2152">
        <row r="7">
          <cell r="E7" t="str">
            <v>PT NEWCREST SUMATRA MINERALS</v>
          </cell>
        </row>
      </sheetData>
      <sheetData sheetId="2153">
        <row r="7">
          <cell r="E7" t="str">
            <v>PT NEWCREST SUMATRA MINERALS</v>
          </cell>
        </row>
      </sheetData>
      <sheetData sheetId="2154">
        <row r="7">
          <cell r="E7" t="str">
            <v>PT NEWCREST SUMATRA MINERALS</v>
          </cell>
        </row>
      </sheetData>
      <sheetData sheetId="2155">
        <row r="7">
          <cell r="E7" t="str">
            <v>PT NEWCREST SUMATRA MINERALS</v>
          </cell>
        </row>
      </sheetData>
      <sheetData sheetId="2156">
        <row r="7">
          <cell r="E7" t="str">
            <v>PT NEWCREST SUMATRA MINERALS</v>
          </cell>
        </row>
      </sheetData>
      <sheetData sheetId="2157">
        <row r="7">
          <cell r="E7" t="str">
            <v>PT NEWCREST SUMATRA MINERALS</v>
          </cell>
        </row>
      </sheetData>
      <sheetData sheetId="2158">
        <row r="7">
          <cell r="E7" t="str">
            <v>PT NEWCREST SUMATRA MINERALS</v>
          </cell>
        </row>
      </sheetData>
      <sheetData sheetId="2159">
        <row r="7">
          <cell r="E7" t="str">
            <v>PT NEWCREST SUMATRA MINERALS</v>
          </cell>
        </row>
      </sheetData>
      <sheetData sheetId="2160">
        <row r="7">
          <cell r="E7" t="str">
            <v>PT NEWCREST SUMATRA MINERALS</v>
          </cell>
        </row>
      </sheetData>
      <sheetData sheetId="2161">
        <row r="7">
          <cell r="E7" t="str">
            <v>PT NEWCREST SUMATRA MINERALS</v>
          </cell>
        </row>
      </sheetData>
      <sheetData sheetId="2162">
        <row r="7">
          <cell r="E7" t="str">
            <v>PT NEWCREST SUMATRA MINERALS</v>
          </cell>
        </row>
      </sheetData>
      <sheetData sheetId="2163">
        <row r="7">
          <cell r="E7" t="str">
            <v>PT NEWCREST SUMATRA MINERALS</v>
          </cell>
        </row>
      </sheetData>
      <sheetData sheetId="2164">
        <row r="7">
          <cell r="E7" t="str">
            <v>PT NEWCREST SUMATRA MINERALS</v>
          </cell>
        </row>
      </sheetData>
      <sheetData sheetId="2165">
        <row r="7">
          <cell r="E7" t="str">
            <v>PT NEWCREST SUMATRA MINERALS</v>
          </cell>
        </row>
      </sheetData>
      <sheetData sheetId="2166">
        <row r="7">
          <cell r="E7" t="str">
            <v>PT NEWCREST SUMATRA MINERALS</v>
          </cell>
        </row>
      </sheetData>
      <sheetData sheetId="2167">
        <row r="7">
          <cell r="E7" t="str">
            <v>PT NEWCREST SUMATRA MINERALS</v>
          </cell>
        </row>
      </sheetData>
      <sheetData sheetId="2168">
        <row r="7">
          <cell r="E7" t="str">
            <v>PT NEWCREST SUMATRA MINERALS</v>
          </cell>
        </row>
      </sheetData>
      <sheetData sheetId="2169">
        <row r="7">
          <cell r="E7" t="str">
            <v>PT NEWCREST SUMATRA MINERALS</v>
          </cell>
        </row>
      </sheetData>
      <sheetData sheetId="2170">
        <row r="7">
          <cell r="E7" t="str">
            <v>PT NEWCREST SUMATRA MINERALS</v>
          </cell>
        </row>
      </sheetData>
      <sheetData sheetId="2171">
        <row r="7">
          <cell r="E7" t="str">
            <v>PT NEWCREST SUMATRA MINERALS</v>
          </cell>
        </row>
      </sheetData>
      <sheetData sheetId="2172">
        <row r="7">
          <cell r="E7" t="str">
            <v>PT NEWCREST SUMATRA MINERALS</v>
          </cell>
        </row>
      </sheetData>
      <sheetData sheetId="2173">
        <row r="7">
          <cell r="E7" t="str">
            <v>PT NEWCREST SUMATRA MINERALS</v>
          </cell>
        </row>
      </sheetData>
      <sheetData sheetId="2174">
        <row r="7">
          <cell r="E7" t="str">
            <v>PT NEWCREST SUMATRA MINERALS</v>
          </cell>
        </row>
      </sheetData>
      <sheetData sheetId="2175">
        <row r="7">
          <cell r="E7" t="str">
            <v>PT NEWCREST SUMATRA MINERALS</v>
          </cell>
        </row>
      </sheetData>
      <sheetData sheetId="2176">
        <row r="7">
          <cell r="E7" t="str">
            <v>PT NEWCREST SUMATRA MINERALS</v>
          </cell>
        </row>
      </sheetData>
      <sheetData sheetId="2177">
        <row r="7">
          <cell r="E7" t="str">
            <v>PT NEWCREST SUMATRA MINERALS</v>
          </cell>
        </row>
      </sheetData>
      <sheetData sheetId="2178">
        <row r="7">
          <cell r="E7" t="str">
            <v>PT NEWCREST SUMATRA MINERALS</v>
          </cell>
        </row>
      </sheetData>
      <sheetData sheetId="2179">
        <row r="7">
          <cell r="E7" t="str">
            <v>PT NEWCREST SUMATRA MINERALS</v>
          </cell>
        </row>
      </sheetData>
      <sheetData sheetId="2180">
        <row r="7">
          <cell r="E7" t="str">
            <v>PT NEWCREST SUMATRA MINERALS</v>
          </cell>
        </row>
      </sheetData>
      <sheetData sheetId="2181">
        <row r="7">
          <cell r="E7" t="str">
            <v>PT NEWCREST SUMATRA MINERALS</v>
          </cell>
        </row>
      </sheetData>
      <sheetData sheetId="2182">
        <row r="7">
          <cell r="E7" t="str">
            <v>PT NEWCREST SUMATRA MINERALS</v>
          </cell>
        </row>
      </sheetData>
      <sheetData sheetId="2183">
        <row r="7">
          <cell r="E7" t="str">
            <v>PT NEWCREST SUMATRA MINERALS</v>
          </cell>
        </row>
      </sheetData>
      <sheetData sheetId="2184">
        <row r="7">
          <cell r="E7" t="str">
            <v>PT NEWCREST SUMATRA MINERALS</v>
          </cell>
        </row>
      </sheetData>
      <sheetData sheetId="2185">
        <row r="7">
          <cell r="E7" t="str">
            <v>PT NEWCREST SUMATRA MINERALS</v>
          </cell>
        </row>
      </sheetData>
      <sheetData sheetId="2186">
        <row r="7">
          <cell r="E7" t="str">
            <v>PT NEWCREST SUMATRA MINERALS</v>
          </cell>
        </row>
      </sheetData>
      <sheetData sheetId="2187">
        <row r="7">
          <cell r="E7" t="str">
            <v>PT NEWCREST SUMATRA MINERALS</v>
          </cell>
        </row>
      </sheetData>
      <sheetData sheetId="2188">
        <row r="7">
          <cell r="E7" t="str">
            <v>PT NEWCREST SUMATRA MINERALS</v>
          </cell>
        </row>
      </sheetData>
      <sheetData sheetId="2189">
        <row r="7">
          <cell r="E7" t="str">
            <v>PT NEWCREST SUMATRA MINERALS</v>
          </cell>
        </row>
      </sheetData>
      <sheetData sheetId="2190">
        <row r="7">
          <cell r="E7" t="str">
            <v>PT NEWCREST SUMATRA MINERALS</v>
          </cell>
        </row>
      </sheetData>
      <sheetData sheetId="2191">
        <row r="7">
          <cell r="E7" t="str">
            <v>PT NEWCREST SUMATRA MINERALS</v>
          </cell>
        </row>
      </sheetData>
      <sheetData sheetId="2192">
        <row r="7">
          <cell r="E7" t="str">
            <v>PT NEWCREST SUMATRA MINERALS</v>
          </cell>
        </row>
      </sheetData>
      <sheetData sheetId="2193">
        <row r="7">
          <cell r="E7" t="str">
            <v>PT NEWCREST SUMATRA MINERALS</v>
          </cell>
        </row>
      </sheetData>
      <sheetData sheetId="2194">
        <row r="7">
          <cell r="E7" t="str">
            <v>PT NEWCREST SUMATRA MINERALS</v>
          </cell>
        </row>
      </sheetData>
      <sheetData sheetId="2195">
        <row r="7">
          <cell r="E7" t="str">
            <v>PT NEWCREST SUMATRA MINERALS</v>
          </cell>
        </row>
      </sheetData>
      <sheetData sheetId="2196">
        <row r="7">
          <cell r="E7" t="str">
            <v>PT NEWCREST SUMATRA MINERALS</v>
          </cell>
        </row>
      </sheetData>
      <sheetData sheetId="2197">
        <row r="7">
          <cell r="E7" t="str">
            <v>PT NEWCREST SUMATRA MINERALS</v>
          </cell>
        </row>
      </sheetData>
      <sheetData sheetId="2198">
        <row r="7">
          <cell r="E7" t="str">
            <v>PT NEWCREST SUMATRA MINERALS</v>
          </cell>
        </row>
      </sheetData>
      <sheetData sheetId="2199">
        <row r="7">
          <cell r="E7" t="str">
            <v>PT NEWCREST SUMATRA MINERALS</v>
          </cell>
        </row>
      </sheetData>
      <sheetData sheetId="2200">
        <row r="7">
          <cell r="E7" t="str">
            <v>PT NEWCREST SUMATRA MINERALS</v>
          </cell>
        </row>
      </sheetData>
      <sheetData sheetId="2201">
        <row r="7">
          <cell r="E7" t="str">
            <v>PT NEWCREST SUMATRA MINERALS</v>
          </cell>
        </row>
      </sheetData>
      <sheetData sheetId="2202">
        <row r="7">
          <cell r="E7" t="str">
            <v>PT NEWCREST SUMATRA MINERALS</v>
          </cell>
        </row>
      </sheetData>
      <sheetData sheetId="2203">
        <row r="7">
          <cell r="E7" t="str">
            <v>PT NEWCREST SUMATRA MINERALS</v>
          </cell>
        </row>
      </sheetData>
      <sheetData sheetId="2204">
        <row r="7">
          <cell r="E7" t="str">
            <v>PT NEWCREST SUMATRA MINERALS</v>
          </cell>
        </row>
      </sheetData>
      <sheetData sheetId="2205">
        <row r="7">
          <cell r="E7" t="str">
            <v>PT NEWCREST SUMATRA MINERALS</v>
          </cell>
        </row>
      </sheetData>
      <sheetData sheetId="2206">
        <row r="7">
          <cell r="E7" t="str">
            <v>PT NEWCREST SUMATRA MINERALS</v>
          </cell>
        </row>
      </sheetData>
      <sheetData sheetId="2207">
        <row r="7">
          <cell r="E7" t="str">
            <v>PT NEWCREST SUMATRA MINERALS</v>
          </cell>
        </row>
      </sheetData>
      <sheetData sheetId="2208">
        <row r="7">
          <cell r="E7" t="str">
            <v>PT NEWCREST SUMATRA MINERALS</v>
          </cell>
        </row>
      </sheetData>
      <sheetData sheetId="2209">
        <row r="7">
          <cell r="E7" t="str">
            <v>PT NEWCREST SUMATRA MINERALS</v>
          </cell>
        </row>
      </sheetData>
      <sheetData sheetId="2210">
        <row r="7">
          <cell r="E7" t="str">
            <v>PT NEWCREST SUMATRA MINERALS</v>
          </cell>
        </row>
      </sheetData>
      <sheetData sheetId="2211">
        <row r="7">
          <cell r="E7" t="str">
            <v>PT NEWCREST SUMATRA MINERALS</v>
          </cell>
        </row>
      </sheetData>
      <sheetData sheetId="2212">
        <row r="7">
          <cell r="E7" t="str">
            <v>PT NEWCREST SUMATRA MINERALS</v>
          </cell>
        </row>
      </sheetData>
      <sheetData sheetId="2213">
        <row r="7">
          <cell r="E7" t="str">
            <v>PT NEWCREST SUMATRA MINERALS</v>
          </cell>
        </row>
      </sheetData>
      <sheetData sheetId="2214">
        <row r="7">
          <cell r="E7" t="str">
            <v>PT NEWCREST SUMATRA MINERALS</v>
          </cell>
        </row>
      </sheetData>
      <sheetData sheetId="2215">
        <row r="7">
          <cell r="E7" t="str">
            <v>PT NEWCREST SUMATRA MINERALS</v>
          </cell>
        </row>
      </sheetData>
      <sheetData sheetId="2216">
        <row r="7">
          <cell r="E7" t="str">
            <v>PT NEWCREST SUMATRA MINERALS</v>
          </cell>
        </row>
      </sheetData>
      <sheetData sheetId="2217">
        <row r="7">
          <cell r="E7" t="str">
            <v>PT NEWCREST SUMATRA MINERALS</v>
          </cell>
        </row>
      </sheetData>
      <sheetData sheetId="2218">
        <row r="7">
          <cell r="E7" t="str">
            <v>PT NEWCREST SUMATRA MINERALS</v>
          </cell>
        </row>
      </sheetData>
      <sheetData sheetId="2219">
        <row r="7">
          <cell r="E7" t="str">
            <v>PT NEWCREST SUMATRA MINERALS</v>
          </cell>
        </row>
      </sheetData>
      <sheetData sheetId="2220">
        <row r="7">
          <cell r="E7" t="str">
            <v>PT NEWCREST SUMATRA MINERALS</v>
          </cell>
        </row>
      </sheetData>
      <sheetData sheetId="2221">
        <row r="7">
          <cell r="E7" t="str">
            <v>PT NEWCREST SUMATRA MINERALS</v>
          </cell>
        </row>
      </sheetData>
      <sheetData sheetId="2222">
        <row r="7">
          <cell r="E7" t="str">
            <v>PT NEWCREST SUMATRA MINERALS</v>
          </cell>
        </row>
      </sheetData>
      <sheetData sheetId="2223">
        <row r="7">
          <cell r="E7" t="str">
            <v>PT NEWCREST SUMATRA MINERALS</v>
          </cell>
        </row>
      </sheetData>
      <sheetData sheetId="2224">
        <row r="7">
          <cell r="E7" t="str">
            <v>PT NEWCREST SUMATRA MINERALS</v>
          </cell>
        </row>
      </sheetData>
      <sheetData sheetId="2225">
        <row r="7">
          <cell r="E7" t="str">
            <v>PT NEWCREST SUMATRA MINERALS</v>
          </cell>
        </row>
      </sheetData>
      <sheetData sheetId="2226">
        <row r="7">
          <cell r="E7" t="str">
            <v>PT NEWCREST SUMATRA MINERALS</v>
          </cell>
        </row>
      </sheetData>
      <sheetData sheetId="2227">
        <row r="7">
          <cell r="E7" t="str">
            <v>PT NEWCREST SUMATRA MINERALS</v>
          </cell>
        </row>
      </sheetData>
      <sheetData sheetId="2228">
        <row r="7">
          <cell r="E7" t="str">
            <v>PT NEWCREST SUMATRA MINERALS</v>
          </cell>
        </row>
      </sheetData>
      <sheetData sheetId="2229">
        <row r="7">
          <cell r="E7" t="str">
            <v>PT NEWCREST SUMATRA MINERALS</v>
          </cell>
        </row>
      </sheetData>
      <sheetData sheetId="2230">
        <row r="7">
          <cell r="E7" t="str">
            <v>PT NEWCREST SUMATRA MINERALS</v>
          </cell>
        </row>
      </sheetData>
      <sheetData sheetId="2231">
        <row r="7">
          <cell r="E7" t="str">
            <v>PT NEWCREST SUMATRA MINERALS</v>
          </cell>
        </row>
      </sheetData>
      <sheetData sheetId="2232">
        <row r="7">
          <cell r="E7" t="str">
            <v>PT NEWCREST SUMATRA MINERALS</v>
          </cell>
        </row>
      </sheetData>
      <sheetData sheetId="2233">
        <row r="7">
          <cell r="E7" t="str">
            <v>PT NEWCREST SUMATRA MINERALS</v>
          </cell>
        </row>
      </sheetData>
      <sheetData sheetId="2234">
        <row r="7">
          <cell r="E7" t="str">
            <v>PT NEWCREST SUMATRA MINERALS</v>
          </cell>
        </row>
      </sheetData>
      <sheetData sheetId="2235">
        <row r="7">
          <cell r="E7" t="str">
            <v>PT NEWCREST SUMATRA MINERALS</v>
          </cell>
        </row>
      </sheetData>
      <sheetData sheetId="2236">
        <row r="7">
          <cell r="E7" t="str">
            <v>PT NEWCREST SUMATRA MINERALS</v>
          </cell>
        </row>
      </sheetData>
      <sheetData sheetId="2237">
        <row r="7">
          <cell r="E7" t="str">
            <v>PT NEWCREST SUMATRA MINERALS</v>
          </cell>
        </row>
      </sheetData>
      <sheetData sheetId="2238">
        <row r="7">
          <cell r="E7" t="str">
            <v>PT NEWCREST SUMATRA MINERALS</v>
          </cell>
        </row>
      </sheetData>
      <sheetData sheetId="2239">
        <row r="7">
          <cell r="E7" t="str">
            <v>PT NEWCREST SUMATRA MINERALS</v>
          </cell>
        </row>
      </sheetData>
      <sheetData sheetId="2240">
        <row r="7">
          <cell r="E7" t="str">
            <v>PT NEWCREST SUMATRA MINERALS</v>
          </cell>
        </row>
      </sheetData>
      <sheetData sheetId="2241">
        <row r="7">
          <cell r="E7" t="str">
            <v>PT NEWCREST SUMATRA MINERALS</v>
          </cell>
        </row>
      </sheetData>
      <sheetData sheetId="2242">
        <row r="7">
          <cell r="E7" t="str">
            <v>PT NEWCREST SUMATRA MINERALS</v>
          </cell>
        </row>
      </sheetData>
      <sheetData sheetId="2243">
        <row r="7">
          <cell r="E7" t="str">
            <v>PT NEWCREST SUMATRA MINERALS</v>
          </cell>
        </row>
      </sheetData>
      <sheetData sheetId="2244">
        <row r="7">
          <cell r="E7" t="str">
            <v>PT NEWCREST SUMATRA MINERALS</v>
          </cell>
        </row>
      </sheetData>
      <sheetData sheetId="2245">
        <row r="7">
          <cell r="E7" t="str">
            <v>PT NEWCREST SUMATRA MINERALS</v>
          </cell>
        </row>
      </sheetData>
      <sheetData sheetId="2246">
        <row r="7">
          <cell r="E7" t="str">
            <v>PT NEWCREST SUMATRA MINERALS</v>
          </cell>
        </row>
      </sheetData>
      <sheetData sheetId="2247">
        <row r="7">
          <cell r="E7" t="str">
            <v>PT NEWCREST SUMATRA MINERALS</v>
          </cell>
        </row>
      </sheetData>
      <sheetData sheetId="2248">
        <row r="7">
          <cell r="E7" t="str">
            <v>PT NEWCREST SUMATRA MINERALS</v>
          </cell>
        </row>
      </sheetData>
      <sheetData sheetId="2249">
        <row r="7">
          <cell r="E7" t="str">
            <v>PT NEWCREST SUMATRA MINERALS</v>
          </cell>
        </row>
      </sheetData>
      <sheetData sheetId="2250">
        <row r="7">
          <cell r="E7" t="str">
            <v>PT NEWCREST SUMATRA MINERALS</v>
          </cell>
        </row>
      </sheetData>
      <sheetData sheetId="2251">
        <row r="7">
          <cell r="E7" t="str">
            <v>PT NEWCREST SUMATRA MINERALS</v>
          </cell>
        </row>
      </sheetData>
      <sheetData sheetId="2252">
        <row r="7">
          <cell r="E7" t="str">
            <v>PT NEWCREST SUMATRA MINERALS</v>
          </cell>
        </row>
      </sheetData>
      <sheetData sheetId="2253">
        <row r="7">
          <cell r="E7" t="str">
            <v>PT NEWCREST SUMATRA MINERALS</v>
          </cell>
        </row>
      </sheetData>
      <sheetData sheetId="2254">
        <row r="7">
          <cell r="E7" t="str">
            <v>PT NEWCREST SUMATRA MINERALS</v>
          </cell>
        </row>
      </sheetData>
      <sheetData sheetId="2255">
        <row r="7">
          <cell r="E7" t="str">
            <v>PT NEWCREST SUMATRA MINERALS</v>
          </cell>
        </row>
      </sheetData>
      <sheetData sheetId="2256">
        <row r="7">
          <cell r="E7" t="str">
            <v>PT NEWCREST SUMATRA MINERALS</v>
          </cell>
        </row>
      </sheetData>
      <sheetData sheetId="2257">
        <row r="7">
          <cell r="E7" t="str">
            <v>PT NEWCREST SUMATRA MINERALS</v>
          </cell>
        </row>
      </sheetData>
      <sheetData sheetId="2258">
        <row r="7">
          <cell r="E7" t="str">
            <v>PT NEWCREST SUMATRA MINERALS</v>
          </cell>
        </row>
      </sheetData>
      <sheetData sheetId="2259">
        <row r="7">
          <cell r="E7" t="str">
            <v>PT NEWCREST SUMATRA MINERALS</v>
          </cell>
        </row>
      </sheetData>
      <sheetData sheetId="2260">
        <row r="7">
          <cell r="E7" t="str">
            <v>PT NEWCREST SUMATRA MINERALS</v>
          </cell>
        </row>
      </sheetData>
      <sheetData sheetId="2261">
        <row r="7">
          <cell r="E7" t="str">
            <v>PT NEWCREST SUMATRA MINERALS</v>
          </cell>
        </row>
      </sheetData>
      <sheetData sheetId="2262">
        <row r="7">
          <cell r="E7" t="str">
            <v>PT NEWCREST SUMATRA MINERALS</v>
          </cell>
        </row>
      </sheetData>
      <sheetData sheetId="2263">
        <row r="7">
          <cell r="E7" t="str">
            <v>PT NEWCREST SUMATRA MINERALS</v>
          </cell>
        </row>
      </sheetData>
      <sheetData sheetId="2264">
        <row r="7">
          <cell r="E7" t="str">
            <v>PT NEWCREST SUMATRA MINERALS</v>
          </cell>
        </row>
      </sheetData>
      <sheetData sheetId="2265">
        <row r="7">
          <cell r="E7" t="str">
            <v>PT NEWCREST SUMATRA MINERALS</v>
          </cell>
        </row>
      </sheetData>
      <sheetData sheetId="2266">
        <row r="7">
          <cell r="E7" t="str">
            <v>PT NEWCREST SUMATRA MINERALS</v>
          </cell>
        </row>
      </sheetData>
      <sheetData sheetId="2267">
        <row r="7">
          <cell r="E7" t="str">
            <v>PT NEWCREST SUMATRA MINERALS</v>
          </cell>
        </row>
      </sheetData>
      <sheetData sheetId="2268">
        <row r="7">
          <cell r="E7" t="str">
            <v>PT NEWCREST SUMATRA MINERALS</v>
          </cell>
        </row>
      </sheetData>
      <sheetData sheetId="2269">
        <row r="7">
          <cell r="E7" t="str">
            <v>PT NEWCREST SUMATRA MINERALS</v>
          </cell>
        </row>
      </sheetData>
      <sheetData sheetId="2270">
        <row r="7">
          <cell r="E7" t="str">
            <v>PT NEWCREST SUMATRA MINERALS</v>
          </cell>
        </row>
      </sheetData>
      <sheetData sheetId="2271">
        <row r="7">
          <cell r="E7" t="str">
            <v>PT NEWCREST SUMATRA MINERALS</v>
          </cell>
        </row>
      </sheetData>
      <sheetData sheetId="2272">
        <row r="7">
          <cell r="E7" t="str">
            <v>PT NEWCREST SUMATRA MINERALS</v>
          </cell>
        </row>
      </sheetData>
      <sheetData sheetId="2273">
        <row r="7">
          <cell r="E7" t="str">
            <v>PT NEWCREST SUMATRA MINERALS</v>
          </cell>
        </row>
      </sheetData>
      <sheetData sheetId="2274">
        <row r="7">
          <cell r="E7" t="str">
            <v>PT NEWCREST SUMATRA MINERALS</v>
          </cell>
        </row>
      </sheetData>
      <sheetData sheetId="2275">
        <row r="7">
          <cell r="E7" t="str">
            <v>PT NEWCREST SUMATRA MINERALS</v>
          </cell>
        </row>
      </sheetData>
      <sheetData sheetId="2276">
        <row r="7">
          <cell r="E7" t="str">
            <v>PT NEWCREST SUMATRA MINERALS</v>
          </cell>
        </row>
      </sheetData>
      <sheetData sheetId="2277">
        <row r="7">
          <cell r="E7" t="str">
            <v>PT NEWCREST SUMATRA MINERALS</v>
          </cell>
        </row>
      </sheetData>
      <sheetData sheetId="2278">
        <row r="7">
          <cell r="E7" t="str">
            <v>PT NEWCREST SUMATRA MINERALS</v>
          </cell>
        </row>
      </sheetData>
      <sheetData sheetId="2279">
        <row r="7">
          <cell r="E7" t="str">
            <v>PT NEWCREST SUMATRA MINERALS</v>
          </cell>
        </row>
      </sheetData>
      <sheetData sheetId="2280">
        <row r="7">
          <cell r="E7" t="str">
            <v>PT NEWCREST SUMATRA MINERALS</v>
          </cell>
        </row>
      </sheetData>
      <sheetData sheetId="2281">
        <row r="7">
          <cell r="E7" t="str">
            <v>PT NEWCREST SUMATRA MINERALS</v>
          </cell>
        </row>
      </sheetData>
      <sheetData sheetId="2282">
        <row r="7">
          <cell r="E7" t="str">
            <v>PT NEWCREST SUMATRA MINERALS</v>
          </cell>
        </row>
      </sheetData>
      <sheetData sheetId="2283">
        <row r="7">
          <cell r="E7" t="str">
            <v>PT NEWCREST SUMATRA MINERALS</v>
          </cell>
        </row>
      </sheetData>
      <sheetData sheetId="2284">
        <row r="7">
          <cell r="E7" t="str">
            <v>PT NEWCREST SUMATRA MINERALS</v>
          </cell>
        </row>
      </sheetData>
      <sheetData sheetId="2285">
        <row r="7">
          <cell r="E7" t="str">
            <v>PT NEWCREST SUMATRA MINERALS</v>
          </cell>
        </row>
      </sheetData>
      <sheetData sheetId="2286">
        <row r="7">
          <cell r="E7" t="str">
            <v>PT NEWCREST SUMATRA MINERALS</v>
          </cell>
        </row>
      </sheetData>
      <sheetData sheetId="2287">
        <row r="7">
          <cell r="E7" t="str">
            <v>PT NEWCREST SUMATRA MINERALS</v>
          </cell>
        </row>
      </sheetData>
      <sheetData sheetId="2288">
        <row r="7">
          <cell r="E7" t="str">
            <v>PT NEWCREST SUMATRA MINERALS</v>
          </cell>
        </row>
      </sheetData>
      <sheetData sheetId="2289">
        <row r="7">
          <cell r="E7" t="str">
            <v>PT NEWCREST SUMATRA MINERALS</v>
          </cell>
        </row>
      </sheetData>
      <sheetData sheetId="2290">
        <row r="7">
          <cell r="E7" t="str">
            <v>PT NEWCREST SUMATRA MINERALS</v>
          </cell>
        </row>
      </sheetData>
      <sheetData sheetId="2291">
        <row r="7">
          <cell r="E7" t="str">
            <v>PT NEWCREST SUMATRA MINERALS</v>
          </cell>
        </row>
      </sheetData>
      <sheetData sheetId="2292">
        <row r="7">
          <cell r="E7" t="str">
            <v>PT NEWCREST SUMATRA MINERALS</v>
          </cell>
        </row>
      </sheetData>
      <sheetData sheetId="2293">
        <row r="7">
          <cell r="E7" t="str">
            <v>PT NEWCREST SUMATRA MINERALS</v>
          </cell>
        </row>
      </sheetData>
      <sheetData sheetId="2294">
        <row r="7">
          <cell r="E7" t="str">
            <v>PT NEWCREST SUMATRA MINERALS</v>
          </cell>
        </row>
      </sheetData>
      <sheetData sheetId="2295">
        <row r="7">
          <cell r="E7" t="str">
            <v>PT NEWCREST SUMATRA MINERALS</v>
          </cell>
        </row>
      </sheetData>
      <sheetData sheetId="2296">
        <row r="7">
          <cell r="E7" t="str">
            <v>PT NEWCREST SUMATRA MINERALS</v>
          </cell>
        </row>
      </sheetData>
      <sheetData sheetId="2297">
        <row r="7">
          <cell r="E7" t="str">
            <v>PT NEWCREST SUMATRA MINERALS</v>
          </cell>
        </row>
      </sheetData>
      <sheetData sheetId="2298">
        <row r="7">
          <cell r="E7" t="str">
            <v>PT NEWCREST SUMATRA MINERALS</v>
          </cell>
        </row>
      </sheetData>
      <sheetData sheetId="2299">
        <row r="7">
          <cell r="E7" t="str">
            <v>PT NEWCREST SUMATRA MINERALS</v>
          </cell>
        </row>
      </sheetData>
      <sheetData sheetId="2300">
        <row r="7">
          <cell r="E7" t="str">
            <v>PT NEWCREST SUMATRA MINERALS</v>
          </cell>
        </row>
      </sheetData>
      <sheetData sheetId="2301">
        <row r="7">
          <cell r="E7" t="str">
            <v>PT NEWCREST SUMATRA MINERALS</v>
          </cell>
        </row>
      </sheetData>
      <sheetData sheetId="2302">
        <row r="7">
          <cell r="E7" t="str">
            <v>PT NEWCREST SUMATRA MINERALS</v>
          </cell>
        </row>
      </sheetData>
      <sheetData sheetId="2303">
        <row r="7">
          <cell r="E7" t="str">
            <v>PT NEWCREST SUMATRA MINERALS</v>
          </cell>
        </row>
      </sheetData>
      <sheetData sheetId="2304">
        <row r="7">
          <cell r="E7" t="str">
            <v>PT NEWCREST SUMATRA MINERALS</v>
          </cell>
        </row>
      </sheetData>
      <sheetData sheetId="2305">
        <row r="7">
          <cell r="E7" t="str">
            <v>PT NEWCREST SUMATRA MINERALS</v>
          </cell>
        </row>
      </sheetData>
      <sheetData sheetId="2306">
        <row r="7">
          <cell r="E7" t="str">
            <v>PT NEWCREST SUMATRA MINERALS</v>
          </cell>
        </row>
      </sheetData>
      <sheetData sheetId="2307">
        <row r="7">
          <cell r="E7" t="str">
            <v>PT NEWCREST SUMATRA MINERALS</v>
          </cell>
        </row>
      </sheetData>
      <sheetData sheetId="2308">
        <row r="7">
          <cell r="E7" t="str">
            <v>PT NEWCREST SUMATRA MINERALS</v>
          </cell>
        </row>
      </sheetData>
      <sheetData sheetId="2309">
        <row r="7">
          <cell r="E7" t="str">
            <v>PT NEWCREST SUMATRA MINERALS</v>
          </cell>
        </row>
      </sheetData>
      <sheetData sheetId="2310">
        <row r="7">
          <cell r="E7" t="str">
            <v>PT NEWCREST SUMATRA MINERALS</v>
          </cell>
        </row>
      </sheetData>
      <sheetData sheetId="2311">
        <row r="7">
          <cell r="E7" t="str">
            <v>PT NEWCREST SUMATRA MINERALS</v>
          </cell>
        </row>
      </sheetData>
      <sheetData sheetId="2312">
        <row r="7">
          <cell r="E7" t="str">
            <v>PT NEWCREST SUMATRA MINERALS</v>
          </cell>
        </row>
      </sheetData>
      <sheetData sheetId="2313">
        <row r="7">
          <cell r="E7" t="str">
            <v>PT NEWCREST SUMATRA MINERALS</v>
          </cell>
        </row>
      </sheetData>
      <sheetData sheetId="2314">
        <row r="7">
          <cell r="E7" t="str">
            <v>PT NEWCREST SUMATRA MINERALS</v>
          </cell>
        </row>
      </sheetData>
      <sheetData sheetId="2315">
        <row r="7">
          <cell r="E7" t="str">
            <v>PT NEWCREST SUMATRA MINERALS</v>
          </cell>
        </row>
      </sheetData>
      <sheetData sheetId="2316">
        <row r="7">
          <cell r="E7" t="str">
            <v>PT NEWCREST SUMATRA MINERALS</v>
          </cell>
        </row>
      </sheetData>
      <sheetData sheetId="2317">
        <row r="7">
          <cell r="E7" t="str">
            <v>PT NEWCREST SUMATRA MINERALS</v>
          </cell>
        </row>
      </sheetData>
      <sheetData sheetId="2318">
        <row r="7">
          <cell r="E7" t="str">
            <v>PT NEWCREST SUMATRA MINERALS</v>
          </cell>
        </row>
      </sheetData>
      <sheetData sheetId="2319">
        <row r="7">
          <cell r="E7" t="str">
            <v>PT NEWCREST SUMATRA MINERALS</v>
          </cell>
        </row>
      </sheetData>
      <sheetData sheetId="2320">
        <row r="7">
          <cell r="E7" t="str">
            <v>PT NEWCREST SUMATRA MINERALS</v>
          </cell>
        </row>
      </sheetData>
      <sheetData sheetId="2321">
        <row r="7">
          <cell r="E7" t="str">
            <v>PT NEWCREST SUMATRA MINERALS</v>
          </cell>
        </row>
      </sheetData>
      <sheetData sheetId="2322">
        <row r="7">
          <cell r="E7" t="str">
            <v>PT NEWCREST SUMATRA MINERALS</v>
          </cell>
        </row>
      </sheetData>
      <sheetData sheetId="2323">
        <row r="7">
          <cell r="E7" t="str">
            <v>PT NEWCREST SUMATRA MINERALS</v>
          </cell>
        </row>
      </sheetData>
      <sheetData sheetId="2324">
        <row r="7">
          <cell r="E7" t="str">
            <v>PT NEWCREST SUMATRA MINERALS</v>
          </cell>
        </row>
      </sheetData>
      <sheetData sheetId="2325">
        <row r="7">
          <cell r="E7" t="str">
            <v>PT NEWCREST SUMATRA MINERALS</v>
          </cell>
        </row>
      </sheetData>
      <sheetData sheetId="2326">
        <row r="7">
          <cell r="E7" t="str">
            <v>PT NEWCREST SUMATRA MINERALS</v>
          </cell>
        </row>
      </sheetData>
      <sheetData sheetId="2327">
        <row r="7">
          <cell r="E7" t="str">
            <v>PT NEWCREST SUMATRA MINERALS</v>
          </cell>
        </row>
      </sheetData>
      <sheetData sheetId="2328">
        <row r="7">
          <cell r="E7" t="str">
            <v>PT NEWCREST SUMATRA MINERALS</v>
          </cell>
        </row>
      </sheetData>
      <sheetData sheetId="2329">
        <row r="7">
          <cell r="E7" t="str">
            <v>PT NEWCREST SUMATRA MINERALS</v>
          </cell>
        </row>
      </sheetData>
      <sheetData sheetId="2330">
        <row r="7">
          <cell r="E7" t="str">
            <v>PT NEWCREST SUMATRA MINERALS</v>
          </cell>
        </row>
      </sheetData>
      <sheetData sheetId="2331">
        <row r="7">
          <cell r="E7" t="str">
            <v>PT NEWCREST SUMATRA MINERALS</v>
          </cell>
        </row>
      </sheetData>
      <sheetData sheetId="2332">
        <row r="7">
          <cell r="E7" t="str">
            <v>PT NEWCREST SUMATRA MINERALS</v>
          </cell>
        </row>
      </sheetData>
      <sheetData sheetId="2333">
        <row r="7">
          <cell r="E7" t="str">
            <v>PT NEWCREST SUMATRA MINERALS</v>
          </cell>
        </row>
      </sheetData>
      <sheetData sheetId="2334">
        <row r="7">
          <cell r="E7" t="str">
            <v>PT NEWCREST SUMATRA MINERALS</v>
          </cell>
        </row>
      </sheetData>
      <sheetData sheetId="2335">
        <row r="7">
          <cell r="E7" t="str">
            <v>PT NEWCREST SUMATRA MINERALS</v>
          </cell>
        </row>
      </sheetData>
      <sheetData sheetId="2336">
        <row r="7">
          <cell r="E7" t="str">
            <v>PT NEWCREST SUMATRA MINERALS</v>
          </cell>
        </row>
      </sheetData>
      <sheetData sheetId="2337">
        <row r="7">
          <cell r="E7" t="str">
            <v>PT NEWCREST SUMATRA MINERALS</v>
          </cell>
        </row>
      </sheetData>
      <sheetData sheetId="2338">
        <row r="7">
          <cell r="E7" t="str">
            <v>PT NEWCREST SUMATRA MINERALS</v>
          </cell>
        </row>
      </sheetData>
      <sheetData sheetId="2339">
        <row r="7">
          <cell r="E7" t="str">
            <v>PT NEWCREST SUMATRA MINERALS</v>
          </cell>
        </row>
      </sheetData>
      <sheetData sheetId="2340">
        <row r="7">
          <cell r="E7" t="str">
            <v>PT NEWCREST SUMATRA MINERALS</v>
          </cell>
        </row>
      </sheetData>
      <sheetData sheetId="2341">
        <row r="7">
          <cell r="E7" t="str">
            <v>PT NEWCREST SUMATRA MINERALS</v>
          </cell>
        </row>
      </sheetData>
      <sheetData sheetId="2342">
        <row r="7">
          <cell r="E7" t="str">
            <v>PT NEWCREST SUMATRA MINERALS</v>
          </cell>
        </row>
      </sheetData>
      <sheetData sheetId="2343">
        <row r="7">
          <cell r="E7" t="str">
            <v>PT NEWCREST SUMATRA MINERALS</v>
          </cell>
        </row>
      </sheetData>
      <sheetData sheetId="2344">
        <row r="7">
          <cell r="E7" t="str">
            <v>PT NEWCREST SUMATRA MINERALS</v>
          </cell>
        </row>
      </sheetData>
      <sheetData sheetId="2345">
        <row r="7">
          <cell r="E7" t="str">
            <v>PT NEWCREST SUMATRA MINERALS</v>
          </cell>
        </row>
      </sheetData>
      <sheetData sheetId="2346">
        <row r="7">
          <cell r="E7" t="str">
            <v>PT NEWCREST SUMATRA MINERALS</v>
          </cell>
        </row>
      </sheetData>
      <sheetData sheetId="2347">
        <row r="7">
          <cell r="E7" t="str">
            <v>PT NEWCREST SUMATRA MINERALS</v>
          </cell>
        </row>
      </sheetData>
      <sheetData sheetId="2348">
        <row r="7">
          <cell r="E7" t="str">
            <v>PT NEWCREST SUMATRA MINERALS</v>
          </cell>
        </row>
      </sheetData>
      <sheetData sheetId="2349">
        <row r="7">
          <cell r="E7" t="str">
            <v>PT NEWCREST SUMATRA MINERALS</v>
          </cell>
        </row>
      </sheetData>
      <sheetData sheetId="2350">
        <row r="7">
          <cell r="E7" t="str">
            <v>PT NEWCREST SUMATRA MINERALS</v>
          </cell>
        </row>
      </sheetData>
      <sheetData sheetId="2351">
        <row r="7">
          <cell r="E7" t="str">
            <v>PT NEWCREST SUMATRA MINERALS</v>
          </cell>
        </row>
      </sheetData>
      <sheetData sheetId="2352">
        <row r="7">
          <cell r="E7" t="str">
            <v>PT NEWCREST SUMATRA MINERALS</v>
          </cell>
        </row>
      </sheetData>
      <sheetData sheetId="2353">
        <row r="7">
          <cell r="E7" t="str">
            <v>PT NEWCREST SUMATRA MINERALS</v>
          </cell>
        </row>
      </sheetData>
      <sheetData sheetId="2354">
        <row r="7">
          <cell r="E7" t="str">
            <v>PT NEWCREST SUMATRA MINERALS</v>
          </cell>
        </row>
      </sheetData>
      <sheetData sheetId="2355">
        <row r="7">
          <cell r="E7" t="str">
            <v>PT NEWCREST SUMATRA MINERALS</v>
          </cell>
        </row>
      </sheetData>
      <sheetData sheetId="2356">
        <row r="7">
          <cell r="E7" t="str">
            <v>PT NEWCREST SUMATRA MINERALS</v>
          </cell>
        </row>
      </sheetData>
      <sheetData sheetId="2357">
        <row r="7">
          <cell r="E7" t="str">
            <v>PT NEWCREST SUMATRA MINERALS</v>
          </cell>
        </row>
      </sheetData>
      <sheetData sheetId="2358">
        <row r="7">
          <cell r="E7" t="str">
            <v>PT NEWCREST SUMATRA MINERALS</v>
          </cell>
        </row>
      </sheetData>
      <sheetData sheetId="2359">
        <row r="7">
          <cell r="E7" t="str">
            <v>PT NEWCREST SUMATRA MINERALS</v>
          </cell>
        </row>
      </sheetData>
      <sheetData sheetId="2360">
        <row r="7">
          <cell r="E7" t="str">
            <v>PT NEWCREST SUMATRA MINERALS</v>
          </cell>
        </row>
      </sheetData>
      <sheetData sheetId="2361">
        <row r="7">
          <cell r="E7" t="str">
            <v>PT NEWCREST SUMATRA MINERALS</v>
          </cell>
        </row>
      </sheetData>
      <sheetData sheetId="2362">
        <row r="7">
          <cell r="E7" t="str">
            <v>PT NEWCREST SUMATRA MINERALS</v>
          </cell>
        </row>
      </sheetData>
      <sheetData sheetId="2363">
        <row r="7">
          <cell r="E7" t="str">
            <v>PT NEWCREST SUMATRA MINERALS</v>
          </cell>
        </row>
      </sheetData>
      <sheetData sheetId="2364">
        <row r="7">
          <cell r="E7" t="str">
            <v>PT NEWCREST SUMATRA MINERALS</v>
          </cell>
        </row>
      </sheetData>
      <sheetData sheetId="2365">
        <row r="7">
          <cell r="E7" t="str">
            <v>PT NEWCREST SUMATRA MINERALS</v>
          </cell>
        </row>
      </sheetData>
      <sheetData sheetId="2366">
        <row r="7">
          <cell r="E7" t="str">
            <v>PT NEWCREST SUMATRA MINERALS</v>
          </cell>
        </row>
      </sheetData>
      <sheetData sheetId="2367">
        <row r="7">
          <cell r="E7" t="str">
            <v>PT NEWCREST SUMATRA MINERALS</v>
          </cell>
        </row>
      </sheetData>
      <sheetData sheetId="2368">
        <row r="7">
          <cell r="E7" t="str">
            <v>PT NEWCREST SUMATRA MINERALS</v>
          </cell>
        </row>
      </sheetData>
      <sheetData sheetId="2369">
        <row r="7">
          <cell r="E7" t="str">
            <v>PT NEWCREST SUMATRA MINERALS</v>
          </cell>
        </row>
      </sheetData>
      <sheetData sheetId="2370">
        <row r="7">
          <cell r="E7" t="str">
            <v>PT NEWCREST SUMATRA MINERALS</v>
          </cell>
        </row>
      </sheetData>
      <sheetData sheetId="2371">
        <row r="7">
          <cell r="E7" t="str">
            <v>PT NEWCREST SUMATRA MINERALS</v>
          </cell>
        </row>
      </sheetData>
      <sheetData sheetId="2372">
        <row r="7">
          <cell r="E7" t="str">
            <v>PT NEWCREST SUMATRA MINERALS</v>
          </cell>
        </row>
      </sheetData>
      <sheetData sheetId="2373">
        <row r="7">
          <cell r="E7" t="str">
            <v>PT NEWCREST SUMATRA MINERALS</v>
          </cell>
        </row>
      </sheetData>
      <sheetData sheetId="2374">
        <row r="7">
          <cell r="E7" t="str">
            <v>PT NEWCREST SUMATRA MINERALS</v>
          </cell>
        </row>
      </sheetData>
      <sheetData sheetId="2375">
        <row r="7">
          <cell r="E7" t="str">
            <v>PT NEWCREST SUMATRA MINERALS</v>
          </cell>
        </row>
      </sheetData>
      <sheetData sheetId="2376">
        <row r="7">
          <cell r="E7" t="str">
            <v>PT NEWCREST SUMATRA MINERALS</v>
          </cell>
        </row>
      </sheetData>
      <sheetData sheetId="2377">
        <row r="7">
          <cell r="E7" t="str">
            <v>PT NEWCREST SUMATRA MINERALS</v>
          </cell>
        </row>
      </sheetData>
      <sheetData sheetId="2378">
        <row r="7">
          <cell r="E7" t="str">
            <v>PT NEWCREST SUMATRA MINERALS</v>
          </cell>
        </row>
      </sheetData>
      <sheetData sheetId="2379">
        <row r="7">
          <cell r="E7" t="str">
            <v>PT NEWCREST SUMATRA MINERALS</v>
          </cell>
        </row>
      </sheetData>
      <sheetData sheetId="2380">
        <row r="7">
          <cell r="E7" t="str">
            <v>PT NEWCREST SUMATRA MINERALS</v>
          </cell>
        </row>
      </sheetData>
      <sheetData sheetId="2381">
        <row r="7">
          <cell r="E7" t="str">
            <v>PT NEWCREST SUMATRA MINERALS</v>
          </cell>
        </row>
      </sheetData>
      <sheetData sheetId="2382">
        <row r="7">
          <cell r="E7" t="str">
            <v>PT NEWCREST SUMATRA MINERALS</v>
          </cell>
        </row>
      </sheetData>
      <sheetData sheetId="2383">
        <row r="7">
          <cell r="E7" t="str">
            <v>PT NEWCREST SUMATRA MINERALS</v>
          </cell>
        </row>
      </sheetData>
      <sheetData sheetId="2384">
        <row r="7">
          <cell r="E7" t="str">
            <v>PT NEWCREST SUMATRA MINERALS</v>
          </cell>
        </row>
      </sheetData>
      <sheetData sheetId="2385">
        <row r="7">
          <cell r="E7" t="str">
            <v>PT NEWCREST SUMATRA MINERALS</v>
          </cell>
        </row>
      </sheetData>
      <sheetData sheetId="2386">
        <row r="7">
          <cell r="E7" t="str">
            <v>PT NEWCREST SUMATRA MINERALS</v>
          </cell>
        </row>
      </sheetData>
      <sheetData sheetId="2387">
        <row r="7">
          <cell r="E7" t="str">
            <v>PT NEWCREST SUMATRA MINERALS</v>
          </cell>
        </row>
      </sheetData>
      <sheetData sheetId="2388">
        <row r="7">
          <cell r="E7" t="str">
            <v>PT NEWCREST SUMATRA MINERALS</v>
          </cell>
        </row>
      </sheetData>
      <sheetData sheetId="2389">
        <row r="7">
          <cell r="E7" t="str">
            <v>PT NEWCREST SUMATRA MINERALS</v>
          </cell>
        </row>
      </sheetData>
      <sheetData sheetId="2390">
        <row r="7">
          <cell r="E7" t="str">
            <v>PT NEWCREST SUMATRA MINERALS</v>
          </cell>
        </row>
      </sheetData>
      <sheetData sheetId="2391">
        <row r="7">
          <cell r="E7" t="str">
            <v>PT NEWCREST SUMATRA MINERALS</v>
          </cell>
        </row>
      </sheetData>
      <sheetData sheetId="2392">
        <row r="7">
          <cell r="E7" t="str">
            <v>PT NEWCREST SUMATRA MINERALS</v>
          </cell>
        </row>
      </sheetData>
      <sheetData sheetId="2393">
        <row r="7">
          <cell r="E7" t="str">
            <v>PT NEWCREST SUMATRA MINERALS</v>
          </cell>
        </row>
      </sheetData>
      <sheetData sheetId="2394">
        <row r="7">
          <cell r="E7" t="str">
            <v>PT NEWCREST SUMATRA MINERALS</v>
          </cell>
        </row>
      </sheetData>
      <sheetData sheetId="2395">
        <row r="7">
          <cell r="E7" t="str">
            <v>PT NEWCREST SUMATRA MINERALS</v>
          </cell>
        </row>
      </sheetData>
      <sheetData sheetId="2396">
        <row r="7">
          <cell r="E7" t="str">
            <v>PT NEWCREST SUMATRA MINERALS</v>
          </cell>
        </row>
      </sheetData>
      <sheetData sheetId="2397">
        <row r="7">
          <cell r="E7" t="str">
            <v>PT NEWCREST SUMATRA MINERALS</v>
          </cell>
        </row>
      </sheetData>
      <sheetData sheetId="2398">
        <row r="7">
          <cell r="E7" t="str">
            <v>PT NEWCREST SUMATRA MINERALS</v>
          </cell>
        </row>
      </sheetData>
      <sheetData sheetId="2399">
        <row r="7">
          <cell r="E7" t="str">
            <v>PT NEWCREST SUMATRA MINERALS</v>
          </cell>
        </row>
      </sheetData>
      <sheetData sheetId="2400">
        <row r="7">
          <cell r="E7" t="str">
            <v>PT NEWCREST SUMATRA MINERALS</v>
          </cell>
        </row>
      </sheetData>
      <sheetData sheetId="2401">
        <row r="7">
          <cell r="E7" t="str">
            <v>PT NEWCREST SUMATRA MINERALS</v>
          </cell>
        </row>
      </sheetData>
      <sheetData sheetId="2402">
        <row r="7">
          <cell r="E7" t="str">
            <v>PT NEWCREST SUMATRA MINERALS</v>
          </cell>
        </row>
      </sheetData>
      <sheetData sheetId="2403">
        <row r="7">
          <cell r="E7" t="str">
            <v>PT NEWCREST SUMATRA MINERALS</v>
          </cell>
        </row>
      </sheetData>
      <sheetData sheetId="2404">
        <row r="7">
          <cell r="E7" t="str">
            <v>PT NEWCREST SUMATRA MINERALS</v>
          </cell>
        </row>
      </sheetData>
      <sheetData sheetId="2405">
        <row r="7">
          <cell r="E7" t="str">
            <v>PT NEWCREST SUMATRA MINERALS</v>
          </cell>
        </row>
      </sheetData>
      <sheetData sheetId="2406">
        <row r="7">
          <cell r="E7" t="str">
            <v>PT NEWCREST SUMATRA MINERALS</v>
          </cell>
        </row>
      </sheetData>
      <sheetData sheetId="2407">
        <row r="7">
          <cell r="E7" t="str">
            <v>PT NEWCREST SUMATRA MINERALS</v>
          </cell>
        </row>
      </sheetData>
      <sheetData sheetId="2408">
        <row r="7">
          <cell r="E7" t="str">
            <v>PT NEWCREST SUMATRA MINERALS</v>
          </cell>
        </row>
      </sheetData>
      <sheetData sheetId="2409">
        <row r="7">
          <cell r="E7" t="str">
            <v>PT NEWCREST SUMATRA MINERALS</v>
          </cell>
        </row>
      </sheetData>
      <sheetData sheetId="2410">
        <row r="7">
          <cell r="E7" t="str">
            <v>PT NEWCREST SUMATRA MINERALS</v>
          </cell>
        </row>
      </sheetData>
      <sheetData sheetId="2411">
        <row r="7">
          <cell r="E7" t="str">
            <v>PT NEWCREST SUMATRA MINERALS</v>
          </cell>
        </row>
      </sheetData>
      <sheetData sheetId="2412">
        <row r="7">
          <cell r="E7" t="str">
            <v>PT NEWCREST SUMATRA MINERALS</v>
          </cell>
        </row>
      </sheetData>
      <sheetData sheetId="2413">
        <row r="7">
          <cell r="E7" t="str">
            <v>PT NEWCREST SUMATRA MINERALS</v>
          </cell>
        </row>
      </sheetData>
      <sheetData sheetId="2414">
        <row r="7">
          <cell r="E7" t="str">
            <v>PT NEWCREST SUMATRA MINERALS</v>
          </cell>
        </row>
      </sheetData>
      <sheetData sheetId="2415">
        <row r="7">
          <cell r="E7" t="str">
            <v>PT NEWCREST SUMATRA MINERALS</v>
          </cell>
        </row>
      </sheetData>
      <sheetData sheetId="2416">
        <row r="7">
          <cell r="E7" t="str">
            <v>PT NEWCREST SUMATRA MINERALS</v>
          </cell>
        </row>
      </sheetData>
      <sheetData sheetId="2417">
        <row r="7">
          <cell r="E7" t="str">
            <v>PT NEWCREST SUMATRA MINERALS</v>
          </cell>
        </row>
      </sheetData>
      <sheetData sheetId="2418">
        <row r="7">
          <cell r="E7" t="str">
            <v>PT NEWCREST SUMATRA MINERALS</v>
          </cell>
        </row>
      </sheetData>
      <sheetData sheetId="2419">
        <row r="7">
          <cell r="E7" t="str">
            <v>PT NEWCREST SUMATRA MINERALS</v>
          </cell>
        </row>
      </sheetData>
      <sheetData sheetId="2420">
        <row r="7">
          <cell r="E7" t="str">
            <v>PT NEWCREST SUMATRA MINERALS</v>
          </cell>
        </row>
      </sheetData>
      <sheetData sheetId="2421">
        <row r="7">
          <cell r="E7" t="str">
            <v>PT NEWCREST SUMATRA MINERALS</v>
          </cell>
        </row>
      </sheetData>
      <sheetData sheetId="2422">
        <row r="7">
          <cell r="E7" t="str">
            <v>PT NEWCREST SUMATRA MINERALS</v>
          </cell>
        </row>
      </sheetData>
      <sheetData sheetId="2423">
        <row r="7">
          <cell r="E7" t="str">
            <v>PT NEWCREST SUMATRA MINERALS</v>
          </cell>
        </row>
      </sheetData>
      <sheetData sheetId="2424">
        <row r="7">
          <cell r="E7" t="str">
            <v>PT NEWCREST SUMATRA MINERALS</v>
          </cell>
        </row>
      </sheetData>
      <sheetData sheetId="2425">
        <row r="7">
          <cell r="E7" t="str">
            <v>PT NEWCREST SUMATRA MINERALS</v>
          </cell>
        </row>
      </sheetData>
      <sheetData sheetId="2426">
        <row r="7">
          <cell r="E7" t="str">
            <v>PT NEWCREST SUMATRA MINERALS</v>
          </cell>
        </row>
      </sheetData>
      <sheetData sheetId="2427">
        <row r="7">
          <cell r="E7" t="str">
            <v>PT NEWCREST SUMATRA MINERALS</v>
          </cell>
        </row>
      </sheetData>
      <sheetData sheetId="2428">
        <row r="7">
          <cell r="E7" t="str">
            <v>PT NEWCREST SUMATRA MINERALS</v>
          </cell>
        </row>
      </sheetData>
      <sheetData sheetId="2429">
        <row r="7">
          <cell r="E7" t="str">
            <v>PT NEWCREST SUMATRA MINERALS</v>
          </cell>
        </row>
      </sheetData>
      <sheetData sheetId="2430">
        <row r="7">
          <cell r="E7" t="str">
            <v>PT NEWCREST SUMATRA MINERALS</v>
          </cell>
        </row>
      </sheetData>
      <sheetData sheetId="2431">
        <row r="7">
          <cell r="E7" t="str">
            <v>PT NEWCREST SUMATRA MINERALS</v>
          </cell>
        </row>
      </sheetData>
      <sheetData sheetId="2432">
        <row r="7">
          <cell r="E7" t="str">
            <v>PT NEWCREST SUMATRA MINERALS</v>
          </cell>
        </row>
      </sheetData>
      <sheetData sheetId="2433">
        <row r="7">
          <cell r="E7" t="str">
            <v>PT NEWCREST SUMATRA MINERALS</v>
          </cell>
        </row>
      </sheetData>
      <sheetData sheetId="2434">
        <row r="7">
          <cell r="E7" t="str">
            <v>PT NEWCREST SUMATRA MINERALS</v>
          </cell>
        </row>
      </sheetData>
      <sheetData sheetId="2435">
        <row r="7">
          <cell r="E7" t="str">
            <v>PT NEWCREST SUMATRA MINERALS</v>
          </cell>
        </row>
      </sheetData>
      <sheetData sheetId="2436">
        <row r="7">
          <cell r="E7" t="str">
            <v>PT NEWCREST SUMATRA MINERALS</v>
          </cell>
        </row>
      </sheetData>
      <sheetData sheetId="2437">
        <row r="7">
          <cell r="E7" t="str">
            <v>PT NEWCREST SUMATRA MINERALS</v>
          </cell>
        </row>
      </sheetData>
      <sheetData sheetId="2438">
        <row r="7">
          <cell r="E7" t="str">
            <v>PT NEWCREST SUMATRA MINERALS</v>
          </cell>
        </row>
      </sheetData>
      <sheetData sheetId="2439">
        <row r="7">
          <cell r="E7" t="str">
            <v>PT NEWCREST SUMATRA MINERALS</v>
          </cell>
        </row>
      </sheetData>
      <sheetData sheetId="2440">
        <row r="7">
          <cell r="E7" t="str">
            <v>PT NEWCREST SUMATRA MINERALS</v>
          </cell>
        </row>
      </sheetData>
      <sheetData sheetId="2441">
        <row r="7">
          <cell r="E7" t="str">
            <v>PT NEWCREST SUMATRA MINERALS</v>
          </cell>
        </row>
      </sheetData>
      <sheetData sheetId="2442">
        <row r="7">
          <cell r="E7" t="str">
            <v>PT NEWCREST SUMATRA MINERALS</v>
          </cell>
        </row>
      </sheetData>
      <sheetData sheetId="2443">
        <row r="7">
          <cell r="E7" t="str">
            <v>PT NEWCREST SUMATRA MINERALS</v>
          </cell>
        </row>
      </sheetData>
      <sheetData sheetId="2444">
        <row r="7">
          <cell r="E7" t="str">
            <v>PT NEWCREST SUMATRA MINERALS</v>
          </cell>
        </row>
      </sheetData>
      <sheetData sheetId="2445">
        <row r="7">
          <cell r="E7" t="str">
            <v>PT NEWCREST SUMATRA MINERALS</v>
          </cell>
        </row>
      </sheetData>
      <sheetData sheetId="2446">
        <row r="7">
          <cell r="E7" t="str">
            <v>PT NEWCREST SUMATRA MINERALS</v>
          </cell>
        </row>
      </sheetData>
      <sheetData sheetId="2447">
        <row r="7">
          <cell r="E7" t="str">
            <v>PT NEWCREST SUMATRA MINERALS</v>
          </cell>
        </row>
      </sheetData>
      <sheetData sheetId="2448">
        <row r="7">
          <cell r="E7" t="str">
            <v>PT NEWCREST SUMATRA MINERALS</v>
          </cell>
        </row>
      </sheetData>
      <sheetData sheetId="2449">
        <row r="7">
          <cell r="E7" t="str">
            <v>PT NEWCREST SUMATRA MINERALS</v>
          </cell>
        </row>
      </sheetData>
      <sheetData sheetId="2450">
        <row r="7">
          <cell r="E7" t="str">
            <v>PT NEWCREST SUMATRA MINERALS</v>
          </cell>
        </row>
      </sheetData>
      <sheetData sheetId="2451">
        <row r="7">
          <cell r="E7" t="str">
            <v>PT NEWCREST SUMATRA MINERALS</v>
          </cell>
        </row>
      </sheetData>
      <sheetData sheetId="2452">
        <row r="7">
          <cell r="E7" t="str">
            <v>PT NEWCREST SUMATRA MINERALS</v>
          </cell>
        </row>
      </sheetData>
      <sheetData sheetId="2453">
        <row r="7">
          <cell r="E7" t="str">
            <v>PT NEWCREST SUMATRA MINERALS</v>
          </cell>
        </row>
      </sheetData>
      <sheetData sheetId="2454">
        <row r="7">
          <cell r="E7" t="str">
            <v>PT NEWCREST SUMATRA MINERALS</v>
          </cell>
        </row>
      </sheetData>
      <sheetData sheetId="2455">
        <row r="7">
          <cell r="E7" t="str">
            <v>PT NEWCREST SUMATRA MINERALS</v>
          </cell>
        </row>
      </sheetData>
      <sheetData sheetId="2456">
        <row r="7">
          <cell r="E7" t="str">
            <v>PT NEWCREST SUMATRA MINERALS</v>
          </cell>
        </row>
      </sheetData>
      <sheetData sheetId="2457">
        <row r="7">
          <cell r="E7" t="str">
            <v>PT NEWCREST SUMATRA MINERALS</v>
          </cell>
        </row>
      </sheetData>
      <sheetData sheetId="2458">
        <row r="7">
          <cell r="E7" t="str">
            <v>PT NEWCREST SUMATRA MINERALS</v>
          </cell>
        </row>
      </sheetData>
      <sheetData sheetId="2459">
        <row r="7">
          <cell r="E7" t="str">
            <v>PT NEWCREST SUMATRA MINERALS</v>
          </cell>
        </row>
      </sheetData>
      <sheetData sheetId="2460">
        <row r="7">
          <cell r="E7" t="str">
            <v>PT NEWCREST SUMATRA MINERALS</v>
          </cell>
        </row>
      </sheetData>
      <sheetData sheetId="2461">
        <row r="7">
          <cell r="E7" t="str">
            <v>PT NEWCREST SUMATRA MINERALS</v>
          </cell>
        </row>
      </sheetData>
      <sheetData sheetId="2462">
        <row r="7">
          <cell r="E7" t="str">
            <v>PT NEWCREST SUMATRA MINERALS</v>
          </cell>
        </row>
      </sheetData>
      <sheetData sheetId="2463">
        <row r="7">
          <cell r="E7" t="str">
            <v>PT NEWCREST SUMATRA MINERALS</v>
          </cell>
        </row>
      </sheetData>
      <sheetData sheetId="2464">
        <row r="7">
          <cell r="E7" t="str">
            <v>PT NEWCREST SUMATRA MINERALS</v>
          </cell>
        </row>
      </sheetData>
      <sheetData sheetId="2465">
        <row r="7">
          <cell r="E7" t="str">
            <v>PT NEWCREST SUMATRA MINERALS</v>
          </cell>
        </row>
      </sheetData>
      <sheetData sheetId="2466">
        <row r="7">
          <cell r="E7" t="str">
            <v>PT NEWCREST SUMATRA MINERALS</v>
          </cell>
        </row>
      </sheetData>
      <sheetData sheetId="2467">
        <row r="7">
          <cell r="E7" t="str">
            <v>PT NEWCREST SUMATRA MINERALS</v>
          </cell>
        </row>
      </sheetData>
      <sheetData sheetId="2468">
        <row r="7">
          <cell r="E7" t="str">
            <v>PT NEWCREST SUMATRA MINERALS</v>
          </cell>
        </row>
      </sheetData>
      <sheetData sheetId="2469">
        <row r="7">
          <cell r="E7" t="str">
            <v>PT NEWCREST SUMATRA MINERALS</v>
          </cell>
        </row>
      </sheetData>
      <sheetData sheetId="2470">
        <row r="7">
          <cell r="E7" t="str">
            <v>PT NEWCREST SUMATRA MINERALS</v>
          </cell>
        </row>
      </sheetData>
      <sheetData sheetId="2471">
        <row r="7">
          <cell r="E7" t="str">
            <v>PT NEWCREST SUMATRA MINERALS</v>
          </cell>
        </row>
      </sheetData>
      <sheetData sheetId="2472">
        <row r="7">
          <cell r="E7" t="str">
            <v>PT NEWCREST SUMATRA MINERALS</v>
          </cell>
        </row>
      </sheetData>
      <sheetData sheetId="2473">
        <row r="7">
          <cell r="E7" t="str">
            <v>PT NEWCREST SUMATRA MINERALS</v>
          </cell>
        </row>
      </sheetData>
      <sheetData sheetId="2474">
        <row r="7">
          <cell r="E7" t="str">
            <v>PT NEWCREST SUMATRA MINERALS</v>
          </cell>
        </row>
      </sheetData>
      <sheetData sheetId="2475">
        <row r="7">
          <cell r="E7" t="str">
            <v>PT NEWCREST SUMATRA MINERALS</v>
          </cell>
        </row>
      </sheetData>
      <sheetData sheetId="2476">
        <row r="7">
          <cell r="E7" t="str">
            <v>PT NEWCREST SUMATRA MINERALS</v>
          </cell>
        </row>
      </sheetData>
      <sheetData sheetId="2477">
        <row r="7">
          <cell r="E7" t="str">
            <v>PT NEWCREST SUMATRA MINERALS</v>
          </cell>
        </row>
      </sheetData>
      <sheetData sheetId="2478">
        <row r="7">
          <cell r="E7" t="str">
            <v>PT NEWCREST SUMATRA MINERALS</v>
          </cell>
        </row>
      </sheetData>
      <sheetData sheetId="2479">
        <row r="7">
          <cell r="E7" t="str">
            <v>PT NEWCREST SUMATRA MINERALS</v>
          </cell>
        </row>
      </sheetData>
      <sheetData sheetId="2480">
        <row r="7">
          <cell r="E7" t="str">
            <v>PT NEWCREST SUMATRA MINERALS</v>
          </cell>
        </row>
      </sheetData>
      <sheetData sheetId="2481">
        <row r="7">
          <cell r="E7" t="str">
            <v>PT NEWCREST SUMATRA MINERALS</v>
          </cell>
        </row>
      </sheetData>
      <sheetData sheetId="2482">
        <row r="7">
          <cell r="E7" t="str">
            <v>PT NEWCREST SUMATRA MINERALS</v>
          </cell>
        </row>
      </sheetData>
      <sheetData sheetId="2483">
        <row r="7">
          <cell r="E7" t="str">
            <v>PT NEWCREST SUMATRA MINERALS</v>
          </cell>
        </row>
      </sheetData>
      <sheetData sheetId="2484">
        <row r="7">
          <cell r="E7" t="str">
            <v>PT NEWCREST SUMATRA MINERALS</v>
          </cell>
        </row>
      </sheetData>
      <sheetData sheetId="2485">
        <row r="7">
          <cell r="E7" t="str">
            <v>PT NEWCREST SUMATRA MINERALS</v>
          </cell>
        </row>
      </sheetData>
      <sheetData sheetId="2486">
        <row r="7">
          <cell r="E7" t="str">
            <v>PT NEWCREST SUMATRA MINERALS</v>
          </cell>
        </row>
      </sheetData>
      <sheetData sheetId="2487">
        <row r="7">
          <cell r="E7" t="str">
            <v>PT NEWCREST SUMATRA MINERALS</v>
          </cell>
        </row>
      </sheetData>
      <sheetData sheetId="2488">
        <row r="7">
          <cell r="E7" t="str">
            <v>PT NEWCREST SUMATRA MINERALS</v>
          </cell>
        </row>
      </sheetData>
      <sheetData sheetId="2489">
        <row r="7">
          <cell r="E7" t="str">
            <v>PT NEWCREST SUMATRA MINERALS</v>
          </cell>
        </row>
      </sheetData>
      <sheetData sheetId="2490">
        <row r="7">
          <cell r="E7" t="str">
            <v>PT NEWCREST SUMATRA MINERALS</v>
          </cell>
        </row>
      </sheetData>
      <sheetData sheetId="2491">
        <row r="7">
          <cell r="E7" t="str">
            <v>PT NEWCREST SUMATRA MINERALS</v>
          </cell>
        </row>
      </sheetData>
      <sheetData sheetId="2492">
        <row r="7">
          <cell r="E7" t="str">
            <v>PT NEWCREST SUMATRA MINERALS</v>
          </cell>
        </row>
      </sheetData>
      <sheetData sheetId="2493">
        <row r="7">
          <cell r="E7" t="str">
            <v>PT NEWCREST SUMATRA MINERALS</v>
          </cell>
        </row>
      </sheetData>
      <sheetData sheetId="2494">
        <row r="7">
          <cell r="E7" t="str">
            <v>PT NEWCREST SUMATRA MINERALS</v>
          </cell>
        </row>
      </sheetData>
      <sheetData sheetId="2495">
        <row r="7">
          <cell r="E7" t="str">
            <v>PT NEWCREST SUMATRA MINERALS</v>
          </cell>
        </row>
      </sheetData>
      <sheetData sheetId="2496">
        <row r="7">
          <cell r="E7" t="str">
            <v>PT NEWCREST SUMATRA MINERALS</v>
          </cell>
        </row>
      </sheetData>
      <sheetData sheetId="2497">
        <row r="7">
          <cell r="E7" t="str">
            <v>PT NEWCREST SUMATRA MINERALS</v>
          </cell>
        </row>
      </sheetData>
      <sheetData sheetId="2498">
        <row r="7">
          <cell r="E7" t="str">
            <v>PT NEWCREST SUMATRA MINERALS</v>
          </cell>
        </row>
      </sheetData>
      <sheetData sheetId="2499">
        <row r="7">
          <cell r="E7" t="str">
            <v>PT NEWCREST SUMATRA MINERALS</v>
          </cell>
        </row>
      </sheetData>
      <sheetData sheetId="2500">
        <row r="7">
          <cell r="E7" t="str">
            <v>PT NEWCREST SUMATRA MINERALS</v>
          </cell>
        </row>
      </sheetData>
      <sheetData sheetId="2501">
        <row r="7">
          <cell r="E7" t="str">
            <v>PT NEWCREST SUMATRA MINERALS</v>
          </cell>
        </row>
      </sheetData>
      <sheetData sheetId="2502">
        <row r="7">
          <cell r="E7" t="str">
            <v>PT NEWCREST SUMATRA MINERALS</v>
          </cell>
        </row>
      </sheetData>
      <sheetData sheetId="2503">
        <row r="7">
          <cell r="E7" t="str">
            <v>PT NEWCREST SUMATRA MINERALS</v>
          </cell>
        </row>
      </sheetData>
      <sheetData sheetId="2504">
        <row r="7">
          <cell r="E7" t="str">
            <v>PT NEWCREST SUMATRA MINERALS</v>
          </cell>
        </row>
      </sheetData>
      <sheetData sheetId="2505">
        <row r="7">
          <cell r="E7" t="str">
            <v>PT NEWCREST SUMATRA MINERALS</v>
          </cell>
        </row>
      </sheetData>
      <sheetData sheetId="2506">
        <row r="7">
          <cell r="E7" t="str">
            <v>PT NEWCREST SUMATRA MINERALS</v>
          </cell>
        </row>
      </sheetData>
      <sheetData sheetId="2507">
        <row r="7">
          <cell r="E7" t="str">
            <v>PT NEWCREST SUMATRA MINERALS</v>
          </cell>
        </row>
      </sheetData>
      <sheetData sheetId="2508">
        <row r="7">
          <cell r="E7" t="str">
            <v>PT NEWCREST SUMATRA MINERALS</v>
          </cell>
        </row>
      </sheetData>
      <sheetData sheetId="2509">
        <row r="7">
          <cell r="E7" t="str">
            <v>PT NEWCREST SUMATRA MINERALS</v>
          </cell>
        </row>
      </sheetData>
      <sheetData sheetId="2510">
        <row r="7">
          <cell r="E7" t="str">
            <v>PT NEWCREST SUMATRA MINERALS</v>
          </cell>
        </row>
      </sheetData>
      <sheetData sheetId="2511">
        <row r="7">
          <cell r="E7" t="str">
            <v>PT NEWCREST SUMATRA MINERALS</v>
          </cell>
        </row>
      </sheetData>
      <sheetData sheetId="2512">
        <row r="7">
          <cell r="E7" t="str">
            <v>PT NEWCREST SUMATRA MINERALS</v>
          </cell>
        </row>
      </sheetData>
      <sheetData sheetId="2513">
        <row r="7">
          <cell r="E7" t="str">
            <v>PT NEWCREST SUMATRA MINERALS</v>
          </cell>
        </row>
      </sheetData>
      <sheetData sheetId="2514">
        <row r="7">
          <cell r="E7" t="str">
            <v>PT NEWCREST SUMATRA MINERALS</v>
          </cell>
        </row>
      </sheetData>
      <sheetData sheetId="2515">
        <row r="7">
          <cell r="E7" t="str">
            <v>PT NEWCREST SUMATRA MINERALS</v>
          </cell>
        </row>
      </sheetData>
      <sheetData sheetId="2516">
        <row r="7">
          <cell r="E7" t="str">
            <v>PT NEWCREST SUMATRA MINERALS</v>
          </cell>
        </row>
      </sheetData>
      <sheetData sheetId="2517">
        <row r="7">
          <cell r="E7" t="str">
            <v>PT NEWCREST SUMATRA MINERALS</v>
          </cell>
        </row>
      </sheetData>
      <sheetData sheetId="2518">
        <row r="7">
          <cell r="E7" t="str">
            <v>PT NEWCREST SUMATRA MINERALS</v>
          </cell>
        </row>
      </sheetData>
      <sheetData sheetId="2519">
        <row r="7">
          <cell r="E7" t="str">
            <v>PT NEWCREST SUMATRA MINERALS</v>
          </cell>
        </row>
      </sheetData>
      <sheetData sheetId="2520">
        <row r="7">
          <cell r="E7" t="str">
            <v>PT NEWCREST SUMATRA MINERALS</v>
          </cell>
        </row>
      </sheetData>
      <sheetData sheetId="2521">
        <row r="7">
          <cell r="E7" t="str">
            <v>PT NEWCREST SUMATRA MINERALS</v>
          </cell>
        </row>
      </sheetData>
      <sheetData sheetId="2522">
        <row r="7">
          <cell r="E7" t="str">
            <v>PT NEWCREST SUMATRA MINERALS</v>
          </cell>
        </row>
      </sheetData>
      <sheetData sheetId="2523">
        <row r="7">
          <cell r="E7" t="str">
            <v>PT NEWCREST SUMATRA MINERALS</v>
          </cell>
        </row>
      </sheetData>
      <sheetData sheetId="2524">
        <row r="7">
          <cell r="E7" t="str">
            <v>PT NEWCREST SUMATRA MINERALS</v>
          </cell>
        </row>
      </sheetData>
      <sheetData sheetId="2525">
        <row r="7">
          <cell r="E7" t="str">
            <v>PT NEWCREST SUMATRA MINERALS</v>
          </cell>
        </row>
      </sheetData>
      <sheetData sheetId="2526">
        <row r="7">
          <cell r="E7" t="str">
            <v>PT NEWCREST SUMATRA MINERALS</v>
          </cell>
        </row>
      </sheetData>
      <sheetData sheetId="2527">
        <row r="7">
          <cell r="E7" t="str">
            <v>PT NEWCREST SUMATRA MINERALS</v>
          </cell>
        </row>
      </sheetData>
      <sheetData sheetId="2528">
        <row r="7">
          <cell r="E7" t="str">
            <v>PT NEWCREST SUMATRA MINERALS</v>
          </cell>
        </row>
      </sheetData>
      <sheetData sheetId="2529">
        <row r="7">
          <cell r="E7" t="str">
            <v>PT NEWCREST SUMATRA MINERALS</v>
          </cell>
        </row>
      </sheetData>
      <sheetData sheetId="2530">
        <row r="7">
          <cell r="E7" t="str">
            <v>PT NEWCREST SUMATRA MINERALS</v>
          </cell>
        </row>
      </sheetData>
      <sheetData sheetId="2531">
        <row r="7">
          <cell r="E7" t="str">
            <v>PT NEWCREST SUMATRA MINERALS</v>
          </cell>
        </row>
      </sheetData>
      <sheetData sheetId="2532">
        <row r="7">
          <cell r="E7" t="str">
            <v>PT NEWCREST SUMATRA MINERALS</v>
          </cell>
        </row>
      </sheetData>
      <sheetData sheetId="2533">
        <row r="7">
          <cell r="E7" t="str">
            <v>PT NEWCREST SUMATRA MINERALS</v>
          </cell>
        </row>
      </sheetData>
      <sheetData sheetId="2534">
        <row r="7">
          <cell r="E7" t="str">
            <v>PT NEWCREST SUMATRA MINERALS</v>
          </cell>
        </row>
      </sheetData>
      <sheetData sheetId="2535">
        <row r="7">
          <cell r="E7" t="str">
            <v>PT NEWCREST SUMATRA MINERALS</v>
          </cell>
        </row>
      </sheetData>
      <sheetData sheetId="2536">
        <row r="7">
          <cell r="E7" t="str">
            <v>PT NEWCREST SUMATRA MINERALS</v>
          </cell>
        </row>
      </sheetData>
      <sheetData sheetId="2537">
        <row r="7">
          <cell r="E7" t="str">
            <v>PT NEWCREST SUMATRA MINERALS</v>
          </cell>
        </row>
      </sheetData>
      <sheetData sheetId="2538">
        <row r="7">
          <cell r="E7" t="str">
            <v>PT NEWCREST SUMATRA MINERALS</v>
          </cell>
        </row>
      </sheetData>
      <sheetData sheetId="2539">
        <row r="7">
          <cell r="E7" t="str">
            <v>PT NEWCREST SUMATRA MINERALS</v>
          </cell>
        </row>
      </sheetData>
      <sheetData sheetId="2540">
        <row r="7">
          <cell r="E7" t="str">
            <v>PT NEWCREST SUMATRA MINERALS</v>
          </cell>
        </row>
      </sheetData>
      <sheetData sheetId="2541">
        <row r="7">
          <cell r="E7" t="str">
            <v>PT NEWCREST SUMATRA MINERALS</v>
          </cell>
        </row>
      </sheetData>
      <sheetData sheetId="2542">
        <row r="7">
          <cell r="E7" t="str">
            <v>PT NEWCREST SUMATRA MINERALS</v>
          </cell>
        </row>
      </sheetData>
      <sheetData sheetId="2543">
        <row r="7">
          <cell r="E7" t="str">
            <v>PT NEWCREST SUMATRA MINERALS</v>
          </cell>
        </row>
      </sheetData>
      <sheetData sheetId="2544">
        <row r="7">
          <cell r="E7" t="str">
            <v>PT NEWCREST SUMATRA MINERALS</v>
          </cell>
        </row>
      </sheetData>
      <sheetData sheetId="2545">
        <row r="7">
          <cell r="E7" t="str">
            <v>PT NEWCREST SUMATRA MINERALS</v>
          </cell>
        </row>
      </sheetData>
      <sheetData sheetId="2546">
        <row r="7">
          <cell r="E7" t="str">
            <v>PT NEWCREST SUMATRA MINERALS</v>
          </cell>
        </row>
      </sheetData>
      <sheetData sheetId="2547">
        <row r="7">
          <cell r="E7" t="str">
            <v>PT NEWCREST SUMATRA MINERALS</v>
          </cell>
        </row>
      </sheetData>
      <sheetData sheetId="2548">
        <row r="7">
          <cell r="E7" t="str">
            <v>PT NEWCREST SUMATRA MINERALS</v>
          </cell>
        </row>
      </sheetData>
      <sheetData sheetId="2549">
        <row r="7">
          <cell r="E7" t="str">
            <v>PT NEWCREST SUMATRA MINERALS</v>
          </cell>
        </row>
      </sheetData>
      <sheetData sheetId="2550">
        <row r="7">
          <cell r="E7" t="str">
            <v>PT NEWCREST SUMATRA MINERALS</v>
          </cell>
        </row>
      </sheetData>
      <sheetData sheetId="2551">
        <row r="7">
          <cell r="E7" t="str">
            <v>PT NEWCREST SUMATRA MINERALS</v>
          </cell>
        </row>
      </sheetData>
      <sheetData sheetId="2552">
        <row r="7">
          <cell r="E7" t="str">
            <v>PT NEWCREST SUMATRA MINERALS</v>
          </cell>
        </row>
      </sheetData>
      <sheetData sheetId="2553">
        <row r="7">
          <cell r="E7" t="str">
            <v>PT NEWCREST SUMATRA MINERALS</v>
          </cell>
        </row>
      </sheetData>
      <sheetData sheetId="2554">
        <row r="7">
          <cell r="E7" t="str">
            <v>PT NEWCREST SUMATRA MINERALS</v>
          </cell>
        </row>
      </sheetData>
      <sheetData sheetId="2555">
        <row r="7">
          <cell r="E7" t="str">
            <v>PT NEWCREST SUMATRA MINERALS</v>
          </cell>
        </row>
      </sheetData>
      <sheetData sheetId="2556">
        <row r="7">
          <cell r="E7" t="str">
            <v>PT NEWCREST SUMATRA MINERALS</v>
          </cell>
        </row>
      </sheetData>
      <sheetData sheetId="2557">
        <row r="7">
          <cell r="E7" t="str">
            <v>PT NEWCREST SUMATRA MINERALS</v>
          </cell>
        </row>
      </sheetData>
      <sheetData sheetId="2558">
        <row r="7">
          <cell r="E7" t="str">
            <v>PT NEWCREST SUMATRA MINERALS</v>
          </cell>
        </row>
      </sheetData>
      <sheetData sheetId="2559">
        <row r="7">
          <cell r="E7" t="str">
            <v>PT NEWCREST SUMATRA MINERALS</v>
          </cell>
        </row>
      </sheetData>
      <sheetData sheetId="2560">
        <row r="7">
          <cell r="E7" t="str">
            <v>PT NEWCREST SUMATRA MINERALS</v>
          </cell>
        </row>
      </sheetData>
      <sheetData sheetId="2561">
        <row r="7">
          <cell r="E7" t="str">
            <v>PT NEWCREST SUMATRA MINERALS</v>
          </cell>
        </row>
      </sheetData>
      <sheetData sheetId="2562">
        <row r="7">
          <cell r="E7" t="str">
            <v>PT NEWCREST SUMATRA MINERALS</v>
          </cell>
        </row>
      </sheetData>
      <sheetData sheetId="2563">
        <row r="7">
          <cell r="E7" t="str">
            <v>PT NEWCREST SUMATRA MINERALS</v>
          </cell>
        </row>
      </sheetData>
      <sheetData sheetId="2564">
        <row r="7">
          <cell r="E7" t="str">
            <v>PT NEWCREST SUMATRA MINERALS</v>
          </cell>
        </row>
      </sheetData>
      <sheetData sheetId="2565">
        <row r="7">
          <cell r="E7" t="str">
            <v>PT NEWCREST SUMATRA MINERALS</v>
          </cell>
        </row>
      </sheetData>
      <sheetData sheetId="2566">
        <row r="7">
          <cell r="E7" t="str">
            <v>PT NEWCREST SUMATRA MINERALS</v>
          </cell>
        </row>
      </sheetData>
      <sheetData sheetId="2567">
        <row r="7">
          <cell r="E7" t="str">
            <v>PT NEWCREST SUMATRA MINERALS</v>
          </cell>
        </row>
      </sheetData>
      <sheetData sheetId="2568">
        <row r="7">
          <cell r="E7" t="str">
            <v>PT NEWCREST SUMATRA MINERALS</v>
          </cell>
        </row>
      </sheetData>
      <sheetData sheetId="2569">
        <row r="7">
          <cell r="E7" t="str">
            <v>PT NEWCREST SUMATRA MINERALS</v>
          </cell>
        </row>
      </sheetData>
      <sheetData sheetId="2570">
        <row r="7">
          <cell r="E7" t="str">
            <v>PT NEWCREST SUMATRA MINERALS</v>
          </cell>
        </row>
      </sheetData>
      <sheetData sheetId="2571">
        <row r="7">
          <cell r="E7" t="str">
            <v>PT NEWCREST SUMATRA MINERALS</v>
          </cell>
        </row>
      </sheetData>
      <sheetData sheetId="2572">
        <row r="7">
          <cell r="E7" t="str">
            <v>PT NEWCREST SUMATRA MINERALS</v>
          </cell>
        </row>
      </sheetData>
      <sheetData sheetId="2573">
        <row r="7">
          <cell r="E7" t="str">
            <v>PT NEWCREST SUMATRA MINERALS</v>
          </cell>
        </row>
      </sheetData>
      <sheetData sheetId="2574">
        <row r="7">
          <cell r="E7" t="str">
            <v>PT NEWCREST SUMATRA MINERALS</v>
          </cell>
        </row>
      </sheetData>
      <sheetData sheetId="2575">
        <row r="7">
          <cell r="E7" t="str">
            <v>PT NEWCREST SUMATRA MINERALS</v>
          </cell>
        </row>
      </sheetData>
      <sheetData sheetId="2576">
        <row r="7">
          <cell r="E7" t="str">
            <v>PT NEWCREST SUMATRA MINERALS</v>
          </cell>
        </row>
      </sheetData>
      <sheetData sheetId="2577">
        <row r="7">
          <cell r="E7" t="str">
            <v>PT NEWCREST SUMATRA MINERALS</v>
          </cell>
        </row>
      </sheetData>
      <sheetData sheetId="2578">
        <row r="7">
          <cell r="E7" t="str">
            <v>PT NEWCREST SUMATRA MINERALS</v>
          </cell>
        </row>
      </sheetData>
      <sheetData sheetId="2579">
        <row r="7">
          <cell r="E7" t="str">
            <v>PT NEWCREST SUMATRA MINERALS</v>
          </cell>
        </row>
      </sheetData>
      <sheetData sheetId="2580">
        <row r="7">
          <cell r="E7" t="str">
            <v>PT NEWCREST SUMATRA MINERALS</v>
          </cell>
        </row>
      </sheetData>
      <sheetData sheetId="2581">
        <row r="7">
          <cell r="E7" t="str">
            <v>PT NEWCREST SUMATRA MINERALS</v>
          </cell>
        </row>
      </sheetData>
      <sheetData sheetId="2582">
        <row r="7">
          <cell r="E7" t="str">
            <v>PT NEWCREST SUMATRA MINERALS</v>
          </cell>
        </row>
      </sheetData>
      <sheetData sheetId="2583">
        <row r="7">
          <cell r="E7" t="str">
            <v>PT NEWCREST SUMATRA MINERALS</v>
          </cell>
        </row>
      </sheetData>
      <sheetData sheetId="2584">
        <row r="7">
          <cell r="E7" t="str">
            <v>PT NEWCREST SUMATRA MINERALS</v>
          </cell>
        </row>
      </sheetData>
      <sheetData sheetId="2585">
        <row r="7">
          <cell r="E7" t="str">
            <v>PT NEWCREST SUMATRA MINERALS</v>
          </cell>
        </row>
      </sheetData>
      <sheetData sheetId="2586">
        <row r="7">
          <cell r="E7" t="str">
            <v>PT NEWCREST SUMATRA MINERALS</v>
          </cell>
        </row>
      </sheetData>
      <sheetData sheetId="2587">
        <row r="7">
          <cell r="E7" t="str">
            <v>PT NEWCREST SUMATRA MINERALS</v>
          </cell>
        </row>
      </sheetData>
      <sheetData sheetId="2588">
        <row r="7">
          <cell r="E7" t="str">
            <v>PT NEWCREST SUMATRA MINERALS</v>
          </cell>
        </row>
      </sheetData>
      <sheetData sheetId="2589">
        <row r="7">
          <cell r="E7" t="str">
            <v>PT NEWCREST SUMATRA MINERALS</v>
          </cell>
        </row>
      </sheetData>
      <sheetData sheetId="2590">
        <row r="7">
          <cell r="E7" t="str">
            <v>PT NEWCREST SUMATRA MINERALS</v>
          </cell>
        </row>
      </sheetData>
      <sheetData sheetId="2591">
        <row r="7">
          <cell r="E7" t="str">
            <v>PT NEWCREST SUMATRA MINERALS</v>
          </cell>
        </row>
      </sheetData>
      <sheetData sheetId="2592">
        <row r="7">
          <cell r="E7" t="str">
            <v>PT NEWCREST SUMATRA MINERALS</v>
          </cell>
        </row>
      </sheetData>
      <sheetData sheetId="2593">
        <row r="7">
          <cell r="E7" t="str">
            <v>PT NEWCREST SUMATRA MINERALS</v>
          </cell>
        </row>
      </sheetData>
      <sheetData sheetId="2594">
        <row r="7">
          <cell r="E7" t="str">
            <v>PT NEWCREST SUMATRA MINERALS</v>
          </cell>
        </row>
      </sheetData>
      <sheetData sheetId="2595">
        <row r="7">
          <cell r="E7" t="str">
            <v>PT NEWCREST SUMATRA MINERALS</v>
          </cell>
        </row>
      </sheetData>
      <sheetData sheetId="2596">
        <row r="7">
          <cell r="E7" t="str">
            <v>PT NEWCREST SUMATRA MINERALS</v>
          </cell>
        </row>
      </sheetData>
      <sheetData sheetId="2597">
        <row r="7">
          <cell r="E7" t="str">
            <v>PT NEWCREST SUMATRA MINERALS</v>
          </cell>
        </row>
      </sheetData>
      <sheetData sheetId="2598">
        <row r="7">
          <cell r="E7" t="str">
            <v>PT NEWCREST SUMATRA MINERALS</v>
          </cell>
        </row>
      </sheetData>
      <sheetData sheetId="2599">
        <row r="7">
          <cell r="E7" t="str">
            <v>PT NEWCREST SUMATRA MINERALS</v>
          </cell>
        </row>
      </sheetData>
      <sheetData sheetId="2600">
        <row r="7">
          <cell r="E7" t="str">
            <v>PT NEWCREST SUMATRA MINERALS</v>
          </cell>
        </row>
      </sheetData>
      <sheetData sheetId="2601">
        <row r="7">
          <cell r="E7" t="str">
            <v>PT NEWCREST SUMATRA MINERALS</v>
          </cell>
        </row>
      </sheetData>
      <sheetData sheetId="2602">
        <row r="7">
          <cell r="E7" t="str">
            <v>PT NEWCREST SUMATRA MINERALS</v>
          </cell>
        </row>
      </sheetData>
      <sheetData sheetId="2603">
        <row r="7">
          <cell r="E7" t="str">
            <v>PT NEWCREST SUMATRA MINERALS</v>
          </cell>
        </row>
      </sheetData>
      <sheetData sheetId="2604">
        <row r="7">
          <cell r="E7" t="str">
            <v>PT NEWCREST SUMATRA MINERALS</v>
          </cell>
        </row>
      </sheetData>
      <sheetData sheetId="2605">
        <row r="7">
          <cell r="E7" t="str">
            <v>PT NEWCREST SUMATRA MINERALS</v>
          </cell>
        </row>
      </sheetData>
      <sheetData sheetId="2606">
        <row r="7">
          <cell r="E7" t="str">
            <v>PT NEWCREST SUMATRA MINERALS</v>
          </cell>
        </row>
      </sheetData>
      <sheetData sheetId="2607">
        <row r="7">
          <cell r="E7" t="str">
            <v>PT NEWCREST SUMATRA MINERALS</v>
          </cell>
        </row>
      </sheetData>
      <sheetData sheetId="2608">
        <row r="7">
          <cell r="E7" t="str">
            <v>PT NEWCREST SUMATRA MINERALS</v>
          </cell>
        </row>
      </sheetData>
      <sheetData sheetId="2609">
        <row r="7">
          <cell r="E7" t="str">
            <v>PT NEWCREST SUMATRA MINERALS</v>
          </cell>
        </row>
      </sheetData>
      <sheetData sheetId="2610">
        <row r="7">
          <cell r="E7" t="str">
            <v>PT NEWCREST SUMATRA MINERALS</v>
          </cell>
        </row>
      </sheetData>
      <sheetData sheetId="2611">
        <row r="7">
          <cell r="E7" t="str">
            <v>PT NEWCREST SUMATRA MINERALS</v>
          </cell>
        </row>
      </sheetData>
      <sheetData sheetId="2612">
        <row r="7">
          <cell r="E7" t="str">
            <v>PT NEWCREST SUMATRA MINERALS</v>
          </cell>
        </row>
      </sheetData>
      <sheetData sheetId="2613">
        <row r="7">
          <cell r="E7" t="str">
            <v>PT NEWCREST SUMATRA MINERALS</v>
          </cell>
        </row>
      </sheetData>
      <sheetData sheetId="2614">
        <row r="7">
          <cell r="E7" t="str">
            <v>PT NEWCREST SUMATRA MINERALS</v>
          </cell>
        </row>
      </sheetData>
      <sheetData sheetId="2615">
        <row r="7">
          <cell r="E7" t="str">
            <v>PT NEWCREST SUMATRA MINERALS</v>
          </cell>
        </row>
      </sheetData>
      <sheetData sheetId="2616">
        <row r="7">
          <cell r="E7" t="str">
            <v>PT NEWCREST SUMATRA MINERALS</v>
          </cell>
        </row>
      </sheetData>
      <sheetData sheetId="2617">
        <row r="7">
          <cell r="E7" t="str">
            <v>PT NEWCREST SUMATRA MINERALS</v>
          </cell>
        </row>
      </sheetData>
      <sheetData sheetId="2618">
        <row r="7">
          <cell r="E7" t="str">
            <v>PT NEWCREST SUMATRA MINERALS</v>
          </cell>
        </row>
      </sheetData>
      <sheetData sheetId="2619">
        <row r="7">
          <cell r="E7" t="str">
            <v>PT NEWCREST SUMATRA MINERALS</v>
          </cell>
        </row>
      </sheetData>
      <sheetData sheetId="2620">
        <row r="7">
          <cell r="E7" t="str">
            <v>PT NEWCREST SUMATRA MINERALS</v>
          </cell>
        </row>
      </sheetData>
      <sheetData sheetId="2621">
        <row r="7">
          <cell r="E7" t="str">
            <v>PT NEWCREST SUMATRA MINERALS</v>
          </cell>
        </row>
      </sheetData>
      <sheetData sheetId="2622">
        <row r="7">
          <cell r="E7" t="str">
            <v>PT NEWCREST SUMATRA MINERALS</v>
          </cell>
        </row>
      </sheetData>
      <sheetData sheetId="2623">
        <row r="7">
          <cell r="E7" t="str">
            <v>PT NEWCREST SUMATRA MINERALS</v>
          </cell>
        </row>
      </sheetData>
      <sheetData sheetId="2624">
        <row r="7">
          <cell r="E7" t="str">
            <v>PT NEWCREST SUMATRA MINERALS</v>
          </cell>
        </row>
      </sheetData>
      <sheetData sheetId="2625">
        <row r="7">
          <cell r="E7" t="str">
            <v>PT NEWCREST SUMATRA MINERALS</v>
          </cell>
        </row>
      </sheetData>
      <sheetData sheetId="2626">
        <row r="7">
          <cell r="E7" t="str">
            <v>PT NEWCREST SUMATRA MINERALS</v>
          </cell>
        </row>
      </sheetData>
      <sheetData sheetId="2627">
        <row r="7">
          <cell r="E7" t="str">
            <v>PT NEWCREST SUMATRA MINERALS</v>
          </cell>
        </row>
      </sheetData>
      <sheetData sheetId="2628">
        <row r="7">
          <cell r="E7" t="str">
            <v>PT NEWCREST SUMATRA MINERALS</v>
          </cell>
        </row>
      </sheetData>
      <sheetData sheetId="2629">
        <row r="7">
          <cell r="E7" t="str">
            <v>PT NEWCREST SUMATRA MINERALS</v>
          </cell>
        </row>
      </sheetData>
      <sheetData sheetId="2630">
        <row r="7">
          <cell r="E7" t="str">
            <v>PT NEWCREST SUMATRA MINERALS</v>
          </cell>
        </row>
      </sheetData>
      <sheetData sheetId="2631">
        <row r="7">
          <cell r="E7" t="str">
            <v>PT NEWCREST SUMATRA MINERALS</v>
          </cell>
        </row>
      </sheetData>
      <sheetData sheetId="2632">
        <row r="7">
          <cell r="E7" t="str">
            <v>PT NEWCREST SUMATRA MINERALS</v>
          </cell>
        </row>
      </sheetData>
      <sheetData sheetId="2633">
        <row r="7">
          <cell r="E7" t="str">
            <v>PT NEWCREST SUMATRA MINERALS</v>
          </cell>
        </row>
      </sheetData>
      <sheetData sheetId="2634">
        <row r="7">
          <cell r="E7" t="str">
            <v>PT NEWCREST SUMATRA MINERALS</v>
          </cell>
        </row>
      </sheetData>
      <sheetData sheetId="2635">
        <row r="7">
          <cell r="E7" t="str">
            <v>PT NEWCREST SUMATRA MINERALS</v>
          </cell>
        </row>
      </sheetData>
      <sheetData sheetId="2636">
        <row r="7">
          <cell r="E7" t="str">
            <v>PT NEWCREST SUMATRA MINERALS</v>
          </cell>
        </row>
      </sheetData>
      <sheetData sheetId="2637">
        <row r="7">
          <cell r="E7" t="str">
            <v>PT NEWCREST SUMATRA MINERALS</v>
          </cell>
        </row>
      </sheetData>
      <sheetData sheetId="2638">
        <row r="7">
          <cell r="E7" t="str">
            <v>PT NEWCREST SUMATRA MINERALS</v>
          </cell>
        </row>
      </sheetData>
      <sheetData sheetId="2639">
        <row r="7">
          <cell r="E7" t="str">
            <v>PT NEWCREST SUMATRA MINERALS</v>
          </cell>
        </row>
      </sheetData>
      <sheetData sheetId="2640">
        <row r="7">
          <cell r="E7" t="str">
            <v>PT NEWCREST SUMATRA MINERALS</v>
          </cell>
        </row>
      </sheetData>
      <sheetData sheetId="2641">
        <row r="7">
          <cell r="E7" t="str">
            <v>PT NEWCREST SUMATRA MINERALS</v>
          </cell>
        </row>
      </sheetData>
      <sheetData sheetId="2642">
        <row r="7">
          <cell r="E7" t="str">
            <v>PT NEWCREST SUMATRA MINERALS</v>
          </cell>
        </row>
      </sheetData>
      <sheetData sheetId="2643">
        <row r="7">
          <cell r="E7" t="str">
            <v>PT NEWCREST SUMATRA MINERALS</v>
          </cell>
        </row>
      </sheetData>
      <sheetData sheetId="2644">
        <row r="7">
          <cell r="E7" t="str">
            <v>PT NEWCREST SUMATRA MINERALS</v>
          </cell>
        </row>
      </sheetData>
      <sheetData sheetId="2645">
        <row r="7">
          <cell r="E7" t="str">
            <v>PT NEWCREST SUMATRA MINERALS</v>
          </cell>
        </row>
      </sheetData>
      <sheetData sheetId="2646">
        <row r="7">
          <cell r="E7" t="str">
            <v>PT NEWCREST SUMATRA MINERALS</v>
          </cell>
        </row>
      </sheetData>
      <sheetData sheetId="2647">
        <row r="7">
          <cell r="E7" t="str">
            <v>PT NEWCREST SUMATRA MINERALS</v>
          </cell>
        </row>
      </sheetData>
      <sheetData sheetId="2648">
        <row r="7">
          <cell r="E7" t="str">
            <v>PT NEWCREST SUMATRA MINERALS</v>
          </cell>
        </row>
      </sheetData>
      <sheetData sheetId="2649">
        <row r="7">
          <cell r="E7" t="str">
            <v>PT NEWCREST SUMATRA MINERALS</v>
          </cell>
        </row>
      </sheetData>
      <sheetData sheetId="2650">
        <row r="7">
          <cell r="E7" t="str">
            <v>PT NEWCREST SUMATRA MINERALS</v>
          </cell>
        </row>
      </sheetData>
      <sheetData sheetId="2651">
        <row r="7">
          <cell r="E7" t="str">
            <v>PT NEWCREST SUMATRA MINERALS</v>
          </cell>
        </row>
      </sheetData>
      <sheetData sheetId="2652">
        <row r="7">
          <cell r="E7" t="str">
            <v>PT NEWCREST SUMATRA MINERALS</v>
          </cell>
        </row>
      </sheetData>
      <sheetData sheetId="2653">
        <row r="7">
          <cell r="E7" t="str">
            <v>PT NEWCREST SUMATRA MINERALS</v>
          </cell>
        </row>
      </sheetData>
      <sheetData sheetId="2654">
        <row r="7">
          <cell r="E7" t="str">
            <v>PT NEWCREST SUMATRA MINERALS</v>
          </cell>
        </row>
      </sheetData>
      <sheetData sheetId="2655">
        <row r="7">
          <cell r="E7" t="str">
            <v>PT NEWCREST SUMATRA MINERALS</v>
          </cell>
        </row>
      </sheetData>
      <sheetData sheetId="2656">
        <row r="7">
          <cell r="E7" t="str">
            <v>PT NEWCREST SUMATRA MINERALS</v>
          </cell>
        </row>
      </sheetData>
      <sheetData sheetId="2657">
        <row r="7">
          <cell r="E7" t="str">
            <v>PT NEWCREST SUMATRA MINERALS</v>
          </cell>
        </row>
      </sheetData>
      <sheetData sheetId="2658">
        <row r="7">
          <cell r="E7" t="str">
            <v>PT NEWCREST SUMATRA MINERALS</v>
          </cell>
        </row>
      </sheetData>
      <sheetData sheetId="2659">
        <row r="7">
          <cell r="E7" t="str">
            <v>PT NEWCREST SUMATRA MINERALS</v>
          </cell>
        </row>
      </sheetData>
      <sheetData sheetId="2660">
        <row r="7">
          <cell r="E7" t="str">
            <v>PT NEWCREST SUMATRA MINERALS</v>
          </cell>
        </row>
      </sheetData>
      <sheetData sheetId="2661">
        <row r="7">
          <cell r="E7" t="str">
            <v>PT NEWCREST SUMATRA MINERALS</v>
          </cell>
        </row>
      </sheetData>
      <sheetData sheetId="2662">
        <row r="7">
          <cell r="E7" t="str">
            <v>PT NEWCREST SUMATRA MINERALS</v>
          </cell>
        </row>
      </sheetData>
      <sheetData sheetId="2663">
        <row r="7">
          <cell r="E7" t="str">
            <v>PT NEWCREST SUMATRA MINERALS</v>
          </cell>
        </row>
      </sheetData>
      <sheetData sheetId="2664">
        <row r="7">
          <cell r="E7" t="str">
            <v>PT NEWCREST SUMATRA MINERALS</v>
          </cell>
        </row>
      </sheetData>
      <sheetData sheetId="2665">
        <row r="7">
          <cell r="E7" t="str">
            <v>PT NEWCREST SUMATRA MINERALS</v>
          </cell>
        </row>
      </sheetData>
      <sheetData sheetId="2666">
        <row r="7">
          <cell r="E7" t="str">
            <v>PT NEWCREST SUMATRA MINERALS</v>
          </cell>
        </row>
      </sheetData>
      <sheetData sheetId="2667">
        <row r="7">
          <cell r="E7" t="str">
            <v>PT NEWCREST SUMATRA MINERALS</v>
          </cell>
        </row>
      </sheetData>
      <sheetData sheetId="2668">
        <row r="7">
          <cell r="E7" t="str">
            <v>PT NEWCREST SUMATRA MINERALS</v>
          </cell>
        </row>
      </sheetData>
      <sheetData sheetId="2669">
        <row r="7">
          <cell r="E7" t="str">
            <v>PT NEWCREST SUMATRA MINERALS</v>
          </cell>
        </row>
      </sheetData>
      <sheetData sheetId="2670">
        <row r="7">
          <cell r="E7" t="str">
            <v>PT NEWCREST SUMATRA MINERALS</v>
          </cell>
        </row>
      </sheetData>
      <sheetData sheetId="2671">
        <row r="7">
          <cell r="E7" t="str">
            <v>PT NEWCREST SUMATRA MINERALS</v>
          </cell>
        </row>
      </sheetData>
      <sheetData sheetId="2672">
        <row r="7">
          <cell r="E7" t="str">
            <v>PT NEWCREST SUMATRA MINERALS</v>
          </cell>
        </row>
      </sheetData>
      <sheetData sheetId="2673">
        <row r="7">
          <cell r="E7" t="str">
            <v>PT NEWCREST SUMATRA MINERALS</v>
          </cell>
        </row>
      </sheetData>
      <sheetData sheetId="2674">
        <row r="7">
          <cell r="E7" t="str">
            <v>PT NEWCREST SUMATRA MINERALS</v>
          </cell>
        </row>
      </sheetData>
      <sheetData sheetId="2675">
        <row r="7">
          <cell r="E7" t="str">
            <v>PT NEWCREST SUMATRA MINERALS</v>
          </cell>
        </row>
      </sheetData>
      <sheetData sheetId="2676">
        <row r="7">
          <cell r="E7" t="str">
            <v>PT NEWCREST SUMATRA MINERALS</v>
          </cell>
        </row>
      </sheetData>
      <sheetData sheetId="2677">
        <row r="7">
          <cell r="E7" t="str">
            <v>PT NEWCREST SUMATRA MINERALS</v>
          </cell>
        </row>
      </sheetData>
      <sheetData sheetId="2678">
        <row r="7">
          <cell r="E7" t="str">
            <v>PT NEWCREST SUMATRA MINERALS</v>
          </cell>
        </row>
      </sheetData>
      <sheetData sheetId="2679">
        <row r="7">
          <cell r="E7" t="str">
            <v>PT NEWCREST SUMATRA MINERALS</v>
          </cell>
        </row>
      </sheetData>
      <sheetData sheetId="2680">
        <row r="7">
          <cell r="E7" t="str">
            <v>PT NEWCREST SUMATRA MINERALS</v>
          </cell>
        </row>
      </sheetData>
      <sheetData sheetId="2681">
        <row r="7">
          <cell r="E7" t="str">
            <v>PT NEWCREST SUMATRA MINERALS</v>
          </cell>
        </row>
      </sheetData>
      <sheetData sheetId="2682">
        <row r="7">
          <cell r="E7" t="str">
            <v>PT NEWCREST SUMATRA MINERALS</v>
          </cell>
        </row>
      </sheetData>
      <sheetData sheetId="2683">
        <row r="7">
          <cell r="E7" t="str">
            <v>PT NEWCREST SUMATRA MINERALS</v>
          </cell>
        </row>
      </sheetData>
      <sheetData sheetId="2684">
        <row r="7">
          <cell r="E7" t="str">
            <v>PT NEWCREST SUMATRA MINERALS</v>
          </cell>
        </row>
      </sheetData>
      <sheetData sheetId="2685">
        <row r="7">
          <cell r="E7" t="str">
            <v>PT NEWCREST SUMATRA MINERALS</v>
          </cell>
        </row>
      </sheetData>
      <sheetData sheetId="2686">
        <row r="7">
          <cell r="E7" t="str">
            <v>PT NEWCREST SUMATRA MINERALS</v>
          </cell>
        </row>
      </sheetData>
      <sheetData sheetId="2687">
        <row r="7">
          <cell r="E7" t="str">
            <v>PT NEWCREST SUMATRA MINERALS</v>
          </cell>
        </row>
      </sheetData>
      <sheetData sheetId="2688">
        <row r="7">
          <cell r="E7" t="str">
            <v>PT NEWCREST SUMATRA MINERALS</v>
          </cell>
        </row>
      </sheetData>
      <sheetData sheetId="2689">
        <row r="7">
          <cell r="E7" t="str">
            <v>PT NEWCREST SUMATRA MINERALS</v>
          </cell>
        </row>
      </sheetData>
      <sheetData sheetId="2690">
        <row r="7">
          <cell r="E7" t="str">
            <v>PT NEWCREST SUMATRA MINERALS</v>
          </cell>
        </row>
      </sheetData>
      <sheetData sheetId="2691">
        <row r="7">
          <cell r="E7" t="str">
            <v>PT NEWCREST SUMATRA MINERALS</v>
          </cell>
        </row>
      </sheetData>
      <sheetData sheetId="2692">
        <row r="7">
          <cell r="E7" t="str">
            <v>PT NEWCREST SUMATRA MINERALS</v>
          </cell>
        </row>
      </sheetData>
      <sheetData sheetId="2693">
        <row r="7">
          <cell r="E7" t="str">
            <v>PT NEWCREST SUMATRA MINERALS</v>
          </cell>
        </row>
      </sheetData>
      <sheetData sheetId="2694">
        <row r="7">
          <cell r="E7" t="str">
            <v>PT NEWCREST SUMATRA MINERALS</v>
          </cell>
        </row>
      </sheetData>
      <sheetData sheetId="2695">
        <row r="7">
          <cell r="E7" t="str">
            <v>PT NEWCREST SUMATRA MINERALS</v>
          </cell>
        </row>
      </sheetData>
      <sheetData sheetId="2696">
        <row r="7">
          <cell r="E7" t="str">
            <v>PT NEWCREST SUMATRA MINERALS</v>
          </cell>
        </row>
      </sheetData>
      <sheetData sheetId="2697">
        <row r="7">
          <cell r="E7" t="str">
            <v>PT NEWCREST SUMATRA MINERALS</v>
          </cell>
        </row>
      </sheetData>
      <sheetData sheetId="2698">
        <row r="7">
          <cell r="E7" t="str">
            <v>PT NEWCREST SUMATRA MINERALS</v>
          </cell>
        </row>
      </sheetData>
      <sheetData sheetId="2699">
        <row r="7">
          <cell r="E7" t="str">
            <v>PT NEWCREST SUMATRA MINERALS</v>
          </cell>
        </row>
      </sheetData>
      <sheetData sheetId="2700">
        <row r="7">
          <cell r="E7" t="str">
            <v>PT NEWCREST SUMATRA MINERALS</v>
          </cell>
        </row>
      </sheetData>
      <sheetData sheetId="2701">
        <row r="7">
          <cell r="E7" t="str">
            <v>PT NEWCREST SUMATRA MINERALS</v>
          </cell>
        </row>
      </sheetData>
      <sheetData sheetId="2702">
        <row r="7">
          <cell r="E7" t="str">
            <v>PT NEWCREST SUMATRA MINERALS</v>
          </cell>
        </row>
      </sheetData>
      <sheetData sheetId="2703">
        <row r="7">
          <cell r="E7" t="str">
            <v>PT NEWCREST SUMATRA MINERALS</v>
          </cell>
        </row>
      </sheetData>
      <sheetData sheetId="2704">
        <row r="7">
          <cell r="E7" t="str">
            <v>PT NEWCREST SUMATRA MINERALS</v>
          </cell>
        </row>
      </sheetData>
      <sheetData sheetId="2705">
        <row r="7">
          <cell r="E7" t="str">
            <v>PT NEWCREST SUMATRA MINERALS</v>
          </cell>
        </row>
      </sheetData>
      <sheetData sheetId="2706">
        <row r="7">
          <cell r="E7" t="str">
            <v>PT NEWCREST SUMATRA MINERALS</v>
          </cell>
        </row>
      </sheetData>
      <sheetData sheetId="2707">
        <row r="7">
          <cell r="E7" t="str">
            <v>PT NEWCREST SUMATRA MINERALS</v>
          </cell>
        </row>
      </sheetData>
      <sheetData sheetId="2708">
        <row r="7">
          <cell r="E7" t="str">
            <v>PT NEWCREST SUMATRA MINERALS</v>
          </cell>
        </row>
      </sheetData>
      <sheetData sheetId="2709">
        <row r="7">
          <cell r="E7" t="str">
            <v>PT NEWCREST SUMATRA MINERALS</v>
          </cell>
        </row>
      </sheetData>
      <sheetData sheetId="2710">
        <row r="7">
          <cell r="E7" t="str">
            <v>PT NEWCREST SUMATRA MINERALS</v>
          </cell>
        </row>
      </sheetData>
      <sheetData sheetId="2711">
        <row r="7">
          <cell r="E7" t="str">
            <v>PT NEWCREST SUMATRA MINERALS</v>
          </cell>
        </row>
      </sheetData>
      <sheetData sheetId="2712">
        <row r="7">
          <cell r="E7" t="str">
            <v>PT NEWCREST SUMATRA MINERALS</v>
          </cell>
        </row>
      </sheetData>
      <sheetData sheetId="2713">
        <row r="7">
          <cell r="E7" t="str">
            <v>PT NEWCREST SUMATRA MINERALS</v>
          </cell>
        </row>
      </sheetData>
      <sheetData sheetId="2714">
        <row r="7">
          <cell r="E7" t="str">
            <v>PT NEWCREST SUMATRA MINERALS</v>
          </cell>
        </row>
      </sheetData>
      <sheetData sheetId="2715">
        <row r="7">
          <cell r="E7" t="str">
            <v>PT NEWCREST SUMATRA MINERALS</v>
          </cell>
        </row>
      </sheetData>
      <sheetData sheetId="2716">
        <row r="7">
          <cell r="E7" t="str">
            <v>PT NEWCREST SUMATRA MINERALS</v>
          </cell>
        </row>
      </sheetData>
      <sheetData sheetId="2717">
        <row r="7">
          <cell r="E7" t="str">
            <v>PT NEWCREST SUMATRA MINERALS</v>
          </cell>
        </row>
      </sheetData>
      <sheetData sheetId="2718">
        <row r="7">
          <cell r="E7" t="str">
            <v>PT NEWCREST SUMATRA MINERALS</v>
          </cell>
        </row>
      </sheetData>
      <sheetData sheetId="2719">
        <row r="7">
          <cell r="E7" t="str">
            <v>PT NEWCREST SUMATRA MINERALS</v>
          </cell>
        </row>
      </sheetData>
      <sheetData sheetId="2720">
        <row r="7">
          <cell r="E7" t="str">
            <v>PT NEWCREST SUMATRA MINERALS</v>
          </cell>
        </row>
      </sheetData>
      <sheetData sheetId="2721">
        <row r="7">
          <cell r="E7" t="str">
            <v>PT NEWCREST SUMATRA MINERALS</v>
          </cell>
        </row>
      </sheetData>
      <sheetData sheetId="2722">
        <row r="7">
          <cell r="E7" t="str">
            <v>PT NEWCREST SUMATRA MINERALS</v>
          </cell>
        </row>
      </sheetData>
      <sheetData sheetId="2723">
        <row r="7">
          <cell r="E7" t="str">
            <v>PT NEWCREST SUMATRA MINERALS</v>
          </cell>
        </row>
      </sheetData>
      <sheetData sheetId="2724">
        <row r="7">
          <cell r="E7" t="str">
            <v>PT NEWCREST SUMATRA MINERALS</v>
          </cell>
        </row>
      </sheetData>
      <sheetData sheetId="2725">
        <row r="7">
          <cell r="E7" t="str">
            <v>PT NEWCREST SUMATRA MINERALS</v>
          </cell>
        </row>
      </sheetData>
      <sheetData sheetId="2726">
        <row r="7">
          <cell r="E7" t="str">
            <v>PT NEWCREST SUMATRA MINERALS</v>
          </cell>
        </row>
      </sheetData>
      <sheetData sheetId="2727">
        <row r="7">
          <cell r="E7" t="str">
            <v>PT NEWCREST SUMATRA MINERALS</v>
          </cell>
        </row>
      </sheetData>
      <sheetData sheetId="2728">
        <row r="7">
          <cell r="E7" t="str">
            <v>PT NEWCREST SUMATRA MINERALS</v>
          </cell>
        </row>
      </sheetData>
      <sheetData sheetId="2729">
        <row r="7">
          <cell r="E7" t="str">
            <v>PT NEWCREST SUMATRA MINERALS</v>
          </cell>
        </row>
      </sheetData>
      <sheetData sheetId="2730">
        <row r="7">
          <cell r="E7" t="str">
            <v>PT NEWCREST SUMATRA MINERALS</v>
          </cell>
        </row>
      </sheetData>
      <sheetData sheetId="2731">
        <row r="7">
          <cell r="E7" t="str">
            <v>PT NEWCREST SUMATRA MINERALS</v>
          </cell>
        </row>
      </sheetData>
      <sheetData sheetId="2732">
        <row r="7">
          <cell r="E7" t="str">
            <v>PT NEWCREST SUMATRA MINERALS</v>
          </cell>
        </row>
      </sheetData>
      <sheetData sheetId="2733">
        <row r="7">
          <cell r="E7" t="str">
            <v>PT NEWCREST SUMATRA MINERALS</v>
          </cell>
        </row>
      </sheetData>
      <sheetData sheetId="2734">
        <row r="7">
          <cell r="E7" t="str">
            <v>PT NEWCREST SUMATRA MINERALS</v>
          </cell>
        </row>
      </sheetData>
      <sheetData sheetId="2735">
        <row r="7">
          <cell r="E7" t="str">
            <v>PT NEWCREST SUMATRA MINERALS</v>
          </cell>
        </row>
      </sheetData>
      <sheetData sheetId="2736">
        <row r="7">
          <cell r="E7" t="str">
            <v>PT NEWCREST SUMATRA MINERALS</v>
          </cell>
        </row>
      </sheetData>
      <sheetData sheetId="2737">
        <row r="7">
          <cell r="E7" t="str">
            <v>PT NEWCREST SUMATRA MINERALS</v>
          </cell>
        </row>
      </sheetData>
      <sheetData sheetId="2738">
        <row r="7">
          <cell r="E7" t="str">
            <v>PT NEWCREST SUMATRA MINERALS</v>
          </cell>
        </row>
      </sheetData>
      <sheetData sheetId="2739">
        <row r="7">
          <cell r="E7" t="str">
            <v>PT NEWCREST SUMATRA MINERALS</v>
          </cell>
        </row>
      </sheetData>
      <sheetData sheetId="2740">
        <row r="7">
          <cell r="E7" t="str">
            <v>PT NEWCREST SUMATRA MINERALS</v>
          </cell>
        </row>
      </sheetData>
      <sheetData sheetId="2741">
        <row r="7">
          <cell r="E7" t="str">
            <v>PT NEWCREST SUMATRA MINERALS</v>
          </cell>
        </row>
      </sheetData>
      <sheetData sheetId="2742">
        <row r="7">
          <cell r="E7" t="str">
            <v>PT NEWCREST SUMATRA MINERALS</v>
          </cell>
        </row>
      </sheetData>
      <sheetData sheetId="2743">
        <row r="7">
          <cell r="E7" t="str">
            <v>PT NEWCREST SUMATRA MINERALS</v>
          </cell>
        </row>
      </sheetData>
      <sheetData sheetId="2744">
        <row r="7">
          <cell r="E7" t="str">
            <v>PT NEWCREST SUMATRA MINERALS</v>
          </cell>
        </row>
      </sheetData>
      <sheetData sheetId="2745">
        <row r="7">
          <cell r="E7" t="str">
            <v>PT NEWCREST SUMATRA MINERALS</v>
          </cell>
        </row>
      </sheetData>
      <sheetData sheetId="2746">
        <row r="7">
          <cell r="E7" t="str">
            <v>PT NEWCREST SUMATRA MINERALS</v>
          </cell>
        </row>
      </sheetData>
      <sheetData sheetId="2747">
        <row r="7">
          <cell r="E7" t="str">
            <v>PT NEWCREST SUMATRA MINERALS</v>
          </cell>
        </row>
      </sheetData>
      <sheetData sheetId="2748">
        <row r="7">
          <cell r="E7" t="str">
            <v>PT NEWCREST SUMATRA MINERALS</v>
          </cell>
        </row>
      </sheetData>
      <sheetData sheetId="2749">
        <row r="7">
          <cell r="E7" t="str">
            <v>PT NEWCREST SUMATRA MINERALS</v>
          </cell>
        </row>
      </sheetData>
      <sheetData sheetId="2750">
        <row r="7">
          <cell r="E7" t="str">
            <v>PT NEWCREST SUMATRA MINERALS</v>
          </cell>
        </row>
      </sheetData>
      <sheetData sheetId="2751">
        <row r="7">
          <cell r="E7" t="str">
            <v>PT NEWCREST SUMATRA MINERALS</v>
          </cell>
        </row>
      </sheetData>
      <sheetData sheetId="2752">
        <row r="7">
          <cell r="E7" t="str">
            <v>PT NEWCREST SUMATRA MINERALS</v>
          </cell>
        </row>
      </sheetData>
      <sheetData sheetId="2753">
        <row r="7">
          <cell r="E7" t="str">
            <v>PT NEWCREST SUMATRA MINERALS</v>
          </cell>
        </row>
      </sheetData>
      <sheetData sheetId="2754">
        <row r="7">
          <cell r="E7" t="str">
            <v>PT NEWCREST SUMATRA MINERALS</v>
          </cell>
        </row>
      </sheetData>
      <sheetData sheetId="2755">
        <row r="7">
          <cell r="E7" t="str">
            <v>PT NEWCREST SUMATRA MINERALS</v>
          </cell>
        </row>
      </sheetData>
      <sheetData sheetId="2756">
        <row r="7">
          <cell r="E7" t="str">
            <v>PT NEWCREST SUMATRA MINERALS</v>
          </cell>
        </row>
      </sheetData>
      <sheetData sheetId="2757">
        <row r="7">
          <cell r="E7" t="str">
            <v>PT NEWCREST SUMATRA MINERALS</v>
          </cell>
        </row>
      </sheetData>
      <sheetData sheetId="2758">
        <row r="7">
          <cell r="E7" t="str">
            <v>PT NEWCREST SUMATRA MINERALS</v>
          </cell>
        </row>
      </sheetData>
      <sheetData sheetId="2759">
        <row r="7">
          <cell r="E7" t="str">
            <v>PT NEWCREST SUMATRA MINERALS</v>
          </cell>
        </row>
      </sheetData>
      <sheetData sheetId="2760">
        <row r="7">
          <cell r="E7" t="str">
            <v>PT NEWCREST SUMATRA MINERALS</v>
          </cell>
        </row>
      </sheetData>
      <sheetData sheetId="2761">
        <row r="7">
          <cell r="E7" t="str">
            <v>PT NEWCREST SUMATRA MINERALS</v>
          </cell>
        </row>
      </sheetData>
      <sheetData sheetId="2762">
        <row r="7">
          <cell r="E7" t="str">
            <v>PT NEWCREST SUMATRA MINERALS</v>
          </cell>
        </row>
      </sheetData>
      <sheetData sheetId="2763">
        <row r="7">
          <cell r="E7" t="str">
            <v>PT NEWCREST SUMATRA MINERALS</v>
          </cell>
        </row>
      </sheetData>
      <sheetData sheetId="2764">
        <row r="7">
          <cell r="E7" t="str">
            <v>PT NEWCREST SUMATRA MINERALS</v>
          </cell>
        </row>
      </sheetData>
      <sheetData sheetId="2765">
        <row r="7">
          <cell r="E7" t="str">
            <v>PT NEWCREST SUMATRA MINERALS</v>
          </cell>
        </row>
      </sheetData>
      <sheetData sheetId="2766">
        <row r="7">
          <cell r="E7" t="str">
            <v>PT NEWCREST SUMATRA MINERALS</v>
          </cell>
        </row>
      </sheetData>
      <sheetData sheetId="2767">
        <row r="7">
          <cell r="E7" t="str">
            <v>PT NEWCREST SUMATRA MINERALS</v>
          </cell>
        </row>
      </sheetData>
      <sheetData sheetId="2768">
        <row r="7">
          <cell r="E7" t="str">
            <v>PT NEWCREST SUMATRA MINERALS</v>
          </cell>
        </row>
      </sheetData>
      <sheetData sheetId="2769">
        <row r="7">
          <cell r="E7" t="str">
            <v>PT NEWCREST SUMATRA MINERALS</v>
          </cell>
        </row>
      </sheetData>
      <sheetData sheetId="2770">
        <row r="7">
          <cell r="E7" t="str">
            <v>PT NEWCREST SUMATRA MINERALS</v>
          </cell>
        </row>
      </sheetData>
      <sheetData sheetId="2771">
        <row r="7">
          <cell r="E7" t="str">
            <v>PT NEWCREST SUMATRA MINERALS</v>
          </cell>
        </row>
      </sheetData>
      <sheetData sheetId="2772">
        <row r="7">
          <cell r="E7" t="str">
            <v>PT NEWCREST SUMATRA MINERALS</v>
          </cell>
        </row>
      </sheetData>
      <sheetData sheetId="2773">
        <row r="7">
          <cell r="E7" t="str">
            <v>PT NEWCREST SUMATRA MINERALS</v>
          </cell>
        </row>
      </sheetData>
      <sheetData sheetId="2774">
        <row r="7">
          <cell r="E7" t="str">
            <v>PT NEWCREST SUMATRA MINERALS</v>
          </cell>
        </row>
      </sheetData>
      <sheetData sheetId="2775">
        <row r="7">
          <cell r="E7" t="str">
            <v>PT NEWCREST SUMATRA MINERALS</v>
          </cell>
        </row>
      </sheetData>
      <sheetData sheetId="2776">
        <row r="7">
          <cell r="E7" t="str">
            <v>PT NEWCREST SUMATRA MINERALS</v>
          </cell>
        </row>
      </sheetData>
      <sheetData sheetId="2777">
        <row r="7">
          <cell r="E7" t="str">
            <v>PT NEWCREST SUMATRA MINERALS</v>
          </cell>
        </row>
      </sheetData>
      <sheetData sheetId="2778">
        <row r="7">
          <cell r="E7" t="str">
            <v>PT NEWCREST SUMATRA MINERALS</v>
          </cell>
        </row>
      </sheetData>
      <sheetData sheetId="2779">
        <row r="7">
          <cell r="E7" t="str">
            <v>PT NEWCREST SUMATRA MINERALS</v>
          </cell>
        </row>
      </sheetData>
      <sheetData sheetId="2780">
        <row r="7">
          <cell r="E7" t="str">
            <v>PT NEWCREST SUMATRA MINERALS</v>
          </cell>
        </row>
      </sheetData>
      <sheetData sheetId="2781">
        <row r="7">
          <cell r="E7" t="str">
            <v>PT NEWCREST SUMATRA MINERALS</v>
          </cell>
        </row>
      </sheetData>
      <sheetData sheetId="2782">
        <row r="7">
          <cell r="E7" t="str">
            <v>PT NEWCREST SUMATRA MINERALS</v>
          </cell>
        </row>
      </sheetData>
      <sheetData sheetId="2783">
        <row r="7">
          <cell r="E7" t="str">
            <v>PT NEWCREST SUMATRA MINERALS</v>
          </cell>
        </row>
      </sheetData>
      <sheetData sheetId="2784">
        <row r="7">
          <cell r="E7" t="str">
            <v>PT NEWCREST SUMATRA MINERALS</v>
          </cell>
        </row>
      </sheetData>
      <sheetData sheetId="2785">
        <row r="7">
          <cell r="E7" t="str">
            <v>PT NEWCREST SUMATRA MINERALS</v>
          </cell>
        </row>
      </sheetData>
      <sheetData sheetId="2786">
        <row r="7">
          <cell r="E7" t="str">
            <v>PT NEWCREST SUMATRA MINERALS</v>
          </cell>
        </row>
      </sheetData>
      <sheetData sheetId="2787">
        <row r="7">
          <cell r="E7" t="str">
            <v>PT NEWCREST SUMATRA MINERALS</v>
          </cell>
        </row>
      </sheetData>
      <sheetData sheetId="2788">
        <row r="7">
          <cell r="E7" t="str">
            <v>PT NEWCREST SUMATRA MINERALS</v>
          </cell>
        </row>
      </sheetData>
      <sheetData sheetId="2789">
        <row r="7">
          <cell r="E7" t="str">
            <v>PT NEWCREST SUMATRA MINERALS</v>
          </cell>
        </row>
      </sheetData>
      <sheetData sheetId="2790">
        <row r="7">
          <cell r="E7" t="str">
            <v>PT NEWCREST SUMATRA MINERALS</v>
          </cell>
        </row>
      </sheetData>
      <sheetData sheetId="2791">
        <row r="7">
          <cell r="E7" t="str">
            <v>PT NEWCREST SUMATRA MINERALS</v>
          </cell>
        </row>
      </sheetData>
      <sheetData sheetId="2792">
        <row r="7">
          <cell r="E7" t="str">
            <v>PT NEWCREST SUMATRA MINERALS</v>
          </cell>
        </row>
      </sheetData>
      <sheetData sheetId="2793">
        <row r="7">
          <cell r="E7" t="str">
            <v>PT NEWCREST SUMATRA MINERALS</v>
          </cell>
        </row>
      </sheetData>
      <sheetData sheetId="2794">
        <row r="7">
          <cell r="E7" t="str">
            <v>PT NEWCREST SUMATRA MINERALS</v>
          </cell>
        </row>
      </sheetData>
      <sheetData sheetId="2795">
        <row r="7">
          <cell r="E7" t="str">
            <v>PT NEWCREST SUMATRA MINERALS</v>
          </cell>
        </row>
      </sheetData>
      <sheetData sheetId="2796">
        <row r="7">
          <cell r="E7" t="str">
            <v>PT NEWCREST SUMATRA MINERALS</v>
          </cell>
        </row>
      </sheetData>
      <sheetData sheetId="2797">
        <row r="7">
          <cell r="E7" t="str">
            <v>PT NEWCREST SUMATRA MINERALS</v>
          </cell>
        </row>
      </sheetData>
      <sheetData sheetId="2798">
        <row r="7">
          <cell r="E7" t="str">
            <v>PT NEWCREST SUMATRA MINERALS</v>
          </cell>
        </row>
      </sheetData>
      <sheetData sheetId="2799">
        <row r="7">
          <cell r="E7" t="str">
            <v>PT NEWCREST SUMATRA MINERALS</v>
          </cell>
        </row>
      </sheetData>
      <sheetData sheetId="2800">
        <row r="7">
          <cell r="E7" t="str">
            <v>PT NEWCREST SUMATRA MINERALS</v>
          </cell>
        </row>
      </sheetData>
      <sheetData sheetId="2801">
        <row r="7">
          <cell r="E7" t="str">
            <v>PT NEWCREST SUMATRA MINERALS</v>
          </cell>
        </row>
      </sheetData>
      <sheetData sheetId="2802">
        <row r="7">
          <cell r="E7" t="str">
            <v>PT NEWCREST SUMATRA MINERALS</v>
          </cell>
        </row>
      </sheetData>
      <sheetData sheetId="2803">
        <row r="7">
          <cell r="E7" t="str">
            <v>PT NEWCREST SUMATRA MINERALS</v>
          </cell>
        </row>
      </sheetData>
      <sheetData sheetId="2804">
        <row r="7">
          <cell r="E7" t="str">
            <v>PT NEWCREST SUMATRA MINERALS</v>
          </cell>
        </row>
      </sheetData>
      <sheetData sheetId="2805">
        <row r="7">
          <cell r="E7" t="str">
            <v>PT NEWCREST SUMATRA MINERALS</v>
          </cell>
        </row>
      </sheetData>
      <sheetData sheetId="2806">
        <row r="7">
          <cell r="E7" t="str">
            <v>PT NEWCREST SUMATRA MINERALS</v>
          </cell>
        </row>
      </sheetData>
      <sheetData sheetId="2807">
        <row r="7">
          <cell r="E7" t="str">
            <v>PT NEWCREST SUMATRA MINERALS</v>
          </cell>
        </row>
      </sheetData>
      <sheetData sheetId="2808">
        <row r="7">
          <cell r="E7" t="str">
            <v>PT NEWCREST SUMATRA MINERALS</v>
          </cell>
        </row>
      </sheetData>
      <sheetData sheetId="2809">
        <row r="7">
          <cell r="E7" t="str">
            <v>PT NEWCREST SUMATRA MINERALS</v>
          </cell>
        </row>
      </sheetData>
      <sheetData sheetId="2810">
        <row r="7">
          <cell r="E7" t="str">
            <v>PT NEWCREST SUMATRA MINERALS</v>
          </cell>
        </row>
      </sheetData>
      <sheetData sheetId="2811">
        <row r="7">
          <cell r="E7" t="str">
            <v>PT NEWCREST SUMATRA MINERALS</v>
          </cell>
        </row>
      </sheetData>
      <sheetData sheetId="2812">
        <row r="7">
          <cell r="E7" t="str">
            <v>PT NEWCREST SUMATRA MINERALS</v>
          </cell>
        </row>
      </sheetData>
      <sheetData sheetId="2813">
        <row r="7">
          <cell r="E7" t="str">
            <v>PT NEWCREST SUMATRA MINERALS</v>
          </cell>
        </row>
      </sheetData>
      <sheetData sheetId="2814">
        <row r="7">
          <cell r="E7" t="str">
            <v>PT NEWCREST SUMATRA MINERALS</v>
          </cell>
        </row>
      </sheetData>
      <sheetData sheetId="2815">
        <row r="7">
          <cell r="E7" t="str">
            <v>PT NEWCREST SUMATRA MINERALS</v>
          </cell>
        </row>
      </sheetData>
      <sheetData sheetId="2816">
        <row r="7">
          <cell r="E7" t="str">
            <v>PT NEWCREST SUMATRA MINERALS</v>
          </cell>
        </row>
      </sheetData>
      <sheetData sheetId="2817">
        <row r="7">
          <cell r="E7" t="str">
            <v>PT NEWCREST SUMATRA MINERALS</v>
          </cell>
        </row>
      </sheetData>
      <sheetData sheetId="2818">
        <row r="7">
          <cell r="E7" t="str">
            <v>PT NEWCREST SUMATRA MINERALS</v>
          </cell>
        </row>
      </sheetData>
      <sheetData sheetId="2819">
        <row r="7">
          <cell r="E7" t="str">
            <v>PT NEWCREST SUMATRA MINERALS</v>
          </cell>
        </row>
      </sheetData>
      <sheetData sheetId="2820">
        <row r="7">
          <cell r="E7" t="str">
            <v>PT NEWCREST SUMATRA MINERALS</v>
          </cell>
        </row>
      </sheetData>
      <sheetData sheetId="2821">
        <row r="7">
          <cell r="E7" t="str">
            <v>PT NEWCREST SUMATRA MINERALS</v>
          </cell>
        </row>
      </sheetData>
      <sheetData sheetId="2822">
        <row r="7">
          <cell r="E7" t="str">
            <v>PT NEWCREST SUMATRA MINERALS</v>
          </cell>
        </row>
      </sheetData>
      <sheetData sheetId="2823">
        <row r="7">
          <cell r="E7" t="str">
            <v>PT NEWCREST SUMATRA MINERALS</v>
          </cell>
        </row>
      </sheetData>
      <sheetData sheetId="2824">
        <row r="7">
          <cell r="E7" t="str">
            <v>PT NEWCREST SUMATRA MINERALS</v>
          </cell>
        </row>
      </sheetData>
      <sheetData sheetId="2825">
        <row r="7">
          <cell r="E7" t="str">
            <v>PT NEWCREST SUMATRA MINERALS</v>
          </cell>
        </row>
      </sheetData>
      <sheetData sheetId="2826">
        <row r="7">
          <cell r="E7" t="str">
            <v>PT NEWCREST SUMATRA MINERALS</v>
          </cell>
        </row>
      </sheetData>
      <sheetData sheetId="2827">
        <row r="7">
          <cell r="E7" t="str">
            <v>PT NEWCREST SUMATRA MINERALS</v>
          </cell>
        </row>
      </sheetData>
      <sheetData sheetId="2828">
        <row r="7">
          <cell r="E7" t="str">
            <v>PT NEWCREST SUMATRA MINERALS</v>
          </cell>
        </row>
      </sheetData>
      <sheetData sheetId="2829">
        <row r="7">
          <cell r="E7" t="str">
            <v>PT NEWCREST SUMATRA MINERALS</v>
          </cell>
        </row>
      </sheetData>
      <sheetData sheetId="2830">
        <row r="7">
          <cell r="E7" t="str">
            <v>PT NEWCREST SUMATRA MINERALS</v>
          </cell>
        </row>
      </sheetData>
      <sheetData sheetId="2831">
        <row r="7">
          <cell r="E7" t="str">
            <v>PT NEWCREST SUMATRA MINERALS</v>
          </cell>
        </row>
      </sheetData>
      <sheetData sheetId="2832">
        <row r="7">
          <cell r="E7" t="str">
            <v>PT NEWCREST SUMATRA MINERALS</v>
          </cell>
        </row>
      </sheetData>
      <sheetData sheetId="2833">
        <row r="7">
          <cell r="E7" t="str">
            <v>PT NEWCREST SUMATRA MINERALS</v>
          </cell>
        </row>
      </sheetData>
      <sheetData sheetId="2834">
        <row r="7">
          <cell r="E7" t="str">
            <v>PT NEWCREST SUMATRA MINERALS</v>
          </cell>
        </row>
      </sheetData>
      <sheetData sheetId="2835">
        <row r="7">
          <cell r="E7" t="str">
            <v>PT NEWCREST SUMATRA MINERALS</v>
          </cell>
        </row>
      </sheetData>
      <sheetData sheetId="2836">
        <row r="7">
          <cell r="E7" t="str">
            <v>PT NEWCREST SUMATRA MINERALS</v>
          </cell>
        </row>
      </sheetData>
      <sheetData sheetId="2837">
        <row r="7">
          <cell r="E7" t="str">
            <v>PT NEWCREST SUMATRA MINERALS</v>
          </cell>
        </row>
      </sheetData>
      <sheetData sheetId="2838">
        <row r="7">
          <cell r="E7" t="str">
            <v>PT NEWCREST SUMATRA MINERALS</v>
          </cell>
        </row>
      </sheetData>
      <sheetData sheetId="2839">
        <row r="7">
          <cell r="E7" t="str">
            <v>PT NEWCREST SUMATRA MINERALS</v>
          </cell>
        </row>
      </sheetData>
      <sheetData sheetId="2840">
        <row r="7">
          <cell r="E7" t="str">
            <v>PT NEWCREST SUMATRA MINERALS</v>
          </cell>
        </row>
      </sheetData>
      <sheetData sheetId="2841">
        <row r="7">
          <cell r="E7" t="str">
            <v>PT NEWCREST SUMATRA MINERALS</v>
          </cell>
        </row>
      </sheetData>
      <sheetData sheetId="2842">
        <row r="7">
          <cell r="E7" t="str">
            <v>PT NEWCREST SUMATRA MINERALS</v>
          </cell>
        </row>
      </sheetData>
      <sheetData sheetId="2843">
        <row r="7">
          <cell r="E7" t="str">
            <v>PT NEWCREST SUMATRA MINERALS</v>
          </cell>
        </row>
      </sheetData>
      <sheetData sheetId="2844">
        <row r="7">
          <cell r="E7" t="str">
            <v>PT NEWCREST SUMATRA MINERALS</v>
          </cell>
        </row>
      </sheetData>
      <sheetData sheetId="2845">
        <row r="7">
          <cell r="E7" t="str">
            <v>PT NEWCREST SUMATRA MINERALS</v>
          </cell>
        </row>
      </sheetData>
      <sheetData sheetId="2846">
        <row r="7">
          <cell r="E7" t="str">
            <v>PT NEWCREST SUMATRA MINERALS</v>
          </cell>
        </row>
      </sheetData>
      <sheetData sheetId="2847">
        <row r="7">
          <cell r="E7" t="str">
            <v>PT NEWCREST SUMATRA MINERALS</v>
          </cell>
        </row>
      </sheetData>
      <sheetData sheetId="2848">
        <row r="7">
          <cell r="E7" t="str">
            <v>PT NEWCREST SUMATRA MINERALS</v>
          </cell>
        </row>
      </sheetData>
      <sheetData sheetId="2849">
        <row r="7">
          <cell r="E7" t="str">
            <v>PT NEWCREST SUMATRA MINERALS</v>
          </cell>
        </row>
      </sheetData>
      <sheetData sheetId="2850">
        <row r="7">
          <cell r="E7" t="str">
            <v>PT NEWCREST SUMATRA MINERALS</v>
          </cell>
        </row>
      </sheetData>
      <sheetData sheetId="2851">
        <row r="7">
          <cell r="E7" t="str">
            <v>PT NEWCREST SUMATRA MINERALS</v>
          </cell>
        </row>
      </sheetData>
      <sheetData sheetId="2852">
        <row r="7">
          <cell r="E7" t="str">
            <v>PT NEWCREST SUMATRA MINERALS</v>
          </cell>
        </row>
      </sheetData>
      <sheetData sheetId="2853">
        <row r="7">
          <cell r="E7" t="str">
            <v>PT NEWCREST SUMATRA MINERALS</v>
          </cell>
        </row>
      </sheetData>
      <sheetData sheetId="2854">
        <row r="7">
          <cell r="E7" t="str">
            <v>PT NEWCREST SUMATRA MINERALS</v>
          </cell>
        </row>
      </sheetData>
      <sheetData sheetId="2855">
        <row r="7">
          <cell r="E7" t="str">
            <v>PT NEWCREST SUMATRA MINERALS</v>
          </cell>
        </row>
      </sheetData>
      <sheetData sheetId="2856">
        <row r="7">
          <cell r="E7" t="str">
            <v>PT NEWCREST SUMATRA MINERALS</v>
          </cell>
        </row>
      </sheetData>
      <sheetData sheetId="2857">
        <row r="7">
          <cell r="E7" t="str">
            <v>PT NEWCREST SUMATRA MINERALS</v>
          </cell>
        </row>
      </sheetData>
      <sheetData sheetId="2858">
        <row r="7">
          <cell r="E7" t="str">
            <v>PT NEWCREST SUMATRA MINERALS</v>
          </cell>
        </row>
      </sheetData>
      <sheetData sheetId="2859">
        <row r="7">
          <cell r="E7" t="str">
            <v>PT NEWCREST SUMATRA MINERALS</v>
          </cell>
        </row>
      </sheetData>
      <sheetData sheetId="2860">
        <row r="7">
          <cell r="E7" t="str">
            <v>PT NEWCREST SUMATRA MINERALS</v>
          </cell>
        </row>
      </sheetData>
      <sheetData sheetId="2861">
        <row r="7">
          <cell r="E7" t="str">
            <v>PT NEWCREST SUMATRA MINERALS</v>
          </cell>
        </row>
      </sheetData>
      <sheetData sheetId="2862">
        <row r="7">
          <cell r="E7" t="str">
            <v>PT NEWCREST SUMATRA MINERALS</v>
          </cell>
        </row>
      </sheetData>
      <sheetData sheetId="2863">
        <row r="7">
          <cell r="E7" t="str">
            <v>PT NEWCREST SUMATRA MINERALS</v>
          </cell>
        </row>
      </sheetData>
      <sheetData sheetId="2864">
        <row r="7">
          <cell r="E7" t="str">
            <v>PT NEWCREST SUMATRA MINERALS</v>
          </cell>
        </row>
      </sheetData>
      <sheetData sheetId="2865">
        <row r="7">
          <cell r="E7" t="str">
            <v>PT NEWCREST SUMATRA MINERALS</v>
          </cell>
        </row>
      </sheetData>
      <sheetData sheetId="2866">
        <row r="7">
          <cell r="E7" t="str">
            <v>PT NEWCREST SUMATRA MINERALS</v>
          </cell>
        </row>
      </sheetData>
      <sheetData sheetId="2867">
        <row r="7">
          <cell r="E7" t="str">
            <v>PT NEWCREST SUMATRA MINERALS</v>
          </cell>
        </row>
      </sheetData>
      <sheetData sheetId="2868">
        <row r="7">
          <cell r="E7" t="str">
            <v>PT NEWCREST SUMATRA MINERALS</v>
          </cell>
        </row>
      </sheetData>
      <sheetData sheetId="2869">
        <row r="7">
          <cell r="E7" t="str">
            <v>PT NEWCREST SUMATRA MINERALS</v>
          </cell>
        </row>
      </sheetData>
      <sheetData sheetId="2870">
        <row r="7">
          <cell r="E7" t="str">
            <v>PT NEWCREST SUMATRA MINERALS</v>
          </cell>
        </row>
      </sheetData>
      <sheetData sheetId="2871">
        <row r="7">
          <cell r="E7" t="str">
            <v>PT NEWCREST SUMATRA MINERALS</v>
          </cell>
        </row>
      </sheetData>
      <sheetData sheetId="2872">
        <row r="7">
          <cell r="E7" t="str">
            <v>PT NEWCREST SUMATRA MINERALS</v>
          </cell>
        </row>
      </sheetData>
      <sheetData sheetId="2873">
        <row r="7">
          <cell r="E7" t="str">
            <v>PT NEWCREST SUMATRA MINERALS</v>
          </cell>
        </row>
      </sheetData>
      <sheetData sheetId="2874">
        <row r="7">
          <cell r="E7" t="str">
            <v>PT NEWCREST SUMATRA MINERALS</v>
          </cell>
        </row>
      </sheetData>
      <sheetData sheetId="2875">
        <row r="7">
          <cell r="E7" t="str">
            <v>PT NEWCREST SUMATRA MINERALS</v>
          </cell>
        </row>
      </sheetData>
      <sheetData sheetId="2876">
        <row r="7">
          <cell r="E7" t="str">
            <v>PT NEWCREST SUMATRA MINERALS</v>
          </cell>
        </row>
      </sheetData>
      <sheetData sheetId="2877">
        <row r="7">
          <cell r="E7" t="str">
            <v>PT NEWCREST SUMATRA MINERALS</v>
          </cell>
        </row>
      </sheetData>
      <sheetData sheetId="2878">
        <row r="7">
          <cell r="E7" t="str">
            <v>PT NEWCREST SUMATRA MINERALS</v>
          </cell>
        </row>
      </sheetData>
      <sheetData sheetId="2879">
        <row r="7">
          <cell r="E7" t="str">
            <v>PT NEWCREST SUMATRA MINERALS</v>
          </cell>
        </row>
      </sheetData>
      <sheetData sheetId="2880">
        <row r="7">
          <cell r="E7" t="str">
            <v>PT NEWCREST SUMATRA MINERALS</v>
          </cell>
        </row>
      </sheetData>
      <sheetData sheetId="2881">
        <row r="7">
          <cell r="E7" t="str">
            <v>PT NEWCREST SUMATRA MINERALS</v>
          </cell>
        </row>
      </sheetData>
      <sheetData sheetId="2882">
        <row r="7">
          <cell r="E7" t="str">
            <v>PT NEWCREST SUMATRA MINERALS</v>
          </cell>
        </row>
      </sheetData>
      <sheetData sheetId="2883">
        <row r="7">
          <cell r="E7" t="str">
            <v>PT NEWCREST SUMATRA MINERALS</v>
          </cell>
        </row>
      </sheetData>
      <sheetData sheetId="2884">
        <row r="7">
          <cell r="E7" t="str">
            <v>PT NEWCREST SUMATRA MINERALS</v>
          </cell>
        </row>
      </sheetData>
      <sheetData sheetId="2885">
        <row r="7">
          <cell r="E7" t="str">
            <v>PT NEWCREST SUMATRA MINERALS</v>
          </cell>
        </row>
      </sheetData>
      <sheetData sheetId="2886">
        <row r="7">
          <cell r="E7" t="str">
            <v>PT NEWCREST SUMATRA MINERALS</v>
          </cell>
        </row>
      </sheetData>
      <sheetData sheetId="2887">
        <row r="7">
          <cell r="E7" t="str">
            <v>PT NEWCREST SUMATRA MINERALS</v>
          </cell>
        </row>
      </sheetData>
      <sheetData sheetId="2888">
        <row r="7">
          <cell r="E7" t="str">
            <v>PT NEWCREST SUMATRA MINERALS</v>
          </cell>
        </row>
      </sheetData>
      <sheetData sheetId="2889">
        <row r="7">
          <cell r="E7" t="str">
            <v>PT NEWCREST SUMATRA MINERALS</v>
          </cell>
        </row>
      </sheetData>
      <sheetData sheetId="2890">
        <row r="7">
          <cell r="E7" t="str">
            <v>PT NEWCREST SUMATRA MINERALS</v>
          </cell>
        </row>
      </sheetData>
      <sheetData sheetId="2891">
        <row r="7">
          <cell r="E7" t="str">
            <v>PT NEWCREST SUMATRA MINERALS</v>
          </cell>
        </row>
      </sheetData>
      <sheetData sheetId="2892">
        <row r="7">
          <cell r="E7" t="str">
            <v>PT NEWCREST SUMATRA MINERALS</v>
          </cell>
        </row>
      </sheetData>
      <sheetData sheetId="2893">
        <row r="7">
          <cell r="E7" t="str">
            <v>PT NEWCREST SUMATRA MINERALS</v>
          </cell>
        </row>
      </sheetData>
      <sheetData sheetId="2894">
        <row r="7">
          <cell r="E7" t="str">
            <v>PT NEWCREST SUMATRA MINERALS</v>
          </cell>
        </row>
      </sheetData>
      <sheetData sheetId="2895">
        <row r="7">
          <cell r="E7" t="str">
            <v>PT NEWCREST SUMATRA MINERALS</v>
          </cell>
        </row>
      </sheetData>
      <sheetData sheetId="2896">
        <row r="7">
          <cell r="E7" t="str">
            <v>PT NEWCREST SUMATRA MINERALS</v>
          </cell>
        </row>
      </sheetData>
      <sheetData sheetId="2897">
        <row r="7">
          <cell r="E7" t="str">
            <v>PT NEWCREST SUMATRA MINERALS</v>
          </cell>
        </row>
      </sheetData>
      <sheetData sheetId="2898">
        <row r="7">
          <cell r="E7" t="str">
            <v>PT NEWCREST SUMATRA MINERALS</v>
          </cell>
        </row>
      </sheetData>
      <sheetData sheetId="2899">
        <row r="7">
          <cell r="E7" t="str">
            <v>PT NEWCREST SUMATRA MINERALS</v>
          </cell>
        </row>
      </sheetData>
      <sheetData sheetId="2900">
        <row r="7">
          <cell r="E7" t="str">
            <v>PT NEWCREST SUMATRA MINERALS</v>
          </cell>
        </row>
      </sheetData>
      <sheetData sheetId="2901">
        <row r="7">
          <cell r="E7" t="str">
            <v>PT NEWCREST SUMATRA MINERALS</v>
          </cell>
        </row>
      </sheetData>
      <sheetData sheetId="2902">
        <row r="7">
          <cell r="E7" t="str">
            <v>PT NEWCREST SUMATRA MINERALS</v>
          </cell>
        </row>
      </sheetData>
      <sheetData sheetId="2903">
        <row r="7">
          <cell r="E7" t="str">
            <v>PT NEWCREST SUMATRA MINERALS</v>
          </cell>
        </row>
      </sheetData>
      <sheetData sheetId="2904">
        <row r="7">
          <cell r="E7" t="str">
            <v>PT NEWCREST SUMATRA MINERALS</v>
          </cell>
        </row>
      </sheetData>
      <sheetData sheetId="2905">
        <row r="7">
          <cell r="E7" t="str">
            <v>PT NEWCREST SUMATRA MINERALS</v>
          </cell>
        </row>
      </sheetData>
      <sheetData sheetId="2906">
        <row r="7">
          <cell r="E7" t="str">
            <v>PT NEWCREST SUMATRA MINERALS</v>
          </cell>
        </row>
      </sheetData>
      <sheetData sheetId="2907">
        <row r="7">
          <cell r="E7" t="str">
            <v>PT NEWCREST SUMATRA MINERALS</v>
          </cell>
        </row>
      </sheetData>
      <sheetData sheetId="2908">
        <row r="7">
          <cell r="E7" t="str">
            <v>PT NEWCREST SUMATRA MINERALS</v>
          </cell>
        </row>
      </sheetData>
      <sheetData sheetId="2909">
        <row r="7">
          <cell r="E7" t="str">
            <v>PT NEWCREST SUMATRA MINERALS</v>
          </cell>
        </row>
      </sheetData>
      <sheetData sheetId="2910">
        <row r="7">
          <cell r="E7" t="str">
            <v>PT NEWCREST SUMATRA MINERALS</v>
          </cell>
        </row>
      </sheetData>
      <sheetData sheetId="2911">
        <row r="7">
          <cell r="E7" t="str">
            <v>PT NEWCREST SUMATRA MINERALS</v>
          </cell>
        </row>
      </sheetData>
      <sheetData sheetId="2912">
        <row r="7">
          <cell r="E7" t="str">
            <v>PT NEWCREST SUMATRA MINERALS</v>
          </cell>
        </row>
      </sheetData>
      <sheetData sheetId="2913">
        <row r="7">
          <cell r="E7" t="str">
            <v>PT NEWCREST SUMATRA MINERALS</v>
          </cell>
        </row>
      </sheetData>
      <sheetData sheetId="2914">
        <row r="7">
          <cell r="E7" t="str">
            <v>PT NEWCREST SUMATRA MINERALS</v>
          </cell>
        </row>
      </sheetData>
      <sheetData sheetId="2915">
        <row r="7">
          <cell r="E7" t="str">
            <v>PT NEWCREST SUMATRA MINERALS</v>
          </cell>
        </row>
      </sheetData>
      <sheetData sheetId="2916">
        <row r="7">
          <cell r="E7" t="str">
            <v>PT NEWCREST SUMATRA MINERALS</v>
          </cell>
        </row>
      </sheetData>
      <sheetData sheetId="2917">
        <row r="7">
          <cell r="E7" t="str">
            <v>PT NEWCREST SUMATRA MINERALS</v>
          </cell>
        </row>
      </sheetData>
      <sheetData sheetId="2918">
        <row r="7">
          <cell r="E7" t="str">
            <v>PT NEWCREST SUMATRA MINERALS</v>
          </cell>
        </row>
      </sheetData>
      <sheetData sheetId="2919">
        <row r="7">
          <cell r="E7" t="str">
            <v>PT NEWCREST SUMATRA MINERALS</v>
          </cell>
        </row>
      </sheetData>
      <sheetData sheetId="2920">
        <row r="7">
          <cell r="E7" t="str">
            <v>PT NEWCREST SUMATRA MINERALS</v>
          </cell>
        </row>
      </sheetData>
      <sheetData sheetId="2921">
        <row r="7">
          <cell r="E7" t="str">
            <v>PT NEWCREST SUMATRA MINERALS</v>
          </cell>
        </row>
      </sheetData>
      <sheetData sheetId="2922">
        <row r="7">
          <cell r="E7" t="str">
            <v>PT NEWCREST SUMATRA MINERALS</v>
          </cell>
        </row>
      </sheetData>
      <sheetData sheetId="2923">
        <row r="7">
          <cell r="E7" t="str">
            <v>PT NEWCREST SUMATRA MINERALS</v>
          </cell>
        </row>
      </sheetData>
      <sheetData sheetId="2924">
        <row r="7">
          <cell r="E7" t="str">
            <v>PT NEWCREST SUMATRA MINERALS</v>
          </cell>
        </row>
      </sheetData>
      <sheetData sheetId="2925">
        <row r="7">
          <cell r="E7" t="str">
            <v>PT NEWCREST SUMATRA MINERALS</v>
          </cell>
        </row>
      </sheetData>
      <sheetData sheetId="2926">
        <row r="7">
          <cell r="E7" t="str">
            <v>PT NEWCREST SUMATRA MINERALS</v>
          </cell>
        </row>
      </sheetData>
      <sheetData sheetId="2927">
        <row r="7">
          <cell r="E7" t="str">
            <v>PT NEWCREST SUMATRA MINERALS</v>
          </cell>
        </row>
      </sheetData>
      <sheetData sheetId="2928">
        <row r="7">
          <cell r="E7" t="str">
            <v>PT NEWCREST SUMATRA MINERALS</v>
          </cell>
        </row>
      </sheetData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>
        <row r="7">
          <cell r="E7" t="str">
            <v>PT NEWCREST SUMATRA MINERALS</v>
          </cell>
        </row>
      </sheetData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>
        <row r="7">
          <cell r="E7" t="str">
            <v>PT NEWCREST SUMATRA MINERALS</v>
          </cell>
        </row>
      </sheetData>
      <sheetData sheetId="3162"/>
      <sheetData sheetId="3163">
        <row r="7">
          <cell r="E7" t="str">
            <v>PT NEWCREST SUMATRA MINERALS</v>
          </cell>
        </row>
      </sheetData>
      <sheetData sheetId="3164">
        <row r="7">
          <cell r="E7" t="str">
            <v>PT NEWCREST SUMATRA MINERALS</v>
          </cell>
        </row>
      </sheetData>
      <sheetData sheetId="3165">
        <row r="7">
          <cell r="E7" t="str">
            <v>PT NEWCREST SUMATRA MINERALS</v>
          </cell>
        </row>
      </sheetData>
      <sheetData sheetId="3166"/>
      <sheetData sheetId="3167">
        <row r="7">
          <cell r="E7" t="str">
            <v>PT NEWCREST SUMATRA MINERALS</v>
          </cell>
        </row>
      </sheetData>
      <sheetData sheetId="3168">
        <row r="7">
          <cell r="E7" t="str">
            <v>PT NEWCREST SUMATRA MINERALS</v>
          </cell>
        </row>
      </sheetData>
      <sheetData sheetId="3169">
        <row r="7">
          <cell r="E7" t="str">
            <v>PT NEWCREST SUMATRA MINERALS</v>
          </cell>
        </row>
      </sheetData>
      <sheetData sheetId="3170">
        <row r="7">
          <cell r="E7" t="str">
            <v>PT NEWCREST SUMATRA MINERALS</v>
          </cell>
        </row>
      </sheetData>
      <sheetData sheetId="3171">
        <row r="7">
          <cell r="E7" t="str">
            <v>PT NEWCREST SUMATRA MINERALS</v>
          </cell>
        </row>
      </sheetData>
      <sheetData sheetId="3172">
        <row r="7">
          <cell r="E7" t="str">
            <v>PT NEWCREST SUMATRA MINERALS</v>
          </cell>
        </row>
      </sheetData>
      <sheetData sheetId="3173">
        <row r="7">
          <cell r="E7" t="str">
            <v>PT NEWCREST SUMATRA MINERALS</v>
          </cell>
        </row>
      </sheetData>
      <sheetData sheetId="3174">
        <row r="7">
          <cell r="E7" t="str">
            <v>PT NEWCREST SUMATRA MINERALS</v>
          </cell>
        </row>
      </sheetData>
      <sheetData sheetId="3175"/>
      <sheetData sheetId="3176">
        <row r="7">
          <cell r="E7" t="str">
            <v>PT NEWCREST SUMATRA MINERALS</v>
          </cell>
        </row>
      </sheetData>
      <sheetData sheetId="3177">
        <row r="7">
          <cell r="E7" t="str">
            <v>PT NEWCREST SUMATRA MINERALS</v>
          </cell>
        </row>
      </sheetData>
      <sheetData sheetId="3178">
        <row r="7">
          <cell r="E7" t="str">
            <v>PT NEWCREST SUMATRA MINERALS</v>
          </cell>
        </row>
      </sheetData>
      <sheetData sheetId="3179"/>
      <sheetData sheetId="3180">
        <row r="7">
          <cell r="E7" t="str">
            <v>PT NEWCREST SUMATRA MINERALS</v>
          </cell>
        </row>
      </sheetData>
      <sheetData sheetId="3181">
        <row r="7">
          <cell r="E7" t="str">
            <v>PT NEWCREST SUMATRA MINERALS</v>
          </cell>
        </row>
      </sheetData>
      <sheetData sheetId="3182">
        <row r="7">
          <cell r="E7" t="str">
            <v>PT NEWCREST SUMATRA MINERALS</v>
          </cell>
        </row>
      </sheetData>
      <sheetData sheetId="3183">
        <row r="7">
          <cell r="E7" t="str">
            <v>PT NEWCREST SUMATRA MINERALS</v>
          </cell>
        </row>
      </sheetData>
      <sheetData sheetId="3184">
        <row r="7">
          <cell r="E7" t="str">
            <v>PT NEWCREST SUMATRA MINERALS</v>
          </cell>
        </row>
      </sheetData>
      <sheetData sheetId="3185">
        <row r="7">
          <cell r="E7" t="str">
            <v>PT NEWCREST SUMATRA MINERALS</v>
          </cell>
        </row>
      </sheetData>
      <sheetData sheetId="3186">
        <row r="7">
          <cell r="E7" t="str">
            <v>PT NEWCREST SUMATRA MINERALS</v>
          </cell>
        </row>
      </sheetData>
      <sheetData sheetId="3187">
        <row r="7">
          <cell r="E7" t="str">
            <v>PT NEWCREST SUMATRA MINERALS</v>
          </cell>
        </row>
      </sheetData>
      <sheetData sheetId="3188"/>
      <sheetData sheetId="3189">
        <row r="7">
          <cell r="E7" t="str">
            <v>PT NEWCREST SUMATRA MINERALS</v>
          </cell>
        </row>
      </sheetData>
      <sheetData sheetId="3190">
        <row r="7">
          <cell r="E7" t="str">
            <v>PT NEWCREST SUMATRA MINERALS</v>
          </cell>
        </row>
      </sheetData>
      <sheetData sheetId="3191"/>
      <sheetData sheetId="3192"/>
      <sheetData sheetId="3193">
        <row r="7">
          <cell r="E7" t="str">
            <v>PT NEWCREST SUMATRA MINERALS</v>
          </cell>
        </row>
      </sheetData>
      <sheetData sheetId="3194">
        <row r="7">
          <cell r="E7" t="str">
            <v>PT NEWCREST SUMATRA MINERALS</v>
          </cell>
        </row>
      </sheetData>
      <sheetData sheetId="3195">
        <row r="7">
          <cell r="E7" t="str">
            <v>PT NEWCREST SUMATRA MINERALS</v>
          </cell>
        </row>
      </sheetData>
      <sheetData sheetId="3196"/>
      <sheetData sheetId="3197">
        <row r="7">
          <cell r="E7" t="str">
            <v>PT NEWCREST SUMATRA MINERALS</v>
          </cell>
        </row>
      </sheetData>
      <sheetData sheetId="3198">
        <row r="7">
          <cell r="E7" t="str">
            <v>PT NEWCREST SUMATRA MINERALS</v>
          </cell>
        </row>
      </sheetData>
      <sheetData sheetId="3199">
        <row r="7">
          <cell r="E7" t="str">
            <v>PT NEWCREST SUMATRA MINERALS</v>
          </cell>
        </row>
      </sheetData>
      <sheetData sheetId="3200">
        <row r="7">
          <cell r="E7" t="str">
            <v>PT NEWCREST SUMATRA MINERALS</v>
          </cell>
        </row>
      </sheetData>
      <sheetData sheetId="3201"/>
      <sheetData sheetId="3202"/>
      <sheetData sheetId="3203">
        <row r="7">
          <cell r="E7" t="str">
            <v>PT NEWCREST SUMATRA MINERALS</v>
          </cell>
        </row>
      </sheetData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>
        <row r="7">
          <cell r="E7" t="str">
            <v>PT NEWCREST SUMATRA MINERALS</v>
          </cell>
        </row>
      </sheetData>
      <sheetData sheetId="3214"/>
      <sheetData sheetId="3215">
        <row r="7">
          <cell r="E7" t="str">
            <v>PT NEWCREST SUMATRA MINERALS</v>
          </cell>
        </row>
      </sheetData>
      <sheetData sheetId="3216">
        <row r="7">
          <cell r="E7" t="str">
            <v>PT NEWCREST SUMATRA MINERALS</v>
          </cell>
        </row>
      </sheetData>
      <sheetData sheetId="3217">
        <row r="7">
          <cell r="E7" t="str">
            <v>PT NEWCREST SUMATRA MINERALS</v>
          </cell>
        </row>
      </sheetData>
      <sheetData sheetId="3218">
        <row r="7">
          <cell r="E7" t="str">
            <v>PT NEWCREST SUMATRA MINERALS</v>
          </cell>
        </row>
      </sheetData>
      <sheetData sheetId="3219">
        <row r="7">
          <cell r="E7" t="str">
            <v>PT NEWCREST SUMATRA MINERALS</v>
          </cell>
        </row>
      </sheetData>
      <sheetData sheetId="3220">
        <row r="7">
          <cell r="E7" t="str">
            <v>PT NEWCREST SUMATRA MINERALS</v>
          </cell>
        </row>
      </sheetData>
      <sheetData sheetId="3221">
        <row r="7">
          <cell r="E7" t="str">
            <v>PT NEWCREST SUMATRA MINERALS</v>
          </cell>
        </row>
      </sheetData>
      <sheetData sheetId="3222">
        <row r="7">
          <cell r="E7" t="str">
            <v>PT NEWCREST SUMATRA MINERALS</v>
          </cell>
        </row>
      </sheetData>
      <sheetData sheetId="3223">
        <row r="7">
          <cell r="E7" t="str">
            <v>PT NEWCREST SUMATRA MINERALS</v>
          </cell>
        </row>
      </sheetData>
      <sheetData sheetId="3224">
        <row r="7">
          <cell r="E7" t="str">
            <v>PT NEWCREST SUMATRA MINERALS</v>
          </cell>
        </row>
      </sheetData>
      <sheetData sheetId="3225">
        <row r="7">
          <cell r="E7" t="str">
            <v>PT NEWCREST SUMATRA MINERALS</v>
          </cell>
        </row>
      </sheetData>
      <sheetData sheetId="3226">
        <row r="7">
          <cell r="E7" t="str">
            <v>PT NEWCREST SUMATRA MINERALS</v>
          </cell>
        </row>
      </sheetData>
      <sheetData sheetId="3227"/>
      <sheetData sheetId="3228">
        <row r="7">
          <cell r="E7" t="str">
            <v>PT NEWCREST SUMATRA MINERALS</v>
          </cell>
        </row>
      </sheetData>
      <sheetData sheetId="3229">
        <row r="7">
          <cell r="E7" t="str">
            <v>PT NEWCREST SUMATRA MINERALS</v>
          </cell>
        </row>
      </sheetData>
      <sheetData sheetId="3230">
        <row r="7">
          <cell r="E7" t="str">
            <v>PT NEWCREST SUMATRA MINERALS</v>
          </cell>
        </row>
      </sheetData>
      <sheetData sheetId="3231">
        <row r="7">
          <cell r="E7" t="str">
            <v>PT NEWCREST SUMATRA MINERALS</v>
          </cell>
        </row>
      </sheetData>
      <sheetData sheetId="3232">
        <row r="7">
          <cell r="E7" t="str">
            <v>PT NEWCREST SUMATRA MINERALS</v>
          </cell>
        </row>
      </sheetData>
      <sheetData sheetId="3233">
        <row r="7">
          <cell r="E7" t="str">
            <v>PT NEWCREST SUMATRA MINERALS</v>
          </cell>
        </row>
      </sheetData>
      <sheetData sheetId="3234">
        <row r="7">
          <cell r="E7" t="str">
            <v>PT NEWCREST SUMATRA MINERALS</v>
          </cell>
        </row>
      </sheetData>
      <sheetData sheetId="3235">
        <row r="7">
          <cell r="E7" t="str">
            <v>PT NEWCREST SUMATRA MINERALS</v>
          </cell>
        </row>
      </sheetData>
      <sheetData sheetId="3236">
        <row r="7">
          <cell r="E7" t="str">
            <v>PT NEWCREST SUMATRA MINERALS</v>
          </cell>
        </row>
      </sheetData>
      <sheetData sheetId="3237">
        <row r="7">
          <cell r="E7" t="str">
            <v>PT NEWCREST SUMATRA MINERALS</v>
          </cell>
        </row>
      </sheetData>
      <sheetData sheetId="3238">
        <row r="7">
          <cell r="E7" t="str">
            <v>PT NEWCREST SUMATRA MINERALS</v>
          </cell>
        </row>
      </sheetData>
      <sheetData sheetId="3239">
        <row r="7">
          <cell r="E7" t="str">
            <v>PT NEWCREST SUMATRA MINERALS</v>
          </cell>
        </row>
      </sheetData>
      <sheetData sheetId="3240"/>
      <sheetData sheetId="3241">
        <row r="7">
          <cell r="E7" t="str">
            <v>PT NEWCREST SUMATRA MINERALS</v>
          </cell>
        </row>
      </sheetData>
      <sheetData sheetId="3242">
        <row r="7">
          <cell r="E7" t="str">
            <v>PT NEWCREST SUMATRA MINERALS</v>
          </cell>
        </row>
      </sheetData>
      <sheetData sheetId="3243">
        <row r="7">
          <cell r="E7" t="str">
            <v>PT NEWCREST SUMATRA MINERALS</v>
          </cell>
        </row>
      </sheetData>
      <sheetData sheetId="3244">
        <row r="7">
          <cell r="E7" t="str">
            <v>PT NEWCREST SUMATRA MINERALS</v>
          </cell>
        </row>
      </sheetData>
      <sheetData sheetId="3245">
        <row r="7">
          <cell r="E7" t="str">
            <v>PT NEWCREST SUMATRA MINERALS</v>
          </cell>
        </row>
      </sheetData>
      <sheetData sheetId="3246">
        <row r="7">
          <cell r="E7" t="str">
            <v>PT NEWCREST SUMATRA MINERALS</v>
          </cell>
        </row>
      </sheetData>
      <sheetData sheetId="3247">
        <row r="7">
          <cell r="E7" t="str">
            <v>PT NEWCREST SUMATRA MINERALS</v>
          </cell>
        </row>
      </sheetData>
      <sheetData sheetId="3248">
        <row r="7">
          <cell r="E7" t="str">
            <v>PT NEWCREST SUMATRA MINERALS</v>
          </cell>
        </row>
      </sheetData>
      <sheetData sheetId="3249">
        <row r="7">
          <cell r="E7" t="str">
            <v>PT NEWCREST SUMATRA MINERALS</v>
          </cell>
        </row>
      </sheetData>
      <sheetData sheetId="3250">
        <row r="7">
          <cell r="E7" t="str">
            <v>PT NEWCREST SUMATRA MINERALS</v>
          </cell>
        </row>
      </sheetData>
      <sheetData sheetId="3251">
        <row r="7">
          <cell r="E7" t="str">
            <v>PT NEWCREST SUMATRA MINERALS</v>
          </cell>
        </row>
      </sheetData>
      <sheetData sheetId="3252">
        <row r="7">
          <cell r="E7" t="str">
            <v>PT NEWCREST SUMATRA MINERALS</v>
          </cell>
        </row>
      </sheetData>
      <sheetData sheetId="3253">
        <row r="7">
          <cell r="E7" t="str">
            <v>PT NEWCREST SUMATRA MINERALS</v>
          </cell>
        </row>
      </sheetData>
      <sheetData sheetId="3254">
        <row r="7">
          <cell r="E7" t="str">
            <v>PT NEWCREST SUMATRA MINERALS</v>
          </cell>
        </row>
      </sheetData>
      <sheetData sheetId="3255">
        <row r="7">
          <cell r="E7" t="str">
            <v>PT NEWCREST SUMATRA MINERALS</v>
          </cell>
        </row>
      </sheetData>
      <sheetData sheetId="3256">
        <row r="7">
          <cell r="E7" t="str">
            <v>PT NEWCREST SUMATRA MINERALS</v>
          </cell>
        </row>
      </sheetData>
      <sheetData sheetId="3257">
        <row r="7">
          <cell r="E7" t="str">
            <v>PT NEWCREST SUMATRA MINERALS</v>
          </cell>
        </row>
      </sheetData>
      <sheetData sheetId="3258">
        <row r="7">
          <cell r="E7" t="str">
            <v>PT NEWCREST SUMATRA MINERALS</v>
          </cell>
        </row>
      </sheetData>
      <sheetData sheetId="3259">
        <row r="7">
          <cell r="E7" t="str">
            <v>PT NEWCREST SUMATRA MINERALS</v>
          </cell>
        </row>
      </sheetData>
      <sheetData sheetId="3260">
        <row r="7">
          <cell r="E7" t="str">
            <v>PT NEWCREST SUMATRA MINERALS</v>
          </cell>
        </row>
      </sheetData>
      <sheetData sheetId="3261">
        <row r="7">
          <cell r="E7" t="str">
            <v>PT NEWCREST SUMATRA MINERALS</v>
          </cell>
        </row>
      </sheetData>
      <sheetData sheetId="3262">
        <row r="7">
          <cell r="E7" t="str">
            <v>PT NEWCREST SUMATRA MINERALS</v>
          </cell>
        </row>
      </sheetData>
      <sheetData sheetId="3263">
        <row r="7">
          <cell r="E7" t="str">
            <v>PT NEWCREST SUMATRA MINERALS</v>
          </cell>
        </row>
      </sheetData>
      <sheetData sheetId="3264">
        <row r="7">
          <cell r="E7" t="str">
            <v>PT NEWCREST SUMATRA MINERALS</v>
          </cell>
        </row>
      </sheetData>
      <sheetData sheetId="3265">
        <row r="7">
          <cell r="E7" t="str">
            <v>PT NEWCREST SUMATRA MINERALS</v>
          </cell>
        </row>
      </sheetData>
      <sheetData sheetId="3266">
        <row r="7">
          <cell r="E7" t="str">
            <v>PT NEWCREST SUMATRA MINERALS</v>
          </cell>
        </row>
      </sheetData>
      <sheetData sheetId="3267">
        <row r="7">
          <cell r="E7" t="str">
            <v>PT NEWCREST SUMATRA MINERALS</v>
          </cell>
        </row>
      </sheetData>
      <sheetData sheetId="3268">
        <row r="7">
          <cell r="E7" t="str">
            <v>PT NEWCREST SUMATRA MINERALS</v>
          </cell>
        </row>
      </sheetData>
      <sheetData sheetId="3269">
        <row r="7">
          <cell r="E7" t="str">
            <v>PT NEWCREST SUMATRA MINERALS</v>
          </cell>
        </row>
      </sheetData>
      <sheetData sheetId="3270">
        <row r="7">
          <cell r="E7" t="str">
            <v>PT NEWCREST SUMATRA MINERALS</v>
          </cell>
        </row>
      </sheetData>
      <sheetData sheetId="3271">
        <row r="7">
          <cell r="E7" t="str">
            <v>PT NEWCREST SUMATRA MINERALS</v>
          </cell>
        </row>
      </sheetData>
      <sheetData sheetId="3272">
        <row r="7">
          <cell r="E7" t="str">
            <v>PT NEWCREST SUMATRA MINERALS</v>
          </cell>
        </row>
      </sheetData>
      <sheetData sheetId="3273">
        <row r="7">
          <cell r="E7" t="str">
            <v>PT NEWCREST SUMATRA MINERALS</v>
          </cell>
        </row>
      </sheetData>
      <sheetData sheetId="3274">
        <row r="7">
          <cell r="E7" t="str">
            <v>PT NEWCREST SUMATRA MINERALS</v>
          </cell>
        </row>
      </sheetData>
      <sheetData sheetId="3275">
        <row r="7">
          <cell r="E7" t="str">
            <v>PT NEWCREST SUMATRA MINERALS</v>
          </cell>
        </row>
      </sheetData>
      <sheetData sheetId="3276"/>
      <sheetData sheetId="3277">
        <row r="7">
          <cell r="E7" t="str">
            <v>PT NEWCREST SUMATRA MINERALS</v>
          </cell>
        </row>
      </sheetData>
      <sheetData sheetId="3278">
        <row r="7">
          <cell r="E7" t="str">
            <v>PT NEWCREST SUMATRA MINERALS</v>
          </cell>
        </row>
      </sheetData>
      <sheetData sheetId="3279">
        <row r="7">
          <cell r="E7" t="str">
            <v>PT NEWCREST SUMATRA MINERALS</v>
          </cell>
        </row>
      </sheetData>
      <sheetData sheetId="3280">
        <row r="7">
          <cell r="E7" t="str">
            <v>PT NEWCREST SUMATRA MINERALS</v>
          </cell>
        </row>
      </sheetData>
      <sheetData sheetId="3281">
        <row r="7">
          <cell r="E7" t="str">
            <v>PT NEWCREST SUMATRA MINERALS</v>
          </cell>
        </row>
      </sheetData>
      <sheetData sheetId="3282">
        <row r="7">
          <cell r="E7" t="str">
            <v>PT NEWCREST SUMATRA MINERALS</v>
          </cell>
        </row>
      </sheetData>
      <sheetData sheetId="3283">
        <row r="7">
          <cell r="E7" t="str">
            <v>PT NEWCREST SUMATRA MINERALS</v>
          </cell>
        </row>
      </sheetData>
      <sheetData sheetId="3284">
        <row r="7">
          <cell r="E7" t="str">
            <v>PT NEWCREST SUMATRA MINERALS</v>
          </cell>
        </row>
      </sheetData>
      <sheetData sheetId="3285">
        <row r="7">
          <cell r="E7" t="str">
            <v>PT NEWCREST SUMATRA MINERALS</v>
          </cell>
        </row>
      </sheetData>
      <sheetData sheetId="3286">
        <row r="7">
          <cell r="E7" t="str">
            <v>PT NEWCREST SUMATRA MINERALS</v>
          </cell>
        </row>
      </sheetData>
      <sheetData sheetId="3287">
        <row r="7">
          <cell r="E7" t="str">
            <v>PT NEWCREST SUMATRA MINERALS</v>
          </cell>
        </row>
      </sheetData>
      <sheetData sheetId="3288">
        <row r="7">
          <cell r="E7" t="str">
            <v>PT NEWCREST SUMATRA MINERALS</v>
          </cell>
        </row>
      </sheetData>
      <sheetData sheetId="3289">
        <row r="7">
          <cell r="E7" t="str">
            <v>PT NEWCREST SUMATRA MINERALS</v>
          </cell>
        </row>
      </sheetData>
      <sheetData sheetId="3290">
        <row r="7">
          <cell r="E7" t="str">
            <v>PT NEWCREST SUMATRA MINERALS</v>
          </cell>
        </row>
      </sheetData>
      <sheetData sheetId="3291">
        <row r="7">
          <cell r="E7" t="str">
            <v>PT NEWCREST SUMATRA MINERALS</v>
          </cell>
        </row>
      </sheetData>
      <sheetData sheetId="3292">
        <row r="7">
          <cell r="E7" t="str">
            <v>PT NEWCREST SUMATRA MINERALS</v>
          </cell>
        </row>
      </sheetData>
      <sheetData sheetId="3293">
        <row r="7">
          <cell r="E7" t="str">
            <v>PT NEWCREST SUMATRA MINERALS</v>
          </cell>
        </row>
      </sheetData>
      <sheetData sheetId="3294">
        <row r="7">
          <cell r="E7" t="str">
            <v>PT NEWCREST SUMATRA MINERALS</v>
          </cell>
        </row>
      </sheetData>
      <sheetData sheetId="3295">
        <row r="7">
          <cell r="E7" t="str">
            <v>PT NEWCREST SUMATRA MINERALS</v>
          </cell>
        </row>
      </sheetData>
      <sheetData sheetId="3296">
        <row r="7">
          <cell r="E7" t="str">
            <v>PT NEWCREST SUMATRA MINERALS</v>
          </cell>
        </row>
      </sheetData>
      <sheetData sheetId="3297">
        <row r="7">
          <cell r="E7" t="str">
            <v>PT NEWCREST SUMATRA MINERALS</v>
          </cell>
        </row>
      </sheetData>
      <sheetData sheetId="3298">
        <row r="7">
          <cell r="E7" t="str">
            <v>PT NEWCREST SUMATRA MINERALS</v>
          </cell>
        </row>
      </sheetData>
      <sheetData sheetId="3299">
        <row r="7">
          <cell r="E7" t="str">
            <v>PT NEWCREST SUMATRA MINERALS</v>
          </cell>
        </row>
      </sheetData>
      <sheetData sheetId="3300">
        <row r="7">
          <cell r="E7" t="str">
            <v>PT NEWCREST SUMATRA MINERALS</v>
          </cell>
        </row>
      </sheetData>
      <sheetData sheetId="3301">
        <row r="7">
          <cell r="E7" t="str">
            <v>PT NEWCREST SUMATRA MINERALS</v>
          </cell>
        </row>
      </sheetData>
      <sheetData sheetId="3302">
        <row r="7">
          <cell r="E7" t="str">
            <v>PT NEWCREST SUMATRA MINERALS</v>
          </cell>
        </row>
      </sheetData>
      <sheetData sheetId="3303">
        <row r="7">
          <cell r="E7" t="str">
            <v>PT NEWCREST SUMATRA MINERALS</v>
          </cell>
        </row>
      </sheetData>
      <sheetData sheetId="3304">
        <row r="7">
          <cell r="E7" t="str">
            <v>PT NEWCREST SUMATRA MINERALS</v>
          </cell>
        </row>
      </sheetData>
      <sheetData sheetId="3305">
        <row r="7">
          <cell r="E7" t="str">
            <v>PT NEWCREST SUMATRA MINERALS</v>
          </cell>
        </row>
      </sheetData>
      <sheetData sheetId="3306">
        <row r="7">
          <cell r="E7" t="str">
            <v>PT NEWCREST SUMATRA MINERALS</v>
          </cell>
        </row>
      </sheetData>
      <sheetData sheetId="3307">
        <row r="7">
          <cell r="E7" t="str">
            <v>PT NEWCREST SUMATRA MINERALS</v>
          </cell>
        </row>
      </sheetData>
      <sheetData sheetId="3308">
        <row r="7">
          <cell r="E7" t="str">
            <v>PT NEWCREST SUMATRA MINERALS</v>
          </cell>
        </row>
      </sheetData>
      <sheetData sheetId="3309">
        <row r="7">
          <cell r="E7" t="str">
            <v>PT NEWCREST SUMATRA MINERALS</v>
          </cell>
        </row>
      </sheetData>
      <sheetData sheetId="3310">
        <row r="7">
          <cell r="E7" t="str">
            <v>PT NEWCREST SUMATRA MINERALS</v>
          </cell>
        </row>
      </sheetData>
      <sheetData sheetId="3311">
        <row r="7">
          <cell r="E7" t="str">
            <v>PT NEWCREST SUMATRA MINERALS</v>
          </cell>
        </row>
      </sheetData>
      <sheetData sheetId="3312">
        <row r="7">
          <cell r="E7" t="str">
            <v>PT NEWCREST SUMATRA MINERALS</v>
          </cell>
        </row>
      </sheetData>
      <sheetData sheetId="3313">
        <row r="7">
          <cell r="E7" t="str">
            <v>PT NEWCREST SUMATRA MINERALS</v>
          </cell>
        </row>
      </sheetData>
      <sheetData sheetId="3314">
        <row r="7">
          <cell r="E7" t="str">
            <v>PT NEWCREST SUMATRA MINERALS</v>
          </cell>
        </row>
      </sheetData>
      <sheetData sheetId="3315">
        <row r="7">
          <cell r="E7" t="str">
            <v>PT NEWCREST SUMATRA MINERALS</v>
          </cell>
        </row>
      </sheetData>
      <sheetData sheetId="3316" refreshError="1"/>
      <sheetData sheetId="3317">
        <row r="7">
          <cell r="E7" t="str">
            <v>PT NEWCREST SUMATRA MINERALS</v>
          </cell>
        </row>
      </sheetData>
      <sheetData sheetId="3318"/>
      <sheetData sheetId="3319">
        <row r="7">
          <cell r="E7" t="str">
            <v>PT NEWCREST SUMATRA MINERALS</v>
          </cell>
        </row>
      </sheetData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>
        <row r="7">
          <cell r="E7" t="str">
            <v>PT NEWCREST SUMATRA MINERALS</v>
          </cell>
        </row>
      </sheetData>
      <sheetData sheetId="3346">
        <row r="7">
          <cell r="E7" t="str">
            <v>PT NEWCREST SUMATRA MINERALS</v>
          </cell>
        </row>
      </sheetData>
      <sheetData sheetId="3347">
        <row r="7">
          <cell r="E7" t="str">
            <v>PT NEWCREST SUMATRA MINERALS</v>
          </cell>
        </row>
      </sheetData>
      <sheetData sheetId="3348">
        <row r="7">
          <cell r="E7" t="str">
            <v>PT NEWCREST SUMATRA MINERALS</v>
          </cell>
        </row>
      </sheetData>
      <sheetData sheetId="3349">
        <row r="7">
          <cell r="E7" t="str">
            <v>PT NEWCREST SUMATRA MINERALS</v>
          </cell>
        </row>
      </sheetData>
      <sheetData sheetId="3350">
        <row r="7">
          <cell r="E7" t="str">
            <v>PT NEWCREST SUMATRA MINERALS</v>
          </cell>
        </row>
      </sheetData>
      <sheetData sheetId="3351">
        <row r="7">
          <cell r="E7" t="str">
            <v>PT NEWCREST SUMATRA MINERALS</v>
          </cell>
        </row>
      </sheetData>
      <sheetData sheetId="3352">
        <row r="7">
          <cell r="E7" t="str">
            <v>PT NEWCREST SUMATRA MINERALS</v>
          </cell>
        </row>
      </sheetData>
      <sheetData sheetId="3353">
        <row r="7">
          <cell r="E7" t="str">
            <v>PT NEWCREST SUMATRA MINERALS</v>
          </cell>
        </row>
      </sheetData>
      <sheetData sheetId="3354">
        <row r="7">
          <cell r="E7" t="str">
            <v>PT NEWCREST SUMATRA MINERALS</v>
          </cell>
        </row>
      </sheetData>
      <sheetData sheetId="3355">
        <row r="7">
          <cell r="E7" t="str">
            <v>PT NEWCREST SUMATRA MINERALS</v>
          </cell>
        </row>
      </sheetData>
      <sheetData sheetId="3356">
        <row r="7">
          <cell r="E7" t="str">
            <v>PT NEWCREST SUMATRA MINERALS</v>
          </cell>
        </row>
      </sheetData>
      <sheetData sheetId="3357">
        <row r="7">
          <cell r="E7" t="str">
            <v>PT NEWCREST SUMATRA MINERALS</v>
          </cell>
        </row>
      </sheetData>
      <sheetData sheetId="3358">
        <row r="7">
          <cell r="E7" t="str">
            <v>PT NEWCREST SUMATRA MINERALS</v>
          </cell>
        </row>
      </sheetData>
      <sheetData sheetId="3359">
        <row r="7">
          <cell r="E7" t="str">
            <v>PT NEWCREST SUMATRA MINERALS</v>
          </cell>
        </row>
      </sheetData>
      <sheetData sheetId="3360">
        <row r="7">
          <cell r="E7" t="str">
            <v>PT NEWCREST SUMATRA MINERALS</v>
          </cell>
        </row>
      </sheetData>
      <sheetData sheetId="3361">
        <row r="7">
          <cell r="E7" t="str">
            <v>PT NEWCREST SUMATRA MINERALS</v>
          </cell>
        </row>
      </sheetData>
      <sheetData sheetId="3362">
        <row r="7">
          <cell r="E7" t="str">
            <v>PT NEWCREST SUMATRA MINERALS</v>
          </cell>
        </row>
      </sheetData>
      <sheetData sheetId="3363">
        <row r="7">
          <cell r="E7" t="str">
            <v>PT NEWCREST SUMATRA MINERALS</v>
          </cell>
        </row>
      </sheetData>
      <sheetData sheetId="3364">
        <row r="7">
          <cell r="E7" t="str">
            <v>PT NEWCREST SUMATRA MINERALS</v>
          </cell>
        </row>
      </sheetData>
      <sheetData sheetId="3365">
        <row r="7">
          <cell r="E7" t="str">
            <v>PT NEWCREST SUMATRA MINERALS</v>
          </cell>
        </row>
      </sheetData>
      <sheetData sheetId="3366">
        <row r="7">
          <cell r="E7" t="str">
            <v>PT NEWCREST SUMATRA MINERALS</v>
          </cell>
        </row>
      </sheetData>
      <sheetData sheetId="3367">
        <row r="7">
          <cell r="E7" t="str">
            <v>PT NEWCREST SUMATRA MINERALS</v>
          </cell>
        </row>
      </sheetData>
      <sheetData sheetId="3368">
        <row r="7">
          <cell r="E7" t="str">
            <v>PT NEWCREST SUMATRA MINERALS</v>
          </cell>
        </row>
      </sheetData>
      <sheetData sheetId="3369">
        <row r="7">
          <cell r="E7" t="str">
            <v>PT NEWCREST SUMATRA MINERALS</v>
          </cell>
        </row>
      </sheetData>
      <sheetData sheetId="3370">
        <row r="7">
          <cell r="E7" t="str">
            <v>PT NEWCREST SUMATRA MINERALS</v>
          </cell>
        </row>
      </sheetData>
      <sheetData sheetId="3371">
        <row r="7">
          <cell r="E7" t="str">
            <v>PT NEWCREST SUMATRA MINERALS</v>
          </cell>
        </row>
      </sheetData>
      <sheetData sheetId="3372">
        <row r="7">
          <cell r="E7" t="str">
            <v>PT NEWCREST SUMATRA MINERALS</v>
          </cell>
        </row>
      </sheetData>
      <sheetData sheetId="3373">
        <row r="7">
          <cell r="E7" t="str">
            <v>PT NEWCREST SUMATRA MINERALS</v>
          </cell>
        </row>
      </sheetData>
      <sheetData sheetId="3374">
        <row r="7">
          <cell r="E7" t="str">
            <v>PT NEWCREST SUMATRA MINERALS</v>
          </cell>
        </row>
      </sheetData>
      <sheetData sheetId="3375">
        <row r="7">
          <cell r="E7" t="str">
            <v>PT NEWCREST SUMATRA MINERALS</v>
          </cell>
        </row>
      </sheetData>
      <sheetData sheetId="3376">
        <row r="7">
          <cell r="E7" t="str">
            <v>PT NEWCREST SUMATRA MINERALS</v>
          </cell>
        </row>
      </sheetData>
      <sheetData sheetId="3377">
        <row r="7">
          <cell r="E7" t="str">
            <v>PT NEWCREST SUMATRA MINERALS</v>
          </cell>
        </row>
      </sheetData>
      <sheetData sheetId="3378">
        <row r="7">
          <cell r="E7" t="str">
            <v>PT NEWCREST SUMATRA MINERALS</v>
          </cell>
        </row>
      </sheetData>
      <sheetData sheetId="3379">
        <row r="7">
          <cell r="E7" t="str">
            <v>PT NEWCREST SUMATRA MINERALS</v>
          </cell>
        </row>
      </sheetData>
      <sheetData sheetId="3380">
        <row r="7">
          <cell r="E7" t="str">
            <v>PT NEWCREST SUMATRA MINERALS</v>
          </cell>
        </row>
      </sheetData>
      <sheetData sheetId="3381">
        <row r="7">
          <cell r="E7" t="str">
            <v>PT NEWCREST SUMATRA MINERALS</v>
          </cell>
        </row>
      </sheetData>
      <sheetData sheetId="3382">
        <row r="7">
          <cell r="E7" t="str">
            <v>PT NEWCREST SUMATRA MINERALS</v>
          </cell>
        </row>
      </sheetData>
      <sheetData sheetId="3383">
        <row r="7">
          <cell r="E7" t="str">
            <v>PT NEWCREST SUMATRA MINERALS</v>
          </cell>
        </row>
      </sheetData>
      <sheetData sheetId="3384">
        <row r="7">
          <cell r="E7" t="str">
            <v>PT NEWCREST SUMATRA MINERALS</v>
          </cell>
        </row>
      </sheetData>
      <sheetData sheetId="3385">
        <row r="7">
          <cell r="E7" t="str">
            <v>PT NEWCREST SUMATRA MINERALS</v>
          </cell>
        </row>
      </sheetData>
      <sheetData sheetId="3386">
        <row r="7">
          <cell r="E7" t="str">
            <v>PT NEWCREST SUMATRA MINERALS</v>
          </cell>
        </row>
      </sheetData>
      <sheetData sheetId="3387">
        <row r="7">
          <cell r="E7" t="str">
            <v>PT NEWCREST SUMATRA MINERALS</v>
          </cell>
        </row>
      </sheetData>
      <sheetData sheetId="3388">
        <row r="7">
          <cell r="E7" t="str">
            <v>PT NEWCREST SUMATRA MINERALS</v>
          </cell>
        </row>
      </sheetData>
      <sheetData sheetId="3389">
        <row r="7">
          <cell r="E7" t="str">
            <v>PT NEWCREST SUMATRA MINERALS</v>
          </cell>
        </row>
      </sheetData>
      <sheetData sheetId="3390">
        <row r="7">
          <cell r="E7" t="str">
            <v>PT NEWCREST SUMATRA MINERALS</v>
          </cell>
        </row>
      </sheetData>
      <sheetData sheetId="3391">
        <row r="7">
          <cell r="E7" t="str">
            <v>PT NEWCREST SUMATRA MINERALS</v>
          </cell>
        </row>
      </sheetData>
      <sheetData sheetId="3392">
        <row r="7">
          <cell r="E7" t="str">
            <v>PT NEWCREST SUMATRA MINERALS</v>
          </cell>
        </row>
      </sheetData>
      <sheetData sheetId="3393">
        <row r="7">
          <cell r="E7" t="str">
            <v>PT NEWCREST SUMATRA MINERALS</v>
          </cell>
        </row>
      </sheetData>
      <sheetData sheetId="3394">
        <row r="7">
          <cell r="E7" t="str">
            <v>PT NEWCREST SUMATRA MINERALS</v>
          </cell>
        </row>
      </sheetData>
      <sheetData sheetId="3395">
        <row r="7">
          <cell r="E7" t="str">
            <v>PT NEWCREST SUMATRA MINERALS</v>
          </cell>
        </row>
      </sheetData>
      <sheetData sheetId="3396">
        <row r="7">
          <cell r="E7" t="str">
            <v>PT NEWCREST SUMATRA MINERALS</v>
          </cell>
        </row>
      </sheetData>
      <sheetData sheetId="3397">
        <row r="7">
          <cell r="E7" t="str">
            <v>PT NEWCREST SUMATRA MINERALS</v>
          </cell>
        </row>
      </sheetData>
      <sheetData sheetId="3398">
        <row r="7">
          <cell r="E7" t="str">
            <v>PT NEWCREST SUMATRA MINERALS</v>
          </cell>
        </row>
      </sheetData>
      <sheetData sheetId="3399">
        <row r="7">
          <cell r="E7" t="str">
            <v>PT NEWCREST SUMATRA MINERALS</v>
          </cell>
        </row>
      </sheetData>
      <sheetData sheetId="3400">
        <row r="7">
          <cell r="E7" t="str">
            <v>PT NEWCREST SUMATRA MINERALS</v>
          </cell>
        </row>
      </sheetData>
      <sheetData sheetId="3401">
        <row r="7">
          <cell r="E7" t="str">
            <v>PT NEWCREST SUMATRA MINERALS</v>
          </cell>
        </row>
      </sheetData>
      <sheetData sheetId="3402">
        <row r="7">
          <cell r="E7" t="str">
            <v>PT NEWCREST SUMATRA MINERALS</v>
          </cell>
        </row>
      </sheetData>
      <sheetData sheetId="3403">
        <row r="7">
          <cell r="E7" t="str">
            <v>PT NEWCREST SUMATRA MINERALS</v>
          </cell>
        </row>
      </sheetData>
      <sheetData sheetId="3404">
        <row r="7">
          <cell r="E7" t="str">
            <v>PT NEWCREST SUMATRA MINERALS</v>
          </cell>
        </row>
      </sheetData>
      <sheetData sheetId="3405">
        <row r="7">
          <cell r="E7" t="str">
            <v>PT NEWCREST SUMATRA MINERALS</v>
          </cell>
        </row>
      </sheetData>
      <sheetData sheetId="3406">
        <row r="7">
          <cell r="E7" t="str">
            <v>PT NEWCREST SUMATRA MINERALS</v>
          </cell>
        </row>
      </sheetData>
      <sheetData sheetId="3407">
        <row r="7">
          <cell r="E7" t="str">
            <v>PT NEWCREST SUMATRA MINERALS</v>
          </cell>
        </row>
      </sheetData>
      <sheetData sheetId="3408">
        <row r="7">
          <cell r="E7" t="str">
            <v>PT NEWCREST SUMATRA MINERALS</v>
          </cell>
        </row>
      </sheetData>
      <sheetData sheetId="3409">
        <row r="7">
          <cell r="E7" t="str">
            <v>PT NEWCREST SUMATRA MINERALS</v>
          </cell>
        </row>
      </sheetData>
      <sheetData sheetId="3410">
        <row r="7">
          <cell r="E7" t="str">
            <v>PT NEWCREST SUMATRA MINERALS</v>
          </cell>
        </row>
      </sheetData>
      <sheetData sheetId="3411">
        <row r="7">
          <cell r="E7" t="str">
            <v>PT NEWCREST SUMATRA MINERALS</v>
          </cell>
        </row>
      </sheetData>
      <sheetData sheetId="3412"/>
      <sheetData sheetId="3413">
        <row r="7">
          <cell r="E7" t="str">
            <v>PT NEWCREST SUMATRA MINERALS</v>
          </cell>
        </row>
      </sheetData>
      <sheetData sheetId="3414">
        <row r="7">
          <cell r="E7" t="str">
            <v>PT NEWCREST SUMATRA MINERALS</v>
          </cell>
        </row>
      </sheetData>
      <sheetData sheetId="3415">
        <row r="7">
          <cell r="E7" t="str">
            <v>PT NEWCREST SUMATRA MINERALS</v>
          </cell>
        </row>
      </sheetData>
      <sheetData sheetId="3416"/>
      <sheetData sheetId="3417"/>
      <sheetData sheetId="3418"/>
      <sheetData sheetId="3419"/>
      <sheetData sheetId="3420">
        <row r="7">
          <cell r="E7" t="str">
            <v>PT NEWCREST SUMATRA MINERALS</v>
          </cell>
        </row>
      </sheetData>
      <sheetData sheetId="3421"/>
      <sheetData sheetId="3422"/>
      <sheetData sheetId="3423"/>
      <sheetData sheetId="3424"/>
      <sheetData sheetId="3425"/>
      <sheetData sheetId="3426"/>
      <sheetData sheetId="3427"/>
      <sheetData sheetId="3428">
        <row r="7">
          <cell r="E7" t="str">
            <v>PT NEWCREST SUMATRA MINERALS</v>
          </cell>
        </row>
      </sheetData>
      <sheetData sheetId="3429"/>
      <sheetData sheetId="3430"/>
      <sheetData sheetId="3431"/>
      <sheetData sheetId="3432"/>
      <sheetData sheetId="3433">
        <row r="7">
          <cell r="E7" t="str">
            <v>PT NEWCREST SUMATRA MINERALS</v>
          </cell>
        </row>
      </sheetData>
      <sheetData sheetId="3434">
        <row r="7">
          <cell r="E7" t="str">
            <v>PT NEWCREST SUMATRA MINERALS</v>
          </cell>
        </row>
      </sheetData>
      <sheetData sheetId="3435">
        <row r="7">
          <cell r="E7" t="str">
            <v>PT NEWCREST SUMATRA MINERALS</v>
          </cell>
        </row>
      </sheetData>
      <sheetData sheetId="3436"/>
      <sheetData sheetId="3437"/>
      <sheetData sheetId="3438">
        <row r="7">
          <cell r="E7" t="str">
            <v>PT NEWCREST SUMATRA MINERALS</v>
          </cell>
        </row>
      </sheetData>
      <sheetData sheetId="3439">
        <row r="7">
          <cell r="E7" t="str">
            <v>PT NEWCREST SUMATRA MINERALS</v>
          </cell>
        </row>
      </sheetData>
      <sheetData sheetId="3440">
        <row r="7">
          <cell r="E7" t="str">
            <v>PT NEWCREST SUMATRA MINERALS</v>
          </cell>
        </row>
      </sheetData>
      <sheetData sheetId="344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/>
      <sheetData sheetId="3495" refreshError="1"/>
      <sheetData sheetId="3496" refreshError="1"/>
      <sheetData sheetId="3497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>
        <row r="31">
          <cell r="R31">
            <v>0</v>
          </cell>
        </row>
      </sheetData>
      <sheetData sheetId="3619">
        <row r="31">
          <cell r="R31">
            <v>0</v>
          </cell>
        </row>
      </sheetData>
      <sheetData sheetId="3620">
        <row r="31">
          <cell r="R31">
            <v>0</v>
          </cell>
        </row>
      </sheetData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>
        <row r="36">
          <cell r="G36">
            <v>0</v>
          </cell>
        </row>
      </sheetData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 refreshError="1"/>
      <sheetData sheetId="3662" refreshError="1"/>
      <sheetData sheetId="3663" refreshError="1"/>
      <sheetData sheetId="3664" refreshError="1"/>
      <sheetData sheetId="3665"/>
      <sheetData sheetId="3666" refreshError="1"/>
      <sheetData sheetId="3667">
        <row r="31">
          <cell r="R31">
            <v>0</v>
          </cell>
        </row>
      </sheetData>
      <sheetData sheetId="3668">
        <row r="31">
          <cell r="R31">
            <v>0</v>
          </cell>
        </row>
      </sheetData>
      <sheetData sheetId="3669">
        <row r="31">
          <cell r="R31">
            <v>0</v>
          </cell>
        </row>
      </sheetData>
      <sheetData sheetId="3670">
        <row r="31">
          <cell r="R31">
            <v>0</v>
          </cell>
        </row>
      </sheetData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>
        <row r="36">
          <cell r="G36">
            <v>0</v>
          </cell>
        </row>
      </sheetData>
      <sheetData sheetId="3726">
        <row r="36">
          <cell r="G36">
            <v>0</v>
          </cell>
        </row>
      </sheetData>
      <sheetData sheetId="3727">
        <row r="36">
          <cell r="G36">
            <v>0</v>
          </cell>
        </row>
      </sheetData>
      <sheetData sheetId="3728">
        <row r="7">
          <cell r="E7" t="str">
            <v>PT NEWCREST SUMATRA MINERALS</v>
          </cell>
        </row>
      </sheetData>
      <sheetData sheetId="3729">
        <row r="36">
          <cell r="G36">
            <v>0</v>
          </cell>
        </row>
      </sheetData>
      <sheetData sheetId="3730">
        <row r="36">
          <cell r="G36">
            <v>0</v>
          </cell>
        </row>
      </sheetData>
      <sheetData sheetId="3731">
        <row r="36">
          <cell r="G36">
            <v>0</v>
          </cell>
        </row>
      </sheetData>
      <sheetData sheetId="3732">
        <row r="36">
          <cell r="G36">
            <v>0</v>
          </cell>
        </row>
      </sheetData>
      <sheetData sheetId="3733">
        <row r="36">
          <cell r="G36">
            <v>0</v>
          </cell>
        </row>
      </sheetData>
      <sheetData sheetId="3734">
        <row r="36">
          <cell r="G36">
            <v>0</v>
          </cell>
        </row>
      </sheetData>
      <sheetData sheetId="3735">
        <row r="36">
          <cell r="G36">
            <v>0</v>
          </cell>
        </row>
      </sheetData>
      <sheetData sheetId="3736">
        <row r="36">
          <cell r="G36">
            <v>0</v>
          </cell>
        </row>
      </sheetData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>
        <row r="7">
          <cell r="E7" t="str">
            <v>PT NEWCREST SUMATRA MINERALS</v>
          </cell>
        </row>
      </sheetData>
      <sheetData sheetId="3797">
        <row r="7">
          <cell r="E7" t="str">
            <v>PT NEWCREST SUMATRA MINERALS</v>
          </cell>
        </row>
      </sheetData>
      <sheetData sheetId="3798"/>
      <sheetData sheetId="3799"/>
      <sheetData sheetId="3800"/>
      <sheetData sheetId="3801"/>
      <sheetData sheetId="3802">
        <row r="7">
          <cell r="E7" t="str">
            <v>PT NEWCREST SUMATRA MINERALS</v>
          </cell>
        </row>
      </sheetData>
      <sheetData sheetId="3803">
        <row r="7">
          <cell r="E7" t="str">
            <v>PT NEWCREST SUMATRA MINERALS</v>
          </cell>
        </row>
      </sheetData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>
        <row r="7">
          <cell r="E7" t="str">
            <v>PT NEWCREST SUMATRA MINERALS</v>
          </cell>
        </row>
      </sheetData>
      <sheetData sheetId="3822">
        <row r="7">
          <cell r="E7" t="str">
            <v>PT NEWCREST SUMATRA MINERALS</v>
          </cell>
        </row>
      </sheetData>
      <sheetData sheetId="3823">
        <row r="36">
          <cell r="G36">
            <v>0</v>
          </cell>
        </row>
      </sheetData>
      <sheetData sheetId="3824">
        <row r="36">
          <cell r="G36">
            <v>0</v>
          </cell>
        </row>
      </sheetData>
      <sheetData sheetId="3825">
        <row r="36">
          <cell r="G36">
            <v>0</v>
          </cell>
        </row>
      </sheetData>
      <sheetData sheetId="3826"/>
      <sheetData sheetId="3827">
        <row r="7">
          <cell r="E7" t="str">
            <v>PT NEWCREST SUMATRA MINERALS</v>
          </cell>
        </row>
      </sheetData>
      <sheetData sheetId="3828">
        <row r="7">
          <cell r="E7" t="str">
            <v>PT NEWCREST SUMATRA MINERALS</v>
          </cell>
        </row>
      </sheetData>
      <sheetData sheetId="3829"/>
      <sheetData sheetId="3830"/>
      <sheetData sheetId="3831"/>
      <sheetData sheetId="3832"/>
      <sheetData sheetId="3833"/>
      <sheetData sheetId="3834">
        <row r="36">
          <cell r="G36">
            <v>0</v>
          </cell>
        </row>
      </sheetData>
      <sheetData sheetId="3835"/>
      <sheetData sheetId="3836"/>
      <sheetData sheetId="3837"/>
      <sheetData sheetId="3838">
        <row r="7">
          <cell r="E7" t="str">
            <v>PT NEWCREST SUMATRA MINERALS</v>
          </cell>
        </row>
      </sheetData>
      <sheetData sheetId="3839">
        <row r="7">
          <cell r="E7" t="str">
            <v>PT NEWCREST SUMATRA MINERALS</v>
          </cell>
        </row>
      </sheetData>
      <sheetData sheetId="3840">
        <row r="7">
          <cell r="E7" t="str">
            <v>PT NEWCREST SUMATRA MINERALS</v>
          </cell>
        </row>
      </sheetData>
      <sheetData sheetId="3841"/>
      <sheetData sheetId="3842"/>
      <sheetData sheetId="3843"/>
      <sheetData sheetId="3844"/>
      <sheetData sheetId="3845">
        <row r="7">
          <cell r="E7" t="str">
            <v>PT NEWCREST SUMATRA MINERALS</v>
          </cell>
        </row>
      </sheetData>
      <sheetData sheetId="3846">
        <row r="36">
          <cell r="G36">
            <v>0</v>
          </cell>
        </row>
      </sheetData>
      <sheetData sheetId="3847">
        <row r="36">
          <cell r="G36">
            <v>0</v>
          </cell>
        </row>
      </sheetData>
      <sheetData sheetId="3848"/>
      <sheetData sheetId="3849">
        <row r="36">
          <cell r="G36">
            <v>0</v>
          </cell>
        </row>
      </sheetData>
      <sheetData sheetId="3850">
        <row r="36">
          <cell r="G36">
            <v>0</v>
          </cell>
        </row>
      </sheetData>
      <sheetData sheetId="3851">
        <row r="7">
          <cell r="E7" t="str">
            <v>PT NEWCREST SUMATRA MINERALS</v>
          </cell>
        </row>
      </sheetData>
      <sheetData sheetId="3852">
        <row r="36">
          <cell r="G36">
            <v>0</v>
          </cell>
        </row>
      </sheetData>
      <sheetData sheetId="3853">
        <row r="36">
          <cell r="G36">
            <v>0</v>
          </cell>
        </row>
      </sheetData>
      <sheetData sheetId="3854">
        <row r="36">
          <cell r="G36">
            <v>0</v>
          </cell>
        </row>
      </sheetData>
      <sheetData sheetId="3855">
        <row r="36">
          <cell r="G36">
            <v>0</v>
          </cell>
        </row>
      </sheetData>
      <sheetData sheetId="3856">
        <row r="36">
          <cell r="G36">
            <v>0</v>
          </cell>
        </row>
      </sheetData>
      <sheetData sheetId="3857">
        <row r="36">
          <cell r="G36">
            <v>0</v>
          </cell>
        </row>
      </sheetData>
      <sheetData sheetId="3858">
        <row r="36">
          <cell r="G36">
            <v>0</v>
          </cell>
        </row>
      </sheetData>
      <sheetData sheetId="3859">
        <row r="36">
          <cell r="G36">
            <v>0</v>
          </cell>
        </row>
      </sheetData>
      <sheetData sheetId="3860">
        <row r="36">
          <cell r="G36">
            <v>0</v>
          </cell>
        </row>
      </sheetData>
      <sheetData sheetId="3861">
        <row r="36">
          <cell r="G36">
            <v>0</v>
          </cell>
        </row>
      </sheetData>
      <sheetData sheetId="3862">
        <row r="36">
          <cell r="G36">
            <v>0</v>
          </cell>
        </row>
      </sheetData>
      <sheetData sheetId="3863">
        <row r="36">
          <cell r="G36">
            <v>0</v>
          </cell>
        </row>
      </sheetData>
      <sheetData sheetId="3864">
        <row r="36">
          <cell r="G36">
            <v>0</v>
          </cell>
        </row>
      </sheetData>
      <sheetData sheetId="3865">
        <row r="36">
          <cell r="G36">
            <v>0</v>
          </cell>
        </row>
      </sheetData>
      <sheetData sheetId="3866">
        <row r="36">
          <cell r="G36">
            <v>0</v>
          </cell>
        </row>
      </sheetData>
      <sheetData sheetId="3867">
        <row r="36">
          <cell r="G36">
            <v>0</v>
          </cell>
        </row>
      </sheetData>
      <sheetData sheetId="3868">
        <row r="36">
          <cell r="G36">
            <v>0</v>
          </cell>
        </row>
      </sheetData>
      <sheetData sheetId="3869">
        <row r="7">
          <cell r="E7" t="str">
            <v>PT NEWCREST SUMATRA MINERALS</v>
          </cell>
        </row>
      </sheetData>
      <sheetData sheetId="3870">
        <row r="36">
          <cell r="G36">
            <v>0</v>
          </cell>
        </row>
      </sheetData>
      <sheetData sheetId="3871">
        <row r="36">
          <cell r="G36">
            <v>0</v>
          </cell>
        </row>
      </sheetData>
      <sheetData sheetId="3872">
        <row r="36">
          <cell r="G36">
            <v>0</v>
          </cell>
        </row>
      </sheetData>
      <sheetData sheetId="3873">
        <row r="36">
          <cell r="G36">
            <v>0</v>
          </cell>
        </row>
      </sheetData>
      <sheetData sheetId="3874">
        <row r="36">
          <cell r="G36">
            <v>0</v>
          </cell>
        </row>
      </sheetData>
      <sheetData sheetId="3875">
        <row r="36">
          <cell r="G36">
            <v>0</v>
          </cell>
        </row>
      </sheetData>
      <sheetData sheetId="3876">
        <row r="36">
          <cell r="G36">
            <v>0</v>
          </cell>
        </row>
      </sheetData>
      <sheetData sheetId="3877">
        <row r="36">
          <cell r="G36">
            <v>0</v>
          </cell>
        </row>
      </sheetData>
      <sheetData sheetId="3878">
        <row r="36">
          <cell r="G36">
            <v>0</v>
          </cell>
        </row>
      </sheetData>
      <sheetData sheetId="3879">
        <row r="36">
          <cell r="G36">
            <v>0</v>
          </cell>
        </row>
      </sheetData>
      <sheetData sheetId="3880">
        <row r="36">
          <cell r="G36">
            <v>0</v>
          </cell>
        </row>
      </sheetData>
      <sheetData sheetId="3881">
        <row r="36">
          <cell r="G36">
            <v>0</v>
          </cell>
        </row>
      </sheetData>
      <sheetData sheetId="3882">
        <row r="36">
          <cell r="G36">
            <v>0</v>
          </cell>
        </row>
      </sheetData>
      <sheetData sheetId="3883">
        <row r="36">
          <cell r="G36">
            <v>0</v>
          </cell>
        </row>
      </sheetData>
      <sheetData sheetId="3884">
        <row r="36">
          <cell r="G36">
            <v>0</v>
          </cell>
        </row>
      </sheetData>
      <sheetData sheetId="3885">
        <row r="36">
          <cell r="G36">
            <v>0</v>
          </cell>
        </row>
      </sheetData>
      <sheetData sheetId="3886">
        <row r="36">
          <cell r="G36">
            <v>0</v>
          </cell>
        </row>
      </sheetData>
      <sheetData sheetId="3887">
        <row r="36">
          <cell r="G36">
            <v>0</v>
          </cell>
        </row>
      </sheetData>
      <sheetData sheetId="3888">
        <row r="36">
          <cell r="G36">
            <v>0</v>
          </cell>
        </row>
      </sheetData>
      <sheetData sheetId="3889">
        <row r="36">
          <cell r="G36">
            <v>0</v>
          </cell>
        </row>
      </sheetData>
      <sheetData sheetId="3890">
        <row r="36">
          <cell r="G36">
            <v>0</v>
          </cell>
        </row>
      </sheetData>
      <sheetData sheetId="3891">
        <row r="36">
          <cell r="G36">
            <v>0</v>
          </cell>
        </row>
      </sheetData>
      <sheetData sheetId="3892">
        <row r="36">
          <cell r="G36">
            <v>0</v>
          </cell>
        </row>
      </sheetData>
      <sheetData sheetId="3893">
        <row r="7">
          <cell r="E7" t="str">
            <v>PT NEWCREST SUMATRA MINERALS</v>
          </cell>
        </row>
      </sheetData>
      <sheetData sheetId="3894">
        <row r="36">
          <cell r="G36">
            <v>0</v>
          </cell>
        </row>
      </sheetData>
      <sheetData sheetId="3895">
        <row r="36">
          <cell r="G36">
            <v>0</v>
          </cell>
        </row>
      </sheetData>
      <sheetData sheetId="3896">
        <row r="36">
          <cell r="G36">
            <v>0</v>
          </cell>
        </row>
      </sheetData>
      <sheetData sheetId="3897">
        <row r="36">
          <cell r="G36">
            <v>0</v>
          </cell>
        </row>
      </sheetData>
      <sheetData sheetId="3898">
        <row r="36">
          <cell r="G36">
            <v>0</v>
          </cell>
        </row>
      </sheetData>
      <sheetData sheetId="3899">
        <row r="36">
          <cell r="G36">
            <v>0</v>
          </cell>
        </row>
      </sheetData>
      <sheetData sheetId="3900">
        <row r="36">
          <cell r="G36">
            <v>0</v>
          </cell>
        </row>
      </sheetData>
      <sheetData sheetId="3901">
        <row r="36">
          <cell r="G36">
            <v>0</v>
          </cell>
        </row>
      </sheetData>
      <sheetData sheetId="3902">
        <row r="36">
          <cell r="G36">
            <v>0</v>
          </cell>
        </row>
      </sheetData>
      <sheetData sheetId="3903">
        <row r="36">
          <cell r="G36">
            <v>0</v>
          </cell>
        </row>
      </sheetData>
      <sheetData sheetId="3904">
        <row r="36">
          <cell r="G36">
            <v>0</v>
          </cell>
        </row>
      </sheetData>
      <sheetData sheetId="3905">
        <row r="36">
          <cell r="G36">
            <v>0</v>
          </cell>
        </row>
      </sheetData>
      <sheetData sheetId="3906">
        <row r="36">
          <cell r="G36">
            <v>0</v>
          </cell>
        </row>
      </sheetData>
      <sheetData sheetId="3907">
        <row r="36">
          <cell r="G36">
            <v>0</v>
          </cell>
        </row>
      </sheetData>
      <sheetData sheetId="3908"/>
      <sheetData sheetId="3909"/>
      <sheetData sheetId="3910"/>
      <sheetData sheetId="3911">
        <row r="7">
          <cell r="E7" t="str">
            <v>PT NEWCREST SUMATRA MINERALS</v>
          </cell>
        </row>
      </sheetData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>
        <row r="36">
          <cell r="G36">
            <v>0</v>
          </cell>
        </row>
      </sheetData>
      <sheetData sheetId="3922">
        <row r="36">
          <cell r="G36">
            <v>0</v>
          </cell>
        </row>
      </sheetData>
      <sheetData sheetId="3923">
        <row r="36">
          <cell r="G36">
            <v>0</v>
          </cell>
        </row>
      </sheetData>
      <sheetData sheetId="3924">
        <row r="36">
          <cell r="G36">
            <v>0</v>
          </cell>
        </row>
      </sheetData>
      <sheetData sheetId="3925">
        <row r="36">
          <cell r="G36">
            <v>0</v>
          </cell>
        </row>
      </sheetData>
      <sheetData sheetId="3926">
        <row r="36">
          <cell r="G36">
            <v>0</v>
          </cell>
        </row>
      </sheetData>
      <sheetData sheetId="3927">
        <row r="36">
          <cell r="G36">
            <v>0</v>
          </cell>
        </row>
      </sheetData>
      <sheetData sheetId="3928">
        <row r="36">
          <cell r="G36">
            <v>0</v>
          </cell>
        </row>
      </sheetData>
      <sheetData sheetId="3929">
        <row r="36">
          <cell r="G36">
            <v>0</v>
          </cell>
        </row>
      </sheetData>
      <sheetData sheetId="3930">
        <row r="36">
          <cell r="G36">
            <v>0</v>
          </cell>
        </row>
      </sheetData>
      <sheetData sheetId="3931">
        <row r="36">
          <cell r="G36">
            <v>0</v>
          </cell>
        </row>
      </sheetData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>
        <row r="36">
          <cell r="G36">
            <v>0</v>
          </cell>
        </row>
      </sheetData>
      <sheetData sheetId="3944"/>
      <sheetData sheetId="3945">
        <row r="7">
          <cell r="E7" t="str">
            <v>PT NEWCREST SUMATRA MINERALS</v>
          </cell>
        </row>
      </sheetData>
      <sheetData sheetId="3946">
        <row r="36">
          <cell r="G36">
            <v>0</v>
          </cell>
        </row>
      </sheetData>
      <sheetData sheetId="3947">
        <row r="36">
          <cell r="G36">
            <v>0</v>
          </cell>
        </row>
      </sheetData>
      <sheetData sheetId="3948">
        <row r="36">
          <cell r="G36">
            <v>0</v>
          </cell>
        </row>
      </sheetData>
      <sheetData sheetId="3949">
        <row r="7">
          <cell r="E7" t="str">
            <v>PT NEWCREST SUMATRA MINERALS</v>
          </cell>
        </row>
      </sheetData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>
        <row r="36">
          <cell r="G36">
            <v>0</v>
          </cell>
        </row>
      </sheetData>
      <sheetData sheetId="3978"/>
      <sheetData sheetId="3979"/>
      <sheetData sheetId="3980"/>
      <sheetData sheetId="3981">
        <row r="36">
          <cell r="G36">
            <v>0</v>
          </cell>
        </row>
      </sheetData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>
        <row r="36">
          <cell r="G36">
            <v>0</v>
          </cell>
        </row>
      </sheetData>
      <sheetData sheetId="3998">
        <row r="36">
          <cell r="G36">
            <v>0</v>
          </cell>
        </row>
      </sheetData>
      <sheetData sheetId="3999">
        <row r="36">
          <cell r="G36">
            <v>0</v>
          </cell>
        </row>
      </sheetData>
      <sheetData sheetId="4000">
        <row r="36">
          <cell r="G36">
            <v>0</v>
          </cell>
        </row>
      </sheetData>
      <sheetData sheetId="4001">
        <row r="36">
          <cell r="G36">
            <v>0</v>
          </cell>
        </row>
      </sheetData>
      <sheetData sheetId="4002">
        <row r="36">
          <cell r="G36">
            <v>0</v>
          </cell>
        </row>
      </sheetData>
      <sheetData sheetId="4003">
        <row r="36">
          <cell r="G36">
            <v>0</v>
          </cell>
        </row>
      </sheetData>
      <sheetData sheetId="4004">
        <row r="36">
          <cell r="G36">
            <v>0</v>
          </cell>
        </row>
      </sheetData>
      <sheetData sheetId="4005">
        <row r="36">
          <cell r="G36">
            <v>0</v>
          </cell>
        </row>
      </sheetData>
      <sheetData sheetId="4006">
        <row r="36">
          <cell r="G36">
            <v>0</v>
          </cell>
        </row>
      </sheetData>
      <sheetData sheetId="4007">
        <row r="36">
          <cell r="G36">
            <v>0</v>
          </cell>
        </row>
      </sheetData>
      <sheetData sheetId="4008">
        <row r="36">
          <cell r="G36">
            <v>0</v>
          </cell>
        </row>
      </sheetData>
      <sheetData sheetId="4009">
        <row r="36">
          <cell r="G36">
            <v>0</v>
          </cell>
        </row>
      </sheetData>
      <sheetData sheetId="4010">
        <row r="36">
          <cell r="G36">
            <v>0</v>
          </cell>
        </row>
      </sheetData>
      <sheetData sheetId="4011">
        <row r="36">
          <cell r="G36">
            <v>0</v>
          </cell>
        </row>
      </sheetData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>
        <row r="36">
          <cell r="G36">
            <v>0</v>
          </cell>
        </row>
      </sheetData>
      <sheetData sheetId="4126"/>
      <sheetData sheetId="4127">
        <row r="36">
          <cell r="G36">
            <v>0</v>
          </cell>
        </row>
      </sheetData>
      <sheetData sheetId="4128">
        <row r="36">
          <cell r="G36">
            <v>0</v>
          </cell>
        </row>
      </sheetData>
      <sheetData sheetId="4129">
        <row r="36">
          <cell r="G36">
            <v>0</v>
          </cell>
        </row>
      </sheetData>
      <sheetData sheetId="4130">
        <row r="36">
          <cell r="G36">
            <v>0</v>
          </cell>
        </row>
      </sheetData>
      <sheetData sheetId="4131">
        <row r="36">
          <cell r="G36">
            <v>0</v>
          </cell>
        </row>
      </sheetData>
      <sheetData sheetId="4132">
        <row r="36">
          <cell r="G36">
            <v>0</v>
          </cell>
        </row>
      </sheetData>
      <sheetData sheetId="4133">
        <row r="36">
          <cell r="G36">
            <v>0</v>
          </cell>
        </row>
      </sheetData>
      <sheetData sheetId="4134"/>
      <sheetData sheetId="4135">
        <row r="36">
          <cell r="G36">
            <v>0</v>
          </cell>
        </row>
      </sheetData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>
        <row r="36">
          <cell r="G36">
            <v>0</v>
          </cell>
        </row>
      </sheetData>
      <sheetData sheetId="4156"/>
      <sheetData sheetId="4157">
        <row r="36">
          <cell r="G36">
            <v>0</v>
          </cell>
        </row>
      </sheetData>
      <sheetData sheetId="4158">
        <row r="36">
          <cell r="G36">
            <v>0</v>
          </cell>
        </row>
      </sheetData>
      <sheetData sheetId="4159">
        <row r="36">
          <cell r="G36">
            <v>0</v>
          </cell>
        </row>
      </sheetData>
      <sheetData sheetId="4160">
        <row r="36">
          <cell r="G36">
            <v>0</v>
          </cell>
        </row>
      </sheetData>
      <sheetData sheetId="4161">
        <row r="36">
          <cell r="G36">
            <v>0</v>
          </cell>
        </row>
      </sheetData>
      <sheetData sheetId="4162">
        <row r="36">
          <cell r="G36">
            <v>0</v>
          </cell>
        </row>
      </sheetData>
      <sheetData sheetId="4163">
        <row r="36">
          <cell r="G36">
            <v>0</v>
          </cell>
        </row>
      </sheetData>
      <sheetData sheetId="4164">
        <row r="36">
          <cell r="G36">
            <v>0</v>
          </cell>
        </row>
      </sheetData>
      <sheetData sheetId="4165">
        <row r="36">
          <cell r="G36">
            <v>0</v>
          </cell>
        </row>
      </sheetData>
      <sheetData sheetId="4166">
        <row r="36">
          <cell r="G36">
            <v>0</v>
          </cell>
        </row>
      </sheetData>
      <sheetData sheetId="4167">
        <row r="36">
          <cell r="G36">
            <v>0</v>
          </cell>
        </row>
      </sheetData>
      <sheetData sheetId="4168">
        <row r="36">
          <cell r="G36">
            <v>0</v>
          </cell>
        </row>
      </sheetData>
      <sheetData sheetId="4169">
        <row r="36">
          <cell r="G36">
            <v>0</v>
          </cell>
        </row>
      </sheetData>
      <sheetData sheetId="4170"/>
      <sheetData sheetId="4171">
        <row r="36">
          <cell r="G36">
            <v>0</v>
          </cell>
        </row>
      </sheetData>
      <sheetData sheetId="4172"/>
      <sheetData sheetId="4173"/>
      <sheetData sheetId="4174"/>
      <sheetData sheetId="4175"/>
      <sheetData sheetId="4176"/>
      <sheetData sheetId="4177"/>
      <sheetData sheetId="4178"/>
      <sheetData sheetId="4179">
        <row r="36">
          <cell r="G36">
            <v>0</v>
          </cell>
        </row>
      </sheetData>
      <sheetData sheetId="4180"/>
      <sheetData sheetId="4181">
        <row r="36">
          <cell r="G36">
            <v>0</v>
          </cell>
        </row>
      </sheetData>
      <sheetData sheetId="4182">
        <row r="36">
          <cell r="G36">
            <v>0</v>
          </cell>
        </row>
      </sheetData>
      <sheetData sheetId="4183">
        <row r="36">
          <cell r="G36">
            <v>0</v>
          </cell>
        </row>
      </sheetData>
      <sheetData sheetId="4184">
        <row r="36">
          <cell r="G36">
            <v>0</v>
          </cell>
        </row>
      </sheetData>
      <sheetData sheetId="4185">
        <row r="36">
          <cell r="G36">
            <v>0</v>
          </cell>
        </row>
      </sheetData>
      <sheetData sheetId="4186">
        <row r="36">
          <cell r="G36">
            <v>0</v>
          </cell>
        </row>
      </sheetData>
      <sheetData sheetId="4187">
        <row r="36">
          <cell r="G36">
            <v>0</v>
          </cell>
        </row>
      </sheetData>
      <sheetData sheetId="4188"/>
      <sheetData sheetId="4189">
        <row r="36">
          <cell r="G36">
            <v>0</v>
          </cell>
        </row>
      </sheetData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>
        <row r="36">
          <cell r="G36">
            <v>0</v>
          </cell>
        </row>
      </sheetData>
      <sheetData sheetId="4249"/>
      <sheetData sheetId="4250">
        <row r="36">
          <cell r="G36">
            <v>0</v>
          </cell>
        </row>
      </sheetData>
      <sheetData sheetId="4251">
        <row r="36">
          <cell r="G36">
            <v>0</v>
          </cell>
        </row>
      </sheetData>
      <sheetData sheetId="4252">
        <row r="36">
          <cell r="G36">
            <v>0</v>
          </cell>
        </row>
      </sheetData>
      <sheetData sheetId="4253">
        <row r="36">
          <cell r="G36">
            <v>0</v>
          </cell>
        </row>
      </sheetData>
      <sheetData sheetId="4254">
        <row r="36">
          <cell r="G36">
            <v>0</v>
          </cell>
        </row>
      </sheetData>
      <sheetData sheetId="4255">
        <row r="36">
          <cell r="G36">
            <v>0</v>
          </cell>
        </row>
      </sheetData>
      <sheetData sheetId="4256">
        <row r="36">
          <cell r="G36">
            <v>0</v>
          </cell>
        </row>
      </sheetData>
      <sheetData sheetId="4257">
        <row r="36">
          <cell r="G36">
            <v>0</v>
          </cell>
        </row>
      </sheetData>
      <sheetData sheetId="4258">
        <row r="36">
          <cell r="G36">
            <v>0</v>
          </cell>
        </row>
      </sheetData>
      <sheetData sheetId="4259">
        <row r="36">
          <cell r="G36">
            <v>0</v>
          </cell>
        </row>
      </sheetData>
      <sheetData sheetId="4260">
        <row r="36">
          <cell r="G36">
            <v>0</v>
          </cell>
        </row>
      </sheetData>
      <sheetData sheetId="4261">
        <row r="36">
          <cell r="G36">
            <v>0</v>
          </cell>
        </row>
      </sheetData>
      <sheetData sheetId="4262">
        <row r="36">
          <cell r="G36">
            <v>0</v>
          </cell>
        </row>
      </sheetData>
      <sheetData sheetId="4263">
        <row r="36">
          <cell r="G36">
            <v>0</v>
          </cell>
        </row>
      </sheetData>
      <sheetData sheetId="4264">
        <row r="36">
          <cell r="G36">
            <v>0</v>
          </cell>
        </row>
      </sheetData>
      <sheetData sheetId="4265">
        <row r="36">
          <cell r="G36">
            <v>0</v>
          </cell>
        </row>
      </sheetData>
      <sheetData sheetId="4266">
        <row r="36">
          <cell r="G36">
            <v>0</v>
          </cell>
        </row>
      </sheetData>
      <sheetData sheetId="4267">
        <row r="36">
          <cell r="G36">
            <v>0</v>
          </cell>
        </row>
      </sheetData>
      <sheetData sheetId="4268">
        <row r="36">
          <cell r="G36">
            <v>0</v>
          </cell>
        </row>
      </sheetData>
      <sheetData sheetId="4269">
        <row r="36">
          <cell r="G36">
            <v>0</v>
          </cell>
        </row>
      </sheetData>
      <sheetData sheetId="4270">
        <row r="36">
          <cell r="G36">
            <v>0</v>
          </cell>
        </row>
      </sheetData>
      <sheetData sheetId="4271">
        <row r="36">
          <cell r="G36">
            <v>0</v>
          </cell>
        </row>
      </sheetData>
      <sheetData sheetId="4272">
        <row r="36">
          <cell r="G36">
            <v>0</v>
          </cell>
        </row>
      </sheetData>
      <sheetData sheetId="4273">
        <row r="36">
          <cell r="G36">
            <v>0</v>
          </cell>
        </row>
      </sheetData>
      <sheetData sheetId="4274">
        <row r="36">
          <cell r="G36">
            <v>0</v>
          </cell>
        </row>
      </sheetData>
      <sheetData sheetId="4275">
        <row r="36">
          <cell r="G36">
            <v>0</v>
          </cell>
        </row>
      </sheetData>
      <sheetData sheetId="4276">
        <row r="36">
          <cell r="G36">
            <v>0</v>
          </cell>
        </row>
      </sheetData>
      <sheetData sheetId="4277">
        <row r="36">
          <cell r="G36">
            <v>0</v>
          </cell>
        </row>
      </sheetData>
      <sheetData sheetId="4278">
        <row r="36">
          <cell r="G36">
            <v>0</v>
          </cell>
        </row>
      </sheetData>
      <sheetData sheetId="4279">
        <row r="36">
          <cell r="G36">
            <v>0</v>
          </cell>
        </row>
      </sheetData>
      <sheetData sheetId="4280">
        <row r="36">
          <cell r="G36">
            <v>0</v>
          </cell>
        </row>
      </sheetData>
      <sheetData sheetId="4281">
        <row r="36">
          <cell r="G36">
            <v>0</v>
          </cell>
        </row>
      </sheetData>
      <sheetData sheetId="4282">
        <row r="36">
          <cell r="G36">
            <v>0</v>
          </cell>
        </row>
      </sheetData>
      <sheetData sheetId="4283">
        <row r="36">
          <cell r="G36">
            <v>0</v>
          </cell>
        </row>
      </sheetData>
      <sheetData sheetId="4284">
        <row r="36">
          <cell r="G36">
            <v>0</v>
          </cell>
        </row>
      </sheetData>
      <sheetData sheetId="4285">
        <row r="36">
          <cell r="G36">
            <v>0</v>
          </cell>
        </row>
      </sheetData>
      <sheetData sheetId="4286">
        <row r="36">
          <cell r="G36">
            <v>0</v>
          </cell>
        </row>
      </sheetData>
      <sheetData sheetId="4287">
        <row r="36">
          <cell r="G36">
            <v>0</v>
          </cell>
        </row>
      </sheetData>
      <sheetData sheetId="4288">
        <row r="36">
          <cell r="G36">
            <v>0</v>
          </cell>
        </row>
      </sheetData>
      <sheetData sheetId="4289">
        <row r="36">
          <cell r="G36">
            <v>0</v>
          </cell>
        </row>
      </sheetData>
      <sheetData sheetId="4290">
        <row r="36">
          <cell r="G36">
            <v>0</v>
          </cell>
        </row>
      </sheetData>
      <sheetData sheetId="4291">
        <row r="36">
          <cell r="G36">
            <v>0</v>
          </cell>
        </row>
      </sheetData>
      <sheetData sheetId="4292">
        <row r="36">
          <cell r="G36">
            <v>0</v>
          </cell>
        </row>
      </sheetData>
      <sheetData sheetId="4293">
        <row r="36">
          <cell r="G36">
            <v>0</v>
          </cell>
        </row>
      </sheetData>
      <sheetData sheetId="4294">
        <row r="36">
          <cell r="G36">
            <v>0</v>
          </cell>
        </row>
      </sheetData>
      <sheetData sheetId="4295">
        <row r="36">
          <cell r="G36">
            <v>0</v>
          </cell>
        </row>
      </sheetData>
      <sheetData sheetId="4296">
        <row r="36">
          <cell r="G36">
            <v>0</v>
          </cell>
        </row>
      </sheetData>
      <sheetData sheetId="4297">
        <row r="36">
          <cell r="G36">
            <v>0</v>
          </cell>
        </row>
      </sheetData>
      <sheetData sheetId="4298">
        <row r="36">
          <cell r="G36">
            <v>0</v>
          </cell>
        </row>
      </sheetData>
      <sheetData sheetId="4299">
        <row r="36">
          <cell r="G36">
            <v>0</v>
          </cell>
        </row>
      </sheetData>
      <sheetData sheetId="4300">
        <row r="36">
          <cell r="G36">
            <v>0</v>
          </cell>
        </row>
      </sheetData>
      <sheetData sheetId="4301">
        <row r="36">
          <cell r="G36">
            <v>0</v>
          </cell>
        </row>
      </sheetData>
      <sheetData sheetId="4302">
        <row r="36">
          <cell r="G36">
            <v>0</v>
          </cell>
        </row>
      </sheetData>
      <sheetData sheetId="4303">
        <row r="36">
          <cell r="G36">
            <v>0</v>
          </cell>
        </row>
      </sheetData>
      <sheetData sheetId="4304">
        <row r="36">
          <cell r="G36">
            <v>0</v>
          </cell>
        </row>
      </sheetData>
      <sheetData sheetId="4305">
        <row r="36">
          <cell r="G36">
            <v>0</v>
          </cell>
        </row>
      </sheetData>
      <sheetData sheetId="4306">
        <row r="36">
          <cell r="G36">
            <v>0</v>
          </cell>
        </row>
      </sheetData>
      <sheetData sheetId="4307">
        <row r="36">
          <cell r="G36">
            <v>0</v>
          </cell>
        </row>
      </sheetData>
      <sheetData sheetId="4308">
        <row r="36">
          <cell r="G36">
            <v>0</v>
          </cell>
        </row>
      </sheetData>
      <sheetData sheetId="4309">
        <row r="36">
          <cell r="G36">
            <v>0</v>
          </cell>
        </row>
      </sheetData>
      <sheetData sheetId="4310">
        <row r="36">
          <cell r="G36">
            <v>0</v>
          </cell>
        </row>
      </sheetData>
      <sheetData sheetId="4311">
        <row r="36">
          <cell r="G36">
            <v>0</v>
          </cell>
        </row>
      </sheetData>
      <sheetData sheetId="4312">
        <row r="36">
          <cell r="G36">
            <v>0</v>
          </cell>
        </row>
      </sheetData>
      <sheetData sheetId="4313">
        <row r="36">
          <cell r="G36">
            <v>0</v>
          </cell>
        </row>
      </sheetData>
      <sheetData sheetId="4314">
        <row r="36">
          <cell r="G36">
            <v>0</v>
          </cell>
        </row>
      </sheetData>
      <sheetData sheetId="4315">
        <row r="36">
          <cell r="G36">
            <v>0</v>
          </cell>
        </row>
      </sheetData>
      <sheetData sheetId="4316">
        <row r="36">
          <cell r="G36">
            <v>0</v>
          </cell>
        </row>
      </sheetData>
      <sheetData sheetId="4317">
        <row r="36">
          <cell r="G36">
            <v>0</v>
          </cell>
        </row>
      </sheetData>
      <sheetData sheetId="4318">
        <row r="36">
          <cell r="G36">
            <v>0</v>
          </cell>
        </row>
      </sheetData>
      <sheetData sheetId="4319"/>
      <sheetData sheetId="4320">
        <row r="36">
          <cell r="G36">
            <v>0</v>
          </cell>
        </row>
      </sheetData>
      <sheetData sheetId="4321"/>
      <sheetData sheetId="4322">
        <row r="36">
          <cell r="G36">
            <v>0</v>
          </cell>
        </row>
      </sheetData>
      <sheetData sheetId="4323">
        <row r="36">
          <cell r="G36">
            <v>0</v>
          </cell>
        </row>
      </sheetData>
      <sheetData sheetId="4324">
        <row r="36">
          <cell r="G36">
            <v>0</v>
          </cell>
        </row>
      </sheetData>
      <sheetData sheetId="4325">
        <row r="36">
          <cell r="G36">
            <v>0</v>
          </cell>
        </row>
      </sheetData>
      <sheetData sheetId="4326">
        <row r="36">
          <cell r="G36">
            <v>0</v>
          </cell>
        </row>
      </sheetData>
      <sheetData sheetId="4327">
        <row r="36">
          <cell r="G36">
            <v>0</v>
          </cell>
        </row>
      </sheetData>
      <sheetData sheetId="4328">
        <row r="36">
          <cell r="G36">
            <v>0</v>
          </cell>
        </row>
      </sheetData>
      <sheetData sheetId="4329">
        <row r="36">
          <cell r="G36">
            <v>0</v>
          </cell>
        </row>
      </sheetData>
      <sheetData sheetId="4330">
        <row r="36">
          <cell r="G36">
            <v>0</v>
          </cell>
        </row>
      </sheetData>
      <sheetData sheetId="4331">
        <row r="36">
          <cell r="G36">
            <v>0</v>
          </cell>
        </row>
      </sheetData>
      <sheetData sheetId="4332">
        <row r="36">
          <cell r="G36">
            <v>0</v>
          </cell>
        </row>
      </sheetData>
      <sheetData sheetId="4333">
        <row r="36">
          <cell r="G36">
            <v>0</v>
          </cell>
        </row>
      </sheetData>
      <sheetData sheetId="4334">
        <row r="36">
          <cell r="G36">
            <v>0</v>
          </cell>
        </row>
      </sheetData>
      <sheetData sheetId="4335">
        <row r="36">
          <cell r="G36">
            <v>0</v>
          </cell>
        </row>
      </sheetData>
      <sheetData sheetId="4336">
        <row r="36">
          <cell r="G36">
            <v>0</v>
          </cell>
        </row>
      </sheetData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>
        <row r="7">
          <cell r="E7" t="str">
            <v>PT NEWCREST SUMATRA MINERALS</v>
          </cell>
        </row>
      </sheetData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>
        <row r="36">
          <cell r="G36">
            <v>0</v>
          </cell>
        </row>
      </sheetData>
      <sheetData sheetId="4365"/>
      <sheetData sheetId="4366">
        <row r="36">
          <cell r="G36">
            <v>0</v>
          </cell>
        </row>
      </sheetData>
      <sheetData sheetId="4367">
        <row r="36">
          <cell r="G36">
            <v>0</v>
          </cell>
        </row>
      </sheetData>
      <sheetData sheetId="4368">
        <row r="36">
          <cell r="G36">
            <v>0</v>
          </cell>
        </row>
      </sheetData>
      <sheetData sheetId="4369">
        <row r="36">
          <cell r="G36">
            <v>0</v>
          </cell>
        </row>
      </sheetData>
      <sheetData sheetId="4370">
        <row r="36">
          <cell r="G36">
            <v>0</v>
          </cell>
        </row>
      </sheetData>
      <sheetData sheetId="4371">
        <row r="36">
          <cell r="G36">
            <v>0</v>
          </cell>
        </row>
      </sheetData>
      <sheetData sheetId="4372">
        <row r="36">
          <cell r="G36">
            <v>0</v>
          </cell>
        </row>
      </sheetData>
      <sheetData sheetId="4373"/>
      <sheetData sheetId="4374">
        <row r="36">
          <cell r="G36">
            <v>0</v>
          </cell>
        </row>
      </sheetData>
      <sheetData sheetId="4375"/>
      <sheetData sheetId="4376">
        <row r="36">
          <cell r="G36">
            <v>0</v>
          </cell>
        </row>
      </sheetData>
      <sheetData sheetId="4377">
        <row r="36">
          <cell r="G36">
            <v>0</v>
          </cell>
        </row>
      </sheetData>
      <sheetData sheetId="4378">
        <row r="36">
          <cell r="G36">
            <v>0</v>
          </cell>
        </row>
      </sheetData>
      <sheetData sheetId="4379">
        <row r="36">
          <cell r="G36">
            <v>0</v>
          </cell>
        </row>
      </sheetData>
      <sheetData sheetId="4380">
        <row r="36">
          <cell r="G36">
            <v>0</v>
          </cell>
        </row>
      </sheetData>
      <sheetData sheetId="4381">
        <row r="36">
          <cell r="G36">
            <v>0</v>
          </cell>
        </row>
      </sheetData>
      <sheetData sheetId="4382">
        <row r="36">
          <cell r="G36">
            <v>0</v>
          </cell>
        </row>
      </sheetData>
      <sheetData sheetId="4383">
        <row r="36">
          <cell r="G36">
            <v>0</v>
          </cell>
        </row>
      </sheetData>
      <sheetData sheetId="4384">
        <row r="36">
          <cell r="G36">
            <v>0</v>
          </cell>
        </row>
      </sheetData>
      <sheetData sheetId="4385">
        <row r="36">
          <cell r="G36">
            <v>0</v>
          </cell>
        </row>
      </sheetData>
      <sheetData sheetId="4386">
        <row r="36">
          <cell r="G36">
            <v>0</v>
          </cell>
        </row>
      </sheetData>
      <sheetData sheetId="4387">
        <row r="36">
          <cell r="G36">
            <v>0</v>
          </cell>
        </row>
      </sheetData>
      <sheetData sheetId="4388">
        <row r="36">
          <cell r="G36">
            <v>0</v>
          </cell>
        </row>
      </sheetData>
      <sheetData sheetId="4389">
        <row r="36">
          <cell r="G36">
            <v>0</v>
          </cell>
        </row>
      </sheetData>
      <sheetData sheetId="4390">
        <row r="36">
          <cell r="G36">
            <v>0</v>
          </cell>
        </row>
      </sheetData>
      <sheetData sheetId="4391">
        <row r="36">
          <cell r="G36">
            <v>0</v>
          </cell>
        </row>
      </sheetData>
      <sheetData sheetId="4392">
        <row r="36">
          <cell r="G36">
            <v>0</v>
          </cell>
        </row>
      </sheetData>
      <sheetData sheetId="4393">
        <row r="36">
          <cell r="G36">
            <v>0</v>
          </cell>
        </row>
      </sheetData>
      <sheetData sheetId="4394">
        <row r="36">
          <cell r="G36">
            <v>0</v>
          </cell>
        </row>
      </sheetData>
      <sheetData sheetId="4395">
        <row r="36">
          <cell r="G36">
            <v>0</v>
          </cell>
        </row>
      </sheetData>
      <sheetData sheetId="4396">
        <row r="36">
          <cell r="G36">
            <v>0</v>
          </cell>
        </row>
      </sheetData>
      <sheetData sheetId="4397">
        <row r="36">
          <cell r="G36">
            <v>0</v>
          </cell>
        </row>
      </sheetData>
      <sheetData sheetId="4398">
        <row r="36">
          <cell r="G36">
            <v>0</v>
          </cell>
        </row>
      </sheetData>
      <sheetData sheetId="4399">
        <row r="36">
          <cell r="G36">
            <v>0</v>
          </cell>
        </row>
      </sheetData>
      <sheetData sheetId="4400">
        <row r="36">
          <cell r="G36">
            <v>0</v>
          </cell>
        </row>
      </sheetData>
      <sheetData sheetId="4401">
        <row r="36">
          <cell r="G36">
            <v>0</v>
          </cell>
        </row>
      </sheetData>
      <sheetData sheetId="4402">
        <row r="36">
          <cell r="G36">
            <v>0</v>
          </cell>
        </row>
      </sheetData>
      <sheetData sheetId="4403">
        <row r="36">
          <cell r="G36">
            <v>0</v>
          </cell>
        </row>
      </sheetData>
      <sheetData sheetId="4404">
        <row r="36">
          <cell r="G36">
            <v>0</v>
          </cell>
        </row>
      </sheetData>
      <sheetData sheetId="4405">
        <row r="36">
          <cell r="G36">
            <v>0</v>
          </cell>
        </row>
      </sheetData>
      <sheetData sheetId="4406">
        <row r="36">
          <cell r="G36">
            <v>0</v>
          </cell>
        </row>
      </sheetData>
      <sheetData sheetId="4407">
        <row r="36">
          <cell r="G36">
            <v>0</v>
          </cell>
        </row>
      </sheetData>
      <sheetData sheetId="4408">
        <row r="36">
          <cell r="G36">
            <v>0</v>
          </cell>
        </row>
      </sheetData>
      <sheetData sheetId="4409">
        <row r="36">
          <cell r="G36">
            <v>0</v>
          </cell>
        </row>
      </sheetData>
      <sheetData sheetId="4410">
        <row r="36">
          <cell r="G36">
            <v>0</v>
          </cell>
        </row>
      </sheetData>
      <sheetData sheetId="4411">
        <row r="36">
          <cell r="G36">
            <v>0</v>
          </cell>
        </row>
      </sheetData>
      <sheetData sheetId="4412">
        <row r="36">
          <cell r="G36">
            <v>0</v>
          </cell>
        </row>
      </sheetData>
      <sheetData sheetId="4413">
        <row r="36">
          <cell r="G36">
            <v>0</v>
          </cell>
        </row>
      </sheetData>
      <sheetData sheetId="4414">
        <row r="36">
          <cell r="G36">
            <v>0</v>
          </cell>
        </row>
      </sheetData>
      <sheetData sheetId="4415">
        <row r="36">
          <cell r="G36">
            <v>0</v>
          </cell>
        </row>
      </sheetData>
      <sheetData sheetId="4416">
        <row r="36">
          <cell r="G36">
            <v>0</v>
          </cell>
        </row>
      </sheetData>
      <sheetData sheetId="4417">
        <row r="36">
          <cell r="G36">
            <v>0</v>
          </cell>
        </row>
      </sheetData>
      <sheetData sheetId="4418">
        <row r="36">
          <cell r="G36">
            <v>0</v>
          </cell>
        </row>
      </sheetData>
      <sheetData sheetId="4419">
        <row r="36">
          <cell r="G36">
            <v>0</v>
          </cell>
        </row>
      </sheetData>
      <sheetData sheetId="4420">
        <row r="36">
          <cell r="G36">
            <v>0</v>
          </cell>
        </row>
      </sheetData>
      <sheetData sheetId="4421">
        <row r="36">
          <cell r="G36">
            <v>0</v>
          </cell>
        </row>
      </sheetData>
      <sheetData sheetId="4422">
        <row r="36">
          <cell r="G36">
            <v>0</v>
          </cell>
        </row>
      </sheetData>
      <sheetData sheetId="4423">
        <row r="36">
          <cell r="G36">
            <v>0</v>
          </cell>
        </row>
      </sheetData>
      <sheetData sheetId="4424">
        <row r="36">
          <cell r="G36">
            <v>0</v>
          </cell>
        </row>
      </sheetData>
      <sheetData sheetId="4425">
        <row r="36">
          <cell r="G36">
            <v>0</v>
          </cell>
        </row>
      </sheetData>
      <sheetData sheetId="4426">
        <row r="36">
          <cell r="G36">
            <v>0</v>
          </cell>
        </row>
      </sheetData>
      <sheetData sheetId="4427">
        <row r="36">
          <cell r="G36">
            <v>0</v>
          </cell>
        </row>
      </sheetData>
      <sheetData sheetId="4428">
        <row r="36">
          <cell r="G36">
            <v>0</v>
          </cell>
        </row>
      </sheetData>
      <sheetData sheetId="4429">
        <row r="36">
          <cell r="G36">
            <v>0</v>
          </cell>
        </row>
      </sheetData>
      <sheetData sheetId="4430">
        <row r="36">
          <cell r="G36">
            <v>0</v>
          </cell>
        </row>
      </sheetData>
      <sheetData sheetId="4431">
        <row r="36">
          <cell r="G36">
            <v>0</v>
          </cell>
        </row>
      </sheetData>
      <sheetData sheetId="4432">
        <row r="36">
          <cell r="G36">
            <v>0</v>
          </cell>
        </row>
      </sheetData>
      <sheetData sheetId="4433">
        <row r="36">
          <cell r="G36">
            <v>0</v>
          </cell>
        </row>
      </sheetData>
      <sheetData sheetId="4434">
        <row r="36">
          <cell r="G36">
            <v>0</v>
          </cell>
        </row>
      </sheetData>
      <sheetData sheetId="4435">
        <row r="36">
          <cell r="G36">
            <v>0</v>
          </cell>
        </row>
      </sheetData>
      <sheetData sheetId="4436">
        <row r="36">
          <cell r="G36">
            <v>0</v>
          </cell>
        </row>
      </sheetData>
      <sheetData sheetId="4437">
        <row r="36">
          <cell r="G36">
            <v>0</v>
          </cell>
        </row>
      </sheetData>
      <sheetData sheetId="4438">
        <row r="36">
          <cell r="G36">
            <v>0</v>
          </cell>
        </row>
      </sheetData>
      <sheetData sheetId="4439">
        <row r="36">
          <cell r="G36">
            <v>0</v>
          </cell>
        </row>
      </sheetData>
      <sheetData sheetId="4440">
        <row r="36">
          <cell r="G36">
            <v>0</v>
          </cell>
        </row>
      </sheetData>
      <sheetData sheetId="4441">
        <row r="36">
          <cell r="G36">
            <v>0</v>
          </cell>
        </row>
      </sheetData>
      <sheetData sheetId="4442">
        <row r="36">
          <cell r="G36">
            <v>0</v>
          </cell>
        </row>
      </sheetData>
      <sheetData sheetId="4443">
        <row r="36">
          <cell r="G36">
            <v>0</v>
          </cell>
        </row>
      </sheetData>
      <sheetData sheetId="4444">
        <row r="36">
          <cell r="G36">
            <v>0</v>
          </cell>
        </row>
      </sheetData>
      <sheetData sheetId="4445">
        <row r="36">
          <cell r="G36">
            <v>0</v>
          </cell>
        </row>
      </sheetData>
      <sheetData sheetId="4446">
        <row r="36">
          <cell r="G36">
            <v>0</v>
          </cell>
        </row>
      </sheetData>
      <sheetData sheetId="4447">
        <row r="36">
          <cell r="G36">
            <v>0</v>
          </cell>
        </row>
      </sheetData>
      <sheetData sheetId="4448">
        <row r="36">
          <cell r="G36">
            <v>0</v>
          </cell>
        </row>
      </sheetData>
      <sheetData sheetId="4449">
        <row r="36">
          <cell r="G36">
            <v>0</v>
          </cell>
        </row>
      </sheetData>
      <sheetData sheetId="4450">
        <row r="36">
          <cell r="G36">
            <v>0</v>
          </cell>
        </row>
      </sheetData>
      <sheetData sheetId="4451">
        <row r="36">
          <cell r="G36">
            <v>0</v>
          </cell>
        </row>
      </sheetData>
      <sheetData sheetId="4452">
        <row r="36">
          <cell r="G36">
            <v>0</v>
          </cell>
        </row>
      </sheetData>
      <sheetData sheetId="4453">
        <row r="36">
          <cell r="G36">
            <v>0</v>
          </cell>
        </row>
      </sheetData>
      <sheetData sheetId="4454">
        <row r="36">
          <cell r="G36">
            <v>0</v>
          </cell>
        </row>
      </sheetData>
      <sheetData sheetId="4455">
        <row r="36">
          <cell r="G36">
            <v>0</v>
          </cell>
        </row>
      </sheetData>
      <sheetData sheetId="4456">
        <row r="36">
          <cell r="G36">
            <v>0</v>
          </cell>
        </row>
      </sheetData>
      <sheetData sheetId="4457">
        <row r="36">
          <cell r="G36">
            <v>0</v>
          </cell>
        </row>
      </sheetData>
      <sheetData sheetId="4458">
        <row r="36">
          <cell r="G36">
            <v>0</v>
          </cell>
        </row>
      </sheetData>
      <sheetData sheetId="4459">
        <row r="36">
          <cell r="G36">
            <v>0</v>
          </cell>
        </row>
      </sheetData>
      <sheetData sheetId="4460">
        <row r="36">
          <cell r="G36">
            <v>0</v>
          </cell>
        </row>
      </sheetData>
      <sheetData sheetId="4461">
        <row r="36">
          <cell r="G36">
            <v>0</v>
          </cell>
        </row>
      </sheetData>
      <sheetData sheetId="4462">
        <row r="36">
          <cell r="G36">
            <v>0</v>
          </cell>
        </row>
      </sheetData>
      <sheetData sheetId="4463">
        <row r="36">
          <cell r="G36">
            <v>0</v>
          </cell>
        </row>
      </sheetData>
      <sheetData sheetId="4464">
        <row r="36">
          <cell r="G36">
            <v>0</v>
          </cell>
        </row>
      </sheetData>
      <sheetData sheetId="4465">
        <row r="36">
          <cell r="G36">
            <v>0</v>
          </cell>
        </row>
      </sheetData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>
        <row r="7">
          <cell r="E7" t="str">
            <v>PT NEWCREST SUMATRA MINERALS</v>
          </cell>
        </row>
      </sheetData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>
        <row r="36">
          <cell r="G36">
            <v>0</v>
          </cell>
        </row>
      </sheetData>
      <sheetData sheetId="4512">
        <row r="36">
          <cell r="G36">
            <v>0</v>
          </cell>
        </row>
      </sheetData>
      <sheetData sheetId="4513">
        <row r="36">
          <cell r="G36">
            <v>0</v>
          </cell>
        </row>
      </sheetData>
      <sheetData sheetId="4514">
        <row r="36">
          <cell r="G36">
            <v>0</v>
          </cell>
        </row>
      </sheetData>
      <sheetData sheetId="4515">
        <row r="36">
          <cell r="G36">
            <v>0</v>
          </cell>
        </row>
      </sheetData>
      <sheetData sheetId="4516">
        <row r="36">
          <cell r="G36">
            <v>0</v>
          </cell>
        </row>
      </sheetData>
      <sheetData sheetId="4517">
        <row r="36">
          <cell r="G36">
            <v>0</v>
          </cell>
        </row>
      </sheetData>
      <sheetData sheetId="4518">
        <row r="36">
          <cell r="G36">
            <v>0</v>
          </cell>
        </row>
      </sheetData>
      <sheetData sheetId="4519">
        <row r="36">
          <cell r="G36">
            <v>0</v>
          </cell>
        </row>
      </sheetData>
      <sheetData sheetId="4520">
        <row r="36">
          <cell r="G36">
            <v>0</v>
          </cell>
        </row>
      </sheetData>
      <sheetData sheetId="4521">
        <row r="36">
          <cell r="G36">
            <v>0</v>
          </cell>
        </row>
      </sheetData>
      <sheetData sheetId="4522"/>
      <sheetData sheetId="4523"/>
      <sheetData sheetId="4524">
        <row r="36">
          <cell r="G36">
            <v>0</v>
          </cell>
        </row>
      </sheetData>
      <sheetData sheetId="4525">
        <row r="36">
          <cell r="G36">
            <v>0</v>
          </cell>
        </row>
      </sheetData>
      <sheetData sheetId="4526">
        <row r="36">
          <cell r="G36">
            <v>0</v>
          </cell>
        </row>
      </sheetData>
      <sheetData sheetId="4527">
        <row r="7">
          <cell r="E7" t="str">
            <v>PT NEWCREST SUMATRA MINERALS</v>
          </cell>
        </row>
      </sheetData>
      <sheetData sheetId="4528">
        <row r="36">
          <cell r="G36">
            <v>0</v>
          </cell>
        </row>
      </sheetData>
      <sheetData sheetId="4529">
        <row r="36">
          <cell r="G36">
            <v>0</v>
          </cell>
        </row>
      </sheetData>
      <sheetData sheetId="4530">
        <row r="36">
          <cell r="G36">
            <v>0</v>
          </cell>
        </row>
      </sheetData>
      <sheetData sheetId="4531">
        <row r="36">
          <cell r="G36">
            <v>0</v>
          </cell>
        </row>
      </sheetData>
      <sheetData sheetId="4532">
        <row r="36">
          <cell r="G36">
            <v>0</v>
          </cell>
        </row>
      </sheetData>
      <sheetData sheetId="4533">
        <row r="7">
          <cell r="E7" t="str">
            <v>PT NEWCREST SUMATRA MINERALS</v>
          </cell>
        </row>
      </sheetData>
      <sheetData sheetId="4534">
        <row r="36">
          <cell r="G36">
            <v>0</v>
          </cell>
        </row>
      </sheetData>
      <sheetData sheetId="4535">
        <row r="36">
          <cell r="G36">
            <v>0</v>
          </cell>
        </row>
      </sheetData>
      <sheetData sheetId="4536">
        <row r="36">
          <cell r="G36">
            <v>0</v>
          </cell>
        </row>
      </sheetData>
      <sheetData sheetId="4537">
        <row r="36">
          <cell r="G36">
            <v>0</v>
          </cell>
        </row>
      </sheetData>
      <sheetData sheetId="4538">
        <row r="36">
          <cell r="G36">
            <v>0</v>
          </cell>
        </row>
      </sheetData>
      <sheetData sheetId="4539">
        <row r="36">
          <cell r="G36">
            <v>0</v>
          </cell>
        </row>
      </sheetData>
      <sheetData sheetId="4540">
        <row r="36">
          <cell r="G36">
            <v>0</v>
          </cell>
        </row>
      </sheetData>
      <sheetData sheetId="4541">
        <row r="36">
          <cell r="G36">
            <v>0</v>
          </cell>
        </row>
      </sheetData>
      <sheetData sheetId="4542">
        <row r="36">
          <cell r="G36">
            <v>0</v>
          </cell>
        </row>
      </sheetData>
      <sheetData sheetId="4543">
        <row r="36">
          <cell r="G36">
            <v>0</v>
          </cell>
        </row>
      </sheetData>
      <sheetData sheetId="4544">
        <row r="36">
          <cell r="G36">
            <v>0</v>
          </cell>
        </row>
      </sheetData>
      <sheetData sheetId="4545">
        <row r="36">
          <cell r="G36">
            <v>0</v>
          </cell>
        </row>
      </sheetData>
      <sheetData sheetId="4546">
        <row r="36">
          <cell r="G36">
            <v>0</v>
          </cell>
        </row>
      </sheetData>
      <sheetData sheetId="4547">
        <row r="36">
          <cell r="G36">
            <v>0</v>
          </cell>
        </row>
      </sheetData>
      <sheetData sheetId="4548">
        <row r="36">
          <cell r="G36">
            <v>0</v>
          </cell>
        </row>
      </sheetData>
      <sheetData sheetId="4549">
        <row r="36">
          <cell r="G36">
            <v>0</v>
          </cell>
        </row>
      </sheetData>
      <sheetData sheetId="4550">
        <row r="36">
          <cell r="G36">
            <v>0</v>
          </cell>
        </row>
      </sheetData>
      <sheetData sheetId="4551">
        <row r="7">
          <cell r="E7" t="str">
            <v>PT NEWCREST SUMATRA MINERALS</v>
          </cell>
        </row>
      </sheetData>
      <sheetData sheetId="4552">
        <row r="36">
          <cell r="G36">
            <v>0</v>
          </cell>
        </row>
      </sheetData>
      <sheetData sheetId="4553">
        <row r="36">
          <cell r="G36">
            <v>0</v>
          </cell>
        </row>
      </sheetData>
      <sheetData sheetId="4554">
        <row r="36">
          <cell r="G36">
            <v>0</v>
          </cell>
        </row>
      </sheetData>
      <sheetData sheetId="4555">
        <row r="36">
          <cell r="G36">
            <v>0</v>
          </cell>
        </row>
      </sheetData>
      <sheetData sheetId="4556">
        <row r="36">
          <cell r="G36">
            <v>0</v>
          </cell>
        </row>
      </sheetData>
      <sheetData sheetId="4557">
        <row r="36">
          <cell r="G36">
            <v>0</v>
          </cell>
        </row>
      </sheetData>
      <sheetData sheetId="4558">
        <row r="36">
          <cell r="G36">
            <v>0</v>
          </cell>
        </row>
      </sheetData>
      <sheetData sheetId="4559">
        <row r="36">
          <cell r="G36">
            <v>0</v>
          </cell>
        </row>
      </sheetData>
      <sheetData sheetId="4560">
        <row r="36">
          <cell r="G36">
            <v>0</v>
          </cell>
        </row>
      </sheetData>
      <sheetData sheetId="4561">
        <row r="36">
          <cell r="G36">
            <v>0</v>
          </cell>
        </row>
      </sheetData>
      <sheetData sheetId="4562">
        <row r="36">
          <cell r="G36">
            <v>0</v>
          </cell>
        </row>
      </sheetData>
      <sheetData sheetId="4563">
        <row r="36">
          <cell r="G36">
            <v>0</v>
          </cell>
        </row>
      </sheetData>
      <sheetData sheetId="4564">
        <row r="36">
          <cell r="G36">
            <v>0</v>
          </cell>
        </row>
      </sheetData>
      <sheetData sheetId="4565">
        <row r="36">
          <cell r="G36">
            <v>0</v>
          </cell>
        </row>
      </sheetData>
      <sheetData sheetId="4566">
        <row r="36">
          <cell r="G36">
            <v>0</v>
          </cell>
        </row>
      </sheetData>
      <sheetData sheetId="4567">
        <row r="36">
          <cell r="G36">
            <v>0</v>
          </cell>
        </row>
      </sheetData>
      <sheetData sheetId="4568">
        <row r="36">
          <cell r="G36">
            <v>0</v>
          </cell>
        </row>
      </sheetData>
      <sheetData sheetId="4569">
        <row r="36">
          <cell r="G36">
            <v>0</v>
          </cell>
        </row>
      </sheetData>
      <sheetData sheetId="4570">
        <row r="36">
          <cell r="G36">
            <v>0</v>
          </cell>
        </row>
      </sheetData>
      <sheetData sheetId="4571">
        <row r="36">
          <cell r="G36">
            <v>0</v>
          </cell>
        </row>
      </sheetData>
      <sheetData sheetId="4572">
        <row r="36">
          <cell r="G36">
            <v>0</v>
          </cell>
        </row>
      </sheetData>
      <sheetData sheetId="4573">
        <row r="36">
          <cell r="G36">
            <v>0</v>
          </cell>
        </row>
      </sheetData>
      <sheetData sheetId="4574">
        <row r="36">
          <cell r="G36">
            <v>0</v>
          </cell>
        </row>
      </sheetData>
      <sheetData sheetId="4575">
        <row r="36">
          <cell r="G36">
            <v>0</v>
          </cell>
        </row>
      </sheetData>
      <sheetData sheetId="4576">
        <row r="36">
          <cell r="G36">
            <v>0</v>
          </cell>
        </row>
      </sheetData>
      <sheetData sheetId="4577">
        <row r="36">
          <cell r="G36">
            <v>0</v>
          </cell>
        </row>
      </sheetData>
      <sheetData sheetId="4578">
        <row r="36">
          <cell r="G36">
            <v>0</v>
          </cell>
        </row>
      </sheetData>
      <sheetData sheetId="4579">
        <row r="36">
          <cell r="G36">
            <v>0</v>
          </cell>
        </row>
      </sheetData>
      <sheetData sheetId="4580">
        <row r="36">
          <cell r="G36">
            <v>0</v>
          </cell>
        </row>
      </sheetData>
      <sheetData sheetId="4581">
        <row r="36">
          <cell r="G36">
            <v>0</v>
          </cell>
        </row>
      </sheetData>
      <sheetData sheetId="4582">
        <row r="36">
          <cell r="G36">
            <v>0</v>
          </cell>
        </row>
      </sheetData>
      <sheetData sheetId="4583">
        <row r="36">
          <cell r="G36">
            <v>0</v>
          </cell>
        </row>
      </sheetData>
      <sheetData sheetId="4584">
        <row r="36">
          <cell r="G36">
            <v>0</v>
          </cell>
        </row>
      </sheetData>
      <sheetData sheetId="4585">
        <row r="36">
          <cell r="G36">
            <v>0</v>
          </cell>
        </row>
      </sheetData>
      <sheetData sheetId="4586">
        <row r="36">
          <cell r="G36">
            <v>0</v>
          </cell>
        </row>
      </sheetData>
      <sheetData sheetId="4587">
        <row r="36">
          <cell r="G36">
            <v>0</v>
          </cell>
        </row>
      </sheetData>
      <sheetData sheetId="4588">
        <row r="36">
          <cell r="G36">
            <v>0</v>
          </cell>
        </row>
      </sheetData>
      <sheetData sheetId="4589">
        <row r="36">
          <cell r="G36">
            <v>0</v>
          </cell>
        </row>
      </sheetData>
      <sheetData sheetId="4590">
        <row r="36">
          <cell r="G36">
            <v>0</v>
          </cell>
        </row>
      </sheetData>
      <sheetData sheetId="4591">
        <row r="36">
          <cell r="G36">
            <v>0</v>
          </cell>
        </row>
      </sheetData>
      <sheetData sheetId="4592">
        <row r="36">
          <cell r="G36">
            <v>0</v>
          </cell>
        </row>
      </sheetData>
      <sheetData sheetId="4593">
        <row r="36">
          <cell r="G36">
            <v>0</v>
          </cell>
        </row>
      </sheetData>
      <sheetData sheetId="4594">
        <row r="36">
          <cell r="G36">
            <v>0</v>
          </cell>
        </row>
      </sheetData>
      <sheetData sheetId="4595">
        <row r="36">
          <cell r="G36">
            <v>0</v>
          </cell>
        </row>
      </sheetData>
      <sheetData sheetId="4596">
        <row r="36">
          <cell r="G36">
            <v>0</v>
          </cell>
        </row>
      </sheetData>
      <sheetData sheetId="4597">
        <row r="36">
          <cell r="G36">
            <v>0</v>
          </cell>
        </row>
      </sheetData>
      <sheetData sheetId="4598">
        <row r="36">
          <cell r="G36">
            <v>0</v>
          </cell>
        </row>
      </sheetData>
      <sheetData sheetId="4599">
        <row r="36">
          <cell r="G36">
            <v>0</v>
          </cell>
        </row>
      </sheetData>
      <sheetData sheetId="4600">
        <row r="36">
          <cell r="G36">
            <v>0</v>
          </cell>
        </row>
      </sheetData>
      <sheetData sheetId="4601">
        <row r="36">
          <cell r="G36">
            <v>0</v>
          </cell>
        </row>
      </sheetData>
      <sheetData sheetId="4602">
        <row r="36">
          <cell r="G36">
            <v>0</v>
          </cell>
        </row>
      </sheetData>
      <sheetData sheetId="4603">
        <row r="36">
          <cell r="G36">
            <v>0</v>
          </cell>
        </row>
      </sheetData>
      <sheetData sheetId="4604">
        <row r="36">
          <cell r="G36">
            <v>0</v>
          </cell>
        </row>
      </sheetData>
      <sheetData sheetId="4605">
        <row r="36">
          <cell r="G36">
            <v>0</v>
          </cell>
        </row>
      </sheetData>
      <sheetData sheetId="4606">
        <row r="36">
          <cell r="G36">
            <v>0</v>
          </cell>
        </row>
      </sheetData>
      <sheetData sheetId="4607">
        <row r="36">
          <cell r="G36">
            <v>0</v>
          </cell>
        </row>
      </sheetData>
      <sheetData sheetId="4608">
        <row r="36">
          <cell r="G36">
            <v>0</v>
          </cell>
        </row>
      </sheetData>
      <sheetData sheetId="4609">
        <row r="36">
          <cell r="G36">
            <v>0</v>
          </cell>
        </row>
      </sheetData>
      <sheetData sheetId="4610">
        <row r="36">
          <cell r="G36">
            <v>0</v>
          </cell>
        </row>
      </sheetData>
      <sheetData sheetId="4611">
        <row r="36">
          <cell r="G36">
            <v>0</v>
          </cell>
        </row>
      </sheetData>
      <sheetData sheetId="4612">
        <row r="36">
          <cell r="G36">
            <v>0</v>
          </cell>
        </row>
      </sheetData>
      <sheetData sheetId="4613">
        <row r="36">
          <cell r="G36">
            <v>0</v>
          </cell>
        </row>
      </sheetData>
      <sheetData sheetId="4614"/>
      <sheetData sheetId="4615"/>
      <sheetData sheetId="4616"/>
      <sheetData sheetId="4617"/>
      <sheetData sheetId="4618"/>
      <sheetData sheetId="4619"/>
      <sheetData sheetId="4620">
        <row r="7">
          <cell r="E7" t="str">
            <v>PT NEWCREST SUMATRA MINERALS</v>
          </cell>
        </row>
      </sheetData>
      <sheetData sheetId="4621"/>
      <sheetData sheetId="4622"/>
      <sheetData sheetId="4623"/>
      <sheetData sheetId="4624"/>
      <sheetData sheetId="4625">
        <row r="7">
          <cell r="E7" t="str">
            <v>PT NEWCREST SUMATRA MINERALS</v>
          </cell>
        </row>
      </sheetData>
      <sheetData sheetId="4626"/>
      <sheetData sheetId="4627"/>
      <sheetData sheetId="4628"/>
      <sheetData sheetId="4629"/>
      <sheetData sheetId="4630"/>
      <sheetData sheetId="4631">
        <row r="7">
          <cell r="E7" t="str">
            <v>PT NEWCREST SUMATRA MINERALS</v>
          </cell>
        </row>
      </sheetData>
      <sheetData sheetId="4632"/>
      <sheetData sheetId="4633"/>
      <sheetData sheetId="4634"/>
      <sheetData sheetId="4635"/>
      <sheetData sheetId="4636"/>
      <sheetData sheetId="4637">
        <row r="7">
          <cell r="E7" t="str">
            <v>PT NEWCREST SUMATRA MINERALS</v>
          </cell>
        </row>
      </sheetData>
      <sheetData sheetId="4638">
        <row r="7">
          <cell r="E7" t="str">
            <v>PT NEWCREST SUMATRA MINERALS</v>
          </cell>
        </row>
      </sheetData>
      <sheetData sheetId="4639"/>
      <sheetData sheetId="4640"/>
      <sheetData sheetId="4641"/>
      <sheetData sheetId="4642"/>
      <sheetData sheetId="4643">
        <row r="7">
          <cell r="E7" t="str">
            <v>PT NEWCREST SUMATRA MINERALS</v>
          </cell>
        </row>
      </sheetData>
      <sheetData sheetId="4644">
        <row r="7">
          <cell r="E7" t="str">
            <v>PT NEWCREST SUMATRA MINERALS</v>
          </cell>
        </row>
      </sheetData>
      <sheetData sheetId="4645"/>
      <sheetData sheetId="4646"/>
      <sheetData sheetId="4647"/>
      <sheetData sheetId="4648"/>
      <sheetData sheetId="4649"/>
      <sheetData sheetId="4650">
        <row r="7">
          <cell r="E7" t="str">
            <v>PT NEWCREST SUMATRA MINERALS</v>
          </cell>
        </row>
      </sheetData>
      <sheetData sheetId="4651">
        <row r="7">
          <cell r="E7" t="str">
            <v>PT NEWCREST SUMATRA MINERALS</v>
          </cell>
        </row>
      </sheetData>
      <sheetData sheetId="4652"/>
      <sheetData sheetId="4653"/>
      <sheetData sheetId="4654"/>
      <sheetData sheetId="4655"/>
      <sheetData sheetId="4656"/>
      <sheetData sheetId="4657"/>
      <sheetData sheetId="4658"/>
      <sheetData sheetId="4659">
        <row r="36">
          <cell r="G36">
            <v>0</v>
          </cell>
        </row>
      </sheetData>
      <sheetData sheetId="4660">
        <row r="36">
          <cell r="G36">
            <v>0</v>
          </cell>
        </row>
      </sheetData>
      <sheetData sheetId="4661">
        <row r="7">
          <cell r="E7" t="str">
            <v>PT NEWCREST SUMATRA MINERALS</v>
          </cell>
        </row>
      </sheetData>
      <sheetData sheetId="4662">
        <row r="7">
          <cell r="E7" t="str">
            <v>PT NEWCREST SUMATRA MINERALS</v>
          </cell>
        </row>
      </sheetData>
      <sheetData sheetId="4663">
        <row r="7">
          <cell r="E7" t="str">
            <v>PT NEWCREST SUMATRA MINERALS</v>
          </cell>
        </row>
      </sheetData>
      <sheetData sheetId="4664">
        <row r="36">
          <cell r="G36">
            <v>0</v>
          </cell>
        </row>
      </sheetData>
      <sheetData sheetId="4665">
        <row r="36">
          <cell r="G36">
            <v>0</v>
          </cell>
        </row>
      </sheetData>
      <sheetData sheetId="4666">
        <row r="36">
          <cell r="G36">
            <v>0</v>
          </cell>
        </row>
      </sheetData>
      <sheetData sheetId="4667">
        <row r="36">
          <cell r="G36">
            <v>0</v>
          </cell>
        </row>
      </sheetData>
      <sheetData sheetId="4668">
        <row r="7">
          <cell r="E7" t="str">
            <v>PT NEWCREST SUMATRA MINERALS</v>
          </cell>
        </row>
      </sheetData>
      <sheetData sheetId="4669">
        <row r="36">
          <cell r="G36">
            <v>0</v>
          </cell>
        </row>
      </sheetData>
      <sheetData sheetId="4670"/>
      <sheetData sheetId="4671"/>
      <sheetData sheetId="4672">
        <row r="36">
          <cell r="G36">
            <v>0</v>
          </cell>
        </row>
      </sheetData>
      <sheetData sheetId="4673">
        <row r="36">
          <cell r="G36">
            <v>0</v>
          </cell>
        </row>
      </sheetData>
      <sheetData sheetId="4674">
        <row r="36">
          <cell r="G36">
            <v>0</v>
          </cell>
        </row>
      </sheetData>
      <sheetData sheetId="4675">
        <row r="7">
          <cell r="E7" t="str">
            <v>PT NEWCREST SUMATRA MINERALS</v>
          </cell>
        </row>
      </sheetData>
      <sheetData sheetId="4676">
        <row r="36">
          <cell r="G36">
            <v>0</v>
          </cell>
        </row>
      </sheetData>
      <sheetData sheetId="4677">
        <row r="36">
          <cell r="G36">
            <v>0</v>
          </cell>
        </row>
      </sheetData>
      <sheetData sheetId="4678">
        <row r="36">
          <cell r="G36">
            <v>0</v>
          </cell>
        </row>
      </sheetData>
      <sheetData sheetId="4679">
        <row r="36">
          <cell r="G36">
            <v>0</v>
          </cell>
        </row>
      </sheetData>
      <sheetData sheetId="4680">
        <row r="36">
          <cell r="G36">
            <v>0</v>
          </cell>
        </row>
      </sheetData>
      <sheetData sheetId="4681">
        <row r="7">
          <cell r="E7" t="str">
            <v>PT NEWCREST SUMATRA MINERALS</v>
          </cell>
        </row>
      </sheetData>
      <sheetData sheetId="4682">
        <row r="36">
          <cell r="G36">
            <v>0</v>
          </cell>
        </row>
      </sheetData>
      <sheetData sheetId="4683">
        <row r="36">
          <cell r="G36">
            <v>0</v>
          </cell>
        </row>
      </sheetData>
      <sheetData sheetId="4684">
        <row r="36">
          <cell r="G36">
            <v>0</v>
          </cell>
        </row>
      </sheetData>
      <sheetData sheetId="4685">
        <row r="36">
          <cell r="G36">
            <v>0</v>
          </cell>
        </row>
      </sheetData>
      <sheetData sheetId="4686">
        <row r="36">
          <cell r="G36">
            <v>0</v>
          </cell>
        </row>
      </sheetData>
      <sheetData sheetId="4687">
        <row r="36">
          <cell r="G36">
            <v>0</v>
          </cell>
        </row>
      </sheetData>
      <sheetData sheetId="4688">
        <row r="36">
          <cell r="G36">
            <v>0</v>
          </cell>
        </row>
      </sheetData>
      <sheetData sheetId="4689">
        <row r="36">
          <cell r="G36">
            <v>0</v>
          </cell>
        </row>
      </sheetData>
      <sheetData sheetId="4690">
        <row r="36">
          <cell r="G36">
            <v>0</v>
          </cell>
        </row>
      </sheetData>
      <sheetData sheetId="4691">
        <row r="36">
          <cell r="G36">
            <v>0</v>
          </cell>
        </row>
      </sheetData>
      <sheetData sheetId="4692">
        <row r="7">
          <cell r="E7" t="str">
            <v>PT NEWCREST SUMATRA MINERALS</v>
          </cell>
        </row>
      </sheetData>
      <sheetData sheetId="4693">
        <row r="7">
          <cell r="E7" t="str">
            <v>PT NEWCREST SUMATRA MINERALS</v>
          </cell>
        </row>
      </sheetData>
      <sheetData sheetId="4694">
        <row r="36">
          <cell r="G36">
            <v>0</v>
          </cell>
        </row>
      </sheetData>
      <sheetData sheetId="4695">
        <row r="36">
          <cell r="G36">
            <v>0</v>
          </cell>
        </row>
      </sheetData>
      <sheetData sheetId="4696">
        <row r="36">
          <cell r="G36">
            <v>0</v>
          </cell>
        </row>
      </sheetData>
      <sheetData sheetId="4697">
        <row r="36">
          <cell r="G36">
            <v>0</v>
          </cell>
        </row>
      </sheetData>
      <sheetData sheetId="4698">
        <row r="36">
          <cell r="G36">
            <v>0</v>
          </cell>
        </row>
      </sheetData>
      <sheetData sheetId="4699">
        <row r="7">
          <cell r="E7" t="str">
            <v>PT NEWCREST SUMATRA MINERALS</v>
          </cell>
        </row>
      </sheetData>
      <sheetData sheetId="4700">
        <row r="36">
          <cell r="G36">
            <v>0</v>
          </cell>
        </row>
      </sheetData>
      <sheetData sheetId="4701">
        <row r="36">
          <cell r="G36">
            <v>0</v>
          </cell>
        </row>
      </sheetData>
      <sheetData sheetId="4702">
        <row r="36">
          <cell r="G36">
            <v>0</v>
          </cell>
        </row>
      </sheetData>
      <sheetData sheetId="4703">
        <row r="36">
          <cell r="G36">
            <v>0</v>
          </cell>
        </row>
      </sheetData>
      <sheetData sheetId="4704">
        <row r="36">
          <cell r="G36">
            <v>0</v>
          </cell>
        </row>
      </sheetData>
      <sheetData sheetId="4705">
        <row r="36">
          <cell r="G36">
            <v>0</v>
          </cell>
        </row>
      </sheetData>
      <sheetData sheetId="4706">
        <row r="36">
          <cell r="G36">
            <v>0</v>
          </cell>
        </row>
      </sheetData>
      <sheetData sheetId="4707">
        <row r="36">
          <cell r="G36">
            <v>0</v>
          </cell>
        </row>
      </sheetData>
      <sheetData sheetId="4708">
        <row r="36">
          <cell r="G36">
            <v>0</v>
          </cell>
        </row>
      </sheetData>
      <sheetData sheetId="4709">
        <row r="36">
          <cell r="G36">
            <v>0</v>
          </cell>
        </row>
      </sheetData>
      <sheetData sheetId="4710">
        <row r="36">
          <cell r="G36">
            <v>0</v>
          </cell>
        </row>
      </sheetData>
      <sheetData sheetId="4711">
        <row r="36">
          <cell r="G36">
            <v>0</v>
          </cell>
        </row>
      </sheetData>
      <sheetData sheetId="4712">
        <row r="36">
          <cell r="G36">
            <v>0</v>
          </cell>
        </row>
      </sheetData>
      <sheetData sheetId="4713">
        <row r="36">
          <cell r="G36">
            <v>0</v>
          </cell>
        </row>
      </sheetData>
      <sheetData sheetId="4714">
        <row r="36">
          <cell r="G36">
            <v>0</v>
          </cell>
        </row>
      </sheetData>
      <sheetData sheetId="4715">
        <row r="36">
          <cell r="G36">
            <v>0</v>
          </cell>
        </row>
      </sheetData>
      <sheetData sheetId="4716">
        <row r="36">
          <cell r="G36">
            <v>0</v>
          </cell>
        </row>
      </sheetData>
      <sheetData sheetId="4717">
        <row r="36">
          <cell r="G36">
            <v>0</v>
          </cell>
        </row>
      </sheetData>
      <sheetData sheetId="4718">
        <row r="36">
          <cell r="G36">
            <v>0</v>
          </cell>
        </row>
      </sheetData>
      <sheetData sheetId="4719">
        <row r="36">
          <cell r="G36">
            <v>0</v>
          </cell>
        </row>
      </sheetData>
      <sheetData sheetId="4720">
        <row r="36">
          <cell r="G36">
            <v>0</v>
          </cell>
        </row>
      </sheetData>
      <sheetData sheetId="4721">
        <row r="36">
          <cell r="G36">
            <v>0</v>
          </cell>
        </row>
      </sheetData>
      <sheetData sheetId="4722">
        <row r="36">
          <cell r="G36">
            <v>0</v>
          </cell>
        </row>
      </sheetData>
      <sheetData sheetId="4723">
        <row r="36">
          <cell r="G36">
            <v>0</v>
          </cell>
        </row>
      </sheetData>
      <sheetData sheetId="4724">
        <row r="36">
          <cell r="G36">
            <v>0</v>
          </cell>
        </row>
      </sheetData>
      <sheetData sheetId="4725">
        <row r="36">
          <cell r="G36">
            <v>0</v>
          </cell>
        </row>
      </sheetData>
      <sheetData sheetId="4726">
        <row r="36">
          <cell r="G36">
            <v>0</v>
          </cell>
        </row>
      </sheetData>
      <sheetData sheetId="4727">
        <row r="36">
          <cell r="G36">
            <v>0</v>
          </cell>
        </row>
      </sheetData>
      <sheetData sheetId="4728">
        <row r="36">
          <cell r="G36">
            <v>0</v>
          </cell>
        </row>
      </sheetData>
      <sheetData sheetId="4729">
        <row r="36">
          <cell r="G36">
            <v>0</v>
          </cell>
        </row>
      </sheetData>
      <sheetData sheetId="4730">
        <row r="36">
          <cell r="G36">
            <v>0</v>
          </cell>
        </row>
      </sheetData>
      <sheetData sheetId="4731">
        <row r="36">
          <cell r="G36">
            <v>0</v>
          </cell>
        </row>
      </sheetData>
      <sheetData sheetId="4732">
        <row r="36">
          <cell r="G36">
            <v>0</v>
          </cell>
        </row>
      </sheetData>
      <sheetData sheetId="4733">
        <row r="36">
          <cell r="G36">
            <v>0</v>
          </cell>
        </row>
      </sheetData>
      <sheetData sheetId="4734">
        <row r="36">
          <cell r="G36">
            <v>0</v>
          </cell>
        </row>
      </sheetData>
      <sheetData sheetId="4735">
        <row r="36">
          <cell r="G36">
            <v>0</v>
          </cell>
        </row>
      </sheetData>
      <sheetData sheetId="4736">
        <row r="36">
          <cell r="G36">
            <v>0</v>
          </cell>
        </row>
      </sheetData>
      <sheetData sheetId="4737">
        <row r="36">
          <cell r="G36">
            <v>0</v>
          </cell>
        </row>
      </sheetData>
      <sheetData sheetId="4738">
        <row r="36">
          <cell r="G36">
            <v>0</v>
          </cell>
        </row>
      </sheetData>
      <sheetData sheetId="4739">
        <row r="36">
          <cell r="G36">
            <v>0</v>
          </cell>
        </row>
      </sheetData>
      <sheetData sheetId="4740">
        <row r="36">
          <cell r="G36">
            <v>0</v>
          </cell>
        </row>
      </sheetData>
      <sheetData sheetId="4741">
        <row r="36">
          <cell r="G36">
            <v>0</v>
          </cell>
        </row>
      </sheetData>
      <sheetData sheetId="4742">
        <row r="36">
          <cell r="G36">
            <v>0</v>
          </cell>
        </row>
      </sheetData>
      <sheetData sheetId="4743">
        <row r="36">
          <cell r="G36">
            <v>0</v>
          </cell>
        </row>
      </sheetData>
      <sheetData sheetId="4744">
        <row r="36">
          <cell r="G36">
            <v>0</v>
          </cell>
        </row>
      </sheetData>
      <sheetData sheetId="4745">
        <row r="36">
          <cell r="G36">
            <v>0</v>
          </cell>
        </row>
      </sheetData>
      <sheetData sheetId="4746">
        <row r="36">
          <cell r="G36">
            <v>0</v>
          </cell>
        </row>
      </sheetData>
      <sheetData sheetId="4747">
        <row r="36">
          <cell r="G36">
            <v>0</v>
          </cell>
        </row>
      </sheetData>
      <sheetData sheetId="4748">
        <row r="36">
          <cell r="G36">
            <v>0</v>
          </cell>
        </row>
      </sheetData>
      <sheetData sheetId="4749">
        <row r="36">
          <cell r="G36">
            <v>0</v>
          </cell>
        </row>
      </sheetData>
      <sheetData sheetId="4750">
        <row r="36">
          <cell r="G36">
            <v>0</v>
          </cell>
        </row>
      </sheetData>
      <sheetData sheetId="4751">
        <row r="36">
          <cell r="G36">
            <v>0</v>
          </cell>
        </row>
      </sheetData>
      <sheetData sheetId="4752">
        <row r="36">
          <cell r="G36">
            <v>0</v>
          </cell>
        </row>
      </sheetData>
      <sheetData sheetId="4753">
        <row r="36">
          <cell r="G36">
            <v>0</v>
          </cell>
        </row>
      </sheetData>
      <sheetData sheetId="4754">
        <row r="36">
          <cell r="G36">
            <v>0</v>
          </cell>
        </row>
      </sheetData>
      <sheetData sheetId="4755">
        <row r="7">
          <cell r="E7" t="str">
            <v>PT NEWCREST SUMATRA MINERALS</v>
          </cell>
        </row>
      </sheetData>
      <sheetData sheetId="4756">
        <row r="36">
          <cell r="G36">
            <v>0</v>
          </cell>
        </row>
      </sheetData>
      <sheetData sheetId="4757">
        <row r="36">
          <cell r="G36">
            <v>0</v>
          </cell>
        </row>
      </sheetData>
      <sheetData sheetId="4758">
        <row r="36">
          <cell r="G36">
            <v>0</v>
          </cell>
        </row>
      </sheetData>
      <sheetData sheetId="4759">
        <row r="36">
          <cell r="G36">
            <v>0</v>
          </cell>
        </row>
      </sheetData>
      <sheetData sheetId="4760">
        <row r="36">
          <cell r="G36">
            <v>0</v>
          </cell>
        </row>
      </sheetData>
      <sheetData sheetId="4761">
        <row r="36">
          <cell r="G36">
            <v>0</v>
          </cell>
        </row>
      </sheetData>
      <sheetData sheetId="4762"/>
      <sheetData sheetId="4763"/>
      <sheetData sheetId="4764"/>
      <sheetData sheetId="4765"/>
      <sheetData sheetId="4766"/>
      <sheetData sheetId="4767"/>
      <sheetData sheetId="4768">
        <row r="7">
          <cell r="E7" t="str">
            <v>PT NEWCREST SUMATRA MINERALS</v>
          </cell>
        </row>
      </sheetData>
      <sheetData sheetId="4769"/>
      <sheetData sheetId="4770"/>
      <sheetData sheetId="4771"/>
      <sheetData sheetId="4772"/>
      <sheetData sheetId="4773">
        <row r="7">
          <cell r="E7" t="str">
            <v>PT NEWCREST SUMATRA MINERALS</v>
          </cell>
        </row>
      </sheetData>
      <sheetData sheetId="4774"/>
      <sheetData sheetId="4775"/>
      <sheetData sheetId="4776"/>
      <sheetData sheetId="4777"/>
      <sheetData sheetId="4778"/>
      <sheetData sheetId="4779">
        <row r="7">
          <cell r="E7" t="str">
            <v>PT NEWCREST SUMATRA MINERALS</v>
          </cell>
        </row>
      </sheetData>
      <sheetData sheetId="4780"/>
      <sheetData sheetId="4781"/>
      <sheetData sheetId="4782"/>
      <sheetData sheetId="4783"/>
      <sheetData sheetId="4784"/>
      <sheetData sheetId="4785">
        <row r="7">
          <cell r="E7" t="str">
            <v>PT NEWCREST SUMATRA MINERALS</v>
          </cell>
        </row>
      </sheetData>
      <sheetData sheetId="4786">
        <row r="7">
          <cell r="E7" t="str">
            <v>PT NEWCREST SUMATRA MINERALS</v>
          </cell>
        </row>
      </sheetData>
      <sheetData sheetId="4787"/>
      <sheetData sheetId="4788"/>
      <sheetData sheetId="4789"/>
      <sheetData sheetId="4790"/>
      <sheetData sheetId="4791">
        <row r="7">
          <cell r="E7" t="str">
            <v>PT NEWCREST SUMATRA MINERALS</v>
          </cell>
        </row>
      </sheetData>
      <sheetData sheetId="4792">
        <row r="7">
          <cell r="E7" t="str">
            <v>PT NEWCREST SUMATRA MINERALS</v>
          </cell>
        </row>
      </sheetData>
      <sheetData sheetId="4793"/>
      <sheetData sheetId="4794"/>
      <sheetData sheetId="4795"/>
      <sheetData sheetId="4796"/>
      <sheetData sheetId="4797"/>
      <sheetData sheetId="4798">
        <row r="7">
          <cell r="E7" t="str">
            <v>PT NEWCREST SUMATRA MINERALS</v>
          </cell>
        </row>
      </sheetData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>
        <row r="36">
          <cell r="G36">
            <v>0</v>
          </cell>
        </row>
      </sheetData>
      <sheetData sheetId="4808">
        <row r="36">
          <cell r="G36">
            <v>0</v>
          </cell>
        </row>
      </sheetData>
      <sheetData sheetId="4809">
        <row r="36">
          <cell r="G36">
            <v>0</v>
          </cell>
        </row>
      </sheetData>
      <sheetData sheetId="4810">
        <row r="7">
          <cell r="E7" t="str">
            <v>PT NEWCREST SUMATRA MINERALS</v>
          </cell>
        </row>
      </sheetData>
      <sheetData sheetId="4811">
        <row r="7">
          <cell r="E7" t="str">
            <v>PT NEWCREST SUMATRA MINERALS</v>
          </cell>
        </row>
      </sheetData>
      <sheetData sheetId="4812">
        <row r="36">
          <cell r="G36">
            <v>0</v>
          </cell>
        </row>
      </sheetData>
      <sheetData sheetId="4813">
        <row r="36">
          <cell r="G36">
            <v>0</v>
          </cell>
        </row>
      </sheetData>
      <sheetData sheetId="4814">
        <row r="36">
          <cell r="G36">
            <v>0</v>
          </cell>
        </row>
      </sheetData>
      <sheetData sheetId="4815">
        <row r="36">
          <cell r="G36">
            <v>0</v>
          </cell>
        </row>
      </sheetData>
      <sheetData sheetId="4816">
        <row r="7">
          <cell r="E7" t="str">
            <v>PT NEWCREST SUMATRA MINERALS</v>
          </cell>
        </row>
      </sheetData>
      <sheetData sheetId="4817">
        <row r="36">
          <cell r="G36">
            <v>0</v>
          </cell>
        </row>
      </sheetData>
      <sheetData sheetId="4818"/>
      <sheetData sheetId="4819"/>
      <sheetData sheetId="4820">
        <row r="36">
          <cell r="G36">
            <v>0</v>
          </cell>
        </row>
      </sheetData>
      <sheetData sheetId="4821">
        <row r="36">
          <cell r="G36">
            <v>0</v>
          </cell>
        </row>
      </sheetData>
      <sheetData sheetId="4822">
        <row r="36">
          <cell r="G36">
            <v>0</v>
          </cell>
        </row>
      </sheetData>
      <sheetData sheetId="4823">
        <row r="36">
          <cell r="G36">
            <v>0</v>
          </cell>
        </row>
      </sheetData>
      <sheetData sheetId="4824">
        <row r="36">
          <cell r="G36">
            <v>0</v>
          </cell>
        </row>
      </sheetData>
      <sheetData sheetId="4825">
        <row r="36">
          <cell r="G36">
            <v>0</v>
          </cell>
        </row>
      </sheetData>
      <sheetData sheetId="4826">
        <row r="36">
          <cell r="G36">
            <v>0</v>
          </cell>
        </row>
      </sheetData>
      <sheetData sheetId="4827">
        <row r="36">
          <cell r="G36">
            <v>0</v>
          </cell>
        </row>
      </sheetData>
      <sheetData sheetId="4828">
        <row r="36">
          <cell r="G36">
            <v>0</v>
          </cell>
        </row>
      </sheetData>
      <sheetData sheetId="4829">
        <row r="36">
          <cell r="G36">
            <v>0</v>
          </cell>
        </row>
      </sheetData>
      <sheetData sheetId="4830">
        <row r="36">
          <cell r="G36">
            <v>0</v>
          </cell>
        </row>
      </sheetData>
      <sheetData sheetId="4831">
        <row r="36">
          <cell r="G36">
            <v>0</v>
          </cell>
        </row>
      </sheetData>
      <sheetData sheetId="4832">
        <row r="36">
          <cell r="G36">
            <v>0</v>
          </cell>
        </row>
      </sheetData>
      <sheetData sheetId="4833">
        <row r="36">
          <cell r="G36">
            <v>0</v>
          </cell>
        </row>
      </sheetData>
      <sheetData sheetId="4834">
        <row r="36">
          <cell r="G36">
            <v>0</v>
          </cell>
        </row>
      </sheetData>
      <sheetData sheetId="4835">
        <row r="36">
          <cell r="G36">
            <v>0</v>
          </cell>
        </row>
      </sheetData>
      <sheetData sheetId="4836">
        <row r="36">
          <cell r="G36">
            <v>0</v>
          </cell>
        </row>
      </sheetData>
      <sheetData sheetId="4837">
        <row r="36">
          <cell r="G36">
            <v>0</v>
          </cell>
        </row>
      </sheetData>
      <sheetData sheetId="4838">
        <row r="36">
          <cell r="G36">
            <v>0</v>
          </cell>
        </row>
      </sheetData>
      <sheetData sheetId="4839">
        <row r="36">
          <cell r="G36">
            <v>0</v>
          </cell>
        </row>
      </sheetData>
      <sheetData sheetId="4840">
        <row r="7">
          <cell r="E7" t="str">
            <v>PT NEWCREST SUMATRA MINERALS</v>
          </cell>
        </row>
      </sheetData>
      <sheetData sheetId="4841">
        <row r="7">
          <cell r="E7" t="str">
            <v>PT NEWCREST SUMATRA MINERALS</v>
          </cell>
        </row>
      </sheetData>
      <sheetData sheetId="4842">
        <row r="36">
          <cell r="G36">
            <v>0</v>
          </cell>
        </row>
      </sheetData>
      <sheetData sheetId="4843">
        <row r="36">
          <cell r="G36">
            <v>0</v>
          </cell>
        </row>
      </sheetData>
      <sheetData sheetId="4844">
        <row r="36">
          <cell r="G36">
            <v>0</v>
          </cell>
        </row>
      </sheetData>
      <sheetData sheetId="4845">
        <row r="36">
          <cell r="G36">
            <v>0</v>
          </cell>
        </row>
      </sheetData>
      <sheetData sheetId="4846">
        <row r="36">
          <cell r="G36">
            <v>0</v>
          </cell>
        </row>
      </sheetData>
      <sheetData sheetId="4847">
        <row r="36">
          <cell r="G36">
            <v>0</v>
          </cell>
        </row>
      </sheetData>
      <sheetData sheetId="4848">
        <row r="36">
          <cell r="G36">
            <v>0</v>
          </cell>
        </row>
      </sheetData>
      <sheetData sheetId="4849">
        <row r="36">
          <cell r="G36">
            <v>0</v>
          </cell>
        </row>
      </sheetData>
      <sheetData sheetId="4850">
        <row r="36">
          <cell r="G36">
            <v>0</v>
          </cell>
        </row>
      </sheetData>
      <sheetData sheetId="4851">
        <row r="36">
          <cell r="G36">
            <v>0</v>
          </cell>
        </row>
      </sheetData>
      <sheetData sheetId="4852">
        <row r="36">
          <cell r="G36">
            <v>0</v>
          </cell>
        </row>
      </sheetData>
      <sheetData sheetId="4853">
        <row r="36">
          <cell r="G36">
            <v>0</v>
          </cell>
        </row>
      </sheetData>
      <sheetData sheetId="4854">
        <row r="36">
          <cell r="G36">
            <v>0</v>
          </cell>
        </row>
      </sheetData>
      <sheetData sheetId="4855">
        <row r="36">
          <cell r="G36">
            <v>0</v>
          </cell>
        </row>
      </sheetData>
      <sheetData sheetId="4856">
        <row r="36">
          <cell r="G36">
            <v>0</v>
          </cell>
        </row>
      </sheetData>
      <sheetData sheetId="4857">
        <row r="36">
          <cell r="G36">
            <v>0</v>
          </cell>
        </row>
      </sheetData>
      <sheetData sheetId="4858">
        <row r="36">
          <cell r="G36">
            <v>0</v>
          </cell>
        </row>
      </sheetData>
      <sheetData sheetId="4859">
        <row r="36">
          <cell r="G36">
            <v>0</v>
          </cell>
        </row>
      </sheetData>
      <sheetData sheetId="4860">
        <row r="36">
          <cell r="G36">
            <v>0</v>
          </cell>
        </row>
      </sheetData>
      <sheetData sheetId="4861"/>
      <sheetData sheetId="4862">
        <row r="36">
          <cell r="G36">
            <v>0</v>
          </cell>
        </row>
      </sheetData>
      <sheetData sheetId="4863">
        <row r="36">
          <cell r="G36">
            <v>0</v>
          </cell>
        </row>
      </sheetData>
      <sheetData sheetId="4864">
        <row r="36">
          <cell r="G36">
            <v>0</v>
          </cell>
        </row>
      </sheetData>
      <sheetData sheetId="4865">
        <row r="36">
          <cell r="G36">
            <v>0</v>
          </cell>
        </row>
      </sheetData>
      <sheetData sheetId="4866">
        <row r="36">
          <cell r="G36">
            <v>0</v>
          </cell>
        </row>
      </sheetData>
      <sheetData sheetId="4867">
        <row r="36">
          <cell r="G36">
            <v>0</v>
          </cell>
        </row>
      </sheetData>
      <sheetData sheetId="4868">
        <row r="36">
          <cell r="G36">
            <v>0</v>
          </cell>
        </row>
      </sheetData>
      <sheetData sheetId="4869">
        <row r="36">
          <cell r="G36">
            <v>0</v>
          </cell>
        </row>
      </sheetData>
      <sheetData sheetId="4870">
        <row r="36">
          <cell r="G36">
            <v>0</v>
          </cell>
        </row>
      </sheetData>
      <sheetData sheetId="4871">
        <row r="36">
          <cell r="G36">
            <v>0</v>
          </cell>
        </row>
      </sheetData>
      <sheetData sheetId="4872">
        <row r="36">
          <cell r="G36">
            <v>0</v>
          </cell>
        </row>
      </sheetData>
      <sheetData sheetId="4873">
        <row r="36">
          <cell r="G36">
            <v>0</v>
          </cell>
        </row>
      </sheetData>
      <sheetData sheetId="4874">
        <row r="36">
          <cell r="G36">
            <v>0</v>
          </cell>
        </row>
      </sheetData>
      <sheetData sheetId="4875">
        <row r="36">
          <cell r="G36">
            <v>0</v>
          </cell>
        </row>
      </sheetData>
      <sheetData sheetId="4876">
        <row r="36">
          <cell r="G36">
            <v>0</v>
          </cell>
        </row>
      </sheetData>
      <sheetData sheetId="4877">
        <row r="36">
          <cell r="G36">
            <v>0</v>
          </cell>
        </row>
      </sheetData>
      <sheetData sheetId="4878">
        <row r="36">
          <cell r="G36">
            <v>0</v>
          </cell>
        </row>
      </sheetData>
      <sheetData sheetId="4879">
        <row r="36">
          <cell r="G36">
            <v>0</v>
          </cell>
        </row>
      </sheetData>
      <sheetData sheetId="4880">
        <row r="36">
          <cell r="G36">
            <v>0</v>
          </cell>
        </row>
      </sheetData>
      <sheetData sheetId="4881">
        <row r="36">
          <cell r="G36">
            <v>0</v>
          </cell>
        </row>
      </sheetData>
      <sheetData sheetId="4882">
        <row r="36">
          <cell r="G36">
            <v>0</v>
          </cell>
        </row>
      </sheetData>
      <sheetData sheetId="4883">
        <row r="36">
          <cell r="G36">
            <v>0</v>
          </cell>
        </row>
      </sheetData>
      <sheetData sheetId="4884">
        <row r="36">
          <cell r="G36">
            <v>0</v>
          </cell>
        </row>
      </sheetData>
      <sheetData sheetId="4885">
        <row r="36">
          <cell r="G36">
            <v>0</v>
          </cell>
        </row>
      </sheetData>
      <sheetData sheetId="4886">
        <row r="36">
          <cell r="G36">
            <v>0</v>
          </cell>
        </row>
      </sheetData>
      <sheetData sheetId="4887">
        <row r="36">
          <cell r="G36">
            <v>0</v>
          </cell>
        </row>
      </sheetData>
      <sheetData sheetId="4888">
        <row r="36">
          <cell r="G36">
            <v>0</v>
          </cell>
        </row>
      </sheetData>
      <sheetData sheetId="4889">
        <row r="36">
          <cell r="G36">
            <v>0</v>
          </cell>
        </row>
      </sheetData>
      <sheetData sheetId="4890">
        <row r="36">
          <cell r="G36">
            <v>0</v>
          </cell>
        </row>
      </sheetData>
      <sheetData sheetId="4891">
        <row r="36">
          <cell r="G36">
            <v>0</v>
          </cell>
        </row>
      </sheetData>
      <sheetData sheetId="4892">
        <row r="36">
          <cell r="G36">
            <v>0</v>
          </cell>
        </row>
      </sheetData>
      <sheetData sheetId="4893">
        <row r="36">
          <cell r="G36">
            <v>0</v>
          </cell>
        </row>
      </sheetData>
      <sheetData sheetId="4894">
        <row r="36">
          <cell r="G36">
            <v>0</v>
          </cell>
        </row>
      </sheetData>
      <sheetData sheetId="4895">
        <row r="36">
          <cell r="G36">
            <v>0</v>
          </cell>
        </row>
      </sheetData>
      <sheetData sheetId="4896">
        <row r="36">
          <cell r="G36">
            <v>0</v>
          </cell>
        </row>
      </sheetData>
      <sheetData sheetId="4897">
        <row r="36">
          <cell r="G36">
            <v>0</v>
          </cell>
        </row>
      </sheetData>
      <sheetData sheetId="4898">
        <row r="36">
          <cell r="G36">
            <v>0</v>
          </cell>
        </row>
      </sheetData>
      <sheetData sheetId="4899">
        <row r="36">
          <cell r="G36">
            <v>0</v>
          </cell>
        </row>
      </sheetData>
      <sheetData sheetId="4900">
        <row r="36">
          <cell r="G36">
            <v>0</v>
          </cell>
        </row>
      </sheetData>
      <sheetData sheetId="4901">
        <row r="36">
          <cell r="G36">
            <v>0</v>
          </cell>
        </row>
      </sheetData>
      <sheetData sheetId="4902">
        <row r="36">
          <cell r="G36">
            <v>0</v>
          </cell>
        </row>
      </sheetData>
      <sheetData sheetId="4903">
        <row r="7">
          <cell r="E7" t="str">
            <v>PT NEWCREST SUMATRA MINERALS</v>
          </cell>
        </row>
      </sheetData>
      <sheetData sheetId="4904">
        <row r="36">
          <cell r="G36">
            <v>0</v>
          </cell>
        </row>
      </sheetData>
      <sheetData sheetId="4905">
        <row r="36">
          <cell r="G36">
            <v>0</v>
          </cell>
        </row>
      </sheetData>
      <sheetData sheetId="4906">
        <row r="36">
          <cell r="G36">
            <v>0</v>
          </cell>
        </row>
      </sheetData>
      <sheetData sheetId="4907">
        <row r="36">
          <cell r="G36">
            <v>0</v>
          </cell>
        </row>
      </sheetData>
      <sheetData sheetId="4908">
        <row r="36">
          <cell r="G36">
            <v>0</v>
          </cell>
        </row>
      </sheetData>
      <sheetData sheetId="4909">
        <row r="36">
          <cell r="G36">
            <v>0</v>
          </cell>
        </row>
      </sheetData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>
        <row r="36">
          <cell r="G36">
            <v>0</v>
          </cell>
        </row>
      </sheetData>
      <sheetData sheetId="4956">
        <row r="36">
          <cell r="G36">
            <v>0</v>
          </cell>
        </row>
      </sheetData>
      <sheetData sheetId="4957">
        <row r="36">
          <cell r="G36">
            <v>0</v>
          </cell>
        </row>
      </sheetData>
      <sheetData sheetId="4958">
        <row r="36">
          <cell r="G36">
            <v>0</v>
          </cell>
        </row>
      </sheetData>
      <sheetData sheetId="4959">
        <row r="36">
          <cell r="G36">
            <v>0</v>
          </cell>
        </row>
      </sheetData>
      <sheetData sheetId="4960">
        <row r="36">
          <cell r="G36">
            <v>0</v>
          </cell>
        </row>
      </sheetData>
      <sheetData sheetId="4961">
        <row r="36">
          <cell r="G36">
            <v>0</v>
          </cell>
        </row>
      </sheetData>
      <sheetData sheetId="4962">
        <row r="36">
          <cell r="G36">
            <v>0</v>
          </cell>
        </row>
      </sheetData>
      <sheetData sheetId="4963">
        <row r="36">
          <cell r="G36">
            <v>0</v>
          </cell>
        </row>
      </sheetData>
      <sheetData sheetId="4964">
        <row r="36">
          <cell r="G36">
            <v>0</v>
          </cell>
        </row>
      </sheetData>
      <sheetData sheetId="4965">
        <row r="36">
          <cell r="G36">
            <v>0</v>
          </cell>
        </row>
      </sheetData>
      <sheetData sheetId="4966"/>
      <sheetData sheetId="4967"/>
      <sheetData sheetId="4968">
        <row r="36">
          <cell r="G36">
            <v>0</v>
          </cell>
        </row>
      </sheetData>
      <sheetData sheetId="4969">
        <row r="36">
          <cell r="G36">
            <v>0</v>
          </cell>
        </row>
      </sheetData>
      <sheetData sheetId="4970">
        <row r="36">
          <cell r="G36">
            <v>0</v>
          </cell>
        </row>
      </sheetData>
      <sheetData sheetId="4971">
        <row r="7">
          <cell r="E7" t="str">
            <v>PT NEWCREST SUMATRA MINERALS</v>
          </cell>
        </row>
      </sheetData>
      <sheetData sheetId="4972">
        <row r="36">
          <cell r="G36">
            <v>0</v>
          </cell>
        </row>
      </sheetData>
      <sheetData sheetId="4973">
        <row r="36">
          <cell r="G36">
            <v>0</v>
          </cell>
        </row>
      </sheetData>
      <sheetData sheetId="4974">
        <row r="36">
          <cell r="G36">
            <v>0</v>
          </cell>
        </row>
      </sheetData>
      <sheetData sheetId="4975">
        <row r="36">
          <cell r="G36">
            <v>0</v>
          </cell>
        </row>
      </sheetData>
      <sheetData sheetId="4976">
        <row r="36">
          <cell r="G36">
            <v>0</v>
          </cell>
        </row>
      </sheetData>
      <sheetData sheetId="4977">
        <row r="7">
          <cell r="E7" t="str">
            <v>PT NEWCREST SUMATRA MINERALS</v>
          </cell>
        </row>
      </sheetData>
      <sheetData sheetId="4978">
        <row r="36">
          <cell r="G36">
            <v>0</v>
          </cell>
        </row>
      </sheetData>
      <sheetData sheetId="4979">
        <row r="36">
          <cell r="G36">
            <v>0</v>
          </cell>
        </row>
      </sheetData>
      <sheetData sheetId="4980">
        <row r="36">
          <cell r="G36">
            <v>0</v>
          </cell>
        </row>
      </sheetData>
      <sheetData sheetId="4981">
        <row r="36">
          <cell r="G36">
            <v>0</v>
          </cell>
        </row>
      </sheetData>
      <sheetData sheetId="4982">
        <row r="36">
          <cell r="G36">
            <v>0</v>
          </cell>
        </row>
      </sheetData>
      <sheetData sheetId="4983">
        <row r="36">
          <cell r="G36">
            <v>0</v>
          </cell>
        </row>
      </sheetData>
      <sheetData sheetId="4984">
        <row r="36">
          <cell r="G36">
            <v>0</v>
          </cell>
        </row>
      </sheetData>
      <sheetData sheetId="4985">
        <row r="36">
          <cell r="G36">
            <v>0</v>
          </cell>
        </row>
      </sheetData>
      <sheetData sheetId="4986">
        <row r="36">
          <cell r="G36">
            <v>0</v>
          </cell>
        </row>
      </sheetData>
      <sheetData sheetId="4987">
        <row r="36">
          <cell r="G36">
            <v>0</v>
          </cell>
        </row>
      </sheetData>
      <sheetData sheetId="4988">
        <row r="36">
          <cell r="G36">
            <v>0</v>
          </cell>
        </row>
      </sheetData>
      <sheetData sheetId="4989">
        <row r="36">
          <cell r="G36">
            <v>0</v>
          </cell>
        </row>
      </sheetData>
      <sheetData sheetId="4990">
        <row r="36">
          <cell r="G36">
            <v>0</v>
          </cell>
        </row>
      </sheetData>
      <sheetData sheetId="4991">
        <row r="36">
          <cell r="G36">
            <v>0</v>
          </cell>
        </row>
      </sheetData>
      <sheetData sheetId="4992">
        <row r="36">
          <cell r="G36">
            <v>0</v>
          </cell>
        </row>
      </sheetData>
      <sheetData sheetId="4993">
        <row r="36">
          <cell r="G36">
            <v>0</v>
          </cell>
        </row>
      </sheetData>
      <sheetData sheetId="4994">
        <row r="36">
          <cell r="G36">
            <v>0</v>
          </cell>
        </row>
      </sheetData>
      <sheetData sheetId="4995">
        <row r="7">
          <cell r="E7" t="str">
            <v>PT NEWCREST SUMATRA MINERALS</v>
          </cell>
        </row>
      </sheetData>
      <sheetData sheetId="4996">
        <row r="36">
          <cell r="G36">
            <v>0</v>
          </cell>
        </row>
      </sheetData>
      <sheetData sheetId="4997">
        <row r="36">
          <cell r="G36">
            <v>0</v>
          </cell>
        </row>
      </sheetData>
      <sheetData sheetId="4998">
        <row r="36">
          <cell r="G36">
            <v>0</v>
          </cell>
        </row>
      </sheetData>
      <sheetData sheetId="4999">
        <row r="36">
          <cell r="G36">
            <v>0</v>
          </cell>
        </row>
      </sheetData>
      <sheetData sheetId="5000">
        <row r="36">
          <cell r="G36">
            <v>0</v>
          </cell>
        </row>
      </sheetData>
      <sheetData sheetId="5001">
        <row r="36">
          <cell r="G36">
            <v>0</v>
          </cell>
        </row>
      </sheetData>
      <sheetData sheetId="5002">
        <row r="36">
          <cell r="G36">
            <v>0</v>
          </cell>
        </row>
      </sheetData>
      <sheetData sheetId="5003">
        <row r="36">
          <cell r="G36">
            <v>0</v>
          </cell>
        </row>
      </sheetData>
      <sheetData sheetId="5004">
        <row r="36">
          <cell r="G36">
            <v>0</v>
          </cell>
        </row>
      </sheetData>
      <sheetData sheetId="5005">
        <row r="36">
          <cell r="G36">
            <v>0</v>
          </cell>
        </row>
      </sheetData>
      <sheetData sheetId="5006">
        <row r="36">
          <cell r="G36">
            <v>0</v>
          </cell>
        </row>
      </sheetData>
      <sheetData sheetId="5007">
        <row r="36">
          <cell r="G36">
            <v>0</v>
          </cell>
        </row>
      </sheetData>
      <sheetData sheetId="5008">
        <row r="36">
          <cell r="G36">
            <v>0</v>
          </cell>
        </row>
      </sheetData>
      <sheetData sheetId="5009">
        <row r="36">
          <cell r="G36">
            <v>0</v>
          </cell>
        </row>
      </sheetData>
      <sheetData sheetId="5010">
        <row r="36">
          <cell r="G36">
            <v>0</v>
          </cell>
        </row>
      </sheetData>
      <sheetData sheetId="5011">
        <row r="36">
          <cell r="G36">
            <v>0</v>
          </cell>
        </row>
      </sheetData>
      <sheetData sheetId="5012">
        <row r="36">
          <cell r="G36">
            <v>0</v>
          </cell>
        </row>
      </sheetData>
      <sheetData sheetId="5013">
        <row r="36">
          <cell r="G36">
            <v>0</v>
          </cell>
        </row>
      </sheetData>
      <sheetData sheetId="5014">
        <row r="36">
          <cell r="G36">
            <v>0</v>
          </cell>
        </row>
      </sheetData>
      <sheetData sheetId="5015">
        <row r="36">
          <cell r="G36">
            <v>0</v>
          </cell>
        </row>
      </sheetData>
      <sheetData sheetId="5016">
        <row r="36">
          <cell r="G36">
            <v>0</v>
          </cell>
        </row>
      </sheetData>
      <sheetData sheetId="5017">
        <row r="36">
          <cell r="G36">
            <v>0</v>
          </cell>
        </row>
      </sheetData>
      <sheetData sheetId="5018">
        <row r="36">
          <cell r="G36">
            <v>0</v>
          </cell>
        </row>
      </sheetData>
      <sheetData sheetId="5019">
        <row r="36">
          <cell r="G36">
            <v>0</v>
          </cell>
        </row>
      </sheetData>
      <sheetData sheetId="5020">
        <row r="36">
          <cell r="G36">
            <v>0</v>
          </cell>
        </row>
      </sheetData>
      <sheetData sheetId="5021">
        <row r="36">
          <cell r="G36">
            <v>0</v>
          </cell>
        </row>
      </sheetData>
      <sheetData sheetId="5022">
        <row r="36">
          <cell r="G36">
            <v>0</v>
          </cell>
        </row>
      </sheetData>
      <sheetData sheetId="5023">
        <row r="36">
          <cell r="G36">
            <v>0</v>
          </cell>
        </row>
      </sheetData>
      <sheetData sheetId="5024">
        <row r="36">
          <cell r="G36">
            <v>0</v>
          </cell>
        </row>
      </sheetData>
      <sheetData sheetId="5025">
        <row r="36">
          <cell r="G36">
            <v>0</v>
          </cell>
        </row>
      </sheetData>
      <sheetData sheetId="5026">
        <row r="36">
          <cell r="G36">
            <v>0</v>
          </cell>
        </row>
      </sheetData>
      <sheetData sheetId="5027">
        <row r="36">
          <cell r="G36">
            <v>0</v>
          </cell>
        </row>
      </sheetData>
      <sheetData sheetId="5028">
        <row r="36">
          <cell r="G36">
            <v>0</v>
          </cell>
        </row>
      </sheetData>
      <sheetData sheetId="5029">
        <row r="36">
          <cell r="G36">
            <v>0</v>
          </cell>
        </row>
      </sheetData>
      <sheetData sheetId="5030">
        <row r="36">
          <cell r="G36">
            <v>0</v>
          </cell>
        </row>
      </sheetData>
      <sheetData sheetId="5031">
        <row r="36">
          <cell r="G36">
            <v>0</v>
          </cell>
        </row>
      </sheetData>
      <sheetData sheetId="5032">
        <row r="36">
          <cell r="G36">
            <v>0</v>
          </cell>
        </row>
      </sheetData>
      <sheetData sheetId="5033">
        <row r="36">
          <cell r="G36">
            <v>0</v>
          </cell>
        </row>
      </sheetData>
      <sheetData sheetId="5034">
        <row r="36">
          <cell r="G36">
            <v>0</v>
          </cell>
        </row>
      </sheetData>
      <sheetData sheetId="5035">
        <row r="36">
          <cell r="G36">
            <v>0</v>
          </cell>
        </row>
      </sheetData>
      <sheetData sheetId="5036">
        <row r="36">
          <cell r="G36">
            <v>0</v>
          </cell>
        </row>
      </sheetData>
      <sheetData sheetId="5037">
        <row r="36">
          <cell r="G36">
            <v>0</v>
          </cell>
        </row>
      </sheetData>
      <sheetData sheetId="5038">
        <row r="36">
          <cell r="G36">
            <v>0</v>
          </cell>
        </row>
      </sheetData>
      <sheetData sheetId="5039">
        <row r="36">
          <cell r="G36">
            <v>0</v>
          </cell>
        </row>
      </sheetData>
      <sheetData sheetId="5040">
        <row r="36">
          <cell r="G36">
            <v>0</v>
          </cell>
        </row>
      </sheetData>
      <sheetData sheetId="5041">
        <row r="36">
          <cell r="G36">
            <v>0</v>
          </cell>
        </row>
      </sheetData>
      <sheetData sheetId="5042">
        <row r="36">
          <cell r="G36">
            <v>0</v>
          </cell>
        </row>
      </sheetData>
      <sheetData sheetId="5043">
        <row r="36">
          <cell r="G36">
            <v>0</v>
          </cell>
        </row>
      </sheetData>
      <sheetData sheetId="5044">
        <row r="36">
          <cell r="G36">
            <v>0</v>
          </cell>
        </row>
      </sheetData>
      <sheetData sheetId="5045">
        <row r="36">
          <cell r="G36">
            <v>0</v>
          </cell>
        </row>
      </sheetData>
      <sheetData sheetId="5046">
        <row r="36">
          <cell r="G36">
            <v>0</v>
          </cell>
        </row>
      </sheetData>
      <sheetData sheetId="5047">
        <row r="36">
          <cell r="G36">
            <v>0</v>
          </cell>
        </row>
      </sheetData>
      <sheetData sheetId="5048">
        <row r="36">
          <cell r="G36">
            <v>0</v>
          </cell>
        </row>
      </sheetData>
      <sheetData sheetId="5049">
        <row r="36">
          <cell r="G36">
            <v>0</v>
          </cell>
        </row>
      </sheetData>
      <sheetData sheetId="5050">
        <row r="36">
          <cell r="G36">
            <v>0</v>
          </cell>
        </row>
      </sheetData>
      <sheetData sheetId="5051">
        <row r="36">
          <cell r="G36">
            <v>0</v>
          </cell>
        </row>
      </sheetData>
      <sheetData sheetId="5052">
        <row r="36">
          <cell r="G36">
            <v>0</v>
          </cell>
        </row>
      </sheetData>
      <sheetData sheetId="5053">
        <row r="36">
          <cell r="G36">
            <v>0</v>
          </cell>
        </row>
      </sheetData>
      <sheetData sheetId="5054">
        <row r="36">
          <cell r="G36">
            <v>0</v>
          </cell>
        </row>
      </sheetData>
      <sheetData sheetId="5055">
        <row r="36">
          <cell r="G36">
            <v>0</v>
          </cell>
        </row>
      </sheetData>
      <sheetData sheetId="5056">
        <row r="36">
          <cell r="G36">
            <v>0</v>
          </cell>
        </row>
      </sheetData>
      <sheetData sheetId="5057">
        <row r="36">
          <cell r="G36">
            <v>0</v>
          </cell>
        </row>
      </sheetData>
      <sheetData sheetId="5058"/>
      <sheetData sheetId="5059"/>
      <sheetData sheetId="5060"/>
      <sheetData sheetId="5061"/>
      <sheetData sheetId="5062"/>
      <sheetData sheetId="5063"/>
      <sheetData sheetId="5064">
        <row r="7">
          <cell r="E7" t="str">
            <v>PT NEWCREST SUMATRA MINERALS</v>
          </cell>
        </row>
      </sheetData>
      <sheetData sheetId="5065"/>
      <sheetData sheetId="5066"/>
      <sheetData sheetId="5067"/>
      <sheetData sheetId="5068"/>
      <sheetData sheetId="5069">
        <row r="7">
          <cell r="E7" t="str">
            <v>PT NEWCREST SUMATRA MINERALS</v>
          </cell>
        </row>
      </sheetData>
      <sheetData sheetId="5070"/>
      <sheetData sheetId="5071"/>
      <sheetData sheetId="5072"/>
      <sheetData sheetId="5073"/>
      <sheetData sheetId="5074"/>
      <sheetData sheetId="5075">
        <row r="7">
          <cell r="E7" t="str">
            <v>PT NEWCREST SUMATRA MINERALS</v>
          </cell>
        </row>
      </sheetData>
      <sheetData sheetId="5076"/>
      <sheetData sheetId="5077"/>
      <sheetData sheetId="5078"/>
      <sheetData sheetId="5079"/>
      <sheetData sheetId="5080"/>
      <sheetData sheetId="5081">
        <row r="7">
          <cell r="E7" t="str">
            <v>PT NEWCREST SUMATRA MINERALS</v>
          </cell>
        </row>
      </sheetData>
      <sheetData sheetId="5082">
        <row r="7">
          <cell r="E7" t="str">
            <v>PT NEWCREST SUMATRA MINERALS</v>
          </cell>
        </row>
      </sheetData>
      <sheetData sheetId="5083"/>
      <sheetData sheetId="5084"/>
      <sheetData sheetId="5085"/>
      <sheetData sheetId="5086"/>
      <sheetData sheetId="5087">
        <row r="7">
          <cell r="E7" t="str">
            <v>PT NEWCREST SUMATRA MINERALS</v>
          </cell>
        </row>
      </sheetData>
      <sheetData sheetId="5088">
        <row r="7">
          <cell r="E7" t="str">
            <v>PT NEWCREST SUMATRA MINERALS</v>
          </cell>
        </row>
      </sheetData>
      <sheetData sheetId="5089"/>
      <sheetData sheetId="5090"/>
      <sheetData sheetId="5091"/>
      <sheetData sheetId="5092"/>
      <sheetData sheetId="5093"/>
      <sheetData sheetId="5094">
        <row r="7">
          <cell r="E7" t="str">
            <v>PT NEWCREST SUMATRA MINERALS</v>
          </cell>
        </row>
      </sheetData>
      <sheetData sheetId="5095">
        <row r="7">
          <cell r="E7" t="str">
            <v>PT NEWCREST SUMATRA MINERALS</v>
          </cell>
        </row>
      </sheetData>
      <sheetData sheetId="5096"/>
      <sheetData sheetId="5097"/>
      <sheetData sheetId="5098"/>
      <sheetData sheetId="5099"/>
      <sheetData sheetId="5100"/>
      <sheetData sheetId="5101"/>
      <sheetData sheetId="5102"/>
      <sheetData sheetId="5103">
        <row r="36">
          <cell r="G36">
            <v>0</v>
          </cell>
        </row>
      </sheetData>
      <sheetData sheetId="5104">
        <row r="36">
          <cell r="G36">
            <v>0</v>
          </cell>
        </row>
      </sheetData>
      <sheetData sheetId="5105">
        <row r="7">
          <cell r="E7" t="str">
            <v>PT NEWCREST SUMATRA MINERALS</v>
          </cell>
        </row>
      </sheetData>
      <sheetData sheetId="5106">
        <row r="7">
          <cell r="E7" t="str">
            <v>PT NEWCREST SUMATRA MINERALS</v>
          </cell>
        </row>
      </sheetData>
      <sheetData sheetId="5107">
        <row r="7">
          <cell r="E7" t="str">
            <v>PT NEWCREST SUMATRA MINERALS</v>
          </cell>
        </row>
      </sheetData>
      <sheetData sheetId="5108">
        <row r="36">
          <cell r="G36">
            <v>0</v>
          </cell>
        </row>
      </sheetData>
      <sheetData sheetId="5109">
        <row r="36">
          <cell r="G36">
            <v>0</v>
          </cell>
        </row>
      </sheetData>
      <sheetData sheetId="5110">
        <row r="36">
          <cell r="G36">
            <v>0</v>
          </cell>
        </row>
      </sheetData>
      <sheetData sheetId="5111">
        <row r="36">
          <cell r="G36">
            <v>0</v>
          </cell>
        </row>
      </sheetData>
      <sheetData sheetId="5112">
        <row r="7">
          <cell r="E7" t="str">
            <v>PT NEWCREST SUMATRA MINERALS</v>
          </cell>
        </row>
      </sheetData>
      <sheetData sheetId="5113">
        <row r="36">
          <cell r="G36">
            <v>0</v>
          </cell>
        </row>
      </sheetData>
      <sheetData sheetId="5114"/>
      <sheetData sheetId="5115"/>
      <sheetData sheetId="5116">
        <row r="36">
          <cell r="G36">
            <v>0</v>
          </cell>
        </row>
      </sheetData>
      <sheetData sheetId="5117">
        <row r="36">
          <cell r="G36">
            <v>0</v>
          </cell>
        </row>
      </sheetData>
      <sheetData sheetId="5118">
        <row r="36">
          <cell r="G36">
            <v>0</v>
          </cell>
        </row>
      </sheetData>
      <sheetData sheetId="5119">
        <row r="36">
          <cell r="G36">
            <v>0</v>
          </cell>
        </row>
      </sheetData>
      <sheetData sheetId="5120">
        <row r="36">
          <cell r="G36">
            <v>0</v>
          </cell>
        </row>
      </sheetData>
      <sheetData sheetId="5121">
        <row r="36">
          <cell r="G36">
            <v>0</v>
          </cell>
        </row>
      </sheetData>
      <sheetData sheetId="5122">
        <row r="36">
          <cell r="G36">
            <v>0</v>
          </cell>
        </row>
      </sheetData>
      <sheetData sheetId="5123">
        <row r="36">
          <cell r="G36">
            <v>0</v>
          </cell>
        </row>
      </sheetData>
      <sheetData sheetId="5124">
        <row r="36">
          <cell r="G36">
            <v>0</v>
          </cell>
        </row>
      </sheetData>
      <sheetData sheetId="5125">
        <row r="36">
          <cell r="G36">
            <v>0</v>
          </cell>
        </row>
      </sheetData>
      <sheetData sheetId="5126">
        <row r="36">
          <cell r="G36">
            <v>0</v>
          </cell>
        </row>
      </sheetData>
      <sheetData sheetId="5127">
        <row r="36">
          <cell r="G36">
            <v>0</v>
          </cell>
        </row>
      </sheetData>
      <sheetData sheetId="5128">
        <row r="36">
          <cell r="G36">
            <v>0</v>
          </cell>
        </row>
      </sheetData>
      <sheetData sheetId="5129">
        <row r="36">
          <cell r="G36">
            <v>0</v>
          </cell>
        </row>
      </sheetData>
      <sheetData sheetId="5130">
        <row r="36">
          <cell r="G36">
            <v>0</v>
          </cell>
        </row>
      </sheetData>
      <sheetData sheetId="5131">
        <row r="36">
          <cell r="G36">
            <v>0</v>
          </cell>
        </row>
      </sheetData>
      <sheetData sheetId="5132">
        <row r="36">
          <cell r="G36">
            <v>0</v>
          </cell>
        </row>
      </sheetData>
      <sheetData sheetId="5133">
        <row r="36">
          <cell r="G36">
            <v>0</v>
          </cell>
        </row>
      </sheetData>
      <sheetData sheetId="5134">
        <row r="36">
          <cell r="G36">
            <v>0</v>
          </cell>
        </row>
      </sheetData>
      <sheetData sheetId="5135">
        <row r="36">
          <cell r="G36">
            <v>0</v>
          </cell>
        </row>
      </sheetData>
      <sheetData sheetId="5136">
        <row r="7">
          <cell r="E7" t="str">
            <v>PT NEWCREST SUMATRA MINERALS</v>
          </cell>
        </row>
      </sheetData>
      <sheetData sheetId="5137">
        <row r="7">
          <cell r="E7" t="str">
            <v>PT NEWCREST SUMATRA MINERALS</v>
          </cell>
        </row>
      </sheetData>
      <sheetData sheetId="5138">
        <row r="36">
          <cell r="G36">
            <v>0</v>
          </cell>
        </row>
      </sheetData>
      <sheetData sheetId="5139">
        <row r="36">
          <cell r="G36">
            <v>0</v>
          </cell>
        </row>
      </sheetData>
      <sheetData sheetId="5140">
        <row r="36">
          <cell r="G36">
            <v>0</v>
          </cell>
        </row>
      </sheetData>
      <sheetData sheetId="5141">
        <row r="36">
          <cell r="G36">
            <v>0</v>
          </cell>
        </row>
      </sheetData>
      <sheetData sheetId="5142">
        <row r="36">
          <cell r="G36">
            <v>0</v>
          </cell>
        </row>
      </sheetData>
      <sheetData sheetId="5143">
        <row r="36">
          <cell r="G36">
            <v>0</v>
          </cell>
        </row>
      </sheetData>
      <sheetData sheetId="5144">
        <row r="36">
          <cell r="G36">
            <v>0</v>
          </cell>
        </row>
      </sheetData>
      <sheetData sheetId="5145">
        <row r="36">
          <cell r="G36">
            <v>0</v>
          </cell>
        </row>
      </sheetData>
      <sheetData sheetId="5146">
        <row r="36">
          <cell r="G36">
            <v>0</v>
          </cell>
        </row>
      </sheetData>
      <sheetData sheetId="5147">
        <row r="36">
          <cell r="G36">
            <v>0</v>
          </cell>
        </row>
      </sheetData>
      <sheetData sheetId="5148">
        <row r="36">
          <cell r="G36">
            <v>0</v>
          </cell>
        </row>
      </sheetData>
      <sheetData sheetId="5149">
        <row r="36">
          <cell r="G36">
            <v>0</v>
          </cell>
        </row>
      </sheetData>
      <sheetData sheetId="5150">
        <row r="36">
          <cell r="G36">
            <v>0</v>
          </cell>
        </row>
      </sheetData>
      <sheetData sheetId="5151">
        <row r="36">
          <cell r="G36">
            <v>0</v>
          </cell>
        </row>
      </sheetData>
      <sheetData sheetId="5152">
        <row r="36">
          <cell r="G36">
            <v>0</v>
          </cell>
        </row>
      </sheetData>
      <sheetData sheetId="5153">
        <row r="36">
          <cell r="G36">
            <v>0</v>
          </cell>
        </row>
      </sheetData>
      <sheetData sheetId="5154">
        <row r="36">
          <cell r="G36">
            <v>0</v>
          </cell>
        </row>
      </sheetData>
      <sheetData sheetId="5155">
        <row r="36">
          <cell r="G36">
            <v>0</v>
          </cell>
        </row>
      </sheetData>
      <sheetData sheetId="5156">
        <row r="36">
          <cell r="G36">
            <v>0</v>
          </cell>
        </row>
      </sheetData>
      <sheetData sheetId="5157">
        <row r="36">
          <cell r="G36">
            <v>0</v>
          </cell>
        </row>
      </sheetData>
      <sheetData sheetId="5158">
        <row r="36">
          <cell r="G36">
            <v>0</v>
          </cell>
        </row>
      </sheetData>
      <sheetData sheetId="5159">
        <row r="36">
          <cell r="G36">
            <v>0</v>
          </cell>
        </row>
      </sheetData>
      <sheetData sheetId="5160">
        <row r="36">
          <cell r="G36">
            <v>0</v>
          </cell>
        </row>
      </sheetData>
      <sheetData sheetId="5161">
        <row r="36">
          <cell r="G36">
            <v>0</v>
          </cell>
        </row>
      </sheetData>
      <sheetData sheetId="5162">
        <row r="36">
          <cell r="G36">
            <v>0</v>
          </cell>
        </row>
      </sheetData>
      <sheetData sheetId="5163">
        <row r="36">
          <cell r="G36">
            <v>0</v>
          </cell>
        </row>
      </sheetData>
      <sheetData sheetId="5164">
        <row r="36">
          <cell r="G36">
            <v>0</v>
          </cell>
        </row>
      </sheetData>
      <sheetData sheetId="5165">
        <row r="36">
          <cell r="G36">
            <v>0</v>
          </cell>
        </row>
      </sheetData>
      <sheetData sheetId="5166">
        <row r="36">
          <cell r="G36">
            <v>0</v>
          </cell>
        </row>
      </sheetData>
      <sheetData sheetId="5167">
        <row r="36">
          <cell r="G36">
            <v>0</v>
          </cell>
        </row>
      </sheetData>
      <sheetData sheetId="5168">
        <row r="36">
          <cell r="G36">
            <v>0</v>
          </cell>
        </row>
      </sheetData>
      <sheetData sheetId="5169">
        <row r="36">
          <cell r="G36">
            <v>0</v>
          </cell>
        </row>
      </sheetData>
      <sheetData sheetId="5170">
        <row r="36">
          <cell r="G36">
            <v>0</v>
          </cell>
        </row>
      </sheetData>
      <sheetData sheetId="5171">
        <row r="36">
          <cell r="G36">
            <v>0</v>
          </cell>
        </row>
      </sheetData>
      <sheetData sheetId="5172">
        <row r="36">
          <cell r="G36">
            <v>0</v>
          </cell>
        </row>
      </sheetData>
      <sheetData sheetId="5173">
        <row r="36">
          <cell r="G36">
            <v>0</v>
          </cell>
        </row>
      </sheetData>
      <sheetData sheetId="5174">
        <row r="36">
          <cell r="G36">
            <v>0</v>
          </cell>
        </row>
      </sheetData>
      <sheetData sheetId="5175">
        <row r="36">
          <cell r="G36">
            <v>0</v>
          </cell>
        </row>
      </sheetData>
      <sheetData sheetId="5176">
        <row r="36">
          <cell r="G36">
            <v>0</v>
          </cell>
        </row>
      </sheetData>
      <sheetData sheetId="5177">
        <row r="36">
          <cell r="G36">
            <v>0</v>
          </cell>
        </row>
      </sheetData>
      <sheetData sheetId="5178">
        <row r="36">
          <cell r="G36">
            <v>0</v>
          </cell>
        </row>
      </sheetData>
      <sheetData sheetId="5179">
        <row r="36">
          <cell r="G36">
            <v>0</v>
          </cell>
        </row>
      </sheetData>
      <sheetData sheetId="5180">
        <row r="36">
          <cell r="G36">
            <v>0</v>
          </cell>
        </row>
      </sheetData>
      <sheetData sheetId="5181">
        <row r="36">
          <cell r="G36">
            <v>0</v>
          </cell>
        </row>
      </sheetData>
      <sheetData sheetId="5182">
        <row r="36">
          <cell r="G36">
            <v>0</v>
          </cell>
        </row>
      </sheetData>
      <sheetData sheetId="5183">
        <row r="36">
          <cell r="G36">
            <v>0</v>
          </cell>
        </row>
      </sheetData>
      <sheetData sheetId="5184">
        <row r="36">
          <cell r="G36">
            <v>0</v>
          </cell>
        </row>
      </sheetData>
      <sheetData sheetId="5185">
        <row r="36">
          <cell r="G36">
            <v>0</v>
          </cell>
        </row>
      </sheetData>
      <sheetData sheetId="5186">
        <row r="36">
          <cell r="G36">
            <v>0</v>
          </cell>
        </row>
      </sheetData>
      <sheetData sheetId="5187">
        <row r="36">
          <cell r="G36">
            <v>0</v>
          </cell>
        </row>
      </sheetData>
      <sheetData sheetId="5188">
        <row r="36">
          <cell r="G36">
            <v>0</v>
          </cell>
        </row>
      </sheetData>
      <sheetData sheetId="5189">
        <row r="36">
          <cell r="G36">
            <v>0</v>
          </cell>
        </row>
      </sheetData>
      <sheetData sheetId="5190">
        <row r="36">
          <cell r="G36">
            <v>0</v>
          </cell>
        </row>
      </sheetData>
      <sheetData sheetId="5191">
        <row r="36">
          <cell r="G36">
            <v>0</v>
          </cell>
        </row>
      </sheetData>
      <sheetData sheetId="5192">
        <row r="36">
          <cell r="G36">
            <v>0</v>
          </cell>
        </row>
      </sheetData>
      <sheetData sheetId="5193">
        <row r="36">
          <cell r="G36">
            <v>0</v>
          </cell>
        </row>
      </sheetData>
      <sheetData sheetId="5194">
        <row r="36">
          <cell r="G36">
            <v>0</v>
          </cell>
        </row>
      </sheetData>
      <sheetData sheetId="5195">
        <row r="36">
          <cell r="G36">
            <v>0</v>
          </cell>
        </row>
      </sheetData>
      <sheetData sheetId="5196">
        <row r="36">
          <cell r="G36">
            <v>0</v>
          </cell>
        </row>
      </sheetData>
      <sheetData sheetId="5197">
        <row r="36">
          <cell r="G36">
            <v>0</v>
          </cell>
        </row>
      </sheetData>
      <sheetData sheetId="5198">
        <row r="36">
          <cell r="G36">
            <v>0</v>
          </cell>
        </row>
      </sheetData>
      <sheetData sheetId="5199">
        <row r="7">
          <cell r="E7" t="str">
            <v>PT NEWCREST SUMATRA MINERALS</v>
          </cell>
        </row>
      </sheetData>
      <sheetData sheetId="5200">
        <row r="36">
          <cell r="G36">
            <v>0</v>
          </cell>
        </row>
      </sheetData>
      <sheetData sheetId="5201">
        <row r="36">
          <cell r="G36">
            <v>0</v>
          </cell>
        </row>
      </sheetData>
      <sheetData sheetId="5202">
        <row r="36">
          <cell r="G36">
            <v>0</v>
          </cell>
        </row>
      </sheetData>
      <sheetData sheetId="5203">
        <row r="36">
          <cell r="G36">
            <v>0</v>
          </cell>
        </row>
      </sheetData>
      <sheetData sheetId="5204">
        <row r="36">
          <cell r="G36">
            <v>0</v>
          </cell>
        </row>
      </sheetData>
      <sheetData sheetId="5205">
        <row r="36">
          <cell r="G36">
            <v>0</v>
          </cell>
        </row>
      </sheetData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>
        <row r="7">
          <cell r="E7" t="str">
            <v>PT NEWCREST SUMATRA MINERALS</v>
          </cell>
        </row>
      </sheetData>
      <sheetData sheetId="5237"/>
      <sheetData sheetId="5238"/>
      <sheetData sheetId="5239"/>
      <sheetData sheetId="5240"/>
      <sheetData sheetId="5241"/>
      <sheetData sheetId="5242"/>
      <sheetData sheetId="5243"/>
      <sheetData sheetId="5244">
        <row r="36">
          <cell r="G36">
            <v>0</v>
          </cell>
        </row>
      </sheetData>
      <sheetData sheetId="5245"/>
      <sheetData sheetId="5246"/>
      <sheetData sheetId="5247"/>
      <sheetData sheetId="5248"/>
      <sheetData sheetId="5249">
        <row r="36">
          <cell r="G36">
            <v>0</v>
          </cell>
        </row>
      </sheetData>
      <sheetData sheetId="5250"/>
      <sheetData sheetId="5251">
        <row r="36">
          <cell r="G36">
            <v>0</v>
          </cell>
        </row>
      </sheetData>
      <sheetData sheetId="5252">
        <row r="36">
          <cell r="G36">
            <v>0</v>
          </cell>
        </row>
      </sheetData>
      <sheetData sheetId="5253">
        <row r="36">
          <cell r="G36">
            <v>0</v>
          </cell>
        </row>
      </sheetData>
      <sheetData sheetId="5254">
        <row r="36">
          <cell r="G36">
            <v>0</v>
          </cell>
        </row>
      </sheetData>
      <sheetData sheetId="5255">
        <row r="36">
          <cell r="G36">
            <v>0</v>
          </cell>
        </row>
      </sheetData>
      <sheetData sheetId="5256">
        <row r="36">
          <cell r="G36">
            <v>0</v>
          </cell>
        </row>
      </sheetData>
      <sheetData sheetId="5257">
        <row r="36">
          <cell r="G36">
            <v>0</v>
          </cell>
        </row>
      </sheetData>
      <sheetData sheetId="5258">
        <row r="36">
          <cell r="G36">
            <v>0</v>
          </cell>
        </row>
      </sheetData>
      <sheetData sheetId="5259">
        <row r="36">
          <cell r="G36">
            <v>0</v>
          </cell>
        </row>
      </sheetData>
      <sheetData sheetId="5260">
        <row r="36">
          <cell r="G36">
            <v>0</v>
          </cell>
        </row>
      </sheetData>
      <sheetData sheetId="5261">
        <row r="36">
          <cell r="G36">
            <v>0</v>
          </cell>
        </row>
      </sheetData>
      <sheetData sheetId="5262">
        <row r="36">
          <cell r="G36">
            <v>0</v>
          </cell>
        </row>
      </sheetData>
      <sheetData sheetId="5263"/>
      <sheetData sheetId="5264"/>
      <sheetData sheetId="5265">
        <row r="36">
          <cell r="G36">
            <v>0</v>
          </cell>
        </row>
      </sheetData>
      <sheetData sheetId="5266"/>
      <sheetData sheetId="5267">
        <row r="36">
          <cell r="G36">
            <v>0</v>
          </cell>
        </row>
      </sheetData>
      <sheetData sheetId="5268">
        <row r="36">
          <cell r="G36">
            <v>0</v>
          </cell>
        </row>
      </sheetData>
      <sheetData sheetId="5269">
        <row r="36">
          <cell r="G36">
            <v>0</v>
          </cell>
        </row>
      </sheetData>
      <sheetData sheetId="5270">
        <row r="36">
          <cell r="G36">
            <v>0</v>
          </cell>
        </row>
      </sheetData>
      <sheetData sheetId="5271">
        <row r="36">
          <cell r="G36">
            <v>0</v>
          </cell>
        </row>
      </sheetData>
      <sheetData sheetId="5272">
        <row r="36">
          <cell r="G36">
            <v>0</v>
          </cell>
        </row>
      </sheetData>
      <sheetData sheetId="5273">
        <row r="36">
          <cell r="G36">
            <v>0</v>
          </cell>
        </row>
      </sheetData>
      <sheetData sheetId="5274">
        <row r="36">
          <cell r="G36">
            <v>0</v>
          </cell>
        </row>
      </sheetData>
      <sheetData sheetId="5275">
        <row r="36">
          <cell r="G36">
            <v>0</v>
          </cell>
        </row>
      </sheetData>
      <sheetData sheetId="5276">
        <row r="36">
          <cell r="G36">
            <v>0</v>
          </cell>
        </row>
      </sheetData>
      <sheetData sheetId="5277">
        <row r="36">
          <cell r="G36">
            <v>0</v>
          </cell>
        </row>
      </sheetData>
      <sheetData sheetId="5278">
        <row r="36">
          <cell r="G36">
            <v>0</v>
          </cell>
        </row>
      </sheetData>
      <sheetData sheetId="5279">
        <row r="36">
          <cell r="G36">
            <v>0</v>
          </cell>
        </row>
      </sheetData>
      <sheetData sheetId="5280">
        <row r="36">
          <cell r="G36">
            <v>0</v>
          </cell>
        </row>
      </sheetData>
      <sheetData sheetId="5281">
        <row r="36">
          <cell r="G36">
            <v>0</v>
          </cell>
        </row>
      </sheetData>
      <sheetData sheetId="5282">
        <row r="36">
          <cell r="G36">
            <v>0</v>
          </cell>
        </row>
      </sheetData>
      <sheetData sheetId="5283">
        <row r="36">
          <cell r="G36">
            <v>0</v>
          </cell>
        </row>
      </sheetData>
      <sheetData sheetId="5284">
        <row r="36">
          <cell r="G36">
            <v>0</v>
          </cell>
        </row>
      </sheetData>
      <sheetData sheetId="5285">
        <row r="36">
          <cell r="G36">
            <v>0</v>
          </cell>
        </row>
      </sheetData>
      <sheetData sheetId="5286">
        <row r="36">
          <cell r="G36">
            <v>0</v>
          </cell>
        </row>
      </sheetData>
      <sheetData sheetId="5287">
        <row r="36">
          <cell r="G36">
            <v>0</v>
          </cell>
        </row>
      </sheetData>
      <sheetData sheetId="5288">
        <row r="36">
          <cell r="G36">
            <v>0</v>
          </cell>
        </row>
      </sheetData>
      <sheetData sheetId="5289">
        <row r="36">
          <cell r="G36">
            <v>0</v>
          </cell>
        </row>
      </sheetData>
      <sheetData sheetId="5290">
        <row r="36">
          <cell r="G36">
            <v>0</v>
          </cell>
        </row>
      </sheetData>
      <sheetData sheetId="5291">
        <row r="36">
          <cell r="G36">
            <v>0</v>
          </cell>
        </row>
      </sheetData>
      <sheetData sheetId="5292">
        <row r="36">
          <cell r="G36">
            <v>0</v>
          </cell>
        </row>
      </sheetData>
      <sheetData sheetId="5293">
        <row r="36">
          <cell r="G36">
            <v>0</v>
          </cell>
        </row>
      </sheetData>
      <sheetData sheetId="5294">
        <row r="36">
          <cell r="G36">
            <v>0</v>
          </cell>
        </row>
      </sheetData>
      <sheetData sheetId="5295">
        <row r="36">
          <cell r="G36">
            <v>0</v>
          </cell>
        </row>
      </sheetData>
      <sheetData sheetId="5296">
        <row r="36">
          <cell r="G36">
            <v>0</v>
          </cell>
        </row>
      </sheetData>
      <sheetData sheetId="5297">
        <row r="36">
          <cell r="G36">
            <v>0</v>
          </cell>
        </row>
      </sheetData>
      <sheetData sheetId="5298">
        <row r="36">
          <cell r="G36">
            <v>0</v>
          </cell>
        </row>
      </sheetData>
      <sheetData sheetId="5299">
        <row r="36">
          <cell r="G36">
            <v>0</v>
          </cell>
        </row>
      </sheetData>
      <sheetData sheetId="5300">
        <row r="36">
          <cell r="G36">
            <v>0</v>
          </cell>
        </row>
      </sheetData>
      <sheetData sheetId="5301">
        <row r="36">
          <cell r="G36">
            <v>0</v>
          </cell>
        </row>
      </sheetData>
      <sheetData sheetId="5302">
        <row r="36">
          <cell r="G36">
            <v>0</v>
          </cell>
        </row>
      </sheetData>
      <sheetData sheetId="5303">
        <row r="36">
          <cell r="G36">
            <v>0</v>
          </cell>
        </row>
      </sheetData>
      <sheetData sheetId="5304">
        <row r="36">
          <cell r="G36">
            <v>0</v>
          </cell>
        </row>
      </sheetData>
      <sheetData sheetId="5305">
        <row r="36">
          <cell r="G36">
            <v>0</v>
          </cell>
        </row>
      </sheetData>
      <sheetData sheetId="5306">
        <row r="36">
          <cell r="G36">
            <v>0</v>
          </cell>
        </row>
      </sheetData>
      <sheetData sheetId="5307">
        <row r="36">
          <cell r="G36">
            <v>0</v>
          </cell>
        </row>
      </sheetData>
      <sheetData sheetId="5308">
        <row r="36">
          <cell r="G36">
            <v>0</v>
          </cell>
        </row>
      </sheetData>
      <sheetData sheetId="5309">
        <row r="36">
          <cell r="G36">
            <v>0</v>
          </cell>
        </row>
      </sheetData>
      <sheetData sheetId="5310">
        <row r="36">
          <cell r="G36">
            <v>0</v>
          </cell>
        </row>
      </sheetData>
      <sheetData sheetId="5311">
        <row r="36">
          <cell r="G36">
            <v>0</v>
          </cell>
        </row>
      </sheetData>
      <sheetData sheetId="5312">
        <row r="36">
          <cell r="G36">
            <v>0</v>
          </cell>
        </row>
      </sheetData>
      <sheetData sheetId="5313">
        <row r="36">
          <cell r="G36">
            <v>0</v>
          </cell>
        </row>
      </sheetData>
      <sheetData sheetId="5314">
        <row r="36">
          <cell r="G36">
            <v>0</v>
          </cell>
        </row>
      </sheetData>
      <sheetData sheetId="5315">
        <row r="36">
          <cell r="G36">
            <v>0</v>
          </cell>
        </row>
      </sheetData>
      <sheetData sheetId="5316">
        <row r="36">
          <cell r="G36">
            <v>0</v>
          </cell>
        </row>
      </sheetData>
      <sheetData sheetId="5317">
        <row r="36">
          <cell r="G36">
            <v>0</v>
          </cell>
        </row>
      </sheetData>
      <sheetData sheetId="5318">
        <row r="36">
          <cell r="G36">
            <v>0</v>
          </cell>
        </row>
      </sheetData>
      <sheetData sheetId="5319">
        <row r="36">
          <cell r="G36">
            <v>0</v>
          </cell>
        </row>
      </sheetData>
      <sheetData sheetId="5320">
        <row r="36">
          <cell r="G36">
            <v>0</v>
          </cell>
        </row>
      </sheetData>
      <sheetData sheetId="5321">
        <row r="36">
          <cell r="G36">
            <v>0</v>
          </cell>
        </row>
      </sheetData>
      <sheetData sheetId="5322">
        <row r="36">
          <cell r="G36">
            <v>0</v>
          </cell>
        </row>
      </sheetData>
      <sheetData sheetId="5323">
        <row r="36">
          <cell r="G36">
            <v>0</v>
          </cell>
        </row>
      </sheetData>
      <sheetData sheetId="5324">
        <row r="36">
          <cell r="G36">
            <v>0</v>
          </cell>
        </row>
      </sheetData>
      <sheetData sheetId="5325">
        <row r="36">
          <cell r="G36">
            <v>0</v>
          </cell>
        </row>
      </sheetData>
      <sheetData sheetId="5326">
        <row r="36">
          <cell r="G36">
            <v>0</v>
          </cell>
        </row>
      </sheetData>
      <sheetData sheetId="5327">
        <row r="36">
          <cell r="G36">
            <v>0</v>
          </cell>
        </row>
      </sheetData>
      <sheetData sheetId="5328">
        <row r="36">
          <cell r="G36">
            <v>0</v>
          </cell>
        </row>
      </sheetData>
      <sheetData sheetId="5329">
        <row r="36">
          <cell r="G36">
            <v>0</v>
          </cell>
        </row>
      </sheetData>
      <sheetData sheetId="5330">
        <row r="36">
          <cell r="G36">
            <v>0</v>
          </cell>
        </row>
      </sheetData>
      <sheetData sheetId="5331">
        <row r="36">
          <cell r="G36">
            <v>0</v>
          </cell>
        </row>
      </sheetData>
      <sheetData sheetId="5332">
        <row r="36">
          <cell r="G36">
            <v>0</v>
          </cell>
        </row>
      </sheetData>
      <sheetData sheetId="5333">
        <row r="36">
          <cell r="G36">
            <v>0</v>
          </cell>
        </row>
      </sheetData>
      <sheetData sheetId="5334">
        <row r="36">
          <cell r="G36">
            <v>0</v>
          </cell>
        </row>
      </sheetData>
      <sheetData sheetId="5335">
        <row r="36">
          <cell r="G36">
            <v>0</v>
          </cell>
        </row>
      </sheetData>
      <sheetData sheetId="5336"/>
      <sheetData sheetId="5337">
        <row r="36">
          <cell r="G36">
            <v>0</v>
          </cell>
        </row>
      </sheetData>
      <sheetData sheetId="5338">
        <row r="36">
          <cell r="G36">
            <v>0</v>
          </cell>
        </row>
      </sheetData>
      <sheetData sheetId="5339"/>
      <sheetData sheetId="5340">
        <row r="36">
          <cell r="G36">
            <v>0</v>
          </cell>
        </row>
      </sheetData>
      <sheetData sheetId="5341">
        <row r="36">
          <cell r="G36">
            <v>0</v>
          </cell>
        </row>
      </sheetData>
      <sheetData sheetId="5342">
        <row r="36">
          <cell r="G36">
            <v>0</v>
          </cell>
        </row>
      </sheetData>
      <sheetData sheetId="5343">
        <row r="36">
          <cell r="G36">
            <v>0</v>
          </cell>
        </row>
      </sheetData>
      <sheetData sheetId="5344">
        <row r="36">
          <cell r="G36">
            <v>0</v>
          </cell>
        </row>
      </sheetData>
      <sheetData sheetId="5345">
        <row r="36">
          <cell r="G36">
            <v>0</v>
          </cell>
        </row>
      </sheetData>
      <sheetData sheetId="5346">
        <row r="36">
          <cell r="G36">
            <v>0</v>
          </cell>
        </row>
      </sheetData>
      <sheetData sheetId="5347">
        <row r="36">
          <cell r="G36">
            <v>0</v>
          </cell>
        </row>
      </sheetData>
      <sheetData sheetId="5348">
        <row r="36">
          <cell r="G36">
            <v>0</v>
          </cell>
        </row>
      </sheetData>
      <sheetData sheetId="5349">
        <row r="36">
          <cell r="G36">
            <v>0</v>
          </cell>
        </row>
      </sheetData>
      <sheetData sheetId="5350">
        <row r="36">
          <cell r="G36">
            <v>0</v>
          </cell>
        </row>
      </sheetData>
      <sheetData sheetId="5351">
        <row r="36">
          <cell r="G36">
            <v>0</v>
          </cell>
        </row>
      </sheetData>
      <sheetData sheetId="5352">
        <row r="36">
          <cell r="G36">
            <v>0</v>
          </cell>
        </row>
      </sheetData>
      <sheetData sheetId="5353">
        <row r="36">
          <cell r="G36">
            <v>0</v>
          </cell>
        </row>
      </sheetData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>
        <row r="36">
          <cell r="G36">
            <v>0</v>
          </cell>
        </row>
      </sheetData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>
        <row r="36">
          <cell r="G36">
            <v>0</v>
          </cell>
        </row>
      </sheetData>
      <sheetData sheetId="5393"/>
      <sheetData sheetId="5394"/>
      <sheetData sheetId="5395"/>
      <sheetData sheetId="5396"/>
      <sheetData sheetId="5397">
        <row r="36">
          <cell r="G36">
            <v>0</v>
          </cell>
        </row>
      </sheetData>
      <sheetData sheetId="5398"/>
      <sheetData sheetId="5399"/>
      <sheetData sheetId="5400">
        <row r="36">
          <cell r="G36">
            <v>0</v>
          </cell>
        </row>
      </sheetData>
      <sheetData sheetId="5401"/>
      <sheetData sheetId="5402"/>
      <sheetData sheetId="5403">
        <row r="36">
          <cell r="G36">
            <v>0</v>
          </cell>
        </row>
      </sheetData>
      <sheetData sheetId="5404">
        <row r="36">
          <cell r="G36">
            <v>0</v>
          </cell>
        </row>
      </sheetData>
      <sheetData sheetId="5405">
        <row r="36">
          <cell r="G36">
            <v>0</v>
          </cell>
        </row>
      </sheetData>
      <sheetData sheetId="5406">
        <row r="36">
          <cell r="G36">
            <v>0</v>
          </cell>
        </row>
      </sheetData>
      <sheetData sheetId="5407">
        <row r="36">
          <cell r="G36">
            <v>0</v>
          </cell>
        </row>
      </sheetData>
      <sheetData sheetId="5408">
        <row r="36">
          <cell r="G36">
            <v>0</v>
          </cell>
        </row>
      </sheetData>
      <sheetData sheetId="5409">
        <row r="36">
          <cell r="G36">
            <v>0</v>
          </cell>
        </row>
      </sheetData>
      <sheetData sheetId="5410">
        <row r="36">
          <cell r="G36">
            <v>0</v>
          </cell>
        </row>
      </sheetData>
      <sheetData sheetId="5411"/>
      <sheetData sheetId="5412"/>
      <sheetData sheetId="5413">
        <row r="36">
          <cell r="G36">
            <v>0</v>
          </cell>
        </row>
      </sheetData>
      <sheetData sheetId="5414"/>
      <sheetData sheetId="5415">
        <row r="36">
          <cell r="G36">
            <v>0</v>
          </cell>
        </row>
      </sheetData>
      <sheetData sheetId="5416">
        <row r="36">
          <cell r="G36">
            <v>0</v>
          </cell>
        </row>
      </sheetData>
      <sheetData sheetId="5417">
        <row r="36">
          <cell r="G36">
            <v>0</v>
          </cell>
        </row>
      </sheetData>
      <sheetData sheetId="5418">
        <row r="36">
          <cell r="G36">
            <v>0</v>
          </cell>
        </row>
      </sheetData>
      <sheetData sheetId="5419">
        <row r="36">
          <cell r="G36">
            <v>0</v>
          </cell>
        </row>
      </sheetData>
      <sheetData sheetId="5420">
        <row r="7">
          <cell r="E7" t="str">
            <v>PT NEWCREST SUMATRA MINERALS</v>
          </cell>
        </row>
      </sheetData>
      <sheetData sheetId="5421">
        <row r="36">
          <cell r="G36">
            <v>0</v>
          </cell>
        </row>
      </sheetData>
      <sheetData sheetId="5422">
        <row r="36">
          <cell r="G36">
            <v>0</v>
          </cell>
        </row>
      </sheetData>
      <sheetData sheetId="5423">
        <row r="36">
          <cell r="G36">
            <v>0</v>
          </cell>
        </row>
      </sheetData>
      <sheetData sheetId="5424">
        <row r="36">
          <cell r="G36">
            <v>0</v>
          </cell>
        </row>
      </sheetData>
      <sheetData sheetId="5425">
        <row r="36">
          <cell r="G36">
            <v>0</v>
          </cell>
        </row>
      </sheetData>
      <sheetData sheetId="5426">
        <row r="36">
          <cell r="G36">
            <v>0</v>
          </cell>
        </row>
      </sheetData>
      <sheetData sheetId="5427">
        <row r="36">
          <cell r="G36">
            <v>0</v>
          </cell>
        </row>
      </sheetData>
      <sheetData sheetId="5428">
        <row r="36">
          <cell r="G36">
            <v>0</v>
          </cell>
        </row>
      </sheetData>
      <sheetData sheetId="5429">
        <row r="36">
          <cell r="G36">
            <v>0</v>
          </cell>
        </row>
      </sheetData>
      <sheetData sheetId="5430">
        <row r="36">
          <cell r="G36">
            <v>0</v>
          </cell>
        </row>
      </sheetData>
      <sheetData sheetId="5431">
        <row r="36">
          <cell r="G36">
            <v>0</v>
          </cell>
        </row>
      </sheetData>
      <sheetData sheetId="5432">
        <row r="36">
          <cell r="G36">
            <v>0</v>
          </cell>
        </row>
      </sheetData>
      <sheetData sheetId="5433">
        <row r="36">
          <cell r="G36">
            <v>0</v>
          </cell>
        </row>
      </sheetData>
      <sheetData sheetId="5434">
        <row r="7">
          <cell r="E7" t="str">
            <v>PT NEWCREST SUMATRA MINERALS</v>
          </cell>
        </row>
      </sheetData>
      <sheetData sheetId="5435">
        <row r="36">
          <cell r="G36">
            <v>0</v>
          </cell>
        </row>
      </sheetData>
      <sheetData sheetId="5436">
        <row r="36">
          <cell r="G36">
            <v>0</v>
          </cell>
        </row>
      </sheetData>
      <sheetData sheetId="5437">
        <row r="36">
          <cell r="G36">
            <v>0</v>
          </cell>
        </row>
      </sheetData>
      <sheetData sheetId="5438">
        <row r="36">
          <cell r="G36">
            <v>0</v>
          </cell>
        </row>
      </sheetData>
      <sheetData sheetId="5439">
        <row r="36">
          <cell r="G36">
            <v>0</v>
          </cell>
        </row>
      </sheetData>
      <sheetData sheetId="5440">
        <row r="36">
          <cell r="G36">
            <v>0</v>
          </cell>
        </row>
      </sheetData>
      <sheetData sheetId="5441">
        <row r="36">
          <cell r="G36">
            <v>0</v>
          </cell>
        </row>
      </sheetData>
      <sheetData sheetId="5442">
        <row r="36">
          <cell r="G36">
            <v>0</v>
          </cell>
        </row>
      </sheetData>
      <sheetData sheetId="5443">
        <row r="36">
          <cell r="G36">
            <v>0</v>
          </cell>
        </row>
      </sheetData>
      <sheetData sheetId="5444">
        <row r="36">
          <cell r="G36">
            <v>0</v>
          </cell>
        </row>
      </sheetData>
      <sheetData sheetId="5445">
        <row r="36">
          <cell r="G36">
            <v>0</v>
          </cell>
        </row>
      </sheetData>
      <sheetData sheetId="5446">
        <row r="36">
          <cell r="G36">
            <v>0</v>
          </cell>
        </row>
      </sheetData>
      <sheetData sheetId="5447">
        <row r="36">
          <cell r="G36">
            <v>0</v>
          </cell>
        </row>
      </sheetData>
      <sheetData sheetId="5448">
        <row r="36">
          <cell r="G36">
            <v>0</v>
          </cell>
        </row>
      </sheetData>
      <sheetData sheetId="5449">
        <row r="36">
          <cell r="G36">
            <v>0</v>
          </cell>
        </row>
      </sheetData>
      <sheetData sheetId="5450">
        <row r="36">
          <cell r="G36">
            <v>0</v>
          </cell>
        </row>
      </sheetData>
      <sheetData sheetId="5451">
        <row r="36">
          <cell r="G36">
            <v>0</v>
          </cell>
        </row>
      </sheetData>
      <sheetData sheetId="5452">
        <row r="36">
          <cell r="G36">
            <v>0</v>
          </cell>
        </row>
      </sheetData>
      <sheetData sheetId="5453">
        <row r="7">
          <cell r="E7" t="str">
            <v>PT NEWCREST SUMATRA MINERALS</v>
          </cell>
        </row>
      </sheetData>
      <sheetData sheetId="5454"/>
      <sheetData sheetId="5455">
        <row r="7">
          <cell r="E7" t="str">
            <v>PT NEWCREST SUMATRA MINERALS</v>
          </cell>
        </row>
      </sheetData>
      <sheetData sheetId="5456">
        <row r="7">
          <cell r="E7" t="str">
            <v>PT NEWCREST SUMATRA MINERALS</v>
          </cell>
        </row>
      </sheetData>
      <sheetData sheetId="5457"/>
      <sheetData sheetId="5458">
        <row r="36">
          <cell r="G36">
            <v>0</v>
          </cell>
        </row>
      </sheetData>
      <sheetData sheetId="5459">
        <row r="7">
          <cell r="E7" t="str">
            <v>PT NEWCREST SUMATRA MINERALS</v>
          </cell>
        </row>
      </sheetData>
      <sheetData sheetId="5460">
        <row r="7">
          <cell r="E7" t="str">
            <v>PT NEWCREST SUMATRA MINERALS</v>
          </cell>
        </row>
      </sheetData>
      <sheetData sheetId="5461">
        <row r="36">
          <cell r="G36">
            <v>0</v>
          </cell>
        </row>
      </sheetData>
      <sheetData sheetId="5462">
        <row r="36">
          <cell r="G36">
            <v>0</v>
          </cell>
        </row>
      </sheetData>
      <sheetData sheetId="5463">
        <row r="36">
          <cell r="G36">
            <v>0</v>
          </cell>
        </row>
      </sheetData>
      <sheetData sheetId="5464">
        <row r="36">
          <cell r="G36">
            <v>0</v>
          </cell>
        </row>
      </sheetData>
      <sheetData sheetId="5465">
        <row r="36">
          <cell r="G36">
            <v>0</v>
          </cell>
        </row>
      </sheetData>
      <sheetData sheetId="5466">
        <row r="36">
          <cell r="G36">
            <v>0</v>
          </cell>
        </row>
      </sheetData>
      <sheetData sheetId="5467">
        <row r="36">
          <cell r="G36">
            <v>0</v>
          </cell>
        </row>
      </sheetData>
      <sheetData sheetId="5468">
        <row r="36">
          <cell r="G36">
            <v>0</v>
          </cell>
        </row>
      </sheetData>
      <sheetData sheetId="5469">
        <row r="36">
          <cell r="G36">
            <v>0</v>
          </cell>
        </row>
      </sheetData>
      <sheetData sheetId="5470">
        <row r="36">
          <cell r="G36">
            <v>0</v>
          </cell>
        </row>
      </sheetData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>
        <row r="36">
          <cell r="G36">
            <v>0</v>
          </cell>
        </row>
      </sheetData>
      <sheetData sheetId="5486">
        <row r="36">
          <cell r="G36">
            <v>0</v>
          </cell>
        </row>
      </sheetData>
      <sheetData sheetId="5487"/>
      <sheetData sheetId="5488">
        <row r="36">
          <cell r="G36">
            <v>0</v>
          </cell>
        </row>
      </sheetData>
      <sheetData sheetId="5489">
        <row r="36">
          <cell r="G36">
            <v>0</v>
          </cell>
        </row>
      </sheetData>
      <sheetData sheetId="5490">
        <row r="36">
          <cell r="G36">
            <v>0</v>
          </cell>
        </row>
      </sheetData>
      <sheetData sheetId="5491">
        <row r="36">
          <cell r="G36">
            <v>0</v>
          </cell>
        </row>
      </sheetData>
      <sheetData sheetId="5492">
        <row r="36">
          <cell r="G36">
            <v>0</v>
          </cell>
        </row>
      </sheetData>
      <sheetData sheetId="5493">
        <row r="36">
          <cell r="G36">
            <v>0</v>
          </cell>
        </row>
      </sheetData>
      <sheetData sheetId="5494">
        <row r="36">
          <cell r="G36">
            <v>0</v>
          </cell>
        </row>
      </sheetData>
      <sheetData sheetId="5495">
        <row r="36">
          <cell r="G36">
            <v>0</v>
          </cell>
        </row>
      </sheetData>
      <sheetData sheetId="5496"/>
      <sheetData sheetId="5497">
        <row r="7">
          <cell r="E7" t="str">
            <v>PT NEWCREST SUMATRA MINERALS</v>
          </cell>
        </row>
      </sheetData>
      <sheetData sheetId="5498">
        <row r="7">
          <cell r="E7" t="str">
            <v>PT NEWCREST SUMATRA MINERALS</v>
          </cell>
        </row>
      </sheetData>
      <sheetData sheetId="5499">
        <row r="7">
          <cell r="E7" t="str">
            <v>PT NEWCREST SUMATRA MINERALS</v>
          </cell>
        </row>
      </sheetData>
      <sheetData sheetId="5500"/>
      <sheetData sheetId="5501"/>
      <sheetData sheetId="5502">
        <row r="7">
          <cell r="E7" t="str">
            <v>PT NEWCREST SUMATRA MINERALS</v>
          </cell>
        </row>
      </sheetData>
      <sheetData sheetId="5503">
        <row r="7">
          <cell r="E7" t="str">
            <v>PT NEWCREST SUMATRA MINERALS</v>
          </cell>
        </row>
      </sheetData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>
        <row r="36">
          <cell r="G36">
            <v>0</v>
          </cell>
        </row>
      </sheetData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>
        <row r="36">
          <cell r="G36">
            <v>0</v>
          </cell>
        </row>
      </sheetData>
      <sheetData sheetId="5537">
        <row r="36">
          <cell r="G36">
            <v>0</v>
          </cell>
        </row>
      </sheetData>
      <sheetData sheetId="5538">
        <row r="36">
          <cell r="G36">
            <v>0</v>
          </cell>
        </row>
      </sheetData>
      <sheetData sheetId="5539">
        <row r="36">
          <cell r="G36">
            <v>0</v>
          </cell>
        </row>
      </sheetData>
      <sheetData sheetId="5540">
        <row r="36">
          <cell r="G36">
            <v>0</v>
          </cell>
        </row>
      </sheetData>
      <sheetData sheetId="5541">
        <row r="36">
          <cell r="G36">
            <v>0</v>
          </cell>
        </row>
      </sheetData>
      <sheetData sheetId="5542">
        <row r="36">
          <cell r="G36">
            <v>0</v>
          </cell>
        </row>
      </sheetData>
      <sheetData sheetId="5543">
        <row r="36">
          <cell r="G36">
            <v>0</v>
          </cell>
        </row>
      </sheetData>
      <sheetData sheetId="5544">
        <row r="36">
          <cell r="G36">
            <v>0</v>
          </cell>
        </row>
      </sheetData>
      <sheetData sheetId="5545">
        <row r="36">
          <cell r="G36">
            <v>0</v>
          </cell>
        </row>
      </sheetData>
      <sheetData sheetId="5546">
        <row r="36">
          <cell r="G36">
            <v>0</v>
          </cell>
        </row>
      </sheetData>
      <sheetData sheetId="5547">
        <row r="36">
          <cell r="G36">
            <v>0</v>
          </cell>
        </row>
      </sheetData>
      <sheetData sheetId="5548">
        <row r="36">
          <cell r="G36">
            <v>0</v>
          </cell>
        </row>
      </sheetData>
      <sheetData sheetId="5549">
        <row r="36">
          <cell r="G36">
            <v>0</v>
          </cell>
        </row>
      </sheetData>
      <sheetData sheetId="5550">
        <row r="36">
          <cell r="G36">
            <v>0</v>
          </cell>
        </row>
      </sheetData>
      <sheetData sheetId="5551">
        <row r="36">
          <cell r="G36">
            <v>0</v>
          </cell>
        </row>
      </sheetData>
      <sheetData sheetId="5552">
        <row r="36">
          <cell r="G36">
            <v>0</v>
          </cell>
        </row>
      </sheetData>
      <sheetData sheetId="5553">
        <row r="36">
          <cell r="G36">
            <v>0</v>
          </cell>
        </row>
      </sheetData>
      <sheetData sheetId="5554">
        <row r="36">
          <cell r="G36">
            <v>0</v>
          </cell>
        </row>
      </sheetData>
      <sheetData sheetId="5555">
        <row r="36">
          <cell r="G36">
            <v>0</v>
          </cell>
        </row>
      </sheetData>
      <sheetData sheetId="5556">
        <row r="36">
          <cell r="G36">
            <v>0</v>
          </cell>
        </row>
      </sheetData>
      <sheetData sheetId="5557">
        <row r="36">
          <cell r="G36">
            <v>0</v>
          </cell>
        </row>
      </sheetData>
      <sheetData sheetId="5558">
        <row r="36">
          <cell r="G36">
            <v>0</v>
          </cell>
        </row>
      </sheetData>
      <sheetData sheetId="5559">
        <row r="36">
          <cell r="G36">
            <v>0</v>
          </cell>
        </row>
      </sheetData>
      <sheetData sheetId="5560">
        <row r="36">
          <cell r="G36">
            <v>0</v>
          </cell>
        </row>
      </sheetData>
      <sheetData sheetId="5561">
        <row r="36">
          <cell r="G36">
            <v>0</v>
          </cell>
        </row>
      </sheetData>
      <sheetData sheetId="5562">
        <row r="36">
          <cell r="G36">
            <v>0</v>
          </cell>
        </row>
      </sheetData>
      <sheetData sheetId="5563">
        <row r="36">
          <cell r="G36">
            <v>0</v>
          </cell>
        </row>
      </sheetData>
      <sheetData sheetId="5564">
        <row r="36">
          <cell r="G36">
            <v>0</v>
          </cell>
        </row>
      </sheetData>
      <sheetData sheetId="5565">
        <row r="36">
          <cell r="G36">
            <v>0</v>
          </cell>
        </row>
      </sheetData>
      <sheetData sheetId="5566">
        <row r="36">
          <cell r="G36">
            <v>0</v>
          </cell>
        </row>
      </sheetData>
      <sheetData sheetId="5567">
        <row r="36">
          <cell r="G36">
            <v>0</v>
          </cell>
        </row>
      </sheetData>
      <sheetData sheetId="5568">
        <row r="36">
          <cell r="G36">
            <v>0</v>
          </cell>
        </row>
      </sheetData>
      <sheetData sheetId="5569">
        <row r="36">
          <cell r="G36">
            <v>0</v>
          </cell>
        </row>
      </sheetData>
      <sheetData sheetId="5570">
        <row r="36">
          <cell r="G36">
            <v>0</v>
          </cell>
        </row>
      </sheetData>
      <sheetData sheetId="5571">
        <row r="36">
          <cell r="G36">
            <v>0</v>
          </cell>
        </row>
      </sheetData>
      <sheetData sheetId="5572">
        <row r="36">
          <cell r="G36">
            <v>0</v>
          </cell>
        </row>
      </sheetData>
      <sheetData sheetId="5573">
        <row r="36">
          <cell r="G36">
            <v>0</v>
          </cell>
        </row>
      </sheetData>
      <sheetData sheetId="5574">
        <row r="36">
          <cell r="G36">
            <v>0</v>
          </cell>
        </row>
      </sheetData>
      <sheetData sheetId="5575">
        <row r="36">
          <cell r="G36">
            <v>0</v>
          </cell>
        </row>
      </sheetData>
      <sheetData sheetId="5576">
        <row r="36">
          <cell r="G36">
            <v>0</v>
          </cell>
        </row>
      </sheetData>
      <sheetData sheetId="5577">
        <row r="36">
          <cell r="G36">
            <v>0</v>
          </cell>
        </row>
      </sheetData>
      <sheetData sheetId="5578">
        <row r="36">
          <cell r="G36">
            <v>0</v>
          </cell>
        </row>
      </sheetData>
      <sheetData sheetId="5579">
        <row r="36">
          <cell r="G36">
            <v>0</v>
          </cell>
        </row>
      </sheetData>
      <sheetData sheetId="5580">
        <row r="36">
          <cell r="G36">
            <v>0</v>
          </cell>
        </row>
      </sheetData>
      <sheetData sheetId="5581">
        <row r="36">
          <cell r="G36">
            <v>0</v>
          </cell>
        </row>
      </sheetData>
      <sheetData sheetId="5582">
        <row r="36">
          <cell r="G36">
            <v>0</v>
          </cell>
        </row>
      </sheetData>
      <sheetData sheetId="5583">
        <row r="36">
          <cell r="G36">
            <v>0</v>
          </cell>
        </row>
      </sheetData>
      <sheetData sheetId="5584">
        <row r="36">
          <cell r="G36">
            <v>0</v>
          </cell>
        </row>
      </sheetData>
      <sheetData sheetId="5585">
        <row r="36">
          <cell r="G36">
            <v>0</v>
          </cell>
        </row>
      </sheetData>
      <sheetData sheetId="5586">
        <row r="36">
          <cell r="G36">
            <v>0</v>
          </cell>
        </row>
      </sheetData>
      <sheetData sheetId="5587">
        <row r="36">
          <cell r="G36">
            <v>0</v>
          </cell>
        </row>
      </sheetData>
      <sheetData sheetId="5588">
        <row r="36">
          <cell r="G36">
            <v>0</v>
          </cell>
        </row>
      </sheetData>
      <sheetData sheetId="5589">
        <row r="36">
          <cell r="G36">
            <v>0</v>
          </cell>
        </row>
      </sheetData>
      <sheetData sheetId="5590">
        <row r="36">
          <cell r="G36">
            <v>0</v>
          </cell>
        </row>
      </sheetData>
      <sheetData sheetId="5591">
        <row r="36">
          <cell r="G36">
            <v>0</v>
          </cell>
        </row>
      </sheetData>
      <sheetData sheetId="5592">
        <row r="36">
          <cell r="G36">
            <v>0</v>
          </cell>
        </row>
      </sheetData>
      <sheetData sheetId="5593">
        <row r="36">
          <cell r="G36">
            <v>0</v>
          </cell>
        </row>
      </sheetData>
      <sheetData sheetId="5594">
        <row r="36">
          <cell r="G36">
            <v>0</v>
          </cell>
        </row>
      </sheetData>
      <sheetData sheetId="5595">
        <row r="36">
          <cell r="G36">
            <v>0</v>
          </cell>
        </row>
      </sheetData>
      <sheetData sheetId="5596">
        <row r="36">
          <cell r="G36">
            <v>0</v>
          </cell>
        </row>
      </sheetData>
      <sheetData sheetId="5597">
        <row r="36">
          <cell r="G36">
            <v>0</v>
          </cell>
        </row>
      </sheetData>
      <sheetData sheetId="5598">
        <row r="36">
          <cell r="G36">
            <v>0</v>
          </cell>
        </row>
      </sheetData>
      <sheetData sheetId="5599">
        <row r="36">
          <cell r="G36">
            <v>0</v>
          </cell>
        </row>
      </sheetData>
      <sheetData sheetId="5600">
        <row r="36">
          <cell r="G36">
            <v>0</v>
          </cell>
        </row>
      </sheetData>
      <sheetData sheetId="5601"/>
      <sheetData sheetId="5602">
        <row r="36">
          <cell r="G36">
            <v>0</v>
          </cell>
        </row>
      </sheetData>
      <sheetData sheetId="5603">
        <row r="36">
          <cell r="G36">
            <v>0</v>
          </cell>
        </row>
      </sheetData>
      <sheetData sheetId="5604">
        <row r="36">
          <cell r="G36">
            <v>0</v>
          </cell>
        </row>
      </sheetData>
      <sheetData sheetId="5605">
        <row r="36">
          <cell r="G36">
            <v>0</v>
          </cell>
        </row>
      </sheetData>
      <sheetData sheetId="5606">
        <row r="36">
          <cell r="G36">
            <v>0</v>
          </cell>
        </row>
      </sheetData>
      <sheetData sheetId="5607">
        <row r="36">
          <cell r="G36">
            <v>0</v>
          </cell>
        </row>
      </sheetData>
      <sheetData sheetId="5608">
        <row r="36">
          <cell r="G36">
            <v>0</v>
          </cell>
        </row>
      </sheetData>
      <sheetData sheetId="5609">
        <row r="36">
          <cell r="G36">
            <v>0</v>
          </cell>
        </row>
      </sheetData>
      <sheetData sheetId="5610">
        <row r="36">
          <cell r="G36">
            <v>0</v>
          </cell>
        </row>
      </sheetData>
      <sheetData sheetId="5611">
        <row r="36">
          <cell r="G36">
            <v>0</v>
          </cell>
        </row>
      </sheetData>
      <sheetData sheetId="5612">
        <row r="36">
          <cell r="G36">
            <v>0</v>
          </cell>
        </row>
      </sheetData>
      <sheetData sheetId="5613">
        <row r="36">
          <cell r="G36">
            <v>0</v>
          </cell>
        </row>
      </sheetData>
      <sheetData sheetId="5614">
        <row r="36">
          <cell r="G36">
            <v>0</v>
          </cell>
        </row>
      </sheetData>
      <sheetData sheetId="5615">
        <row r="36">
          <cell r="G36">
            <v>0</v>
          </cell>
        </row>
      </sheetData>
      <sheetData sheetId="5616">
        <row r="36">
          <cell r="G36">
            <v>0</v>
          </cell>
        </row>
      </sheetData>
      <sheetData sheetId="5617">
        <row r="36">
          <cell r="G36">
            <v>0</v>
          </cell>
        </row>
      </sheetData>
      <sheetData sheetId="5618">
        <row r="36">
          <cell r="G36">
            <v>0</v>
          </cell>
        </row>
      </sheetData>
      <sheetData sheetId="5619">
        <row r="36">
          <cell r="G36">
            <v>0</v>
          </cell>
        </row>
      </sheetData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>
        <row r="36">
          <cell r="G36">
            <v>0</v>
          </cell>
        </row>
      </sheetData>
      <sheetData sheetId="5630">
        <row r="36">
          <cell r="G36">
            <v>0</v>
          </cell>
        </row>
      </sheetData>
      <sheetData sheetId="5631">
        <row r="36">
          <cell r="G36">
            <v>0</v>
          </cell>
        </row>
      </sheetData>
      <sheetData sheetId="5632">
        <row r="36">
          <cell r="G36">
            <v>0</v>
          </cell>
        </row>
      </sheetData>
      <sheetData sheetId="5633">
        <row r="36">
          <cell r="G36">
            <v>0</v>
          </cell>
        </row>
      </sheetData>
      <sheetData sheetId="5634">
        <row r="36">
          <cell r="G36">
            <v>0</v>
          </cell>
        </row>
      </sheetData>
      <sheetData sheetId="5635">
        <row r="36">
          <cell r="G36">
            <v>0</v>
          </cell>
        </row>
      </sheetData>
      <sheetData sheetId="5636">
        <row r="36">
          <cell r="G36">
            <v>0</v>
          </cell>
        </row>
      </sheetData>
      <sheetData sheetId="5637">
        <row r="36">
          <cell r="G36">
            <v>0</v>
          </cell>
        </row>
      </sheetData>
      <sheetData sheetId="5638">
        <row r="36">
          <cell r="G36">
            <v>0</v>
          </cell>
        </row>
      </sheetData>
      <sheetData sheetId="5639">
        <row r="36">
          <cell r="G36">
            <v>0</v>
          </cell>
        </row>
      </sheetData>
      <sheetData sheetId="5640">
        <row r="36">
          <cell r="G36">
            <v>0</v>
          </cell>
        </row>
      </sheetData>
      <sheetData sheetId="5641">
        <row r="36">
          <cell r="G36">
            <v>0</v>
          </cell>
        </row>
      </sheetData>
      <sheetData sheetId="5642">
        <row r="36">
          <cell r="G36">
            <v>0</v>
          </cell>
        </row>
      </sheetData>
      <sheetData sheetId="5643">
        <row r="36">
          <cell r="G36">
            <v>0</v>
          </cell>
        </row>
      </sheetData>
      <sheetData sheetId="5644">
        <row r="36">
          <cell r="G36">
            <v>0</v>
          </cell>
        </row>
      </sheetData>
      <sheetData sheetId="5645">
        <row r="36">
          <cell r="G36">
            <v>0</v>
          </cell>
        </row>
      </sheetData>
      <sheetData sheetId="5646">
        <row r="36">
          <cell r="G36">
            <v>0</v>
          </cell>
        </row>
      </sheetData>
      <sheetData sheetId="5647">
        <row r="36">
          <cell r="G36">
            <v>0</v>
          </cell>
        </row>
      </sheetData>
      <sheetData sheetId="5648">
        <row r="36">
          <cell r="G36">
            <v>0</v>
          </cell>
        </row>
      </sheetData>
      <sheetData sheetId="5649">
        <row r="36">
          <cell r="G36">
            <v>0</v>
          </cell>
        </row>
      </sheetData>
      <sheetData sheetId="5650">
        <row r="36">
          <cell r="G36">
            <v>0</v>
          </cell>
        </row>
      </sheetData>
      <sheetData sheetId="5651">
        <row r="36">
          <cell r="G36">
            <v>0</v>
          </cell>
        </row>
      </sheetData>
      <sheetData sheetId="5652">
        <row r="36">
          <cell r="G36">
            <v>0</v>
          </cell>
        </row>
      </sheetData>
      <sheetData sheetId="5653">
        <row r="36">
          <cell r="G36">
            <v>0</v>
          </cell>
        </row>
      </sheetData>
      <sheetData sheetId="5654">
        <row r="36">
          <cell r="G36">
            <v>0</v>
          </cell>
        </row>
      </sheetData>
      <sheetData sheetId="5655">
        <row r="36">
          <cell r="G36">
            <v>0</v>
          </cell>
        </row>
      </sheetData>
      <sheetData sheetId="5656">
        <row r="36">
          <cell r="G36">
            <v>0</v>
          </cell>
        </row>
      </sheetData>
      <sheetData sheetId="5657">
        <row r="36">
          <cell r="G36">
            <v>0</v>
          </cell>
        </row>
      </sheetData>
      <sheetData sheetId="5658">
        <row r="36">
          <cell r="G36">
            <v>0</v>
          </cell>
        </row>
      </sheetData>
      <sheetData sheetId="5659">
        <row r="36">
          <cell r="G36">
            <v>0</v>
          </cell>
        </row>
      </sheetData>
      <sheetData sheetId="5660">
        <row r="36">
          <cell r="G36">
            <v>0</v>
          </cell>
        </row>
      </sheetData>
      <sheetData sheetId="5661">
        <row r="36">
          <cell r="G36">
            <v>0</v>
          </cell>
        </row>
      </sheetData>
      <sheetData sheetId="5662">
        <row r="36">
          <cell r="G36">
            <v>0</v>
          </cell>
        </row>
      </sheetData>
      <sheetData sheetId="5663">
        <row r="36">
          <cell r="G36">
            <v>0</v>
          </cell>
        </row>
      </sheetData>
      <sheetData sheetId="5664">
        <row r="36">
          <cell r="G36">
            <v>0</v>
          </cell>
        </row>
      </sheetData>
      <sheetData sheetId="5665">
        <row r="36">
          <cell r="G36">
            <v>0</v>
          </cell>
        </row>
      </sheetData>
      <sheetData sheetId="5666">
        <row r="36">
          <cell r="G36">
            <v>0</v>
          </cell>
        </row>
      </sheetData>
      <sheetData sheetId="5667">
        <row r="36">
          <cell r="G36">
            <v>0</v>
          </cell>
        </row>
      </sheetData>
      <sheetData sheetId="5668">
        <row r="36">
          <cell r="G36">
            <v>0</v>
          </cell>
        </row>
      </sheetData>
      <sheetData sheetId="5669">
        <row r="36">
          <cell r="G36">
            <v>0</v>
          </cell>
        </row>
      </sheetData>
      <sheetData sheetId="5670">
        <row r="36">
          <cell r="G36">
            <v>0</v>
          </cell>
        </row>
      </sheetData>
      <sheetData sheetId="5671">
        <row r="36">
          <cell r="G36">
            <v>0</v>
          </cell>
        </row>
      </sheetData>
      <sheetData sheetId="5672">
        <row r="36">
          <cell r="G36">
            <v>0</v>
          </cell>
        </row>
      </sheetData>
      <sheetData sheetId="5673">
        <row r="36">
          <cell r="G36">
            <v>0</v>
          </cell>
        </row>
      </sheetData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>
        <row r="36">
          <cell r="G36">
            <v>0</v>
          </cell>
        </row>
      </sheetData>
      <sheetData sheetId="5685">
        <row r="36">
          <cell r="G36">
            <v>0</v>
          </cell>
        </row>
      </sheetData>
      <sheetData sheetId="5686">
        <row r="36">
          <cell r="G36">
            <v>0</v>
          </cell>
        </row>
      </sheetData>
      <sheetData sheetId="5687">
        <row r="36">
          <cell r="G36">
            <v>0</v>
          </cell>
        </row>
      </sheetData>
      <sheetData sheetId="5688">
        <row r="36">
          <cell r="G36">
            <v>0</v>
          </cell>
        </row>
      </sheetData>
      <sheetData sheetId="5689">
        <row r="36">
          <cell r="G36">
            <v>0</v>
          </cell>
        </row>
      </sheetData>
      <sheetData sheetId="5690">
        <row r="36">
          <cell r="G36">
            <v>0</v>
          </cell>
        </row>
      </sheetData>
      <sheetData sheetId="5691">
        <row r="36">
          <cell r="G36">
            <v>0</v>
          </cell>
        </row>
      </sheetData>
      <sheetData sheetId="5692">
        <row r="36">
          <cell r="G36">
            <v>0</v>
          </cell>
        </row>
      </sheetData>
      <sheetData sheetId="5693">
        <row r="36">
          <cell r="G36">
            <v>0</v>
          </cell>
        </row>
      </sheetData>
      <sheetData sheetId="5694">
        <row r="36">
          <cell r="G36">
            <v>0</v>
          </cell>
        </row>
      </sheetData>
      <sheetData sheetId="5695">
        <row r="36">
          <cell r="G36">
            <v>0</v>
          </cell>
        </row>
      </sheetData>
      <sheetData sheetId="5696">
        <row r="36">
          <cell r="G36">
            <v>0</v>
          </cell>
        </row>
      </sheetData>
      <sheetData sheetId="5697">
        <row r="36">
          <cell r="G36">
            <v>0</v>
          </cell>
        </row>
      </sheetData>
      <sheetData sheetId="5698">
        <row r="36">
          <cell r="G36">
            <v>0</v>
          </cell>
        </row>
      </sheetData>
      <sheetData sheetId="5699">
        <row r="36">
          <cell r="G36">
            <v>0</v>
          </cell>
        </row>
      </sheetData>
      <sheetData sheetId="5700">
        <row r="36">
          <cell r="G36">
            <v>0</v>
          </cell>
        </row>
      </sheetData>
      <sheetData sheetId="5701">
        <row r="36">
          <cell r="G36">
            <v>0</v>
          </cell>
        </row>
      </sheetData>
      <sheetData sheetId="5702">
        <row r="36">
          <cell r="G36">
            <v>0</v>
          </cell>
        </row>
      </sheetData>
      <sheetData sheetId="5703">
        <row r="36">
          <cell r="G36">
            <v>0</v>
          </cell>
        </row>
      </sheetData>
      <sheetData sheetId="5704">
        <row r="36">
          <cell r="G36">
            <v>0</v>
          </cell>
        </row>
      </sheetData>
      <sheetData sheetId="5705">
        <row r="36">
          <cell r="G36">
            <v>0</v>
          </cell>
        </row>
      </sheetData>
      <sheetData sheetId="5706">
        <row r="36">
          <cell r="G36">
            <v>0</v>
          </cell>
        </row>
      </sheetData>
      <sheetData sheetId="5707">
        <row r="36">
          <cell r="G36">
            <v>0</v>
          </cell>
        </row>
      </sheetData>
      <sheetData sheetId="5708">
        <row r="36">
          <cell r="G36">
            <v>0</v>
          </cell>
        </row>
      </sheetData>
      <sheetData sheetId="5709">
        <row r="36">
          <cell r="G36">
            <v>0</v>
          </cell>
        </row>
      </sheetData>
      <sheetData sheetId="5710">
        <row r="36">
          <cell r="G36">
            <v>0</v>
          </cell>
        </row>
      </sheetData>
      <sheetData sheetId="5711">
        <row r="36">
          <cell r="G36">
            <v>0</v>
          </cell>
        </row>
      </sheetData>
      <sheetData sheetId="5712">
        <row r="36">
          <cell r="G36">
            <v>0</v>
          </cell>
        </row>
      </sheetData>
      <sheetData sheetId="5713">
        <row r="36">
          <cell r="G36">
            <v>0</v>
          </cell>
        </row>
      </sheetData>
      <sheetData sheetId="5714">
        <row r="36">
          <cell r="G36">
            <v>0</v>
          </cell>
        </row>
      </sheetData>
      <sheetData sheetId="5715">
        <row r="36">
          <cell r="G36">
            <v>0</v>
          </cell>
        </row>
      </sheetData>
      <sheetData sheetId="5716">
        <row r="36">
          <cell r="G36">
            <v>0</v>
          </cell>
        </row>
      </sheetData>
      <sheetData sheetId="5717">
        <row r="36">
          <cell r="G36">
            <v>0</v>
          </cell>
        </row>
      </sheetData>
      <sheetData sheetId="5718">
        <row r="36">
          <cell r="G36">
            <v>0</v>
          </cell>
        </row>
      </sheetData>
      <sheetData sheetId="5719">
        <row r="36">
          <cell r="G36">
            <v>0</v>
          </cell>
        </row>
      </sheetData>
      <sheetData sheetId="5720">
        <row r="36">
          <cell r="G36">
            <v>0</v>
          </cell>
        </row>
      </sheetData>
      <sheetData sheetId="5721">
        <row r="36">
          <cell r="G36">
            <v>0</v>
          </cell>
        </row>
      </sheetData>
      <sheetData sheetId="5722">
        <row r="36">
          <cell r="G36">
            <v>0</v>
          </cell>
        </row>
      </sheetData>
      <sheetData sheetId="5723">
        <row r="36">
          <cell r="G36">
            <v>0</v>
          </cell>
        </row>
      </sheetData>
      <sheetData sheetId="5724">
        <row r="36">
          <cell r="G36">
            <v>0</v>
          </cell>
        </row>
      </sheetData>
      <sheetData sheetId="5725">
        <row r="36">
          <cell r="G36">
            <v>0</v>
          </cell>
        </row>
      </sheetData>
      <sheetData sheetId="5726">
        <row r="36">
          <cell r="G36">
            <v>0</v>
          </cell>
        </row>
      </sheetData>
      <sheetData sheetId="5727">
        <row r="36">
          <cell r="G36">
            <v>0</v>
          </cell>
        </row>
      </sheetData>
      <sheetData sheetId="5728">
        <row r="36">
          <cell r="G36">
            <v>0</v>
          </cell>
        </row>
      </sheetData>
      <sheetData sheetId="5729">
        <row r="36">
          <cell r="G36">
            <v>0</v>
          </cell>
        </row>
      </sheetData>
      <sheetData sheetId="5730">
        <row r="36">
          <cell r="G36">
            <v>0</v>
          </cell>
        </row>
      </sheetData>
      <sheetData sheetId="5731">
        <row r="36">
          <cell r="G36">
            <v>0</v>
          </cell>
        </row>
      </sheetData>
      <sheetData sheetId="5732">
        <row r="36">
          <cell r="G36">
            <v>0</v>
          </cell>
        </row>
      </sheetData>
      <sheetData sheetId="5733">
        <row r="36">
          <cell r="G36">
            <v>0</v>
          </cell>
        </row>
      </sheetData>
      <sheetData sheetId="5734">
        <row r="36">
          <cell r="G36">
            <v>0</v>
          </cell>
        </row>
      </sheetData>
      <sheetData sheetId="5735">
        <row r="36">
          <cell r="G36">
            <v>0</v>
          </cell>
        </row>
      </sheetData>
      <sheetData sheetId="5736">
        <row r="36">
          <cell r="G36">
            <v>0</v>
          </cell>
        </row>
      </sheetData>
      <sheetData sheetId="5737">
        <row r="36">
          <cell r="G36">
            <v>0</v>
          </cell>
        </row>
      </sheetData>
      <sheetData sheetId="5738">
        <row r="36">
          <cell r="G36">
            <v>0</v>
          </cell>
        </row>
      </sheetData>
      <sheetData sheetId="5739">
        <row r="36">
          <cell r="G36">
            <v>0</v>
          </cell>
        </row>
      </sheetData>
      <sheetData sheetId="5740">
        <row r="36">
          <cell r="G36">
            <v>0</v>
          </cell>
        </row>
      </sheetData>
      <sheetData sheetId="5741">
        <row r="36">
          <cell r="G36">
            <v>0</v>
          </cell>
        </row>
      </sheetData>
      <sheetData sheetId="5742">
        <row r="36">
          <cell r="G36">
            <v>0</v>
          </cell>
        </row>
      </sheetData>
      <sheetData sheetId="5743"/>
      <sheetData sheetId="5744"/>
      <sheetData sheetId="5745"/>
      <sheetData sheetId="5746"/>
      <sheetData sheetId="5747"/>
      <sheetData sheetId="5748"/>
      <sheetData sheetId="5749"/>
      <sheetData sheetId="5750">
        <row r="36">
          <cell r="G36">
            <v>0</v>
          </cell>
        </row>
      </sheetData>
      <sheetData sheetId="5751">
        <row r="36">
          <cell r="G36">
            <v>0</v>
          </cell>
        </row>
      </sheetData>
      <sheetData sheetId="5752">
        <row r="36">
          <cell r="G36">
            <v>0</v>
          </cell>
        </row>
      </sheetData>
      <sheetData sheetId="5753">
        <row r="36">
          <cell r="G36">
            <v>0</v>
          </cell>
        </row>
      </sheetData>
      <sheetData sheetId="5754">
        <row r="36">
          <cell r="G36">
            <v>0</v>
          </cell>
        </row>
      </sheetData>
      <sheetData sheetId="5755">
        <row r="36">
          <cell r="G36">
            <v>0</v>
          </cell>
        </row>
      </sheetData>
      <sheetData sheetId="5756">
        <row r="36">
          <cell r="G36">
            <v>0</v>
          </cell>
        </row>
      </sheetData>
      <sheetData sheetId="5757">
        <row r="36">
          <cell r="G36">
            <v>0</v>
          </cell>
        </row>
      </sheetData>
      <sheetData sheetId="5758">
        <row r="36">
          <cell r="G36">
            <v>0</v>
          </cell>
        </row>
      </sheetData>
      <sheetData sheetId="5759">
        <row r="36">
          <cell r="G36">
            <v>0</v>
          </cell>
        </row>
      </sheetData>
      <sheetData sheetId="5760">
        <row r="36">
          <cell r="G36">
            <v>0</v>
          </cell>
        </row>
      </sheetData>
      <sheetData sheetId="5761">
        <row r="36">
          <cell r="G36">
            <v>0</v>
          </cell>
        </row>
      </sheetData>
      <sheetData sheetId="5762">
        <row r="36">
          <cell r="G36">
            <v>0</v>
          </cell>
        </row>
      </sheetData>
      <sheetData sheetId="5763">
        <row r="36">
          <cell r="G36">
            <v>0</v>
          </cell>
        </row>
      </sheetData>
      <sheetData sheetId="5764">
        <row r="36">
          <cell r="G36">
            <v>0</v>
          </cell>
        </row>
      </sheetData>
      <sheetData sheetId="5765">
        <row r="36">
          <cell r="G36">
            <v>0</v>
          </cell>
        </row>
      </sheetData>
      <sheetData sheetId="5766">
        <row r="36">
          <cell r="G36">
            <v>0</v>
          </cell>
        </row>
      </sheetData>
      <sheetData sheetId="5767">
        <row r="36">
          <cell r="G36">
            <v>0</v>
          </cell>
        </row>
      </sheetData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>
        <row r="36">
          <cell r="G36">
            <v>0</v>
          </cell>
        </row>
      </sheetData>
      <sheetData sheetId="5778">
        <row r="36">
          <cell r="G36">
            <v>0</v>
          </cell>
        </row>
      </sheetData>
      <sheetData sheetId="5779">
        <row r="36">
          <cell r="G36">
            <v>0</v>
          </cell>
        </row>
      </sheetData>
      <sheetData sheetId="5780">
        <row r="36">
          <cell r="G36">
            <v>0</v>
          </cell>
        </row>
      </sheetData>
      <sheetData sheetId="5781">
        <row r="36">
          <cell r="G36">
            <v>0</v>
          </cell>
        </row>
      </sheetData>
      <sheetData sheetId="5782">
        <row r="36">
          <cell r="G36">
            <v>0</v>
          </cell>
        </row>
      </sheetData>
      <sheetData sheetId="5783">
        <row r="36">
          <cell r="G36">
            <v>0</v>
          </cell>
        </row>
      </sheetData>
      <sheetData sheetId="5784">
        <row r="36">
          <cell r="G36">
            <v>0</v>
          </cell>
        </row>
      </sheetData>
      <sheetData sheetId="5785">
        <row r="36">
          <cell r="G36">
            <v>0</v>
          </cell>
        </row>
      </sheetData>
      <sheetData sheetId="5786">
        <row r="36">
          <cell r="G36">
            <v>0</v>
          </cell>
        </row>
      </sheetData>
      <sheetData sheetId="5787">
        <row r="36">
          <cell r="G36">
            <v>0</v>
          </cell>
        </row>
      </sheetData>
      <sheetData sheetId="5788">
        <row r="36">
          <cell r="G36">
            <v>0</v>
          </cell>
        </row>
      </sheetData>
      <sheetData sheetId="5789">
        <row r="36">
          <cell r="G36">
            <v>0</v>
          </cell>
        </row>
      </sheetData>
      <sheetData sheetId="5790">
        <row r="36">
          <cell r="G36">
            <v>0</v>
          </cell>
        </row>
      </sheetData>
      <sheetData sheetId="5791">
        <row r="36">
          <cell r="G36">
            <v>0</v>
          </cell>
        </row>
      </sheetData>
      <sheetData sheetId="5792">
        <row r="36">
          <cell r="G36">
            <v>0</v>
          </cell>
        </row>
      </sheetData>
      <sheetData sheetId="5793">
        <row r="36">
          <cell r="G36">
            <v>0</v>
          </cell>
        </row>
      </sheetData>
      <sheetData sheetId="5794">
        <row r="36">
          <cell r="G36">
            <v>0</v>
          </cell>
        </row>
      </sheetData>
      <sheetData sheetId="5795">
        <row r="36">
          <cell r="G36">
            <v>0</v>
          </cell>
        </row>
      </sheetData>
      <sheetData sheetId="5796">
        <row r="36">
          <cell r="G36">
            <v>0</v>
          </cell>
        </row>
      </sheetData>
      <sheetData sheetId="5797">
        <row r="36">
          <cell r="G36">
            <v>0</v>
          </cell>
        </row>
      </sheetData>
      <sheetData sheetId="5798">
        <row r="36">
          <cell r="G36">
            <v>0</v>
          </cell>
        </row>
      </sheetData>
      <sheetData sheetId="5799">
        <row r="36">
          <cell r="G36">
            <v>0</v>
          </cell>
        </row>
      </sheetData>
      <sheetData sheetId="5800">
        <row r="36">
          <cell r="G36">
            <v>0</v>
          </cell>
        </row>
      </sheetData>
      <sheetData sheetId="5801">
        <row r="36">
          <cell r="G36">
            <v>0</v>
          </cell>
        </row>
      </sheetData>
      <sheetData sheetId="5802">
        <row r="36">
          <cell r="G36">
            <v>0</v>
          </cell>
        </row>
      </sheetData>
      <sheetData sheetId="5803">
        <row r="36">
          <cell r="G36">
            <v>0</v>
          </cell>
        </row>
      </sheetData>
      <sheetData sheetId="5804">
        <row r="36">
          <cell r="G36">
            <v>0</v>
          </cell>
        </row>
      </sheetData>
      <sheetData sheetId="5805">
        <row r="36">
          <cell r="G36">
            <v>0</v>
          </cell>
        </row>
      </sheetData>
      <sheetData sheetId="5806">
        <row r="36">
          <cell r="G36">
            <v>0</v>
          </cell>
        </row>
      </sheetData>
      <sheetData sheetId="5807">
        <row r="36">
          <cell r="G36">
            <v>0</v>
          </cell>
        </row>
      </sheetData>
      <sheetData sheetId="5808">
        <row r="36">
          <cell r="G36">
            <v>0</v>
          </cell>
        </row>
      </sheetData>
      <sheetData sheetId="5809">
        <row r="36">
          <cell r="G36">
            <v>0</v>
          </cell>
        </row>
      </sheetData>
      <sheetData sheetId="5810">
        <row r="36">
          <cell r="G36">
            <v>0</v>
          </cell>
        </row>
      </sheetData>
      <sheetData sheetId="5811">
        <row r="36">
          <cell r="G36">
            <v>0</v>
          </cell>
        </row>
      </sheetData>
      <sheetData sheetId="5812">
        <row r="36">
          <cell r="G36">
            <v>0</v>
          </cell>
        </row>
      </sheetData>
      <sheetData sheetId="5813">
        <row r="36">
          <cell r="G36">
            <v>0</v>
          </cell>
        </row>
      </sheetData>
      <sheetData sheetId="5814">
        <row r="36">
          <cell r="G36">
            <v>0</v>
          </cell>
        </row>
      </sheetData>
      <sheetData sheetId="5815">
        <row r="36">
          <cell r="G36">
            <v>0</v>
          </cell>
        </row>
      </sheetData>
      <sheetData sheetId="5816">
        <row r="36">
          <cell r="G36">
            <v>0</v>
          </cell>
        </row>
      </sheetData>
      <sheetData sheetId="5817">
        <row r="36">
          <cell r="G36">
            <v>0</v>
          </cell>
        </row>
      </sheetData>
      <sheetData sheetId="5818">
        <row r="36">
          <cell r="G36">
            <v>0</v>
          </cell>
        </row>
      </sheetData>
      <sheetData sheetId="5819">
        <row r="36">
          <cell r="G36">
            <v>0</v>
          </cell>
        </row>
      </sheetData>
      <sheetData sheetId="5820">
        <row r="36">
          <cell r="G36">
            <v>0</v>
          </cell>
        </row>
      </sheetData>
      <sheetData sheetId="5821">
        <row r="36">
          <cell r="G36">
            <v>0</v>
          </cell>
        </row>
      </sheetData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>
        <row r="36">
          <cell r="G36">
            <v>0</v>
          </cell>
        </row>
      </sheetData>
      <sheetData sheetId="5833">
        <row r="36">
          <cell r="G36">
            <v>0</v>
          </cell>
        </row>
      </sheetData>
      <sheetData sheetId="5834">
        <row r="36">
          <cell r="G36">
            <v>0</v>
          </cell>
        </row>
      </sheetData>
      <sheetData sheetId="5835">
        <row r="36">
          <cell r="G36">
            <v>0</v>
          </cell>
        </row>
      </sheetData>
      <sheetData sheetId="5836">
        <row r="36">
          <cell r="G36">
            <v>0</v>
          </cell>
        </row>
      </sheetData>
      <sheetData sheetId="5837">
        <row r="36">
          <cell r="G36">
            <v>0</v>
          </cell>
        </row>
      </sheetData>
      <sheetData sheetId="5838">
        <row r="36">
          <cell r="G36">
            <v>0</v>
          </cell>
        </row>
      </sheetData>
      <sheetData sheetId="5839">
        <row r="36">
          <cell r="G36">
            <v>0</v>
          </cell>
        </row>
      </sheetData>
      <sheetData sheetId="5840">
        <row r="36">
          <cell r="G36">
            <v>0</v>
          </cell>
        </row>
      </sheetData>
      <sheetData sheetId="5841">
        <row r="36">
          <cell r="G36">
            <v>0</v>
          </cell>
        </row>
      </sheetData>
      <sheetData sheetId="5842">
        <row r="36">
          <cell r="G36">
            <v>0</v>
          </cell>
        </row>
      </sheetData>
      <sheetData sheetId="5843">
        <row r="36">
          <cell r="G36">
            <v>0</v>
          </cell>
        </row>
      </sheetData>
      <sheetData sheetId="5844">
        <row r="36">
          <cell r="G36">
            <v>0</v>
          </cell>
        </row>
      </sheetData>
      <sheetData sheetId="5845">
        <row r="36">
          <cell r="G36">
            <v>0</v>
          </cell>
        </row>
      </sheetData>
      <sheetData sheetId="5846">
        <row r="36">
          <cell r="G36">
            <v>0</v>
          </cell>
        </row>
      </sheetData>
      <sheetData sheetId="5847">
        <row r="36">
          <cell r="G36">
            <v>0</v>
          </cell>
        </row>
      </sheetData>
      <sheetData sheetId="5848">
        <row r="36">
          <cell r="G36">
            <v>0</v>
          </cell>
        </row>
      </sheetData>
      <sheetData sheetId="5849">
        <row r="36">
          <cell r="G36">
            <v>0</v>
          </cell>
        </row>
      </sheetData>
      <sheetData sheetId="5850">
        <row r="36">
          <cell r="G36">
            <v>0</v>
          </cell>
        </row>
      </sheetData>
      <sheetData sheetId="5851">
        <row r="36">
          <cell r="G36">
            <v>0</v>
          </cell>
        </row>
      </sheetData>
      <sheetData sheetId="5852">
        <row r="36">
          <cell r="G36">
            <v>0</v>
          </cell>
        </row>
      </sheetData>
      <sheetData sheetId="5853">
        <row r="36">
          <cell r="G36">
            <v>0</v>
          </cell>
        </row>
      </sheetData>
      <sheetData sheetId="5854">
        <row r="36">
          <cell r="G36">
            <v>0</v>
          </cell>
        </row>
      </sheetData>
      <sheetData sheetId="5855">
        <row r="36">
          <cell r="G36">
            <v>0</v>
          </cell>
        </row>
      </sheetData>
      <sheetData sheetId="5856">
        <row r="36">
          <cell r="G36">
            <v>0</v>
          </cell>
        </row>
      </sheetData>
      <sheetData sheetId="5857">
        <row r="36">
          <cell r="G36">
            <v>0</v>
          </cell>
        </row>
      </sheetData>
      <sheetData sheetId="5858">
        <row r="36">
          <cell r="G36">
            <v>0</v>
          </cell>
        </row>
      </sheetData>
      <sheetData sheetId="5859">
        <row r="36">
          <cell r="G36">
            <v>0</v>
          </cell>
        </row>
      </sheetData>
      <sheetData sheetId="5860">
        <row r="36">
          <cell r="G36">
            <v>0</v>
          </cell>
        </row>
      </sheetData>
      <sheetData sheetId="5861">
        <row r="36">
          <cell r="G36">
            <v>0</v>
          </cell>
        </row>
      </sheetData>
      <sheetData sheetId="5862">
        <row r="36">
          <cell r="G36">
            <v>0</v>
          </cell>
        </row>
      </sheetData>
      <sheetData sheetId="5863">
        <row r="36">
          <cell r="G36">
            <v>0</v>
          </cell>
        </row>
      </sheetData>
      <sheetData sheetId="5864">
        <row r="36">
          <cell r="G36">
            <v>0</v>
          </cell>
        </row>
      </sheetData>
      <sheetData sheetId="5865">
        <row r="36">
          <cell r="G36">
            <v>0</v>
          </cell>
        </row>
      </sheetData>
      <sheetData sheetId="5866">
        <row r="36">
          <cell r="G36">
            <v>0</v>
          </cell>
        </row>
      </sheetData>
      <sheetData sheetId="5867">
        <row r="36">
          <cell r="G36">
            <v>0</v>
          </cell>
        </row>
      </sheetData>
      <sheetData sheetId="5868">
        <row r="36">
          <cell r="G36">
            <v>0</v>
          </cell>
        </row>
      </sheetData>
      <sheetData sheetId="5869">
        <row r="36">
          <cell r="G36">
            <v>0</v>
          </cell>
        </row>
      </sheetData>
      <sheetData sheetId="5870">
        <row r="36">
          <cell r="G36">
            <v>0</v>
          </cell>
        </row>
      </sheetData>
      <sheetData sheetId="5871">
        <row r="36">
          <cell r="G36">
            <v>0</v>
          </cell>
        </row>
      </sheetData>
      <sheetData sheetId="5872">
        <row r="36">
          <cell r="G36">
            <v>0</v>
          </cell>
        </row>
      </sheetData>
      <sheetData sheetId="5873">
        <row r="36">
          <cell r="G36">
            <v>0</v>
          </cell>
        </row>
      </sheetData>
      <sheetData sheetId="5874">
        <row r="36">
          <cell r="G36">
            <v>0</v>
          </cell>
        </row>
      </sheetData>
      <sheetData sheetId="5875">
        <row r="36">
          <cell r="G36">
            <v>0</v>
          </cell>
        </row>
      </sheetData>
      <sheetData sheetId="5876">
        <row r="36">
          <cell r="G36">
            <v>0</v>
          </cell>
        </row>
      </sheetData>
      <sheetData sheetId="5877">
        <row r="36">
          <cell r="G36">
            <v>0</v>
          </cell>
        </row>
      </sheetData>
      <sheetData sheetId="5878">
        <row r="36">
          <cell r="G36">
            <v>0</v>
          </cell>
        </row>
      </sheetData>
      <sheetData sheetId="5879">
        <row r="36">
          <cell r="G36">
            <v>0</v>
          </cell>
        </row>
      </sheetData>
      <sheetData sheetId="5880">
        <row r="36">
          <cell r="G36">
            <v>0</v>
          </cell>
        </row>
      </sheetData>
      <sheetData sheetId="5881">
        <row r="36">
          <cell r="G36">
            <v>0</v>
          </cell>
        </row>
      </sheetData>
      <sheetData sheetId="5882">
        <row r="36">
          <cell r="G36">
            <v>0</v>
          </cell>
        </row>
      </sheetData>
      <sheetData sheetId="5883">
        <row r="36">
          <cell r="G36">
            <v>0</v>
          </cell>
        </row>
      </sheetData>
      <sheetData sheetId="5884">
        <row r="36">
          <cell r="G36">
            <v>0</v>
          </cell>
        </row>
      </sheetData>
      <sheetData sheetId="5885">
        <row r="36">
          <cell r="G36">
            <v>0</v>
          </cell>
        </row>
      </sheetData>
      <sheetData sheetId="5886">
        <row r="36">
          <cell r="G36">
            <v>0</v>
          </cell>
        </row>
      </sheetData>
      <sheetData sheetId="5887">
        <row r="36">
          <cell r="G36">
            <v>0</v>
          </cell>
        </row>
      </sheetData>
      <sheetData sheetId="5888">
        <row r="36">
          <cell r="G36">
            <v>0</v>
          </cell>
        </row>
      </sheetData>
      <sheetData sheetId="5889">
        <row r="36">
          <cell r="G36">
            <v>0</v>
          </cell>
        </row>
      </sheetData>
      <sheetData sheetId="5890">
        <row r="36">
          <cell r="G36">
            <v>0</v>
          </cell>
        </row>
      </sheetData>
      <sheetData sheetId="5891"/>
      <sheetData sheetId="5892"/>
      <sheetData sheetId="5893"/>
      <sheetData sheetId="5894"/>
      <sheetData sheetId="5895"/>
      <sheetData sheetId="5896"/>
      <sheetData sheetId="5897"/>
      <sheetData sheetId="5898">
        <row r="36">
          <cell r="G36">
            <v>0</v>
          </cell>
        </row>
      </sheetData>
      <sheetData sheetId="5899">
        <row r="36">
          <cell r="G36">
            <v>0</v>
          </cell>
        </row>
      </sheetData>
      <sheetData sheetId="5900">
        <row r="36">
          <cell r="G36">
            <v>0</v>
          </cell>
        </row>
      </sheetData>
      <sheetData sheetId="5901">
        <row r="36">
          <cell r="G36">
            <v>0</v>
          </cell>
        </row>
      </sheetData>
      <sheetData sheetId="5902">
        <row r="36">
          <cell r="G36">
            <v>0</v>
          </cell>
        </row>
      </sheetData>
      <sheetData sheetId="5903">
        <row r="36">
          <cell r="G36">
            <v>0</v>
          </cell>
        </row>
      </sheetData>
      <sheetData sheetId="5904">
        <row r="36">
          <cell r="G36">
            <v>0</v>
          </cell>
        </row>
      </sheetData>
      <sheetData sheetId="5905">
        <row r="36">
          <cell r="G36">
            <v>0</v>
          </cell>
        </row>
      </sheetData>
      <sheetData sheetId="5906">
        <row r="36">
          <cell r="G36">
            <v>0</v>
          </cell>
        </row>
      </sheetData>
      <sheetData sheetId="5907">
        <row r="36">
          <cell r="G36">
            <v>0</v>
          </cell>
        </row>
      </sheetData>
      <sheetData sheetId="5908">
        <row r="36">
          <cell r="G36">
            <v>0</v>
          </cell>
        </row>
      </sheetData>
      <sheetData sheetId="5909">
        <row r="36">
          <cell r="G36">
            <v>0</v>
          </cell>
        </row>
      </sheetData>
      <sheetData sheetId="5910">
        <row r="36">
          <cell r="G36">
            <v>0</v>
          </cell>
        </row>
      </sheetData>
      <sheetData sheetId="5911">
        <row r="36">
          <cell r="G36">
            <v>0</v>
          </cell>
        </row>
      </sheetData>
      <sheetData sheetId="5912">
        <row r="36">
          <cell r="G36">
            <v>0</v>
          </cell>
        </row>
      </sheetData>
      <sheetData sheetId="5913">
        <row r="36">
          <cell r="G36">
            <v>0</v>
          </cell>
        </row>
      </sheetData>
      <sheetData sheetId="5914">
        <row r="36">
          <cell r="G36">
            <v>0</v>
          </cell>
        </row>
      </sheetData>
      <sheetData sheetId="5915">
        <row r="36">
          <cell r="G36">
            <v>0</v>
          </cell>
        </row>
      </sheetData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>
        <row r="36">
          <cell r="G36">
            <v>0</v>
          </cell>
        </row>
      </sheetData>
      <sheetData sheetId="5926">
        <row r="36">
          <cell r="G36">
            <v>0</v>
          </cell>
        </row>
      </sheetData>
      <sheetData sheetId="5927">
        <row r="36">
          <cell r="G36">
            <v>0</v>
          </cell>
        </row>
      </sheetData>
      <sheetData sheetId="5928">
        <row r="36">
          <cell r="G36">
            <v>0</v>
          </cell>
        </row>
      </sheetData>
      <sheetData sheetId="5929">
        <row r="36">
          <cell r="G36">
            <v>0</v>
          </cell>
        </row>
      </sheetData>
      <sheetData sheetId="5930">
        <row r="36">
          <cell r="G36">
            <v>0</v>
          </cell>
        </row>
      </sheetData>
      <sheetData sheetId="5931">
        <row r="36">
          <cell r="G36">
            <v>0</v>
          </cell>
        </row>
      </sheetData>
      <sheetData sheetId="5932">
        <row r="36">
          <cell r="G36">
            <v>0</v>
          </cell>
        </row>
      </sheetData>
      <sheetData sheetId="5933">
        <row r="36">
          <cell r="G36">
            <v>0</v>
          </cell>
        </row>
      </sheetData>
      <sheetData sheetId="5934">
        <row r="36">
          <cell r="G36">
            <v>0</v>
          </cell>
        </row>
      </sheetData>
      <sheetData sheetId="5935">
        <row r="36">
          <cell r="G36">
            <v>0</v>
          </cell>
        </row>
      </sheetData>
      <sheetData sheetId="5936">
        <row r="36">
          <cell r="G36">
            <v>0</v>
          </cell>
        </row>
      </sheetData>
      <sheetData sheetId="5937">
        <row r="36">
          <cell r="G36">
            <v>0</v>
          </cell>
        </row>
      </sheetData>
      <sheetData sheetId="5938">
        <row r="36">
          <cell r="G36">
            <v>0</v>
          </cell>
        </row>
      </sheetData>
      <sheetData sheetId="5939">
        <row r="36">
          <cell r="G36">
            <v>0</v>
          </cell>
        </row>
      </sheetData>
      <sheetData sheetId="5940">
        <row r="36">
          <cell r="G36">
            <v>0</v>
          </cell>
        </row>
      </sheetData>
      <sheetData sheetId="5941">
        <row r="36">
          <cell r="G36">
            <v>0</v>
          </cell>
        </row>
      </sheetData>
      <sheetData sheetId="5942">
        <row r="36">
          <cell r="G36">
            <v>0</v>
          </cell>
        </row>
      </sheetData>
      <sheetData sheetId="5943">
        <row r="36">
          <cell r="G36">
            <v>0</v>
          </cell>
        </row>
      </sheetData>
      <sheetData sheetId="5944">
        <row r="36">
          <cell r="G36">
            <v>0</v>
          </cell>
        </row>
      </sheetData>
      <sheetData sheetId="5945">
        <row r="36">
          <cell r="G36">
            <v>0</v>
          </cell>
        </row>
      </sheetData>
      <sheetData sheetId="5946">
        <row r="36">
          <cell r="G36">
            <v>0</v>
          </cell>
        </row>
      </sheetData>
      <sheetData sheetId="5947">
        <row r="36">
          <cell r="G36">
            <v>0</v>
          </cell>
        </row>
      </sheetData>
      <sheetData sheetId="5948">
        <row r="36">
          <cell r="G36">
            <v>0</v>
          </cell>
        </row>
      </sheetData>
      <sheetData sheetId="5949">
        <row r="36">
          <cell r="G36">
            <v>0</v>
          </cell>
        </row>
      </sheetData>
      <sheetData sheetId="5950">
        <row r="36">
          <cell r="G36">
            <v>0</v>
          </cell>
        </row>
      </sheetData>
      <sheetData sheetId="5951">
        <row r="36">
          <cell r="G36">
            <v>0</v>
          </cell>
        </row>
      </sheetData>
      <sheetData sheetId="5952">
        <row r="36">
          <cell r="G36">
            <v>0</v>
          </cell>
        </row>
      </sheetData>
      <sheetData sheetId="5953">
        <row r="36">
          <cell r="G36">
            <v>0</v>
          </cell>
        </row>
      </sheetData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>
        <row r="36">
          <cell r="G36">
            <v>0</v>
          </cell>
        </row>
      </sheetData>
      <sheetData sheetId="5997">
        <row r="36">
          <cell r="G36">
            <v>0</v>
          </cell>
        </row>
      </sheetData>
      <sheetData sheetId="5998">
        <row r="36">
          <cell r="G36">
            <v>0</v>
          </cell>
        </row>
      </sheetData>
      <sheetData sheetId="5999">
        <row r="36">
          <cell r="G36">
            <v>0</v>
          </cell>
        </row>
      </sheetData>
      <sheetData sheetId="6000">
        <row r="36">
          <cell r="G36">
            <v>0</v>
          </cell>
        </row>
      </sheetData>
      <sheetData sheetId="6001">
        <row r="36">
          <cell r="G36">
            <v>0</v>
          </cell>
        </row>
      </sheetData>
      <sheetData sheetId="6002">
        <row r="36">
          <cell r="G36">
            <v>0</v>
          </cell>
        </row>
      </sheetData>
      <sheetData sheetId="6003">
        <row r="36">
          <cell r="G36">
            <v>0</v>
          </cell>
        </row>
      </sheetData>
      <sheetData sheetId="6004">
        <row r="36">
          <cell r="G36">
            <v>0</v>
          </cell>
        </row>
      </sheetData>
      <sheetData sheetId="6005">
        <row r="36">
          <cell r="G36">
            <v>0</v>
          </cell>
        </row>
      </sheetData>
      <sheetData sheetId="6006">
        <row r="36">
          <cell r="G36">
            <v>0</v>
          </cell>
        </row>
      </sheetData>
      <sheetData sheetId="6007">
        <row r="36">
          <cell r="G36">
            <v>0</v>
          </cell>
        </row>
      </sheetData>
      <sheetData sheetId="6008">
        <row r="36">
          <cell r="G36">
            <v>0</v>
          </cell>
        </row>
      </sheetData>
      <sheetData sheetId="6009">
        <row r="36">
          <cell r="G36">
            <v>0</v>
          </cell>
        </row>
      </sheetData>
      <sheetData sheetId="6010">
        <row r="36">
          <cell r="G36">
            <v>0</v>
          </cell>
        </row>
      </sheetData>
      <sheetData sheetId="6011">
        <row r="36">
          <cell r="G36">
            <v>0</v>
          </cell>
        </row>
      </sheetData>
      <sheetData sheetId="6012">
        <row r="36">
          <cell r="G36">
            <v>0</v>
          </cell>
        </row>
      </sheetData>
      <sheetData sheetId="6013">
        <row r="36">
          <cell r="G36">
            <v>0</v>
          </cell>
        </row>
      </sheetData>
      <sheetData sheetId="6014">
        <row r="36">
          <cell r="G36">
            <v>0</v>
          </cell>
        </row>
      </sheetData>
      <sheetData sheetId="6015">
        <row r="36">
          <cell r="G36">
            <v>0</v>
          </cell>
        </row>
      </sheetData>
      <sheetData sheetId="6016">
        <row r="36">
          <cell r="G36">
            <v>0</v>
          </cell>
        </row>
      </sheetData>
      <sheetData sheetId="6017"/>
      <sheetData sheetId="6018">
        <row r="36">
          <cell r="G36">
            <v>0</v>
          </cell>
        </row>
      </sheetData>
      <sheetData sheetId="6019">
        <row r="36">
          <cell r="G36">
            <v>0</v>
          </cell>
        </row>
      </sheetData>
      <sheetData sheetId="6020">
        <row r="36">
          <cell r="G36">
            <v>0</v>
          </cell>
        </row>
      </sheetData>
      <sheetData sheetId="6021">
        <row r="36">
          <cell r="G36">
            <v>0</v>
          </cell>
        </row>
      </sheetData>
      <sheetData sheetId="6022">
        <row r="36">
          <cell r="G36">
            <v>0</v>
          </cell>
        </row>
      </sheetData>
      <sheetData sheetId="6023">
        <row r="36">
          <cell r="G36">
            <v>0</v>
          </cell>
        </row>
      </sheetData>
      <sheetData sheetId="6024">
        <row r="36">
          <cell r="G36">
            <v>0</v>
          </cell>
        </row>
      </sheetData>
      <sheetData sheetId="6025">
        <row r="36">
          <cell r="G36">
            <v>0</v>
          </cell>
        </row>
      </sheetData>
      <sheetData sheetId="6026">
        <row r="36">
          <cell r="G36">
            <v>0</v>
          </cell>
        </row>
      </sheetData>
      <sheetData sheetId="6027">
        <row r="36">
          <cell r="G36">
            <v>0</v>
          </cell>
        </row>
      </sheetData>
      <sheetData sheetId="6028">
        <row r="36">
          <cell r="G36">
            <v>0</v>
          </cell>
        </row>
      </sheetData>
      <sheetData sheetId="6029">
        <row r="36">
          <cell r="G36">
            <v>0</v>
          </cell>
        </row>
      </sheetData>
      <sheetData sheetId="6030">
        <row r="36">
          <cell r="G36">
            <v>0</v>
          </cell>
        </row>
      </sheetData>
      <sheetData sheetId="6031">
        <row r="36">
          <cell r="G36">
            <v>0</v>
          </cell>
        </row>
      </sheetData>
      <sheetData sheetId="6032">
        <row r="36">
          <cell r="G36">
            <v>0</v>
          </cell>
        </row>
      </sheetData>
      <sheetData sheetId="6033">
        <row r="36">
          <cell r="G36">
            <v>0</v>
          </cell>
        </row>
      </sheetData>
      <sheetData sheetId="6034">
        <row r="36">
          <cell r="G36">
            <v>0</v>
          </cell>
        </row>
      </sheetData>
      <sheetData sheetId="6035">
        <row r="36">
          <cell r="G36">
            <v>0</v>
          </cell>
        </row>
      </sheetData>
      <sheetData sheetId="6036">
        <row r="36">
          <cell r="G36">
            <v>0</v>
          </cell>
        </row>
      </sheetData>
      <sheetData sheetId="6037">
        <row r="36">
          <cell r="G36">
            <v>0</v>
          </cell>
        </row>
      </sheetData>
      <sheetData sheetId="6038">
        <row r="36">
          <cell r="G36">
            <v>0</v>
          </cell>
        </row>
      </sheetData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>
        <row r="36">
          <cell r="G36">
            <v>0</v>
          </cell>
        </row>
      </sheetData>
      <sheetData sheetId="6077">
        <row r="36">
          <cell r="G36">
            <v>0</v>
          </cell>
        </row>
      </sheetData>
      <sheetData sheetId="6078">
        <row r="36">
          <cell r="G36">
            <v>0</v>
          </cell>
        </row>
      </sheetData>
      <sheetData sheetId="6079">
        <row r="36">
          <cell r="G36">
            <v>0</v>
          </cell>
        </row>
      </sheetData>
      <sheetData sheetId="6080">
        <row r="36">
          <cell r="G36">
            <v>0</v>
          </cell>
        </row>
      </sheetData>
      <sheetData sheetId="6081">
        <row r="36">
          <cell r="G36">
            <v>0</v>
          </cell>
        </row>
      </sheetData>
      <sheetData sheetId="6082">
        <row r="36">
          <cell r="G36">
            <v>0</v>
          </cell>
        </row>
      </sheetData>
      <sheetData sheetId="6083">
        <row r="36">
          <cell r="G36">
            <v>0</v>
          </cell>
        </row>
      </sheetData>
      <sheetData sheetId="6084">
        <row r="36">
          <cell r="G36">
            <v>0</v>
          </cell>
        </row>
      </sheetData>
      <sheetData sheetId="6085">
        <row r="36">
          <cell r="G36">
            <v>0</v>
          </cell>
        </row>
      </sheetData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>
        <row r="36">
          <cell r="G36">
            <v>0</v>
          </cell>
        </row>
      </sheetData>
      <sheetData sheetId="6099">
        <row r="36">
          <cell r="G36">
            <v>0</v>
          </cell>
        </row>
      </sheetData>
      <sheetData sheetId="6100">
        <row r="36">
          <cell r="G36">
            <v>0</v>
          </cell>
        </row>
      </sheetData>
      <sheetData sheetId="6101">
        <row r="36">
          <cell r="G36">
            <v>0</v>
          </cell>
        </row>
      </sheetData>
      <sheetData sheetId="6102">
        <row r="36">
          <cell r="G36">
            <v>0</v>
          </cell>
        </row>
      </sheetData>
      <sheetData sheetId="6103">
        <row r="36">
          <cell r="G36">
            <v>0</v>
          </cell>
        </row>
      </sheetData>
      <sheetData sheetId="6104">
        <row r="36">
          <cell r="G36">
            <v>0</v>
          </cell>
        </row>
      </sheetData>
      <sheetData sheetId="6105">
        <row r="36">
          <cell r="G36">
            <v>0</v>
          </cell>
        </row>
      </sheetData>
      <sheetData sheetId="6106">
        <row r="36">
          <cell r="G36">
            <v>0</v>
          </cell>
        </row>
      </sheetData>
      <sheetData sheetId="6107">
        <row r="36">
          <cell r="G36">
            <v>0</v>
          </cell>
        </row>
      </sheetData>
      <sheetData sheetId="6108">
        <row r="36">
          <cell r="G36">
            <v>0</v>
          </cell>
        </row>
      </sheetData>
      <sheetData sheetId="6109">
        <row r="36">
          <cell r="G36">
            <v>0</v>
          </cell>
        </row>
      </sheetData>
      <sheetData sheetId="6110">
        <row r="36">
          <cell r="G36">
            <v>0</v>
          </cell>
        </row>
      </sheetData>
      <sheetData sheetId="6111">
        <row r="36">
          <cell r="G36">
            <v>0</v>
          </cell>
        </row>
      </sheetData>
      <sheetData sheetId="6112">
        <row r="36">
          <cell r="G36">
            <v>0</v>
          </cell>
        </row>
      </sheetData>
      <sheetData sheetId="6113">
        <row r="36">
          <cell r="G36">
            <v>0</v>
          </cell>
        </row>
      </sheetData>
      <sheetData sheetId="6114">
        <row r="36">
          <cell r="G36">
            <v>0</v>
          </cell>
        </row>
      </sheetData>
      <sheetData sheetId="6115">
        <row r="36">
          <cell r="G36">
            <v>0</v>
          </cell>
        </row>
      </sheetData>
      <sheetData sheetId="6116">
        <row r="36">
          <cell r="G36">
            <v>0</v>
          </cell>
        </row>
      </sheetData>
      <sheetData sheetId="6117">
        <row r="36">
          <cell r="G36">
            <v>0</v>
          </cell>
        </row>
      </sheetData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>
        <row r="36">
          <cell r="G36">
            <v>0</v>
          </cell>
        </row>
      </sheetData>
      <sheetData sheetId="6145">
        <row r="36">
          <cell r="G36">
            <v>0</v>
          </cell>
        </row>
      </sheetData>
      <sheetData sheetId="6146">
        <row r="36">
          <cell r="G36">
            <v>0</v>
          </cell>
        </row>
      </sheetData>
      <sheetData sheetId="6147">
        <row r="36">
          <cell r="G36">
            <v>0</v>
          </cell>
        </row>
      </sheetData>
      <sheetData sheetId="6148">
        <row r="36">
          <cell r="G36">
            <v>0</v>
          </cell>
        </row>
      </sheetData>
      <sheetData sheetId="6149">
        <row r="36">
          <cell r="G36">
            <v>0</v>
          </cell>
        </row>
      </sheetData>
      <sheetData sheetId="6150">
        <row r="36">
          <cell r="G36">
            <v>0</v>
          </cell>
        </row>
      </sheetData>
      <sheetData sheetId="6151">
        <row r="36">
          <cell r="G36">
            <v>0</v>
          </cell>
        </row>
      </sheetData>
      <sheetData sheetId="6152">
        <row r="36">
          <cell r="G36">
            <v>0</v>
          </cell>
        </row>
      </sheetData>
      <sheetData sheetId="6153">
        <row r="36">
          <cell r="G36">
            <v>0</v>
          </cell>
        </row>
      </sheetData>
      <sheetData sheetId="6154"/>
      <sheetData sheetId="6155"/>
      <sheetData sheetId="6156"/>
      <sheetData sheetId="6157"/>
      <sheetData sheetId="6158"/>
      <sheetData sheetId="6159">
        <row r="7">
          <cell r="E7" t="str">
            <v>PT NEWCREST SUMATRA MINERALS</v>
          </cell>
        </row>
      </sheetData>
      <sheetData sheetId="6160">
        <row r="7">
          <cell r="E7" t="str">
            <v>PT NEWCREST SUMATRA MINERALS</v>
          </cell>
        </row>
      </sheetData>
      <sheetData sheetId="6161">
        <row r="7">
          <cell r="E7" t="str">
            <v>PT NEWCREST SUMATRA MINERALS</v>
          </cell>
        </row>
      </sheetData>
      <sheetData sheetId="6162"/>
      <sheetData sheetId="6163">
        <row r="7">
          <cell r="E7" t="str">
            <v>PT NEWCREST SUMATRA MINERALS</v>
          </cell>
        </row>
      </sheetData>
      <sheetData sheetId="6164">
        <row r="7">
          <cell r="E7" t="str">
            <v>PT NEWCREST SUMATRA MINERALS</v>
          </cell>
        </row>
      </sheetData>
      <sheetData sheetId="6165">
        <row r="7">
          <cell r="E7" t="str">
            <v>PT NEWCREST SUMATRA MINERALS</v>
          </cell>
        </row>
      </sheetData>
      <sheetData sheetId="6166"/>
      <sheetData sheetId="6167">
        <row r="36">
          <cell r="G36">
            <v>0</v>
          </cell>
        </row>
      </sheetData>
      <sheetData sheetId="6168">
        <row r="36">
          <cell r="G36">
            <v>0</v>
          </cell>
        </row>
      </sheetData>
      <sheetData sheetId="6169">
        <row r="36">
          <cell r="G36">
            <v>0</v>
          </cell>
        </row>
      </sheetData>
      <sheetData sheetId="6170">
        <row r="36">
          <cell r="G36">
            <v>0</v>
          </cell>
        </row>
      </sheetData>
      <sheetData sheetId="6171">
        <row r="36">
          <cell r="G36">
            <v>0</v>
          </cell>
        </row>
      </sheetData>
      <sheetData sheetId="6172">
        <row r="36">
          <cell r="G36">
            <v>0</v>
          </cell>
        </row>
      </sheetData>
      <sheetData sheetId="6173">
        <row r="36">
          <cell r="G36">
            <v>0</v>
          </cell>
        </row>
      </sheetData>
      <sheetData sheetId="6174">
        <row r="36">
          <cell r="G36">
            <v>0</v>
          </cell>
        </row>
      </sheetData>
      <sheetData sheetId="6175">
        <row r="7">
          <cell r="E7" t="str">
            <v>PT NEWCREST SUMATRA MINERALS</v>
          </cell>
        </row>
      </sheetData>
      <sheetData sheetId="6176">
        <row r="36">
          <cell r="G36">
            <v>0</v>
          </cell>
        </row>
      </sheetData>
      <sheetData sheetId="6177">
        <row r="7">
          <cell r="E7" t="str">
            <v>PT NEWCREST SUMATRA MINERALS</v>
          </cell>
        </row>
      </sheetData>
      <sheetData sheetId="6178">
        <row r="7">
          <cell r="E7" t="str">
            <v>PT NEWCREST SUMATRA MINERALS</v>
          </cell>
        </row>
      </sheetData>
      <sheetData sheetId="6179">
        <row r="36">
          <cell r="G36">
            <v>0</v>
          </cell>
        </row>
      </sheetData>
      <sheetData sheetId="6180">
        <row r="36">
          <cell r="G36">
            <v>0</v>
          </cell>
        </row>
      </sheetData>
      <sheetData sheetId="6181">
        <row r="36">
          <cell r="G36">
            <v>0</v>
          </cell>
        </row>
      </sheetData>
      <sheetData sheetId="6182">
        <row r="36">
          <cell r="G36">
            <v>0</v>
          </cell>
        </row>
      </sheetData>
      <sheetData sheetId="6183">
        <row r="36">
          <cell r="G36">
            <v>0</v>
          </cell>
        </row>
      </sheetData>
      <sheetData sheetId="6184">
        <row r="36">
          <cell r="G36">
            <v>0</v>
          </cell>
        </row>
      </sheetData>
      <sheetData sheetId="6185">
        <row r="36">
          <cell r="G36">
            <v>0</v>
          </cell>
        </row>
      </sheetData>
      <sheetData sheetId="6186">
        <row r="36">
          <cell r="G36">
            <v>0</v>
          </cell>
        </row>
      </sheetData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>
        <row r="7">
          <cell r="E7" t="str">
            <v>PT NEWCREST SUMATRA MINERALS</v>
          </cell>
        </row>
      </sheetData>
      <sheetData sheetId="6229">
        <row r="7">
          <cell r="E7" t="str">
            <v>PT NEWCREST SUMATRA MINERALS</v>
          </cell>
        </row>
      </sheetData>
      <sheetData sheetId="6230">
        <row r="7">
          <cell r="E7" t="str">
            <v>PT NEWCREST SUMATRA MINERALS</v>
          </cell>
        </row>
      </sheetData>
      <sheetData sheetId="6231"/>
      <sheetData sheetId="6232">
        <row r="7">
          <cell r="E7" t="str">
            <v>PT NEWCREST SUMATRA MINERALS</v>
          </cell>
        </row>
      </sheetData>
      <sheetData sheetId="6233">
        <row r="7">
          <cell r="E7" t="str">
            <v>PT NEWCREST SUMATRA MINERALS</v>
          </cell>
        </row>
      </sheetData>
      <sheetData sheetId="6234">
        <row r="7">
          <cell r="E7" t="str">
            <v>PT NEWCREST SUMATRA MINERALS</v>
          </cell>
        </row>
      </sheetData>
      <sheetData sheetId="6235"/>
      <sheetData sheetId="6236"/>
      <sheetData sheetId="6237"/>
      <sheetData sheetId="6238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>
        <row r="7">
          <cell r="E7" t="str">
            <v>PT NEWCREST SUMATRA MINERALS</v>
          </cell>
        </row>
      </sheetData>
      <sheetData sheetId="6300">
        <row r="7">
          <cell r="E7" t="str">
            <v>PT NEWCREST SUMATRA MINERALS</v>
          </cell>
        </row>
      </sheetData>
      <sheetData sheetId="6301">
        <row r="7">
          <cell r="E7" t="str">
            <v>PT NEWCREST SUMATRA MINERALS</v>
          </cell>
        </row>
      </sheetData>
      <sheetData sheetId="6302">
        <row r="7">
          <cell r="E7" t="str">
            <v>PT NEWCREST SUMATRA MINERALS</v>
          </cell>
        </row>
      </sheetData>
      <sheetData sheetId="6303">
        <row r="7">
          <cell r="E7" t="str">
            <v>PT NEWCREST SUMATRA MINERALS</v>
          </cell>
        </row>
      </sheetData>
      <sheetData sheetId="6304">
        <row r="7">
          <cell r="E7" t="str">
            <v>PT NEWCREST SUMATRA MINERALS</v>
          </cell>
        </row>
      </sheetData>
      <sheetData sheetId="6305">
        <row r="7">
          <cell r="E7" t="str">
            <v>PT NEWCREST SUMATRA MINERALS</v>
          </cell>
        </row>
      </sheetData>
      <sheetData sheetId="6306">
        <row r="7">
          <cell r="E7" t="str">
            <v>PT NEWCREST SUMATRA MINERALS</v>
          </cell>
        </row>
      </sheetData>
      <sheetData sheetId="6307">
        <row r="7">
          <cell r="E7" t="str">
            <v>PT NEWCREST SUMATRA MINERALS</v>
          </cell>
        </row>
      </sheetData>
      <sheetData sheetId="6308">
        <row r="7">
          <cell r="E7" t="str">
            <v>PT NEWCREST SUMATRA MINERALS</v>
          </cell>
        </row>
      </sheetData>
      <sheetData sheetId="6309">
        <row r="7">
          <cell r="E7" t="str">
            <v>PT NEWCREST SUMATRA MINERALS</v>
          </cell>
        </row>
      </sheetData>
      <sheetData sheetId="6310"/>
      <sheetData sheetId="6311">
        <row r="7">
          <cell r="E7" t="str">
            <v>PT NEWCREST SUMATRA MINERALS</v>
          </cell>
        </row>
      </sheetData>
      <sheetData sheetId="6312">
        <row r="7">
          <cell r="E7" t="str">
            <v>PT NEWCREST SUMATRA MINERALS</v>
          </cell>
        </row>
      </sheetData>
      <sheetData sheetId="6313">
        <row r="7">
          <cell r="E7" t="str">
            <v>PT NEWCREST SUMATRA MINERALS</v>
          </cell>
        </row>
      </sheetData>
      <sheetData sheetId="6314">
        <row r="7">
          <cell r="E7" t="str">
            <v>PT NEWCREST SUMATRA MINERALS</v>
          </cell>
        </row>
      </sheetData>
      <sheetData sheetId="6315">
        <row r="7">
          <cell r="E7" t="str">
            <v>PT NEWCREST SUMATRA MINERALS</v>
          </cell>
        </row>
      </sheetData>
      <sheetData sheetId="6316">
        <row r="7">
          <cell r="E7" t="str">
            <v>PT NEWCREST SUMATRA MINERALS</v>
          </cell>
        </row>
      </sheetData>
      <sheetData sheetId="6317">
        <row r="7">
          <cell r="E7" t="str">
            <v>PT NEWCREST SUMATRA MINERALS</v>
          </cell>
        </row>
      </sheetData>
      <sheetData sheetId="6318">
        <row r="7">
          <cell r="E7" t="str">
            <v>PT NEWCREST SUMATRA MINERALS</v>
          </cell>
        </row>
      </sheetData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>
        <row r="36">
          <cell r="G36">
            <v>0</v>
          </cell>
        </row>
      </sheetData>
      <sheetData sheetId="6430">
        <row r="36">
          <cell r="G36">
            <v>0</v>
          </cell>
        </row>
      </sheetData>
      <sheetData sheetId="6431">
        <row r="36">
          <cell r="G36">
            <v>0</v>
          </cell>
        </row>
      </sheetData>
      <sheetData sheetId="6432">
        <row r="36">
          <cell r="G36">
            <v>0</v>
          </cell>
        </row>
      </sheetData>
      <sheetData sheetId="6433">
        <row r="36">
          <cell r="G36">
            <v>0</v>
          </cell>
        </row>
      </sheetData>
      <sheetData sheetId="6434">
        <row r="36">
          <cell r="G36">
            <v>0</v>
          </cell>
        </row>
      </sheetData>
      <sheetData sheetId="6435">
        <row r="36">
          <cell r="G36">
            <v>0</v>
          </cell>
        </row>
      </sheetData>
      <sheetData sheetId="6436">
        <row r="36">
          <cell r="G36">
            <v>0</v>
          </cell>
        </row>
      </sheetData>
      <sheetData sheetId="6437">
        <row r="36">
          <cell r="G36">
            <v>0</v>
          </cell>
        </row>
      </sheetData>
      <sheetData sheetId="6438">
        <row r="36">
          <cell r="G36">
            <v>0</v>
          </cell>
        </row>
      </sheetData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>
        <row r="7">
          <cell r="E7" t="str">
            <v>PT NEWCREST SUMATRA MINERALS</v>
          </cell>
        </row>
      </sheetData>
      <sheetData sheetId="6478">
        <row r="7">
          <cell r="E7" t="str">
            <v>PT NEWCREST SUMATRA MINERALS</v>
          </cell>
        </row>
      </sheetData>
      <sheetData sheetId="6479">
        <row r="7">
          <cell r="E7" t="str">
            <v>PT NEWCREST SUMATRA MINERALS</v>
          </cell>
        </row>
      </sheetData>
      <sheetData sheetId="6480"/>
      <sheetData sheetId="6481">
        <row r="7">
          <cell r="E7" t="str">
            <v>PT NEWCREST SUMATRA MINERALS</v>
          </cell>
        </row>
      </sheetData>
      <sheetData sheetId="6482">
        <row r="7">
          <cell r="E7" t="str">
            <v>PT NEWCREST SUMATRA MINERALS</v>
          </cell>
        </row>
      </sheetData>
      <sheetData sheetId="6483">
        <row r="7">
          <cell r="E7" t="str">
            <v>PT NEWCREST SUMATRA MINERALS</v>
          </cell>
        </row>
      </sheetData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>
        <row r="7">
          <cell r="E7" t="str">
            <v>PT NEWCREST SUMATRA MINERALS</v>
          </cell>
        </row>
      </sheetData>
      <sheetData sheetId="6494"/>
      <sheetData sheetId="6495">
        <row r="7">
          <cell r="E7" t="str">
            <v>PT NEWCREST SUMATRA MINERALS</v>
          </cell>
        </row>
      </sheetData>
      <sheetData sheetId="6496">
        <row r="7">
          <cell r="E7" t="str">
            <v>PT NEWCREST SUMATRA MINERALS</v>
          </cell>
        </row>
      </sheetData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 refreshError="1"/>
      <sheetData sheetId="7050" refreshError="1"/>
      <sheetData sheetId="7051" refreshError="1"/>
      <sheetData sheetId="705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dure"/>
      <sheetName val="WP 2004"/>
      <sheetName val="Off.Equip"/>
      <sheetName val="Off.Impr"/>
      <sheetName val="Fur&amp;Fix"/>
      <sheetName val="Computer"/>
      <sheetName val="Demo "/>
      <sheetName val="Spare"/>
      <sheetName val="Tickmarks"/>
      <sheetName val="XXXX"/>
      <sheetName val="XXX0"/>
      <sheetName val="kunto"/>
      <sheetName val="Nature"/>
      <sheetName val="RPO"/>
      <sheetName val="Rollforward"/>
      <sheetName val="CMA addition"/>
      <sheetName val="Vouch additions"/>
      <sheetName val="Disposals"/>
      <sheetName val="Test Depr Exp"/>
      <sheetName val="Unused FA"/>
      <sheetName val="CIP"/>
      <sheetName val="Buil&amp;Struc"/>
      <sheetName val="Machinary"/>
      <sheetName val="F&amp;F"/>
      <sheetName val="Equipment"/>
      <sheetName val="Tools "/>
      <sheetName val="Vehicle"/>
      <sheetName val="Software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dure"/>
      <sheetName val="Notes"/>
      <sheetName val="Mutasi"/>
      <sheetName val="Land"/>
      <sheetName val="Building"/>
      <sheetName val="Machinery&amp;Equip"/>
      <sheetName val="Vehicle"/>
      <sheetName val="Tools"/>
      <sheetName val="CIP"/>
      <sheetName val="Test of Depr Exp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0000001"/>
      <sheetName val="SALES"/>
      <sheetName val="PGCOM USD"/>
      <sheetName val="FDM"/>
      <sheetName val="FD Interconnect"/>
      <sheetName val="PGCOM YEN"/>
      <sheetName val="JVC"/>
      <sheetName val="FUJI FINE(YEN)"/>
      <sheetName val="MKI"/>
      <sheetName val="PTSONY"/>
      <sheetName val="NSS"/>
      <sheetName val="FD JAPAN"/>
      <sheetName val="FUJI FINE(IDR)"/>
      <sheetName val="PT SONY"/>
      <sheetName val="SHARP"/>
      <sheetName val="NOBLE(BATAM)"/>
      <sheetName val="OMRON"/>
      <sheetName val="EWINDO"/>
      <sheetName val="SANDEN"/>
      <sheetName val="REPORT-PR12 (2)"/>
      <sheetName val="SANWA"/>
      <sheetName val="REPORT-PR12"/>
      <sheetName val="Account Code"/>
      <sheetName val="JVC COMMISSION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2">
          <cell r="A2" t="str">
            <v>DA001</v>
          </cell>
        </row>
        <row r="3">
          <cell r="A3" t="str">
            <v>DC001</v>
          </cell>
        </row>
        <row r="4">
          <cell r="A4" t="str">
            <v>DC002</v>
          </cell>
        </row>
        <row r="5">
          <cell r="A5" t="str">
            <v>DC003</v>
          </cell>
        </row>
        <row r="6">
          <cell r="A6" t="str">
            <v>DC004</v>
          </cell>
        </row>
        <row r="7">
          <cell r="A7" t="str">
            <v>DE001</v>
          </cell>
          <cell r="B7" t="str">
            <v>EWINDO</v>
          </cell>
        </row>
        <row r="8">
          <cell r="A8" t="str">
            <v>DE002</v>
          </cell>
        </row>
        <row r="9">
          <cell r="A9" t="str">
            <v>DF001</v>
          </cell>
          <cell r="B9" t="str">
            <v>FD.JAPAN</v>
          </cell>
        </row>
        <row r="10">
          <cell r="A10" t="str">
            <v>DF002</v>
          </cell>
          <cell r="B10" t="str">
            <v>FDI</v>
          </cell>
        </row>
        <row r="11">
          <cell r="A11" t="str">
            <v>DF003</v>
          </cell>
          <cell r="B11" t="str">
            <v>FUJI FINE (IDR)</v>
          </cell>
        </row>
        <row r="12">
          <cell r="A12" t="str">
            <v>DF004</v>
          </cell>
          <cell r="B12" t="str">
            <v>FUJI FINE (YEN)</v>
          </cell>
        </row>
        <row r="13">
          <cell r="A13" t="str">
            <v>DF005</v>
          </cell>
          <cell r="B13" t="str">
            <v>FD INDUSTRI (M)</v>
          </cell>
        </row>
        <row r="14">
          <cell r="A14" t="str">
            <v>DF006</v>
          </cell>
        </row>
        <row r="15">
          <cell r="A15" t="str">
            <v>DH001</v>
          </cell>
        </row>
        <row r="16">
          <cell r="A16" t="str">
            <v>DH002</v>
          </cell>
        </row>
        <row r="17">
          <cell r="A17" t="str">
            <v>DH003</v>
          </cell>
        </row>
        <row r="18">
          <cell r="A18" t="str">
            <v>DJ001</v>
          </cell>
          <cell r="B18" t="str">
            <v>JVC</v>
          </cell>
        </row>
        <row r="19">
          <cell r="A19" t="str">
            <v>DJ002</v>
          </cell>
        </row>
        <row r="20">
          <cell r="A20" t="str">
            <v>DK001</v>
          </cell>
        </row>
        <row r="21">
          <cell r="A21" t="str">
            <v>DM001</v>
          </cell>
          <cell r="B21" t="str">
            <v>MKI</v>
          </cell>
        </row>
        <row r="22">
          <cell r="A22" t="str">
            <v>DM002</v>
          </cell>
        </row>
        <row r="23">
          <cell r="A23" t="str">
            <v>DN001</v>
          </cell>
          <cell r="B23" t="str">
            <v>NOBLE(BATAM)</v>
          </cell>
        </row>
        <row r="24">
          <cell r="A24" t="str">
            <v>DN002</v>
          </cell>
          <cell r="B24" t="str">
            <v>NSS</v>
          </cell>
        </row>
        <row r="25">
          <cell r="A25" t="str">
            <v>DO001</v>
          </cell>
          <cell r="B25" t="str">
            <v>OMRON</v>
          </cell>
        </row>
        <row r="26">
          <cell r="A26" t="str">
            <v>DP001</v>
          </cell>
          <cell r="B26" t="str">
            <v xml:space="preserve">PGCOM </v>
          </cell>
        </row>
        <row r="27">
          <cell r="A27" t="str">
            <v>DP002</v>
          </cell>
          <cell r="B27" t="str">
            <v>P. T. SONY</v>
          </cell>
        </row>
        <row r="28">
          <cell r="A28" t="str">
            <v>DP003</v>
          </cell>
          <cell r="B28" t="str">
            <v>PGCOM  USD</v>
          </cell>
        </row>
        <row r="29">
          <cell r="A29" t="str">
            <v>DS001</v>
          </cell>
          <cell r="B29" t="str">
            <v>SHARP</v>
          </cell>
        </row>
        <row r="30">
          <cell r="A30" t="str">
            <v>DS002</v>
          </cell>
          <cell r="B30" t="str">
            <v>SANDEN</v>
          </cell>
        </row>
        <row r="31">
          <cell r="A31" t="str">
            <v>DS003</v>
          </cell>
          <cell r="B31" t="str">
            <v>SANWA</v>
          </cell>
        </row>
        <row r="32">
          <cell r="A32" t="str">
            <v>DS004</v>
          </cell>
        </row>
        <row r="33">
          <cell r="A33" t="str">
            <v>DS005</v>
          </cell>
        </row>
        <row r="34">
          <cell r="A34" t="str">
            <v>DS006</v>
          </cell>
        </row>
        <row r="35">
          <cell r="A35" t="str">
            <v>DS007</v>
          </cell>
        </row>
        <row r="36">
          <cell r="A36" t="str">
            <v>DS008</v>
          </cell>
        </row>
        <row r="37">
          <cell r="A37" t="str">
            <v>DT001</v>
          </cell>
        </row>
        <row r="38">
          <cell r="A38" t="str">
            <v>DT002</v>
          </cell>
        </row>
        <row r="39">
          <cell r="A39" t="str">
            <v>DT003</v>
          </cell>
        </row>
        <row r="40">
          <cell r="A40" t="str">
            <v>DT004</v>
          </cell>
        </row>
        <row r="41">
          <cell r="A41" t="str">
            <v>DT005</v>
          </cell>
        </row>
        <row r="42">
          <cell r="A42" t="str">
            <v>DT006</v>
          </cell>
        </row>
      </sheetData>
      <sheetData sheetId="24"/>
      <sheetData sheetId="25">
        <row r="3">
          <cell r="B3" t="str">
            <v>ENGAGEMENT NAME</v>
          </cell>
        </row>
      </sheetData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決算通知"/>
      <sheetName val="●資料一覧表"/>
      <sheetName val="●ﾁｪｯｸﾘｽﾄ"/>
      <sheetName val="●SEG別営業収支"/>
      <sheetName val="●営業外明細"/>
      <sheetName val="●海外売上高"/>
      <sheetName val="●PBO計算"/>
      <sheetName val="●通知本文（参考）"/>
      <sheetName val="●調査回答シート"/>
      <sheetName val="年間ｽｹｼﾞｭｰﾙ"/>
      <sheetName val="担当者一覧"/>
      <sheetName val="Ｆ16（参考作成用）"/>
      <sheetName val="F211（参考作成用）"/>
      <sheetName val="Ｆ215（参考作成用）"/>
      <sheetName val="Ｆ16（参考資料）"/>
      <sheetName val="F211（参考資料）"/>
      <sheetName val="Ｆ215（参考資料）"/>
      <sheetName val="200603実績"/>
      <sheetName val="SEG事業定義"/>
      <sheetName val="●第３四半期概況"/>
      <sheetName val="●海外売上高（考え方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Detail Deprec_202508"/>
      <sheetName val="Resume Deprec_202508"/>
      <sheetName val="Book Slip"/>
      <sheetName val="Journal_202508"/>
      <sheetName val="Sheet2"/>
    </sheetNames>
    <sheetDataSet>
      <sheetData sheetId="0" refreshError="1"/>
      <sheetData sheetId="1" refreshError="1">
        <row r="33">
          <cell r="D33" t="str">
            <v>BLD000048</v>
          </cell>
          <cell r="E33" t="str">
            <v>Cikarang Warehouse and Office</v>
          </cell>
          <cell r="F33" t="str">
            <v>COM</v>
          </cell>
          <cell r="G33" t="str">
            <v>Depr. from 1/8/2025 to 31/8/2025</v>
          </cell>
          <cell r="H33">
            <v>0</v>
          </cell>
          <cell r="I33">
            <v>298755497.66000003</v>
          </cell>
        </row>
        <row r="34">
          <cell r="D34" t="str">
            <v>BLD000052</v>
          </cell>
          <cell r="E34" t="str">
            <v>Dormitory (Building Work)</v>
          </cell>
          <cell r="F34" t="str">
            <v>COM</v>
          </cell>
          <cell r="G34" t="str">
            <v>Depr. from 1/8/2025 to 31/8/2025</v>
          </cell>
          <cell r="H34">
            <v>0</v>
          </cell>
          <cell r="I34">
            <v>35416666.670000002</v>
          </cell>
        </row>
        <row r="35">
          <cell r="D35" t="str">
            <v>BLD000053</v>
          </cell>
          <cell r="E35" t="str">
            <v>Dormitory (M&amp;E Work)</v>
          </cell>
          <cell r="F35" t="str">
            <v>COM</v>
          </cell>
          <cell r="G35" t="str">
            <v>Depr. from 1/8/2025 to 31/8/2025</v>
          </cell>
          <cell r="H35">
            <v>0</v>
          </cell>
          <cell r="I35">
            <v>22916666.670000002</v>
          </cell>
        </row>
        <row r="36">
          <cell r="D36" t="str">
            <v>BLD000054</v>
          </cell>
          <cell r="E36" t="str">
            <v>Dormitory (Building Work)</v>
          </cell>
          <cell r="F36" t="str">
            <v>COM</v>
          </cell>
          <cell r="G36" t="str">
            <v>Depr. from 1/8/2025 to 31/8/2025</v>
          </cell>
          <cell r="H36">
            <v>0</v>
          </cell>
          <cell r="I36">
            <v>2083333.33</v>
          </cell>
        </row>
        <row r="37">
          <cell r="D37" t="str">
            <v>BLD000055</v>
          </cell>
          <cell r="E37" t="str">
            <v>Building Permit (IMB)</v>
          </cell>
          <cell r="F37" t="str">
            <v>COM</v>
          </cell>
          <cell r="G37" t="str">
            <v>Depr. from 1/8/2025 to 31/8/2025</v>
          </cell>
          <cell r="H37">
            <v>0</v>
          </cell>
          <cell r="I37">
            <v>254895.83</v>
          </cell>
        </row>
        <row r="38">
          <cell r="D38" t="str">
            <v>BLD000056</v>
          </cell>
          <cell r="E38" t="str">
            <v>Building</v>
          </cell>
          <cell r="F38" t="str">
            <v>COM</v>
          </cell>
          <cell r="G38" t="str">
            <v>Depr. from 1/8/2025 to 31/8/2025</v>
          </cell>
          <cell r="H38">
            <v>0</v>
          </cell>
          <cell r="I38">
            <v>689457.01</v>
          </cell>
        </row>
        <row r="39">
          <cell r="D39" t="str">
            <v>BLD000059</v>
          </cell>
          <cell r="E39" t="str">
            <v>Legalizion Document (AJB)</v>
          </cell>
          <cell r="F39" t="str">
            <v>COM</v>
          </cell>
          <cell r="G39" t="str">
            <v>Depr. from 1/8/2025 to 31/8/2025</v>
          </cell>
          <cell r="H39">
            <v>0</v>
          </cell>
          <cell r="I39">
            <v>349825.71</v>
          </cell>
        </row>
        <row r="40">
          <cell r="D40" t="str">
            <v>BLD000060</v>
          </cell>
          <cell r="E40" t="str">
            <v>Legalizion Document (BPHTB)</v>
          </cell>
          <cell r="F40" t="str">
            <v>COM</v>
          </cell>
          <cell r="G40" t="str">
            <v>Depr. from 1/8/2025 to 31/8/2025</v>
          </cell>
          <cell r="H40">
            <v>0</v>
          </cell>
          <cell r="I40">
            <v>1634961.88</v>
          </cell>
        </row>
        <row r="41">
          <cell r="D41" t="str">
            <v>BLD000063</v>
          </cell>
          <cell r="E41" t="str">
            <v>IMB Tax Warehouse Phase II</v>
          </cell>
          <cell r="F41" t="str">
            <v>COM</v>
          </cell>
          <cell r="G41" t="str">
            <v>Depr. from 1/8/2025 to 31/8/2025</v>
          </cell>
          <cell r="H41">
            <v>0</v>
          </cell>
          <cell r="I41">
            <v>8590693.4800000004</v>
          </cell>
        </row>
        <row r="42">
          <cell r="D42" t="str">
            <v>BLD000064</v>
          </cell>
          <cell r="E42" t="str">
            <v>Warehouse CLC Phase II</v>
          </cell>
          <cell r="F42" t="str">
            <v>COM</v>
          </cell>
          <cell r="G42" t="str">
            <v>Depr. from 1/8/2025 to 31/8/2025</v>
          </cell>
          <cell r="H42">
            <v>0</v>
          </cell>
          <cell r="I42">
            <v>20833333.329999998</v>
          </cell>
        </row>
        <row r="43">
          <cell r="D43" t="str">
            <v>BLD000065</v>
          </cell>
          <cell r="E43" t="str">
            <v>Warehouse CLC Phase II</v>
          </cell>
          <cell r="F43" t="str">
            <v>COM</v>
          </cell>
          <cell r="G43" t="str">
            <v>Depr. from 1/8/2025 to 31/8/2025</v>
          </cell>
          <cell r="H43">
            <v>0</v>
          </cell>
          <cell r="I43">
            <v>185229166.66999999</v>
          </cell>
        </row>
        <row r="44">
          <cell r="D44" t="str">
            <v>BLD000066</v>
          </cell>
          <cell r="E44" t="str">
            <v>Warehouse CLC Phase II</v>
          </cell>
          <cell r="F44" t="str">
            <v>COM</v>
          </cell>
          <cell r="G44" t="str">
            <v>Depr. from 1/8/2025 to 31/8/2025</v>
          </cell>
          <cell r="H44">
            <v>0</v>
          </cell>
          <cell r="I44">
            <v>206062500</v>
          </cell>
        </row>
        <row r="45">
          <cell r="D45" t="str">
            <v>BLD000067</v>
          </cell>
          <cell r="E45" t="str">
            <v>Warehouse CLC Phase II</v>
          </cell>
          <cell r="F45" t="str">
            <v>COM</v>
          </cell>
          <cell r="G45" t="str">
            <v>Depr. from 1/8/2025 to 31/8/2025</v>
          </cell>
          <cell r="H45">
            <v>0</v>
          </cell>
          <cell r="I45">
            <v>147187500</v>
          </cell>
        </row>
        <row r="46">
          <cell r="D46" t="str">
            <v>BLD000068</v>
          </cell>
          <cell r="E46" t="str">
            <v>Warehouse CLC Phase II</v>
          </cell>
          <cell r="F46" t="str">
            <v>COM</v>
          </cell>
          <cell r="G46" t="str">
            <v>Depr. from 1/8/2025 to 31/8/2025</v>
          </cell>
          <cell r="H46">
            <v>0</v>
          </cell>
          <cell r="I46">
            <v>14063420</v>
          </cell>
        </row>
        <row r="47">
          <cell r="D47" t="str">
            <v>BLD000069</v>
          </cell>
          <cell r="E47" t="str">
            <v>Warehouse CLC Phase II</v>
          </cell>
          <cell r="F47" t="str">
            <v>COM</v>
          </cell>
          <cell r="G47" t="str">
            <v>Depr. from 1/8/2025 to 31/8/2025</v>
          </cell>
          <cell r="H47">
            <v>0</v>
          </cell>
          <cell r="I47">
            <v>14791462</v>
          </cell>
        </row>
        <row r="48">
          <cell r="D48" t="str">
            <v>BLD000070</v>
          </cell>
          <cell r="E48" t="str">
            <v>Warehouse CLC Phase II</v>
          </cell>
          <cell r="F48" t="str">
            <v>COM</v>
          </cell>
          <cell r="G48" t="str">
            <v>Depr. from 1/8/2025 to 31/8/2025</v>
          </cell>
          <cell r="H48">
            <v>0</v>
          </cell>
          <cell r="I48">
            <v>10885907.5</v>
          </cell>
        </row>
        <row r="49">
          <cell r="D49" t="str">
            <v>BLD000071</v>
          </cell>
          <cell r="E49" t="str">
            <v>Warehouse CLC Phase II</v>
          </cell>
          <cell r="F49" t="str">
            <v>COM</v>
          </cell>
          <cell r="G49" t="str">
            <v>Depr. from 1/8/2025 to 31/8/2025</v>
          </cell>
          <cell r="H49">
            <v>0</v>
          </cell>
          <cell r="I49">
            <v>29437500</v>
          </cell>
        </row>
        <row r="50">
          <cell r="D50" t="str">
            <v>BLD000072</v>
          </cell>
          <cell r="E50" t="str">
            <v>Warehouse CLC Phase II</v>
          </cell>
          <cell r="F50" t="str">
            <v>COM</v>
          </cell>
          <cell r="G50" t="str">
            <v>Depr. from 1/8/2025 to 31/8/2025</v>
          </cell>
          <cell r="H50">
            <v>0</v>
          </cell>
          <cell r="I50">
            <v>2227892.5</v>
          </cell>
        </row>
        <row r="51">
          <cell r="D51" t="str">
            <v>BLD000073</v>
          </cell>
          <cell r="E51" t="str">
            <v>Warehouse CLC Phase II</v>
          </cell>
          <cell r="F51" t="str">
            <v>COM</v>
          </cell>
          <cell r="G51" t="str">
            <v>Depr. from 1/8/2025 to 31/8/2025</v>
          </cell>
          <cell r="H51">
            <v>0</v>
          </cell>
          <cell r="I51">
            <v>5577016.0199999996</v>
          </cell>
        </row>
        <row r="52">
          <cell r="D52" t="str">
            <v>BLD000076</v>
          </cell>
          <cell r="E52" t="str">
            <v>Motorcycle Parking Area</v>
          </cell>
          <cell r="F52" t="str">
            <v>COM</v>
          </cell>
          <cell r="G52" t="str">
            <v>Depr. from 1/8/2025 to 31/8/2025</v>
          </cell>
          <cell r="H52">
            <v>0</v>
          </cell>
          <cell r="I52">
            <v>738726.27</v>
          </cell>
        </row>
        <row r="53">
          <cell r="D53" t="str">
            <v>BLD000077</v>
          </cell>
          <cell r="E53" t="str">
            <v>Motorcycle Parking Area</v>
          </cell>
          <cell r="F53" t="str">
            <v>COM</v>
          </cell>
          <cell r="G53" t="str">
            <v>Depr. from 1/8/2025 to 31/8/2025</v>
          </cell>
          <cell r="H53">
            <v>0</v>
          </cell>
          <cell r="I53">
            <v>184681.57</v>
          </cell>
        </row>
        <row r="54">
          <cell r="D54" t="str">
            <v>BLD000078</v>
          </cell>
          <cell r="E54" t="str">
            <v>Bojonegara Renov. Site Office</v>
          </cell>
          <cell r="F54" t="str">
            <v>COM</v>
          </cell>
          <cell r="G54" t="str">
            <v>Depr. from 1/8/2025 to 31/8/2025</v>
          </cell>
          <cell r="H54">
            <v>0</v>
          </cell>
          <cell r="I54">
            <v>875000</v>
          </cell>
        </row>
        <row r="55">
          <cell r="D55" t="str">
            <v>BLD000079</v>
          </cell>
          <cell r="E55" t="str">
            <v>Bojonegara Tempat B3</v>
          </cell>
          <cell r="F55" t="str">
            <v>COM</v>
          </cell>
          <cell r="G55" t="str">
            <v>Depr. from 1/8/2025 to 31/8/2025</v>
          </cell>
          <cell r="H55">
            <v>0</v>
          </cell>
          <cell r="I55">
            <v>825000</v>
          </cell>
        </row>
        <row r="56">
          <cell r="D56" t="str">
            <v>BLD000080</v>
          </cell>
          <cell r="E56" t="str">
            <v>Sandblast &amp; Painting Shop</v>
          </cell>
          <cell r="F56" t="str">
            <v>COM</v>
          </cell>
          <cell r="G56" t="str">
            <v>Depr. from 1/8/2025 to 31/8/2025</v>
          </cell>
          <cell r="H56">
            <v>0</v>
          </cell>
          <cell r="I56">
            <v>9602743.6300000008</v>
          </cell>
        </row>
        <row r="57">
          <cell r="I57">
            <v>944380615.42999995</v>
          </cell>
        </row>
        <row r="58">
          <cell r="D58" t="str">
            <v>FNF000203</v>
          </cell>
          <cell r="E58" t="str">
            <v>SPSy Payroll Basic System</v>
          </cell>
          <cell r="F58" t="str">
            <v>COM</v>
          </cell>
          <cell r="G58" t="str">
            <v>Depr. from 1/8/2025 to 31/8/2025</v>
          </cell>
          <cell r="H58">
            <v>0</v>
          </cell>
          <cell r="I58">
            <v>9785500</v>
          </cell>
        </row>
        <row r="59">
          <cell r="D59" t="str">
            <v>FNF000204</v>
          </cell>
          <cell r="E59" t="str">
            <v>SMART CDMS BLC Software</v>
          </cell>
          <cell r="F59" t="str">
            <v>COM</v>
          </cell>
          <cell r="G59" t="str">
            <v>Depr. from 1/8/2025 to 31/8/2025</v>
          </cell>
          <cell r="H59">
            <v>0</v>
          </cell>
          <cell r="I59">
            <v>5616666.6699999999</v>
          </cell>
        </row>
        <row r="60">
          <cell r="D60" t="str">
            <v>FNF000206</v>
          </cell>
          <cell r="E60" t="str">
            <v>New Access Points WH1</v>
          </cell>
          <cell r="F60" t="str">
            <v>COM</v>
          </cell>
          <cell r="G60" t="str">
            <v>Depr. from 1/8/2025 to 31/8/2025</v>
          </cell>
          <cell r="H60">
            <v>0</v>
          </cell>
          <cell r="I60">
            <v>4711000</v>
          </cell>
        </row>
        <row r="61">
          <cell r="D61" t="str">
            <v>FNF000207</v>
          </cell>
          <cell r="E61" t="str">
            <v>New Access Points WH2</v>
          </cell>
          <cell r="F61" t="str">
            <v>COM</v>
          </cell>
          <cell r="G61" t="str">
            <v>Depr. from 1/8/2025 to 31/8/2025</v>
          </cell>
          <cell r="H61">
            <v>0</v>
          </cell>
          <cell r="I61">
            <v>5629833.3300000001</v>
          </cell>
        </row>
        <row r="62">
          <cell r="D62" t="str">
            <v>FNF000208</v>
          </cell>
          <cell r="E62" t="str">
            <v>Access Poin WH2</v>
          </cell>
          <cell r="F62" t="str">
            <v>COM</v>
          </cell>
          <cell r="G62" t="str">
            <v>Depr. from 1/8/2025 to 31/8/2025</v>
          </cell>
          <cell r="H62">
            <v>0</v>
          </cell>
          <cell r="I62">
            <v>758666.67</v>
          </cell>
        </row>
        <row r="63">
          <cell r="D63" t="str">
            <v>FNF000209</v>
          </cell>
          <cell r="E63" t="str">
            <v>FC Machine Fuji Xerox</v>
          </cell>
          <cell r="F63" t="str">
            <v>COM</v>
          </cell>
          <cell r="G63" t="str">
            <v>Depr. from 1/8/2025 to 31/8/2025</v>
          </cell>
          <cell r="H63">
            <v>0</v>
          </cell>
          <cell r="I63">
            <v>1391666.67</v>
          </cell>
        </row>
        <row r="64">
          <cell r="D64" t="str">
            <v>FNF000211</v>
          </cell>
          <cell r="E64" t="str">
            <v>Fotocopy Machine</v>
          </cell>
          <cell r="F64" t="str">
            <v>COM</v>
          </cell>
          <cell r="G64" t="str">
            <v>Depr. from 1/8/2025 to 31/8/2025</v>
          </cell>
          <cell r="H64">
            <v>0</v>
          </cell>
          <cell r="I64">
            <v>1850000</v>
          </cell>
        </row>
        <row r="65">
          <cell r="D65" t="str">
            <v>FNF000212</v>
          </cell>
          <cell r="E65" t="str">
            <v>Air Conditioner</v>
          </cell>
          <cell r="F65" t="str">
            <v>COM</v>
          </cell>
          <cell r="G65" t="str">
            <v>Depr. from 1/8/2025 to 31/8/2025</v>
          </cell>
          <cell r="H65">
            <v>0</v>
          </cell>
          <cell r="I65">
            <v>564236.11</v>
          </cell>
        </row>
        <row r="66">
          <cell r="D66" t="str">
            <v>FNF000213</v>
          </cell>
          <cell r="E66" t="str">
            <v>Timbangan Digital</v>
          </cell>
          <cell r="F66" t="str">
            <v>COM</v>
          </cell>
          <cell r="G66" t="str">
            <v>Depr. from 1/8/2025 to 31/8/2025</v>
          </cell>
          <cell r="H66">
            <v>0</v>
          </cell>
          <cell r="I66">
            <v>330000</v>
          </cell>
        </row>
        <row r="67">
          <cell r="D67" t="str">
            <v>FNF000214</v>
          </cell>
          <cell r="E67" t="str">
            <v>Meeting Set JKT</v>
          </cell>
          <cell r="F67" t="str">
            <v>COM</v>
          </cell>
          <cell r="G67" t="str">
            <v>Depr. from 1/8/2025 to 31/8/2025</v>
          </cell>
          <cell r="H67">
            <v>0</v>
          </cell>
          <cell r="I67">
            <v>5258333.33</v>
          </cell>
        </row>
        <row r="68">
          <cell r="D68" t="str">
            <v>FNF000215</v>
          </cell>
          <cell r="E68" t="str">
            <v>Access Door Face Recognition</v>
          </cell>
          <cell r="F68" t="str">
            <v>COM</v>
          </cell>
          <cell r="G68" t="str">
            <v>Depr. from 1/8/2025 to 31/8/2025</v>
          </cell>
          <cell r="H68">
            <v>0</v>
          </cell>
          <cell r="I68">
            <v>344333.33</v>
          </cell>
        </row>
        <row r="69">
          <cell r="D69" t="str">
            <v>FNF000216</v>
          </cell>
          <cell r="E69" t="str">
            <v>CCTV Summitmas Office</v>
          </cell>
          <cell r="F69" t="str">
            <v>COM</v>
          </cell>
          <cell r="G69" t="str">
            <v>Depr. from 1/8/2025 to 31/8/2025</v>
          </cell>
          <cell r="H69">
            <v>0</v>
          </cell>
          <cell r="I69">
            <v>210166.67</v>
          </cell>
        </row>
        <row r="70">
          <cell r="D70" t="str">
            <v>FNF000217</v>
          </cell>
          <cell r="E70" t="str">
            <v>Brankas</v>
          </cell>
          <cell r="F70" t="str">
            <v>COM</v>
          </cell>
          <cell r="G70" t="str">
            <v>Depr. from 1/8/2025 to 31/8/2025</v>
          </cell>
          <cell r="H70">
            <v>0</v>
          </cell>
          <cell r="I70">
            <v>1197274.78</v>
          </cell>
        </row>
        <row r="71">
          <cell r="D71" t="str">
            <v>FNF000218</v>
          </cell>
          <cell r="E71" t="str">
            <v>Indonesian Maps</v>
          </cell>
          <cell r="F71" t="str">
            <v>COM</v>
          </cell>
          <cell r="G71" t="str">
            <v>Depr. from 1/8/2025 to 31/8/2025</v>
          </cell>
          <cell r="H71">
            <v>0</v>
          </cell>
          <cell r="I71">
            <v>245000</v>
          </cell>
        </row>
        <row r="72">
          <cell r="D72" t="str">
            <v>FNF000219</v>
          </cell>
          <cell r="E72" t="str">
            <v>Logo Sankyu</v>
          </cell>
          <cell r="F72" t="str">
            <v>COM</v>
          </cell>
          <cell r="G72" t="str">
            <v>Depr. from 1/8/2025 to 31/8/2025</v>
          </cell>
          <cell r="H72">
            <v>0</v>
          </cell>
          <cell r="I72">
            <v>215833.33</v>
          </cell>
        </row>
        <row r="73">
          <cell r="D73" t="str">
            <v>FNF000220</v>
          </cell>
          <cell r="E73" t="str">
            <v>Kitchen Set</v>
          </cell>
          <cell r="F73" t="str">
            <v>COM</v>
          </cell>
          <cell r="G73" t="str">
            <v>Depr. from 1/8/2025 to 31/8/2025</v>
          </cell>
          <cell r="H73">
            <v>0</v>
          </cell>
          <cell r="I73">
            <v>402500</v>
          </cell>
        </row>
        <row r="74">
          <cell r="D74" t="str">
            <v>FNF000221</v>
          </cell>
          <cell r="E74" t="str">
            <v>FC APEOS 5570 CPS</v>
          </cell>
          <cell r="F74" t="str">
            <v>COM</v>
          </cell>
          <cell r="G74" t="str">
            <v>Depr. from 1/8/2025 to 31/8/2025</v>
          </cell>
          <cell r="H74">
            <v>0</v>
          </cell>
          <cell r="I74">
            <v>1666666.67</v>
          </cell>
        </row>
        <row r="75">
          <cell r="D75" t="str">
            <v>FNF000222</v>
          </cell>
          <cell r="E75" t="str">
            <v>Barcode Printer</v>
          </cell>
          <cell r="F75" t="str">
            <v>COM</v>
          </cell>
          <cell r="G75" t="str">
            <v>Depr. from 1/8/2025 to 31/8/2025</v>
          </cell>
          <cell r="H75">
            <v>0</v>
          </cell>
          <cell r="I75">
            <v>823958.33</v>
          </cell>
        </row>
        <row r="76">
          <cell r="D76" t="str">
            <v>FNF000223</v>
          </cell>
          <cell r="E76" t="str">
            <v>Barcode Printer</v>
          </cell>
          <cell r="F76" t="str">
            <v>COM</v>
          </cell>
          <cell r="G76" t="str">
            <v>Depr. from 1/8/2025 to 31/8/2025</v>
          </cell>
          <cell r="H76">
            <v>0</v>
          </cell>
          <cell r="I76">
            <v>823958.33</v>
          </cell>
        </row>
        <row r="77">
          <cell r="D77" t="str">
            <v>FNF000224</v>
          </cell>
          <cell r="E77" t="str">
            <v>Barcode Handy Terminal Acessories</v>
          </cell>
          <cell r="F77" t="str">
            <v>COM</v>
          </cell>
          <cell r="G77" t="str">
            <v>Depr. from 1/8/2025 to 31/8/2025</v>
          </cell>
          <cell r="H77">
            <v>0</v>
          </cell>
          <cell r="I77">
            <v>3673516.25</v>
          </cell>
        </row>
        <row r="78">
          <cell r="D78" t="str">
            <v>FNF000225</v>
          </cell>
          <cell r="E78" t="str">
            <v>Copy Machine</v>
          </cell>
          <cell r="F78" t="str">
            <v>COM</v>
          </cell>
          <cell r="G78" t="str">
            <v>Depr. from 1/8/2025 to 31/8/2025</v>
          </cell>
          <cell r="H78">
            <v>0</v>
          </cell>
          <cell r="I78">
            <v>1253333.33</v>
          </cell>
        </row>
        <row r="79">
          <cell r="D79" t="str">
            <v>FNF000226</v>
          </cell>
          <cell r="E79" t="str">
            <v>SALSA PLUS Software</v>
          </cell>
          <cell r="F79" t="str">
            <v>COM</v>
          </cell>
          <cell r="G79" t="str">
            <v>Depr. from 1/8/2025 to 31/8/2025</v>
          </cell>
          <cell r="H79">
            <v>0</v>
          </cell>
          <cell r="I79">
            <v>1930828.15</v>
          </cell>
        </row>
        <row r="80">
          <cell r="D80" t="str">
            <v>FNF000227</v>
          </cell>
          <cell r="E80" t="str">
            <v>Nextset</v>
          </cell>
          <cell r="F80" t="str">
            <v>COM</v>
          </cell>
          <cell r="G80" t="str">
            <v>Depr. from 1/8/2025 to 31/8/2025</v>
          </cell>
          <cell r="H80">
            <v>0</v>
          </cell>
          <cell r="I80">
            <v>3219166.67</v>
          </cell>
        </row>
        <row r="81">
          <cell r="D81" t="str">
            <v>FNF000228</v>
          </cell>
          <cell r="E81" t="str">
            <v>Add Access Point</v>
          </cell>
          <cell r="F81" t="str">
            <v>COM</v>
          </cell>
          <cell r="G81" t="str">
            <v>Depr. from 1/8/2025 to 31/8/2025</v>
          </cell>
          <cell r="H81">
            <v>0</v>
          </cell>
          <cell r="I81">
            <v>758055.56</v>
          </cell>
        </row>
        <row r="82">
          <cell r="D82" t="str">
            <v>FNF000229</v>
          </cell>
          <cell r="E82" t="str">
            <v>Partition Room</v>
          </cell>
          <cell r="F82" t="str">
            <v>COM</v>
          </cell>
          <cell r="G82" t="str">
            <v>Depr. from 1/8/2025 to 31/8/2025</v>
          </cell>
          <cell r="H82">
            <v>0</v>
          </cell>
          <cell r="I82">
            <v>211066.67</v>
          </cell>
        </row>
        <row r="83">
          <cell r="D83" t="str">
            <v>FNF000230</v>
          </cell>
          <cell r="E83" t="str">
            <v>Carpet Floor</v>
          </cell>
          <cell r="F83" t="str">
            <v>COM</v>
          </cell>
          <cell r="G83" t="str">
            <v>Depr. from 1/8/2025 to 31/8/2025</v>
          </cell>
          <cell r="H83">
            <v>0</v>
          </cell>
          <cell r="I83">
            <v>588000</v>
          </cell>
        </row>
        <row r="84">
          <cell r="D84" t="str">
            <v>FNF000231</v>
          </cell>
          <cell r="E84" t="str">
            <v>Wall Partition</v>
          </cell>
          <cell r="F84" t="str">
            <v>COM</v>
          </cell>
          <cell r="G84" t="str">
            <v>Depr. from 1/8/2025 to 31/8/2025</v>
          </cell>
          <cell r="H84">
            <v>0</v>
          </cell>
          <cell r="I84">
            <v>551249.52</v>
          </cell>
        </row>
        <row r="85">
          <cell r="D85" t="str">
            <v>FNF000232</v>
          </cell>
          <cell r="E85" t="str">
            <v>Door</v>
          </cell>
          <cell r="F85" t="str">
            <v>COM</v>
          </cell>
          <cell r="G85" t="str">
            <v>Depr. from 1/8/2025 to 31/8/2025</v>
          </cell>
          <cell r="H85">
            <v>0</v>
          </cell>
          <cell r="I85">
            <v>324767.15000000002</v>
          </cell>
        </row>
        <row r="86">
          <cell r="D86" t="str">
            <v>FNF000233</v>
          </cell>
          <cell r="E86" t="str">
            <v>Paper Schedder</v>
          </cell>
          <cell r="F86" t="str">
            <v>COM</v>
          </cell>
          <cell r="G86" t="str">
            <v>Depr. from 1/8/2025 to 31/8/2025</v>
          </cell>
          <cell r="H86">
            <v>0</v>
          </cell>
          <cell r="I86">
            <v>348593.75</v>
          </cell>
        </row>
        <row r="87">
          <cell r="D87" t="str">
            <v>FNF000234</v>
          </cell>
          <cell r="E87" t="str">
            <v>Laptop SKY-Engineering</v>
          </cell>
          <cell r="F87" t="str">
            <v>COM</v>
          </cell>
          <cell r="G87" t="str">
            <v>Depr. from 1/8/2025 to 31/8/2025</v>
          </cell>
          <cell r="H87">
            <v>0</v>
          </cell>
          <cell r="I87">
            <v>535625</v>
          </cell>
        </row>
        <row r="88">
          <cell r="D88" t="str">
            <v>FNF000235</v>
          </cell>
          <cell r="E88" t="str">
            <v>Laptop SKY-Engineering</v>
          </cell>
          <cell r="F88" t="str">
            <v>COM</v>
          </cell>
          <cell r="G88" t="str">
            <v>Depr. from 1/8/2025 to 31/8/2025</v>
          </cell>
          <cell r="H88">
            <v>0</v>
          </cell>
          <cell r="I88">
            <v>535625</v>
          </cell>
        </row>
        <row r="89">
          <cell r="D89" t="str">
            <v>FNF000236</v>
          </cell>
          <cell r="E89" t="str">
            <v>Machine FC APEOS</v>
          </cell>
          <cell r="F89" t="str">
            <v>COM</v>
          </cell>
          <cell r="G89" t="str">
            <v>Depr. from 1/8/2025 to 31/8/2025</v>
          </cell>
          <cell r="H89">
            <v>0</v>
          </cell>
          <cell r="I89">
            <v>1666666.67</v>
          </cell>
        </row>
        <row r="90">
          <cell r="D90" t="str">
            <v>FNF000237</v>
          </cell>
          <cell r="E90" t="str">
            <v>Barcode Printer</v>
          </cell>
          <cell r="F90" t="str">
            <v>COM</v>
          </cell>
          <cell r="G90" t="str">
            <v>Depr. from 1/8/2025 to 31/8/2025</v>
          </cell>
          <cell r="H90">
            <v>0</v>
          </cell>
          <cell r="I90">
            <v>823958.33</v>
          </cell>
        </row>
        <row r="91">
          <cell r="D91" t="str">
            <v>FNF000238</v>
          </cell>
          <cell r="E91" t="str">
            <v>Barcode Printer</v>
          </cell>
          <cell r="F91" t="str">
            <v>COM</v>
          </cell>
          <cell r="G91" t="str">
            <v>Depr. from 1/8/2025 to 31/8/2025</v>
          </cell>
          <cell r="H91">
            <v>0</v>
          </cell>
          <cell r="I91">
            <v>823958.33</v>
          </cell>
        </row>
        <row r="92">
          <cell r="D92" t="str">
            <v>FNF000239</v>
          </cell>
          <cell r="E92" t="str">
            <v>Barcode Printer</v>
          </cell>
          <cell r="F92" t="str">
            <v>COM</v>
          </cell>
          <cell r="G92" t="str">
            <v>Depr. from 1/8/2025 to 31/8/2025</v>
          </cell>
          <cell r="H92">
            <v>0</v>
          </cell>
          <cell r="I92">
            <v>823958.33</v>
          </cell>
        </row>
        <row r="93">
          <cell r="D93" t="str">
            <v>FNF000240</v>
          </cell>
          <cell r="E93" t="str">
            <v>Barcode Printer</v>
          </cell>
          <cell r="F93" t="str">
            <v>COM</v>
          </cell>
          <cell r="G93" t="str">
            <v>Depr. from 1/8/2025 to 31/8/2025</v>
          </cell>
          <cell r="H93">
            <v>0</v>
          </cell>
          <cell r="I93">
            <v>823958.33</v>
          </cell>
        </row>
        <row r="94">
          <cell r="D94" t="str">
            <v>FNF000241</v>
          </cell>
          <cell r="E94" t="str">
            <v>Barcode Printer</v>
          </cell>
          <cell r="F94" t="str">
            <v>COM</v>
          </cell>
          <cell r="G94" t="str">
            <v>Depr. from 1/8/2025 to 31/8/2025</v>
          </cell>
          <cell r="H94">
            <v>0</v>
          </cell>
          <cell r="I94">
            <v>823958.33</v>
          </cell>
        </row>
        <row r="95">
          <cell r="D95" t="str">
            <v>FNF000242</v>
          </cell>
          <cell r="E95" t="str">
            <v>Barcode Printer</v>
          </cell>
          <cell r="F95" t="str">
            <v>COM</v>
          </cell>
          <cell r="G95" t="str">
            <v>Depr. from 1/8/2025 to 31/8/2025</v>
          </cell>
          <cell r="H95">
            <v>0</v>
          </cell>
          <cell r="I95">
            <v>823958.33</v>
          </cell>
        </row>
        <row r="96">
          <cell r="D96" t="str">
            <v>FNF000243</v>
          </cell>
          <cell r="E96" t="str">
            <v>Carpet Floor</v>
          </cell>
          <cell r="F96" t="str">
            <v>COM</v>
          </cell>
          <cell r="G96" t="str">
            <v>Depr. from 1/8/2025 to 31/8/2025</v>
          </cell>
          <cell r="H96">
            <v>0</v>
          </cell>
          <cell r="I96">
            <v>330416.67</v>
          </cell>
        </row>
        <row r="97">
          <cell r="D97" t="str">
            <v>FNF000244</v>
          </cell>
          <cell r="E97" t="str">
            <v>Partition Room</v>
          </cell>
          <cell r="F97" t="str">
            <v>COM</v>
          </cell>
          <cell r="G97" t="str">
            <v>Depr. from 1/8/2025 to 31/8/2025</v>
          </cell>
          <cell r="H97">
            <v>0</v>
          </cell>
          <cell r="I97">
            <v>376000</v>
          </cell>
        </row>
        <row r="98">
          <cell r="D98" t="str">
            <v>FNF000245</v>
          </cell>
          <cell r="E98" t="str">
            <v>Carpet Floor</v>
          </cell>
          <cell r="F98" t="str">
            <v>COM</v>
          </cell>
          <cell r="G98" t="str">
            <v>Depr. from 1/8/2025 to 31/8/2025</v>
          </cell>
          <cell r="H98">
            <v>0</v>
          </cell>
          <cell r="I98">
            <v>279583.33</v>
          </cell>
        </row>
        <row r="99">
          <cell r="D99" t="str">
            <v>FNF000246</v>
          </cell>
          <cell r="E99" t="str">
            <v>Training JIGS</v>
          </cell>
          <cell r="F99" t="str">
            <v>COM</v>
          </cell>
          <cell r="G99" t="str">
            <v>Depr. from 1/8/2025 to 31/8/2025</v>
          </cell>
          <cell r="H99">
            <v>0</v>
          </cell>
          <cell r="I99">
            <v>236666.67</v>
          </cell>
        </row>
        <row r="100">
          <cell r="D100" t="str">
            <v>FNF000247</v>
          </cell>
          <cell r="E100" t="str">
            <v>Training JIGS</v>
          </cell>
          <cell r="F100" t="str">
            <v>COM</v>
          </cell>
          <cell r="G100" t="str">
            <v>Depr. from 1/8/2025 to 31/8/2025</v>
          </cell>
          <cell r="H100">
            <v>0</v>
          </cell>
          <cell r="I100">
            <v>236666.67</v>
          </cell>
        </row>
        <row r="101">
          <cell r="D101" t="str">
            <v>FNF000248</v>
          </cell>
          <cell r="E101" t="str">
            <v>FortiGate 50E</v>
          </cell>
          <cell r="F101" t="str">
            <v>COM</v>
          </cell>
          <cell r="G101" t="str">
            <v>Depr. from 1/8/2025 to 31/8/2025</v>
          </cell>
          <cell r="H101">
            <v>0</v>
          </cell>
          <cell r="I101">
            <v>467541.67</v>
          </cell>
        </row>
        <row r="102">
          <cell r="D102" t="str">
            <v>FNF000249</v>
          </cell>
          <cell r="E102" t="str">
            <v>FortiGate 50E</v>
          </cell>
          <cell r="F102" t="str">
            <v>COM</v>
          </cell>
          <cell r="G102" t="str">
            <v>Depr. from 1/8/2025 to 31/8/2025</v>
          </cell>
          <cell r="H102">
            <v>0</v>
          </cell>
          <cell r="I102">
            <v>467541.67</v>
          </cell>
        </row>
        <row r="103">
          <cell r="D103" t="str">
            <v>FNF000250</v>
          </cell>
          <cell r="E103" t="str">
            <v>FortiGate 50E</v>
          </cell>
          <cell r="F103" t="str">
            <v>COM</v>
          </cell>
          <cell r="G103" t="str">
            <v>Depr. from 1/8/2025 to 31/8/2025</v>
          </cell>
          <cell r="H103">
            <v>0</v>
          </cell>
          <cell r="I103">
            <v>467541.67</v>
          </cell>
        </row>
        <row r="104">
          <cell r="D104" t="str">
            <v>FNF000251</v>
          </cell>
          <cell r="E104" t="str">
            <v>FortiGate 50E</v>
          </cell>
          <cell r="F104" t="str">
            <v>COM</v>
          </cell>
          <cell r="G104" t="str">
            <v>Depr. from 1/8/2025 to 31/8/2025</v>
          </cell>
          <cell r="H104">
            <v>0</v>
          </cell>
          <cell r="I104">
            <v>467541.67</v>
          </cell>
        </row>
        <row r="105">
          <cell r="D105" t="str">
            <v>FNF000252</v>
          </cell>
          <cell r="E105" t="str">
            <v>Drum Robotter Carrier</v>
          </cell>
          <cell r="F105" t="str">
            <v>COM</v>
          </cell>
          <cell r="G105" t="str">
            <v>Depr. from 1/8/2025 to 31/8/2025</v>
          </cell>
          <cell r="H105">
            <v>0</v>
          </cell>
          <cell r="I105">
            <v>830156.25</v>
          </cell>
        </row>
        <row r="106">
          <cell r="D106" t="str">
            <v>FNF000253</v>
          </cell>
          <cell r="E106" t="str">
            <v>ZOLL AED PLUS</v>
          </cell>
          <cell r="F106" t="str">
            <v>COM</v>
          </cell>
          <cell r="G106" t="str">
            <v>Depr. from 1/8/2025 to 31/8/2025</v>
          </cell>
          <cell r="H106">
            <v>0</v>
          </cell>
          <cell r="I106">
            <v>884166.67</v>
          </cell>
        </row>
        <row r="107">
          <cell r="D107" t="str">
            <v>FNF000254</v>
          </cell>
          <cell r="E107" t="str">
            <v>ZOLL AED PLUS</v>
          </cell>
          <cell r="F107" t="str">
            <v>COM</v>
          </cell>
          <cell r="G107" t="str">
            <v>Depr. from 1/8/2025 to 31/8/2025</v>
          </cell>
          <cell r="H107">
            <v>0</v>
          </cell>
          <cell r="I107">
            <v>884166.67</v>
          </cell>
        </row>
        <row r="108">
          <cell r="D108" t="str">
            <v>FNF000255</v>
          </cell>
          <cell r="E108" t="str">
            <v>ZOLL AED PLUS</v>
          </cell>
          <cell r="F108" t="str">
            <v>COM</v>
          </cell>
          <cell r="G108" t="str">
            <v>Depr. from 1/8/2025 to 31/8/2025</v>
          </cell>
          <cell r="H108">
            <v>0</v>
          </cell>
          <cell r="I108">
            <v>840416.67</v>
          </cell>
        </row>
        <row r="109">
          <cell r="D109" t="str">
            <v>FNF000256</v>
          </cell>
          <cell r="E109" t="str">
            <v>ZOLL AED PLUS</v>
          </cell>
          <cell r="F109" t="str">
            <v>COM</v>
          </cell>
          <cell r="G109" t="str">
            <v>Depr. from 1/8/2025 to 31/8/2025</v>
          </cell>
          <cell r="H109">
            <v>0</v>
          </cell>
          <cell r="I109">
            <v>840416.67</v>
          </cell>
        </row>
        <row r="110">
          <cell r="D110" t="str">
            <v>FNF000257</v>
          </cell>
          <cell r="E110" t="str">
            <v>ZOLL AED PLUS</v>
          </cell>
          <cell r="F110" t="str">
            <v>COM</v>
          </cell>
          <cell r="G110" t="str">
            <v>Depr. from 1/8/2025 to 31/8/2025</v>
          </cell>
          <cell r="H110">
            <v>0</v>
          </cell>
          <cell r="I110">
            <v>884166.67</v>
          </cell>
        </row>
        <row r="111">
          <cell r="D111" t="str">
            <v>FNF000258</v>
          </cell>
          <cell r="E111" t="str">
            <v>Ring Scaner</v>
          </cell>
          <cell r="F111" t="str">
            <v>COM</v>
          </cell>
          <cell r="G111" t="str">
            <v>Depr. from 1/8/2025 to 31/8/2025</v>
          </cell>
          <cell r="H111">
            <v>0</v>
          </cell>
          <cell r="I111">
            <v>266666.67</v>
          </cell>
        </row>
        <row r="112">
          <cell r="D112" t="str">
            <v>FNF000259</v>
          </cell>
          <cell r="E112" t="str">
            <v>Ring Scaner</v>
          </cell>
          <cell r="F112" t="str">
            <v>COM</v>
          </cell>
          <cell r="G112" t="str">
            <v>Depr. from 1/8/2025 to 31/8/2025</v>
          </cell>
          <cell r="H112">
            <v>0</v>
          </cell>
          <cell r="I112">
            <v>266666.67</v>
          </cell>
        </row>
        <row r="113">
          <cell r="D113" t="str">
            <v>FNF000260</v>
          </cell>
          <cell r="E113" t="str">
            <v>Ring Scaner</v>
          </cell>
          <cell r="F113" t="str">
            <v>COM</v>
          </cell>
          <cell r="G113" t="str">
            <v>Depr. from 1/8/2025 to 31/8/2025</v>
          </cell>
          <cell r="H113">
            <v>0</v>
          </cell>
          <cell r="I113">
            <v>266666.67</v>
          </cell>
        </row>
        <row r="114">
          <cell r="D114" t="str">
            <v>FNF000261</v>
          </cell>
          <cell r="E114" t="str">
            <v>Ring Scaner</v>
          </cell>
          <cell r="F114" t="str">
            <v>COM</v>
          </cell>
          <cell r="G114" t="str">
            <v>Depr. from 1/8/2025 to 31/8/2025</v>
          </cell>
          <cell r="H114">
            <v>0</v>
          </cell>
          <cell r="I114">
            <v>266666.67</v>
          </cell>
        </row>
        <row r="115">
          <cell r="D115" t="str">
            <v>FNF000262</v>
          </cell>
          <cell r="E115" t="str">
            <v>Ring Scaner</v>
          </cell>
          <cell r="F115" t="str">
            <v>COM</v>
          </cell>
          <cell r="G115" t="str">
            <v>Depr. from 1/8/2025 to 31/8/2025</v>
          </cell>
          <cell r="H115">
            <v>0</v>
          </cell>
          <cell r="I115">
            <v>266666.67</v>
          </cell>
        </row>
        <row r="116">
          <cell r="D116" t="str">
            <v>FNF000263</v>
          </cell>
          <cell r="E116" t="str">
            <v>Ring Scaner</v>
          </cell>
          <cell r="F116" t="str">
            <v>COM</v>
          </cell>
          <cell r="G116" t="str">
            <v>Depr. from 1/8/2025 to 31/8/2025</v>
          </cell>
          <cell r="H116">
            <v>0</v>
          </cell>
          <cell r="I116">
            <v>266666.67</v>
          </cell>
        </row>
        <row r="117">
          <cell r="D117" t="str">
            <v>FNF000264</v>
          </cell>
          <cell r="E117" t="str">
            <v>Ring Scaner</v>
          </cell>
          <cell r="F117" t="str">
            <v>COM</v>
          </cell>
          <cell r="G117" t="str">
            <v>Depr. from 1/8/2025 to 31/8/2025</v>
          </cell>
          <cell r="H117">
            <v>0</v>
          </cell>
          <cell r="I117">
            <v>266666.67</v>
          </cell>
        </row>
        <row r="118">
          <cell r="D118" t="str">
            <v>FNF000265</v>
          </cell>
          <cell r="E118" t="str">
            <v>Ring Scaner</v>
          </cell>
          <cell r="F118" t="str">
            <v>COM</v>
          </cell>
          <cell r="G118" t="str">
            <v>Depr. from 1/8/2025 to 31/8/2025</v>
          </cell>
          <cell r="H118">
            <v>0</v>
          </cell>
          <cell r="I118">
            <v>266666.67</v>
          </cell>
        </row>
        <row r="119">
          <cell r="D119" t="str">
            <v>FNF000266</v>
          </cell>
          <cell r="E119" t="str">
            <v>Ring Scaner</v>
          </cell>
          <cell r="F119" t="str">
            <v>COM</v>
          </cell>
          <cell r="G119" t="str">
            <v>Depr. from 1/8/2025 to 31/8/2025</v>
          </cell>
          <cell r="H119">
            <v>0</v>
          </cell>
          <cell r="I119">
            <v>266666.67</v>
          </cell>
        </row>
        <row r="120">
          <cell r="D120" t="str">
            <v>FNF000267</v>
          </cell>
          <cell r="E120" t="str">
            <v>Ring Scaner</v>
          </cell>
          <cell r="F120" t="str">
            <v>COM</v>
          </cell>
          <cell r="G120" t="str">
            <v>Depr. from 1/8/2025 to 31/8/2025</v>
          </cell>
          <cell r="H120">
            <v>0</v>
          </cell>
          <cell r="I120">
            <v>266666.67</v>
          </cell>
        </row>
        <row r="121">
          <cell r="D121" t="str">
            <v>FNF000268</v>
          </cell>
          <cell r="E121" t="str">
            <v>Ring Scaner</v>
          </cell>
          <cell r="F121" t="str">
            <v>COM</v>
          </cell>
          <cell r="G121" t="str">
            <v>Depr. from 1/8/2025 to 31/8/2025</v>
          </cell>
          <cell r="H121">
            <v>0</v>
          </cell>
          <cell r="I121">
            <v>266666.67</v>
          </cell>
        </row>
        <row r="122">
          <cell r="D122" t="str">
            <v>FNF000269</v>
          </cell>
          <cell r="E122" t="str">
            <v>Ring Scaner</v>
          </cell>
          <cell r="F122" t="str">
            <v>COM</v>
          </cell>
          <cell r="G122" t="str">
            <v>Depr. from 1/8/2025 to 31/8/2025</v>
          </cell>
          <cell r="H122">
            <v>0</v>
          </cell>
          <cell r="I122">
            <v>266666.67</v>
          </cell>
        </row>
        <row r="123">
          <cell r="D123" t="str">
            <v>FNF000270</v>
          </cell>
          <cell r="E123" t="str">
            <v>Ring Scaner</v>
          </cell>
          <cell r="F123" t="str">
            <v>COM</v>
          </cell>
          <cell r="G123" t="str">
            <v>Depr. from 1/8/2025 to 31/8/2025</v>
          </cell>
          <cell r="H123">
            <v>0</v>
          </cell>
          <cell r="I123">
            <v>266666.67</v>
          </cell>
        </row>
        <row r="124">
          <cell r="D124" t="str">
            <v>FNF000271</v>
          </cell>
          <cell r="E124" t="str">
            <v>Ring Scaner</v>
          </cell>
          <cell r="F124" t="str">
            <v>COM</v>
          </cell>
          <cell r="G124" t="str">
            <v>Depr. from 1/8/2025 to 31/8/2025</v>
          </cell>
          <cell r="H124">
            <v>0</v>
          </cell>
          <cell r="I124">
            <v>266666.67</v>
          </cell>
        </row>
        <row r="125">
          <cell r="D125" t="str">
            <v>FNF000272</v>
          </cell>
          <cell r="E125" t="str">
            <v>Ring Scaner</v>
          </cell>
          <cell r="F125" t="str">
            <v>COM</v>
          </cell>
          <cell r="G125" t="str">
            <v>Depr. from 1/8/2025 to 31/8/2025</v>
          </cell>
          <cell r="H125">
            <v>0</v>
          </cell>
          <cell r="I125">
            <v>266666.67</v>
          </cell>
        </row>
        <row r="126">
          <cell r="D126" t="str">
            <v>FNF000273</v>
          </cell>
          <cell r="E126" t="str">
            <v>Ring Scaner</v>
          </cell>
          <cell r="F126" t="str">
            <v>COM</v>
          </cell>
          <cell r="G126" t="str">
            <v>Depr. from 1/8/2025 to 31/8/2025</v>
          </cell>
          <cell r="H126">
            <v>0</v>
          </cell>
          <cell r="I126">
            <v>266666.67</v>
          </cell>
        </row>
        <row r="127">
          <cell r="D127" t="str">
            <v>FNF000274</v>
          </cell>
          <cell r="E127" t="str">
            <v>Ring Scaner</v>
          </cell>
          <cell r="F127" t="str">
            <v>COM</v>
          </cell>
          <cell r="G127" t="str">
            <v>Depr. from 1/8/2025 to 31/8/2025</v>
          </cell>
          <cell r="H127">
            <v>0</v>
          </cell>
          <cell r="I127">
            <v>266666.67</v>
          </cell>
        </row>
        <row r="128">
          <cell r="D128" t="str">
            <v>FNF000275</v>
          </cell>
          <cell r="E128" t="str">
            <v>Ring Scaner</v>
          </cell>
          <cell r="F128" t="str">
            <v>COM</v>
          </cell>
          <cell r="G128" t="str">
            <v>Depr. from 1/8/2025 to 31/8/2025</v>
          </cell>
          <cell r="H128">
            <v>0</v>
          </cell>
          <cell r="I128">
            <v>266666.67</v>
          </cell>
        </row>
        <row r="129">
          <cell r="D129" t="str">
            <v>FNF000276</v>
          </cell>
          <cell r="E129" t="str">
            <v>Ring Scaner</v>
          </cell>
          <cell r="F129" t="str">
            <v>COM</v>
          </cell>
          <cell r="G129" t="str">
            <v>Depr. from 1/8/2025 to 31/8/2025</v>
          </cell>
          <cell r="H129">
            <v>0</v>
          </cell>
          <cell r="I129">
            <v>266666.67</v>
          </cell>
        </row>
        <row r="130">
          <cell r="D130" t="str">
            <v>FNF000277</v>
          </cell>
          <cell r="E130" t="str">
            <v>Ring Scaner</v>
          </cell>
          <cell r="F130" t="str">
            <v>COM</v>
          </cell>
          <cell r="G130" t="str">
            <v>Depr. from 1/8/2025 to 31/8/2025</v>
          </cell>
          <cell r="H130">
            <v>0</v>
          </cell>
          <cell r="I130">
            <v>266666.67</v>
          </cell>
        </row>
        <row r="131">
          <cell r="D131" t="str">
            <v>FNF000278</v>
          </cell>
          <cell r="E131" t="str">
            <v>Ring Scaner</v>
          </cell>
          <cell r="F131" t="str">
            <v>COM</v>
          </cell>
          <cell r="G131" t="str">
            <v>Depr. from 1/8/2025 to 31/8/2025</v>
          </cell>
          <cell r="H131">
            <v>0</v>
          </cell>
          <cell r="I131">
            <v>266666.67</v>
          </cell>
        </row>
        <row r="132">
          <cell r="D132" t="str">
            <v>FNF000279</v>
          </cell>
          <cell r="E132" t="str">
            <v>Ring Scaner</v>
          </cell>
          <cell r="F132" t="str">
            <v>COM</v>
          </cell>
          <cell r="G132" t="str">
            <v>Depr. from 1/8/2025 to 31/8/2025</v>
          </cell>
          <cell r="H132">
            <v>0</v>
          </cell>
          <cell r="I132">
            <v>266666.67</v>
          </cell>
        </row>
        <row r="133">
          <cell r="D133" t="str">
            <v>FNF000280</v>
          </cell>
          <cell r="E133" t="str">
            <v>Ring Scaner</v>
          </cell>
          <cell r="F133" t="str">
            <v>COM</v>
          </cell>
          <cell r="G133" t="str">
            <v>Depr. from 1/8/2025 to 31/8/2025</v>
          </cell>
          <cell r="H133">
            <v>0</v>
          </cell>
          <cell r="I133">
            <v>266666.67</v>
          </cell>
        </row>
        <row r="134">
          <cell r="D134" t="str">
            <v>FNF000281</v>
          </cell>
          <cell r="E134" t="str">
            <v>Ring Scaner</v>
          </cell>
          <cell r="F134" t="str">
            <v>COM</v>
          </cell>
          <cell r="G134" t="str">
            <v>Depr. from 1/8/2025 to 31/8/2025</v>
          </cell>
          <cell r="H134">
            <v>0</v>
          </cell>
          <cell r="I134">
            <v>266666.67</v>
          </cell>
        </row>
        <row r="135">
          <cell r="D135" t="str">
            <v>FNF000282</v>
          </cell>
          <cell r="E135" t="str">
            <v>Ring Scaner</v>
          </cell>
          <cell r="F135" t="str">
            <v>COM</v>
          </cell>
          <cell r="G135" t="str">
            <v>Depr. from 1/8/2025 to 31/8/2025</v>
          </cell>
          <cell r="H135">
            <v>0</v>
          </cell>
          <cell r="I135">
            <v>266666.67</v>
          </cell>
        </row>
        <row r="136">
          <cell r="D136" t="str">
            <v>FNF000283</v>
          </cell>
          <cell r="E136" t="str">
            <v>Ring Scaner</v>
          </cell>
          <cell r="F136" t="str">
            <v>COM</v>
          </cell>
          <cell r="G136" t="str">
            <v>Depr. from 1/8/2025 to 31/8/2025</v>
          </cell>
          <cell r="H136">
            <v>0</v>
          </cell>
          <cell r="I136">
            <v>266666.67</v>
          </cell>
        </row>
        <row r="137">
          <cell r="D137" t="str">
            <v>FNF000284</v>
          </cell>
          <cell r="E137" t="str">
            <v>Charger Adaptor Ring Scaner</v>
          </cell>
          <cell r="F137" t="str">
            <v>COM</v>
          </cell>
          <cell r="G137" t="str">
            <v>Depr. from 1/8/2025 to 31/8/2025</v>
          </cell>
          <cell r="H137">
            <v>0</v>
          </cell>
          <cell r="I137">
            <v>1016666.67</v>
          </cell>
        </row>
        <row r="138">
          <cell r="D138" t="str">
            <v>FNF000285</v>
          </cell>
          <cell r="E138" t="str">
            <v>KITO Chain Block 10 Ton</v>
          </cell>
          <cell r="F138" t="str">
            <v>COM</v>
          </cell>
          <cell r="G138" t="str">
            <v>Depr. from 1/8/2025 to 31/8/2025</v>
          </cell>
          <cell r="H138">
            <v>0</v>
          </cell>
          <cell r="I138">
            <v>500000</v>
          </cell>
        </row>
        <row r="139">
          <cell r="D139" t="str">
            <v>FNF000286</v>
          </cell>
          <cell r="E139" t="str">
            <v>KITO Chain Block 10 Ton</v>
          </cell>
          <cell r="F139" t="str">
            <v>COM</v>
          </cell>
          <cell r="G139" t="str">
            <v>Depr. from 1/8/2025 to 31/8/2025</v>
          </cell>
          <cell r="H139">
            <v>0</v>
          </cell>
          <cell r="I139">
            <v>500000</v>
          </cell>
        </row>
        <row r="140">
          <cell r="D140" t="str">
            <v>FNF000287</v>
          </cell>
          <cell r="E140" t="str">
            <v>KITO Chain Block 15 T</v>
          </cell>
          <cell r="F140" t="str">
            <v>COM</v>
          </cell>
          <cell r="G140" t="str">
            <v>Depr. from 1/8/2025 to 31/8/2025</v>
          </cell>
          <cell r="H140">
            <v>0</v>
          </cell>
          <cell r="I140">
            <v>750000</v>
          </cell>
        </row>
        <row r="141">
          <cell r="D141" t="str">
            <v>FNF000288</v>
          </cell>
          <cell r="E141" t="str">
            <v>KITO Chain Block 15 T</v>
          </cell>
          <cell r="F141" t="str">
            <v>COM</v>
          </cell>
          <cell r="G141" t="str">
            <v>Depr. from 1/8/2025 to 31/8/2025</v>
          </cell>
          <cell r="H141">
            <v>0</v>
          </cell>
          <cell r="I141">
            <v>750000</v>
          </cell>
        </row>
        <row r="142">
          <cell r="D142" t="str">
            <v>FNF000289</v>
          </cell>
          <cell r="E142" t="str">
            <v>Wire Rope Eye to Eye</v>
          </cell>
          <cell r="F142" t="str">
            <v>COM</v>
          </cell>
          <cell r="G142" t="str">
            <v>Depr. from 1/8/2025 to 31/8/2025</v>
          </cell>
          <cell r="H142">
            <v>0</v>
          </cell>
          <cell r="I142">
            <v>302166.67</v>
          </cell>
        </row>
        <row r="143">
          <cell r="D143" t="str">
            <v>FNF000290</v>
          </cell>
          <cell r="E143" t="str">
            <v>Wire Rope Eye to Eye</v>
          </cell>
          <cell r="F143" t="str">
            <v>COM</v>
          </cell>
          <cell r="G143" t="str">
            <v>Depr. from 1/8/2025 to 31/8/2025</v>
          </cell>
          <cell r="H143">
            <v>0</v>
          </cell>
          <cell r="I143">
            <v>302166.67</v>
          </cell>
        </row>
        <row r="144">
          <cell r="D144" t="str">
            <v>FNF000291</v>
          </cell>
          <cell r="E144" t="str">
            <v>Wire Rope Eye to Eye</v>
          </cell>
          <cell r="F144" t="str">
            <v>COM</v>
          </cell>
          <cell r="G144" t="str">
            <v>Depr. from 1/8/2025 to 31/8/2025</v>
          </cell>
          <cell r="H144">
            <v>0</v>
          </cell>
          <cell r="I144">
            <v>302166.67</v>
          </cell>
        </row>
        <row r="145">
          <cell r="D145" t="str">
            <v>FNF000292</v>
          </cell>
          <cell r="E145" t="str">
            <v>Wire Rope Eye to Eye</v>
          </cell>
          <cell r="F145" t="str">
            <v>COM</v>
          </cell>
          <cell r="G145" t="str">
            <v>Depr. from 1/8/2025 to 31/8/2025</v>
          </cell>
          <cell r="H145">
            <v>0</v>
          </cell>
          <cell r="I145">
            <v>302166.67</v>
          </cell>
        </row>
        <row r="146">
          <cell r="D146" t="str">
            <v>FNF000293</v>
          </cell>
          <cell r="E146" t="str">
            <v>Wire Rope Eye to Eye</v>
          </cell>
          <cell r="F146" t="str">
            <v>COM</v>
          </cell>
          <cell r="G146" t="str">
            <v>Depr. from 1/8/2025 to 31/8/2025</v>
          </cell>
          <cell r="H146">
            <v>0</v>
          </cell>
          <cell r="I146">
            <v>372400</v>
          </cell>
        </row>
        <row r="147">
          <cell r="D147" t="str">
            <v>FNF000294</v>
          </cell>
          <cell r="E147" t="str">
            <v>Wire Rope Eye to Eye</v>
          </cell>
          <cell r="F147" t="str">
            <v>COM</v>
          </cell>
          <cell r="G147" t="str">
            <v>Depr. from 1/8/2025 to 31/8/2025</v>
          </cell>
          <cell r="H147">
            <v>0</v>
          </cell>
          <cell r="I147">
            <v>372400</v>
          </cell>
        </row>
        <row r="148">
          <cell r="D148" t="str">
            <v>FNF000295</v>
          </cell>
          <cell r="E148" t="str">
            <v>Wire Rope Eye to Eye</v>
          </cell>
          <cell r="F148" t="str">
            <v>COM</v>
          </cell>
          <cell r="G148" t="str">
            <v>Depr. from 1/8/2025 to 31/8/2025</v>
          </cell>
          <cell r="H148">
            <v>0</v>
          </cell>
          <cell r="I148">
            <v>372400</v>
          </cell>
        </row>
        <row r="149">
          <cell r="D149" t="str">
            <v>FNF000296</v>
          </cell>
          <cell r="E149" t="str">
            <v>Wire Rope Eye to Eye</v>
          </cell>
          <cell r="F149" t="str">
            <v>COM</v>
          </cell>
          <cell r="G149" t="str">
            <v>Depr. from 1/8/2025 to 31/8/2025</v>
          </cell>
          <cell r="H149">
            <v>0</v>
          </cell>
          <cell r="I149">
            <v>372400</v>
          </cell>
        </row>
        <row r="150">
          <cell r="D150" t="str">
            <v>FNF000297</v>
          </cell>
          <cell r="E150" t="str">
            <v>Apeos C3070 CPS</v>
          </cell>
          <cell r="F150" t="str">
            <v>COM</v>
          </cell>
          <cell r="G150" t="str">
            <v>Depr. from 1/8/2025 to 31/8/2025</v>
          </cell>
          <cell r="H150">
            <v>0</v>
          </cell>
          <cell r="I150">
            <v>2033333.32</v>
          </cell>
        </row>
        <row r="151">
          <cell r="D151" t="str">
            <v>FNF000298</v>
          </cell>
          <cell r="E151" t="str">
            <v>Gas Trailing Shield</v>
          </cell>
          <cell r="F151" t="str">
            <v>COM</v>
          </cell>
          <cell r="G151" t="str">
            <v>Depr. from 1/8/2025 to 31/8/2025</v>
          </cell>
          <cell r="H151">
            <v>0</v>
          </cell>
          <cell r="I151">
            <v>805061.38</v>
          </cell>
        </row>
        <row r="152">
          <cell r="D152" t="str">
            <v>FNF000299</v>
          </cell>
          <cell r="E152" t="str">
            <v>Plus 2 Gas Trailing Shield</v>
          </cell>
          <cell r="F152" t="str">
            <v>COM</v>
          </cell>
          <cell r="G152" t="str">
            <v>Depr. from 1/8/2025 to 31/8/2025</v>
          </cell>
          <cell r="H152">
            <v>0</v>
          </cell>
          <cell r="I152">
            <v>1125959.98</v>
          </cell>
        </row>
        <row r="153">
          <cell r="D153" t="str">
            <v>FNF000300</v>
          </cell>
          <cell r="E153" t="str">
            <v>Skirt # 1</v>
          </cell>
          <cell r="F153" t="str">
            <v>COM</v>
          </cell>
          <cell r="G153" t="str">
            <v>Depr. from 1/8/2025 to 31/8/2025</v>
          </cell>
          <cell r="H153">
            <v>0</v>
          </cell>
          <cell r="I153">
            <v>630537.57999999996</v>
          </cell>
        </row>
        <row r="154">
          <cell r="D154" t="str">
            <v>FNF000301</v>
          </cell>
          <cell r="E154" t="str">
            <v>Skirt # 2</v>
          </cell>
          <cell r="F154" t="str">
            <v>COM</v>
          </cell>
          <cell r="G154" t="str">
            <v>Depr. from 1/8/2025 to 31/8/2025</v>
          </cell>
          <cell r="H154">
            <v>0</v>
          </cell>
          <cell r="I154">
            <v>630537.57999999996</v>
          </cell>
        </row>
        <row r="155">
          <cell r="D155" t="str">
            <v>FNF000302</v>
          </cell>
          <cell r="E155" t="str">
            <v>Skirt # 4</v>
          </cell>
          <cell r="F155" t="str">
            <v>COM</v>
          </cell>
          <cell r="G155" t="str">
            <v>Depr. from 1/8/2025 to 31/8/2025</v>
          </cell>
          <cell r="H155">
            <v>0</v>
          </cell>
          <cell r="I155">
            <v>630537.57999999996</v>
          </cell>
        </row>
        <row r="156">
          <cell r="D156" t="str">
            <v>FNF000303</v>
          </cell>
          <cell r="E156" t="str">
            <v>FortiGate 50E</v>
          </cell>
          <cell r="F156" t="str">
            <v>COM</v>
          </cell>
          <cell r="G156" t="str">
            <v>Depr. from 1/8/2025 to 31/8/2025</v>
          </cell>
          <cell r="H156">
            <v>0</v>
          </cell>
          <cell r="I156">
            <v>214666.65</v>
          </cell>
        </row>
        <row r="157">
          <cell r="D157" t="str">
            <v>FNF000304</v>
          </cell>
          <cell r="E157" t="str">
            <v>INTERNET INFRA FOR OFFICE</v>
          </cell>
          <cell r="F157" t="str">
            <v>COM</v>
          </cell>
          <cell r="G157" t="str">
            <v>Depr. from 1/8/2025 to 31/8/2025</v>
          </cell>
          <cell r="H157">
            <v>0</v>
          </cell>
          <cell r="I157">
            <v>844499.98</v>
          </cell>
        </row>
        <row r="158">
          <cell r="D158" t="str">
            <v>FNF000305</v>
          </cell>
          <cell r="E158" t="str">
            <v>SHREDDER Papper</v>
          </cell>
          <cell r="F158" t="str">
            <v>COM</v>
          </cell>
          <cell r="G158" t="str">
            <v>Depr. from 1/8/2025 to 31/8/2025</v>
          </cell>
          <cell r="H158">
            <v>0</v>
          </cell>
          <cell r="I158">
            <v>276499.98</v>
          </cell>
        </row>
        <row r="159">
          <cell r="D159" t="str">
            <v>FNF000306</v>
          </cell>
          <cell r="E159" t="str">
            <v>FC Machine FUJIFILM Apeos</v>
          </cell>
          <cell r="F159" t="str">
            <v>COM</v>
          </cell>
          <cell r="G159" t="str">
            <v>Depr. from 1/8/2025 to 31/8/2025</v>
          </cell>
          <cell r="H159">
            <v>0</v>
          </cell>
          <cell r="I159">
            <v>1566666.65</v>
          </cell>
        </row>
        <row r="160">
          <cell r="D160" t="str">
            <v>FNF000307</v>
          </cell>
          <cell r="E160" t="str">
            <v>Drum Dumper Taiyo</v>
          </cell>
          <cell r="F160" t="str">
            <v>COM</v>
          </cell>
          <cell r="G160" t="str">
            <v>Depr. from 1/8/2025 to 31/8/2025</v>
          </cell>
          <cell r="H160">
            <v>0</v>
          </cell>
          <cell r="I160">
            <v>2386312.48</v>
          </cell>
        </row>
        <row r="161">
          <cell r="D161" t="str">
            <v>FNF000308</v>
          </cell>
          <cell r="E161" t="str">
            <v>Drum Dumper Taiyo</v>
          </cell>
          <cell r="F161" t="str">
            <v>COM</v>
          </cell>
          <cell r="G161" t="str">
            <v>Depr. from 1/8/2025 to 31/8/2025</v>
          </cell>
          <cell r="H161">
            <v>0</v>
          </cell>
          <cell r="I161">
            <v>2386312.48</v>
          </cell>
        </row>
        <row r="162">
          <cell r="D162" t="str">
            <v>FNF000309</v>
          </cell>
          <cell r="E162" t="str">
            <v>Access Point Room A</v>
          </cell>
          <cell r="F162" t="str">
            <v>COM</v>
          </cell>
          <cell r="G162" t="str">
            <v>Depr. from 1/8/2025 to 31/8/2025</v>
          </cell>
          <cell r="H162">
            <v>0</v>
          </cell>
          <cell r="I162">
            <v>337583.32</v>
          </cell>
        </row>
        <row r="163">
          <cell r="D163" t="str">
            <v>FNF000309</v>
          </cell>
          <cell r="E163" t="str">
            <v>Access Point Room A</v>
          </cell>
          <cell r="F163" t="str">
            <v>COM</v>
          </cell>
          <cell r="G163" t="str">
            <v>Depr. from 1/8/2025 to 31/8/2025</v>
          </cell>
          <cell r="H163">
            <v>0</v>
          </cell>
          <cell r="I163">
            <v>1350333.28</v>
          </cell>
        </row>
        <row r="164">
          <cell r="D164" t="str">
            <v>FNF000310</v>
          </cell>
          <cell r="E164" t="str">
            <v>Access Point Room B</v>
          </cell>
          <cell r="F164" t="str">
            <v>COM</v>
          </cell>
          <cell r="G164" t="str">
            <v>Depr. from 1/8/2025 to 31/8/2025</v>
          </cell>
          <cell r="H164">
            <v>0</v>
          </cell>
          <cell r="I164">
            <v>337583.32</v>
          </cell>
        </row>
        <row r="165">
          <cell r="D165" t="str">
            <v>FNF000310</v>
          </cell>
          <cell r="E165" t="str">
            <v>Access Point Room B</v>
          </cell>
          <cell r="F165" t="str">
            <v>COM</v>
          </cell>
          <cell r="G165" t="str">
            <v>Depr. from 1/8/2025 to 31/8/2025</v>
          </cell>
          <cell r="H165">
            <v>0</v>
          </cell>
          <cell r="I165">
            <v>1350333.28</v>
          </cell>
        </row>
        <row r="166">
          <cell r="D166" t="str">
            <v>FNF000311</v>
          </cell>
          <cell r="E166" t="str">
            <v>CISCO SWITCH NETWORK</v>
          </cell>
          <cell r="F166" t="str">
            <v>COM</v>
          </cell>
          <cell r="G166" t="str">
            <v>Depr. from 1/8/2025 to 31/8/2025</v>
          </cell>
          <cell r="H166">
            <v>0</v>
          </cell>
          <cell r="I166">
            <v>1130166.6499999999</v>
          </cell>
        </row>
        <row r="167">
          <cell r="D167" t="str">
            <v>FNF000311</v>
          </cell>
          <cell r="E167" t="str">
            <v>CISCO SWITCH NETWORK</v>
          </cell>
          <cell r="F167" t="str">
            <v>COM</v>
          </cell>
          <cell r="G167" t="str">
            <v>Depr. from 1/8/2025 to 31/8/2025</v>
          </cell>
          <cell r="H167">
            <v>0</v>
          </cell>
          <cell r="I167">
            <v>2260333.2999999998</v>
          </cell>
        </row>
        <row r="168">
          <cell r="I168">
            <v>19547041.660000004</v>
          </cell>
        </row>
        <row r="169">
          <cell r="D169" t="str">
            <v>MNE000298</v>
          </cell>
          <cell r="E169" t="str">
            <v>Nestainer</v>
          </cell>
          <cell r="F169" t="str">
            <v>COM</v>
          </cell>
          <cell r="G169" t="str">
            <v>Depr. from 1/8/2025 to 31/8/2025</v>
          </cell>
          <cell r="H169">
            <v>0</v>
          </cell>
          <cell r="I169">
            <v>24795905.329999998</v>
          </cell>
        </row>
        <row r="170">
          <cell r="D170" t="str">
            <v>MNE000299</v>
          </cell>
          <cell r="E170" t="str">
            <v>Container</v>
          </cell>
          <cell r="F170" t="str">
            <v>COM</v>
          </cell>
          <cell r="G170" t="str">
            <v>Depr. from 1/8/2025 to 31/8/2025</v>
          </cell>
          <cell r="H170">
            <v>0</v>
          </cell>
          <cell r="I170">
            <v>400000</v>
          </cell>
        </row>
        <row r="171">
          <cell r="D171" t="str">
            <v>MNE000300</v>
          </cell>
          <cell r="E171" t="str">
            <v>Container</v>
          </cell>
          <cell r="F171" t="str">
            <v>COM</v>
          </cell>
          <cell r="G171" t="str">
            <v>Depr. from 1/8/2025 to 31/8/2025</v>
          </cell>
          <cell r="H171">
            <v>0</v>
          </cell>
          <cell r="I171">
            <v>400000</v>
          </cell>
        </row>
        <row r="172">
          <cell r="D172" t="str">
            <v>MNE000301</v>
          </cell>
          <cell r="E172" t="str">
            <v>Load Cell F Winch</v>
          </cell>
          <cell r="F172" t="str">
            <v>COM</v>
          </cell>
          <cell r="G172" t="str">
            <v>Depr. from 1/8/2025 to 31/8/2025</v>
          </cell>
          <cell r="H172">
            <v>0</v>
          </cell>
          <cell r="I172">
            <v>1916666.67</v>
          </cell>
        </row>
        <row r="173">
          <cell r="D173" t="str">
            <v>MNE000302</v>
          </cell>
          <cell r="E173" t="str">
            <v>JET Cleaner Assy</v>
          </cell>
          <cell r="F173" t="str">
            <v>COM</v>
          </cell>
          <cell r="G173" t="str">
            <v>Depr. from 1/8/2025 to 31/8/2025</v>
          </cell>
          <cell r="H173">
            <v>0</v>
          </cell>
          <cell r="I173">
            <v>470250</v>
          </cell>
        </row>
        <row r="174">
          <cell r="D174" t="str">
            <v>MNE000303</v>
          </cell>
          <cell r="E174" t="str">
            <v>Terrain Crane 50T</v>
          </cell>
          <cell r="F174" t="str">
            <v>COM</v>
          </cell>
          <cell r="G174" t="str">
            <v>Depr. from 1/8/2025 to 31/8/2025</v>
          </cell>
          <cell r="H174">
            <v>0</v>
          </cell>
          <cell r="I174">
            <v>56500000</v>
          </cell>
        </row>
        <row r="175">
          <cell r="D175" t="str">
            <v>MNE000306</v>
          </cell>
          <cell r="E175" t="str">
            <v>Drum Clippers</v>
          </cell>
          <cell r="F175" t="str">
            <v>COM</v>
          </cell>
          <cell r="G175" t="str">
            <v>Depr. from 1/8/2025 to 31/8/2025</v>
          </cell>
          <cell r="H175">
            <v>0</v>
          </cell>
          <cell r="I175">
            <v>650000</v>
          </cell>
        </row>
        <row r="176">
          <cell r="D176" t="str">
            <v>MNE000307</v>
          </cell>
          <cell r="E176" t="str">
            <v>Drum Clippers</v>
          </cell>
          <cell r="F176" t="str">
            <v>COM</v>
          </cell>
          <cell r="G176" t="str">
            <v>Depr. from 1/8/2025 to 31/8/2025</v>
          </cell>
          <cell r="H176">
            <v>0</v>
          </cell>
          <cell r="I176">
            <v>812500</v>
          </cell>
        </row>
        <row r="177">
          <cell r="D177" t="str">
            <v>MNE000308</v>
          </cell>
          <cell r="E177" t="str">
            <v>Plasma Cutting Power</v>
          </cell>
          <cell r="F177" t="str">
            <v>COM</v>
          </cell>
          <cell r="G177" t="str">
            <v>Depr. from 1/8/2025 to 31/8/2025</v>
          </cell>
          <cell r="H177">
            <v>0</v>
          </cell>
          <cell r="I177">
            <v>5083333.33</v>
          </cell>
        </row>
        <row r="178">
          <cell r="D178" t="str">
            <v>MNE000309</v>
          </cell>
          <cell r="E178" t="str">
            <v>Plasma Cutting Power</v>
          </cell>
          <cell r="F178" t="str">
            <v>COM</v>
          </cell>
          <cell r="G178" t="str">
            <v>Depr. from 1/8/2025 to 31/8/2025</v>
          </cell>
          <cell r="H178">
            <v>0</v>
          </cell>
          <cell r="I178">
            <v>3111111.11</v>
          </cell>
        </row>
        <row r="179">
          <cell r="D179" t="str">
            <v>MNE000310</v>
          </cell>
          <cell r="E179" t="str">
            <v>Plasma Cutting Power</v>
          </cell>
          <cell r="F179" t="str">
            <v>COM</v>
          </cell>
          <cell r="G179" t="str">
            <v>Depr. from 1/8/2025 to 31/8/2025</v>
          </cell>
          <cell r="H179">
            <v>0</v>
          </cell>
          <cell r="I179">
            <v>3111111.11</v>
          </cell>
        </row>
        <row r="180">
          <cell r="D180" t="str">
            <v>MNE000311</v>
          </cell>
          <cell r="E180" t="str">
            <v>Electric Winch</v>
          </cell>
          <cell r="F180" t="str">
            <v>COM</v>
          </cell>
          <cell r="G180" t="str">
            <v>Depr. from 1/8/2025 to 31/8/2025</v>
          </cell>
          <cell r="H180">
            <v>0</v>
          </cell>
          <cell r="I180">
            <v>1385416.67</v>
          </cell>
        </row>
        <row r="181">
          <cell r="D181" t="str">
            <v>MNE000312</v>
          </cell>
          <cell r="E181" t="str">
            <v>Electric Winch</v>
          </cell>
          <cell r="F181" t="str">
            <v>COM</v>
          </cell>
          <cell r="G181" t="str">
            <v>Depr. from 1/8/2025 to 31/8/2025</v>
          </cell>
          <cell r="H181">
            <v>0</v>
          </cell>
          <cell r="I181">
            <v>1385416.67</v>
          </cell>
        </row>
        <row r="182">
          <cell r="D182" t="str">
            <v>MNE000313</v>
          </cell>
          <cell r="E182" t="str">
            <v>Electric Winch</v>
          </cell>
          <cell r="F182" t="str">
            <v>COM</v>
          </cell>
          <cell r="G182" t="str">
            <v>Depr. from 1/8/2025 to 31/8/2025</v>
          </cell>
          <cell r="H182">
            <v>0</v>
          </cell>
          <cell r="I182">
            <v>2572916.67</v>
          </cell>
        </row>
        <row r="183">
          <cell r="D183" t="str">
            <v>MNE000314</v>
          </cell>
          <cell r="E183" t="str">
            <v>Electric Winch</v>
          </cell>
          <cell r="F183" t="str">
            <v>COM</v>
          </cell>
          <cell r="G183" t="str">
            <v>Depr. from 1/8/2025 to 31/8/2025</v>
          </cell>
          <cell r="H183">
            <v>0</v>
          </cell>
          <cell r="I183">
            <v>2572916.67</v>
          </cell>
        </row>
        <row r="184">
          <cell r="D184" t="str">
            <v>MNE000315</v>
          </cell>
          <cell r="E184" t="str">
            <v>Racking System</v>
          </cell>
          <cell r="F184" t="str">
            <v>COM</v>
          </cell>
          <cell r="G184" t="str">
            <v>Depr. from 1/8/2025 to 31/8/2025</v>
          </cell>
          <cell r="H184">
            <v>0</v>
          </cell>
          <cell r="I184">
            <v>15486666.67</v>
          </cell>
        </row>
        <row r="185">
          <cell r="D185" t="str">
            <v>MNE000319</v>
          </cell>
          <cell r="E185" t="str">
            <v>Goodway Tube Cleaner RAM-PRO-A-50</v>
          </cell>
          <cell r="F185" t="str">
            <v>COM</v>
          </cell>
          <cell r="G185" t="str">
            <v>Depr. from 1/8/2025 to 31/8/2025</v>
          </cell>
          <cell r="H185">
            <v>0</v>
          </cell>
          <cell r="I185">
            <v>1708333.33</v>
          </cell>
        </row>
        <row r="186">
          <cell r="D186" t="str">
            <v>MNE000320</v>
          </cell>
          <cell r="E186" t="str">
            <v>Mini Jetter KRV Diesel</v>
          </cell>
          <cell r="F186" t="str">
            <v>COM</v>
          </cell>
          <cell r="G186" t="str">
            <v>Depr. from 1/8/2025 to 31/8/2025</v>
          </cell>
          <cell r="H186">
            <v>0</v>
          </cell>
          <cell r="I186">
            <v>347990</v>
          </cell>
        </row>
        <row r="187">
          <cell r="D187" t="str">
            <v>MNE000321</v>
          </cell>
          <cell r="E187" t="str">
            <v>Mini Jetter KRV Diesel</v>
          </cell>
          <cell r="F187" t="str">
            <v>COM</v>
          </cell>
          <cell r="G187" t="str">
            <v>Depr. from 1/8/2025 to 31/8/2025</v>
          </cell>
          <cell r="H187">
            <v>0</v>
          </cell>
          <cell r="I187">
            <v>347990</v>
          </cell>
        </row>
        <row r="188">
          <cell r="D188" t="str">
            <v>MNE000322</v>
          </cell>
          <cell r="E188" t="str">
            <v>Mini Jetter KRV Diesel</v>
          </cell>
          <cell r="F188" t="str">
            <v>COM</v>
          </cell>
          <cell r="G188" t="str">
            <v>Depr. from 1/8/2025 to 31/8/2025</v>
          </cell>
          <cell r="H188">
            <v>0</v>
          </cell>
          <cell r="I188">
            <v>347990</v>
          </cell>
        </row>
        <row r="189">
          <cell r="D189" t="str">
            <v>MNE000323</v>
          </cell>
          <cell r="E189" t="str">
            <v>Mini Jetter KRV Diesel</v>
          </cell>
          <cell r="F189" t="str">
            <v>COM</v>
          </cell>
          <cell r="G189" t="str">
            <v>Depr. from 1/8/2025 to 31/8/2025</v>
          </cell>
          <cell r="H189">
            <v>0</v>
          </cell>
          <cell r="I189">
            <v>347990</v>
          </cell>
        </row>
        <row r="190">
          <cell r="D190" t="str">
            <v>MNE000324</v>
          </cell>
          <cell r="E190" t="str">
            <v>Air Screw Compressor AIRMAN PDS-185</v>
          </cell>
          <cell r="F190" t="str">
            <v>COM</v>
          </cell>
          <cell r="G190" t="str">
            <v>Depr. from 1/8/2025 to 31/8/2025</v>
          </cell>
          <cell r="H190">
            <v>0</v>
          </cell>
          <cell r="I190">
            <v>4736666.67</v>
          </cell>
        </row>
        <row r="191">
          <cell r="D191" t="str">
            <v>MNE000325</v>
          </cell>
          <cell r="E191" t="str">
            <v>Air Screw Compressor AIRMAN PDS-185</v>
          </cell>
          <cell r="F191" t="str">
            <v>COM</v>
          </cell>
          <cell r="G191" t="str">
            <v>Depr. from 1/8/2025 to 31/8/2025</v>
          </cell>
          <cell r="H191">
            <v>0</v>
          </cell>
          <cell r="I191">
            <v>4736666.67</v>
          </cell>
        </row>
        <row r="192">
          <cell r="D192" t="str">
            <v>MNE000326</v>
          </cell>
          <cell r="E192" t="str">
            <v>Atolly Magnetic Drill 32 mm</v>
          </cell>
          <cell r="F192" t="str">
            <v>COM</v>
          </cell>
          <cell r="G192" t="str">
            <v>Depr. from 1/8/2025 to 31/8/2025</v>
          </cell>
          <cell r="H192">
            <v>0</v>
          </cell>
          <cell r="I192">
            <v>703694.44</v>
          </cell>
        </row>
        <row r="193">
          <cell r="D193" t="str">
            <v>MNE000327</v>
          </cell>
          <cell r="E193" t="str">
            <v>Atolly Magnetic Drill 32 mm</v>
          </cell>
          <cell r="F193" t="str">
            <v>COM</v>
          </cell>
          <cell r="G193" t="str">
            <v>Depr. from 1/8/2025 to 31/8/2025</v>
          </cell>
          <cell r="H193">
            <v>0</v>
          </cell>
          <cell r="I193">
            <v>703694.44</v>
          </cell>
        </row>
        <row r="194">
          <cell r="D194" t="str">
            <v>MNE000328</v>
          </cell>
          <cell r="E194" t="str">
            <v>Aerial Bundle Extractor</v>
          </cell>
          <cell r="F194" t="str">
            <v>COM</v>
          </cell>
          <cell r="G194" t="str">
            <v>Depr. from 1/8/2025 to 31/8/2025</v>
          </cell>
          <cell r="H194">
            <v>0</v>
          </cell>
          <cell r="I194">
            <v>24319623.039999999</v>
          </cell>
        </row>
        <row r="195">
          <cell r="D195" t="str">
            <v>MNE000329</v>
          </cell>
          <cell r="E195" t="str">
            <v>Seling Talurit</v>
          </cell>
          <cell r="F195" t="str">
            <v>COM</v>
          </cell>
          <cell r="G195" t="str">
            <v>Depr. from 1/8/2025 to 31/8/2025</v>
          </cell>
          <cell r="H195">
            <v>0</v>
          </cell>
          <cell r="I195">
            <v>855333.32</v>
          </cell>
        </row>
        <row r="196">
          <cell r="D196" t="str">
            <v>MNE000330</v>
          </cell>
          <cell r="E196" t="str">
            <v>Air Compressor SWAN S</v>
          </cell>
          <cell r="F196" t="str">
            <v>COM</v>
          </cell>
          <cell r="G196" t="str">
            <v>Depr. from 1/8/2025 to 31/8/2025</v>
          </cell>
          <cell r="H196">
            <v>0</v>
          </cell>
          <cell r="I196">
            <v>247499.98</v>
          </cell>
        </row>
        <row r="197">
          <cell r="D197" t="str">
            <v>MNE000331</v>
          </cell>
          <cell r="E197" t="str">
            <v>Mesin Las ESAB ES410IC</v>
          </cell>
          <cell r="F197" t="str">
            <v>COM</v>
          </cell>
          <cell r="G197" t="str">
            <v>Depr. from 1/8/2025 to 31/8/2025</v>
          </cell>
          <cell r="H197">
            <v>0</v>
          </cell>
          <cell r="I197">
            <v>604174.98</v>
          </cell>
        </row>
        <row r="198">
          <cell r="D198" t="str">
            <v>MNE000333</v>
          </cell>
          <cell r="E198" t="str">
            <v>Airline Mask Low Pressure</v>
          </cell>
          <cell r="G198" t="str">
            <v>Depr. from 1/8/2025 to 31/8/2025</v>
          </cell>
          <cell r="H198">
            <v>0</v>
          </cell>
          <cell r="I198">
            <v>1913888.888888889</v>
          </cell>
        </row>
        <row r="199">
          <cell r="D199" t="str">
            <v>MNE000332</v>
          </cell>
          <cell r="E199" t="str">
            <v>Loading/Unloading Ramping System</v>
          </cell>
          <cell r="F199" t="str">
            <v>COM</v>
          </cell>
          <cell r="G199" t="str">
            <v>Depr. from 1/8/2025 to 31/8/2025</v>
          </cell>
          <cell r="H199">
            <v>0</v>
          </cell>
          <cell r="I199">
            <v>4033985.56</v>
          </cell>
        </row>
        <row r="200">
          <cell r="I200">
            <v>40282572</v>
          </cell>
        </row>
        <row r="201">
          <cell r="D201" t="str">
            <v>STR000064</v>
          </cell>
          <cell r="E201" t="str">
            <v>Air Conditioner</v>
          </cell>
          <cell r="F201" t="str">
            <v>COM</v>
          </cell>
          <cell r="G201" t="str">
            <v>Depr. from 1/8/2025 to 31/8/2025</v>
          </cell>
          <cell r="H201">
            <v>0</v>
          </cell>
          <cell r="I201">
            <v>546133.32999999996</v>
          </cell>
        </row>
        <row r="202">
          <cell r="D202" t="str">
            <v>STR000065</v>
          </cell>
          <cell r="E202" t="str">
            <v>Air Conditioner</v>
          </cell>
          <cell r="F202" t="str">
            <v>COM</v>
          </cell>
          <cell r="G202" t="str">
            <v>Depr. from 1/8/2025 to 31/8/2025</v>
          </cell>
          <cell r="H202">
            <v>0</v>
          </cell>
          <cell r="I202">
            <v>561675</v>
          </cell>
        </row>
        <row r="203">
          <cell r="D203" t="str">
            <v>STR000066</v>
          </cell>
          <cell r="E203" t="str">
            <v>Air Conditioner</v>
          </cell>
          <cell r="F203" t="str">
            <v>COM</v>
          </cell>
          <cell r="G203" t="str">
            <v>Depr. from 1/8/2025 to 31/8/2025</v>
          </cell>
          <cell r="H203">
            <v>0</v>
          </cell>
          <cell r="I203">
            <v>1060416.67</v>
          </cell>
        </row>
        <row r="204">
          <cell r="D204" t="str">
            <v>STR000067</v>
          </cell>
          <cell r="E204" t="str">
            <v>Air Conditioner</v>
          </cell>
          <cell r="F204" t="str">
            <v>COM</v>
          </cell>
          <cell r="G204" t="str">
            <v>Depr. from 1/8/2025 to 31/8/2025</v>
          </cell>
          <cell r="H204">
            <v>0</v>
          </cell>
          <cell r="I204">
            <v>1060416.67</v>
          </cell>
        </row>
        <row r="205">
          <cell r="D205" t="str">
            <v>STR000068</v>
          </cell>
          <cell r="E205" t="str">
            <v>Body Harness Hangers</v>
          </cell>
          <cell r="F205" t="str">
            <v>COM</v>
          </cell>
          <cell r="G205" t="str">
            <v>Depr. from 1/8/2025 to 31/8/2025</v>
          </cell>
          <cell r="H205">
            <v>0</v>
          </cell>
          <cell r="I205">
            <v>1041666.67</v>
          </cell>
        </row>
        <row r="206">
          <cell r="D206" t="str">
            <v>STR000069</v>
          </cell>
          <cell r="E206" t="str">
            <v>Body Harness Hangers</v>
          </cell>
          <cell r="F206" t="str">
            <v>COM</v>
          </cell>
          <cell r="G206" t="str">
            <v>Depr. from 1/8/2025 to 31/8/2025</v>
          </cell>
          <cell r="H206">
            <v>0</v>
          </cell>
          <cell r="I206">
            <v>1041666.67</v>
          </cell>
        </row>
        <row r="207">
          <cell r="D207" t="str">
            <v>STR000070</v>
          </cell>
          <cell r="E207" t="str">
            <v>Renovation Office 7th Floor</v>
          </cell>
          <cell r="F207" t="str">
            <v>COM</v>
          </cell>
          <cell r="G207" t="str">
            <v>Depr. from 1/8/2025 to 31/8/2025</v>
          </cell>
          <cell r="H207">
            <v>0</v>
          </cell>
          <cell r="I207">
            <v>2183333.33</v>
          </cell>
        </row>
        <row r="208">
          <cell r="D208" t="str">
            <v>STR000071</v>
          </cell>
          <cell r="E208" t="str">
            <v>Floor</v>
          </cell>
          <cell r="F208" t="str">
            <v>COM</v>
          </cell>
          <cell r="G208" t="str">
            <v>Depr. from 1/8/2025 to 31/8/2025</v>
          </cell>
          <cell r="H208">
            <v>0</v>
          </cell>
          <cell r="I208">
            <v>1506057</v>
          </cell>
        </row>
        <row r="209">
          <cell r="D209" t="str">
            <v>STR000072</v>
          </cell>
          <cell r="E209" t="str">
            <v>Gypsum Wall Partition</v>
          </cell>
          <cell r="F209" t="str">
            <v>COM</v>
          </cell>
          <cell r="G209" t="str">
            <v>Depr. from 1/8/2025 to 31/8/2025</v>
          </cell>
          <cell r="H209">
            <v>0</v>
          </cell>
          <cell r="I209">
            <v>1369069.58</v>
          </cell>
        </row>
        <row r="210">
          <cell r="D210" t="str">
            <v>STR000073</v>
          </cell>
          <cell r="E210" t="str">
            <v>Wallpaper</v>
          </cell>
          <cell r="F210" t="str">
            <v>COM</v>
          </cell>
          <cell r="G210" t="str">
            <v>Depr. from 1/8/2025 to 31/8/2025</v>
          </cell>
          <cell r="H210">
            <v>0</v>
          </cell>
          <cell r="I210">
            <v>241740</v>
          </cell>
        </row>
        <row r="211">
          <cell r="D211" t="str">
            <v>STR000074</v>
          </cell>
          <cell r="E211" t="str">
            <v>Glass Partition</v>
          </cell>
          <cell r="F211" t="str">
            <v>COM</v>
          </cell>
          <cell r="G211" t="str">
            <v>Depr. from 1/8/2025 to 31/8/2025</v>
          </cell>
          <cell r="H211">
            <v>0</v>
          </cell>
          <cell r="I211">
            <v>458500</v>
          </cell>
        </row>
        <row r="212">
          <cell r="D212" t="str">
            <v>STR000075</v>
          </cell>
          <cell r="E212" t="str">
            <v>Door</v>
          </cell>
          <cell r="F212" t="str">
            <v>COM</v>
          </cell>
          <cell r="G212" t="str">
            <v>Depr. from 1/8/2025 to 31/8/2025</v>
          </cell>
          <cell r="H212">
            <v>0</v>
          </cell>
          <cell r="I212">
            <v>1169083.33</v>
          </cell>
        </row>
        <row r="213">
          <cell r="D213" t="str">
            <v>STR000076</v>
          </cell>
          <cell r="E213" t="str">
            <v>Ceiling</v>
          </cell>
          <cell r="F213" t="str">
            <v>COM</v>
          </cell>
          <cell r="G213" t="str">
            <v>Depr. from 1/8/2025 to 31/8/2025</v>
          </cell>
          <cell r="H213">
            <v>0</v>
          </cell>
          <cell r="I213">
            <v>551192</v>
          </cell>
        </row>
        <row r="214">
          <cell r="D214" t="str">
            <v>STR000077</v>
          </cell>
          <cell r="E214" t="str">
            <v>Water Supply Booster</v>
          </cell>
          <cell r="F214" t="str">
            <v>COM</v>
          </cell>
          <cell r="G214" t="str">
            <v>Depr. from 1/8/2025 to 31/8/2025</v>
          </cell>
          <cell r="H214">
            <v>0</v>
          </cell>
          <cell r="I214">
            <v>5000000</v>
          </cell>
        </row>
        <row r="215">
          <cell r="D215" t="str">
            <v>STR000078</v>
          </cell>
          <cell r="E215" t="str">
            <v>Floor Epoxy</v>
          </cell>
          <cell r="F215" t="str">
            <v>COM</v>
          </cell>
          <cell r="G215" t="str">
            <v>Depr. from 1/8/2025 to 31/8/2025</v>
          </cell>
          <cell r="H215">
            <v>0</v>
          </cell>
          <cell r="I215">
            <v>1546705.27</v>
          </cell>
        </row>
        <row r="216">
          <cell r="D216" t="str">
            <v>STR000079</v>
          </cell>
          <cell r="E216" t="str">
            <v xml:space="preserve">	Wall Partition</v>
          </cell>
          <cell r="F216" t="str">
            <v>COM</v>
          </cell>
          <cell r="G216" t="str">
            <v>Depr. from 1/8/2025 to 31/8/2025</v>
          </cell>
          <cell r="H216">
            <v>0</v>
          </cell>
          <cell r="I216">
            <v>984561.4</v>
          </cell>
        </row>
        <row r="217">
          <cell r="I217">
            <v>2083333.34</v>
          </cell>
        </row>
        <row r="218">
          <cell r="D218" t="str">
            <v>SYS000001</v>
          </cell>
          <cell r="E218" t="str">
            <v>Nextset Form</v>
          </cell>
          <cell r="F218" t="str">
            <v>COM</v>
          </cell>
          <cell r="G218" t="str">
            <v>Depr. from 1/8/2025 to 31/8/2025</v>
          </cell>
          <cell r="H218">
            <v>0</v>
          </cell>
          <cell r="I218">
            <v>1317500</v>
          </cell>
        </row>
        <row r="219">
          <cell r="D219" t="str">
            <v>SYS000002</v>
          </cell>
          <cell r="E219" t="str">
            <v>ZWCAD Software</v>
          </cell>
          <cell r="F219" t="str">
            <v>COM</v>
          </cell>
          <cell r="G219" t="str">
            <v>Depr. from 1/8/2025 to 31/8/2025</v>
          </cell>
          <cell r="H219">
            <v>0</v>
          </cell>
          <cell r="I219">
            <v>312500</v>
          </cell>
        </row>
        <row r="220">
          <cell r="D220" t="str">
            <v>SYS000003</v>
          </cell>
          <cell r="E220" t="str">
            <v>ZWCAD Software</v>
          </cell>
          <cell r="F220" t="str">
            <v>COM</v>
          </cell>
          <cell r="G220" t="str">
            <v>Depr. from 1/8/2025 to 31/8/2025</v>
          </cell>
          <cell r="H220">
            <v>0</v>
          </cell>
          <cell r="I220">
            <v>312500</v>
          </cell>
        </row>
        <row r="221">
          <cell r="D221" t="str">
            <v>SYS000004</v>
          </cell>
          <cell r="E221" t="str">
            <v>Excel Formula-Attendance record</v>
          </cell>
          <cell r="F221" t="str">
            <v>COM</v>
          </cell>
          <cell r="G221" t="str">
            <v>Depr. from 1/8/2025 to 31/8/2025</v>
          </cell>
          <cell r="H221">
            <v>0</v>
          </cell>
          <cell r="I221">
            <v>782499.98</v>
          </cell>
        </row>
        <row r="222">
          <cell r="D222" t="str">
            <v>SYS000004</v>
          </cell>
          <cell r="E222" t="str">
            <v>Excel Formula-Attendance record</v>
          </cell>
          <cell r="F222" t="str">
            <v>COM</v>
          </cell>
          <cell r="G222" t="str">
            <v>Depr. from 1/8/2025 to 31/8/2025</v>
          </cell>
          <cell r="H222">
            <v>0</v>
          </cell>
          <cell r="I222">
            <v>782499.98</v>
          </cell>
        </row>
        <row r="223">
          <cell r="I223">
            <v>0</v>
          </cell>
        </row>
        <row r="224">
          <cell r="D224" t="str">
            <v>VEH000570</v>
          </cell>
          <cell r="E224" t="str">
            <v>Forklift No.03</v>
          </cell>
          <cell r="F224" t="str">
            <v>COM</v>
          </cell>
          <cell r="G224" t="str">
            <v>Depr. from 1/8/2025 to 31/8/2025</v>
          </cell>
          <cell r="H224">
            <v>0</v>
          </cell>
          <cell r="I224">
            <v>7750000</v>
          </cell>
        </row>
        <row r="225">
          <cell r="D225" t="str">
            <v>VEH000575</v>
          </cell>
          <cell r="E225" t="str">
            <v>Forklift</v>
          </cell>
          <cell r="F225" t="str">
            <v>COM</v>
          </cell>
          <cell r="G225" t="str">
            <v>Depr. from 1/8/2025 to 31/8/2025</v>
          </cell>
          <cell r="H225">
            <v>0</v>
          </cell>
          <cell r="I225">
            <v>7750000</v>
          </cell>
        </row>
        <row r="226">
          <cell r="D226" t="str">
            <v>VEH000576</v>
          </cell>
          <cell r="E226" t="str">
            <v>Forklift</v>
          </cell>
          <cell r="F226" t="str">
            <v>COM</v>
          </cell>
          <cell r="G226" t="str">
            <v>Depr. from 1/8/2025 to 31/8/2025</v>
          </cell>
          <cell r="H226">
            <v>0</v>
          </cell>
          <cell r="I226">
            <v>7750000</v>
          </cell>
        </row>
        <row r="227">
          <cell r="D227" t="str">
            <v>VEH000577</v>
          </cell>
          <cell r="E227" t="str">
            <v>Forklift</v>
          </cell>
          <cell r="F227" t="str">
            <v>COM</v>
          </cell>
          <cell r="G227" t="str">
            <v>Depr. from 1/8/2025 to 31/8/2025</v>
          </cell>
          <cell r="H227">
            <v>0</v>
          </cell>
          <cell r="I227">
            <v>9083333.3300000001</v>
          </cell>
        </row>
        <row r="228">
          <cell r="D228" t="str">
            <v>VEH000578</v>
          </cell>
          <cell r="E228" t="str">
            <v>Forklift</v>
          </cell>
          <cell r="F228" t="str">
            <v>COM</v>
          </cell>
          <cell r="G228" t="str">
            <v>Depr. from 1/8/2025 to 31/8/2025</v>
          </cell>
          <cell r="H228">
            <v>0</v>
          </cell>
          <cell r="I228">
            <v>8750000</v>
          </cell>
        </row>
        <row r="229">
          <cell r="D229" t="str">
            <v>VEH000579</v>
          </cell>
          <cell r="E229" t="str">
            <v>Forklift</v>
          </cell>
          <cell r="F229" t="str">
            <v>COM</v>
          </cell>
          <cell r="G229" t="str">
            <v>Depr. from 1/8/2025 to 31/8/2025</v>
          </cell>
          <cell r="H229">
            <v>0</v>
          </cell>
          <cell r="I229">
            <v>6083333.3300000001</v>
          </cell>
        </row>
        <row r="230">
          <cell r="D230" t="str">
            <v>VEH000580</v>
          </cell>
          <cell r="E230" t="str">
            <v>Forklift</v>
          </cell>
          <cell r="F230" t="str">
            <v>COM</v>
          </cell>
          <cell r="G230" t="str">
            <v>Depr. from 1/8/2025 to 31/8/2025</v>
          </cell>
          <cell r="H230">
            <v>0</v>
          </cell>
          <cell r="I230">
            <v>9416666.6699999999</v>
          </cell>
        </row>
        <row r="231">
          <cell r="D231" t="str">
            <v>VEH000581</v>
          </cell>
          <cell r="E231" t="str">
            <v>Forklift</v>
          </cell>
          <cell r="F231" t="str">
            <v>COM</v>
          </cell>
          <cell r="G231" t="str">
            <v>Depr. from 1/8/2025 to 31/8/2025</v>
          </cell>
          <cell r="H231">
            <v>0</v>
          </cell>
          <cell r="I231">
            <v>9416666.6699999999</v>
          </cell>
        </row>
        <row r="232">
          <cell r="D232" t="str">
            <v>VEH000582</v>
          </cell>
          <cell r="E232" t="str">
            <v>forklift</v>
          </cell>
          <cell r="F232" t="str">
            <v>COM</v>
          </cell>
          <cell r="G232" t="str">
            <v>Depr. from 1/8/2025 to 31/8/2025</v>
          </cell>
          <cell r="H232">
            <v>0</v>
          </cell>
          <cell r="I232">
            <v>9416666.6699999999</v>
          </cell>
        </row>
        <row r="233">
          <cell r="D233" t="str">
            <v>VEH000583</v>
          </cell>
          <cell r="E233" t="str">
            <v>Forklift (No. 23)</v>
          </cell>
          <cell r="F233" t="str">
            <v>COM</v>
          </cell>
          <cell r="G233" t="str">
            <v>Depr. from 1/8/2025 to 31/8/2025</v>
          </cell>
          <cell r="H233">
            <v>0</v>
          </cell>
          <cell r="I233">
            <v>7750000</v>
          </cell>
        </row>
        <row r="234">
          <cell r="D234" t="str">
            <v>VEH000584</v>
          </cell>
          <cell r="E234" t="str">
            <v>Forklift (No. 31)</v>
          </cell>
          <cell r="F234" t="str">
            <v>COM</v>
          </cell>
          <cell r="G234" t="str">
            <v>Depr. from 1/8/2025 to 31/8/2025</v>
          </cell>
          <cell r="H234">
            <v>0</v>
          </cell>
          <cell r="I234">
            <v>9416666.6699999999</v>
          </cell>
        </row>
        <row r="235">
          <cell r="D235" t="str">
            <v>VEH000585</v>
          </cell>
          <cell r="E235" t="str">
            <v>Forklift (No. 32)</v>
          </cell>
          <cell r="F235" t="str">
            <v>COM</v>
          </cell>
          <cell r="G235" t="str">
            <v>Depr. from 1/8/2025 to 31/8/2025</v>
          </cell>
          <cell r="H235">
            <v>0</v>
          </cell>
          <cell r="I235">
            <v>9416666.6699999999</v>
          </cell>
        </row>
        <row r="236">
          <cell r="D236" t="str">
            <v>VEH000586</v>
          </cell>
          <cell r="E236" t="str">
            <v>Forklift (No. 30)</v>
          </cell>
          <cell r="F236" t="str">
            <v>COM</v>
          </cell>
          <cell r="G236" t="str">
            <v>Depr. from 1/8/2025 to 31/8/2025</v>
          </cell>
          <cell r="H236">
            <v>0</v>
          </cell>
          <cell r="I236">
            <v>7750000</v>
          </cell>
        </row>
        <row r="237">
          <cell r="D237" t="str">
            <v>VEH000588</v>
          </cell>
          <cell r="E237" t="str">
            <v>Forklift (No.17)</v>
          </cell>
          <cell r="F237" t="str">
            <v>COM</v>
          </cell>
          <cell r="G237" t="str">
            <v>Depr. from 1/8/2025 to 31/8/2025</v>
          </cell>
          <cell r="H237">
            <v>0</v>
          </cell>
          <cell r="I237">
            <v>7250000</v>
          </cell>
        </row>
        <row r="238">
          <cell r="D238" t="str">
            <v>VEH000590</v>
          </cell>
          <cell r="E238" t="str">
            <v>Avanza 1.3 G A/T</v>
          </cell>
          <cell r="F238" t="str">
            <v>COM</v>
          </cell>
          <cell r="G238" t="str">
            <v>Depr. from 1/8/2025 to 31/8/2025</v>
          </cell>
          <cell r="H238">
            <v>0</v>
          </cell>
          <cell r="I238">
            <v>3135248.1</v>
          </cell>
        </row>
        <row r="239">
          <cell r="D239" t="str">
            <v>VEH000591</v>
          </cell>
          <cell r="E239" t="str">
            <v>Avanza 1.3 G A/T</v>
          </cell>
          <cell r="F239" t="str">
            <v>COM</v>
          </cell>
          <cell r="G239" t="str">
            <v>Depr. from 1/8/2025 to 31/8/2025</v>
          </cell>
          <cell r="H239">
            <v>0</v>
          </cell>
          <cell r="I239">
            <v>3135248.1</v>
          </cell>
        </row>
        <row r="240">
          <cell r="D240" t="str">
            <v>VEH000592</v>
          </cell>
          <cell r="E240" t="str">
            <v>Avanza 1.3 G A/T</v>
          </cell>
          <cell r="F240" t="str">
            <v>COM</v>
          </cell>
          <cell r="G240" t="str">
            <v>Depr. from 1/8/2025 to 31/8/2025</v>
          </cell>
          <cell r="H240">
            <v>0</v>
          </cell>
          <cell r="I240">
            <v>3135248.1</v>
          </cell>
        </row>
        <row r="241">
          <cell r="D241" t="str">
            <v>VEH000593</v>
          </cell>
          <cell r="E241" t="str">
            <v>Avanza 1.3 G A/T</v>
          </cell>
          <cell r="F241" t="str">
            <v>COM</v>
          </cell>
          <cell r="G241" t="str">
            <v>Depr. from 1/8/2025 to 31/8/2025</v>
          </cell>
          <cell r="H241">
            <v>0</v>
          </cell>
          <cell r="I241">
            <v>3135248.1</v>
          </cell>
        </row>
        <row r="242">
          <cell r="D242" t="str">
            <v>VEH000594</v>
          </cell>
          <cell r="E242" t="str">
            <v>Avanza 1.3 G A/T</v>
          </cell>
          <cell r="F242" t="str">
            <v>COM</v>
          </cell>
          <cell r="G242" t="str">
            <v>Depr. from 1/8/2025 to 31/8/2025</v>
          </cell>
          <cell r="H242">
            <v>0</v>
          </cell>
          <cell r="I242">
            <v>3135248.1</v>
          </cell>
        </row>
        <row r="243">
          <cell r="D243" t="str">
            <v>VEH000595</v>
          </cell>
          <cell r="E243" t="str">
            <v>Truck Crane</v>
          </cell>
          <cell r="F243" t="str">
            <v>COM</v>
          </cell>
          <cell r="G243" t="str">
            <v>Depr. from 1/8/2025 to 31/8/2025</v>
          </cell>
          <cell r="H243">
            <v>0</v>
          </cell>
          <cell r="I243">
            <v>7812500</v>
          </cell>
        </row>
        <row r="244">
          <cell r="D244" t="str">
            <v>VEH000596</v>
          </cell>
          <cell r="E244" t="str">
            <v>Tractor Head</v>
          </cell>
          <cell r="F244" t="str">
            <v>COM</v>
          </cell>
          <cell r="G244" t="str">
            <v>Depr. from 1/8/2025 to 31/8/2025</v>
          </cell>
          <cell r="H244">
            <v>0</v>
          </cell>
          <cell r="I244">
            <v>10000000</v>
          </cell>
        </row>
        <row r="245">
          <cell r="D245" t="str">
            <v>VEH000597</v>
          </cell>
          <cell r="E245" t="str">
            <v>Trailer Hight Bed 40Ft</v>
          </cell>
          <cell r="F245" t="str">
            <v>COM</v>
          </cell>
          <cell r="G245" t="str">
            <v>Depr. from 1/8/2025 to 31/8/2025</v>
          </cell>
          <cell r="H245">
            <v>0</v>
          </cell>
          <cell r="I245">
            <v>2450000</v>
          </cell>
        </row>
        <row r="246">
          <cell r="D246" t="str">
            <v>VEH000598</v>
          </cell>
          <cell r="E246" t="str">
            <v>Tractor Head</v>
          </cell>
          <cell r="F246" t="str">
            <v>COM</v>
          </cell>
          <cell r="G246" t="str">
            <v>Depr. from 1/8/2025 to 31/8/2025</v>
          </cell>
          <cell r="H246">
            <v>0</v>
          </cell>
          <cell r="I246">
            <v>10000000</v>
          </cell>
        </row>
        <row r="247">
          <cell r="D247" t="str">
            <v>VEH000599</v>
          </cell>
          <cell r="E247" t="str">
            <v>Trailer Hight Bed 40Ft</v>
          </cell>
          <cell r="F247" t="str">
            <v>COM</v>
          </cell>
          <cell r="G247" t="str">
            <v>Depr. from 1/8/2025 to 31/8/2025</v>
          </cell>
          <cell r="H247">
            <v>0</v>
          </cell>
          <cell r="I247">
            <v>2450000</v>
          </cell>
        </row>
        <row r="248">
          <cell r="D248" t="str">
            <v>VEH000600</v>
          </cell>
          <cell r="E248" t="str">
            <v>Tractor Head</v>
          </cell>
          <cell r="F248" t="str">
            <v>COM</v>
          </cell>
          <cell r="G248" t="str">
            <v>Depr. from 1/8/2025 to 31/8/2025</v>
          </cell>
          <cell r="H248">
            <v>0</v>
          </cell>
          <cell r="I248">
            <v>10000000</v>
          </cell>
        </row>
        <row r="249">
          <cell r="D249" t="str">
            <v>VEH000601</v>
          </cell>
          <cell r="E249" t="str">
            <v>Trailer Hight Bed 40Ft</v>
          </cell>
          <cell r="F249" t="str">
            <v>COM</v>
          </cell>
          <cell r="G249" t="str">
            <v>Depr. from 1/8/2025 to 31/8/2025</v>
          </cell>
          <cell r="H249">
            <v>0</v>
          </cell>
          <cell r="I249">
            <v>2450000</v>
          </cell>
        </row>
        <row r="250">
          <cell r="D250" t="str">
            <v>VEH000602</v>
          </cell>
          <cell r="E250" t="str">
            <v>Roughter Crane 25 T</v>
          </cell>
          <cell r="F250" t="str">
            <v>COM</v>
          </cell>
          <cell r="G250" t="str">
            <v>Depr. from 1/8/2025 to 31/8/2025</v>
          </cell>
          <cell r="H250">
            <v>0</v>
          </cell>
          <cell r="I250">
            <v>30833333.329999998</v>
          </cell>
        </row>
        <row r="251">
          <cell r="D251" t="str">
            <v>VEH000604</v>
          </cell>
          <cell r="E251" t="str">
            <v>Bulzoni Auramo</v>
          </cell>
          <cell r="F251" t="str">
            <v>COM</v>
          </cell>
          <cell r="G251" t="str">
            <v>Depr. from 1/8/2025 to 31/8/2025</v>
          </cell>
          <cell r="H251">
            <v>0</v>
          </cell>
          <cell r="I251">
            <v>3364583.33</v>
          </cell>
        </row>
        <row r="252">
          <cell r="D252" t="str">
            <v>VEH000605</v>
          </cell>
          <cell r="E252" t="str">
            <v>bulzoni Auramo</v>
          </cell>
          <cell r="F252" t="str">
            <v>COM</v>
          </cell>
          <cell r="G252" t="str">
            <v>Depr. from 1/8/2025 to 31/8/2025</v>
          </cell>
          <cell r="H252">
            <v>0</v>
          </cell>
          <cell r="I252">
            <v>3364583.33</v>
          </cell>
        </row>
        <row r="253">
          <cell r="D253" t="str">
            <v>VEH000606</v>
          </cell>
          <cell r="E253" t="str">
            <v>Bulzoni Auramo</v>
          </cell>
          <cell r="F253" t="str">
            <v>COM</v>
          </cell>
          <cell r="G253" t="str">
            <v>Depr. from 1/8/2025 to 31/8/2025</v>
          </cell>
          <cell r="H253">
            <v>0</v>
          </cell>
          <cell r="I253">
            <v>3364583.33</v>
          </cell>
        </row>
        <row r="254">
          <cell r="D254" t="str">
            <v>VEH000607</v>
          </cell>
          <cell r="E254" t="str">
            <v>Bulzoni Auramo</v>
          </cell>
          <cell r="F254" t="str">
            <v>COM</v>
          </cell>
          <cell r="G254" t="str">
            <v>Depr. from 1/8/2025 to 31/8/2025</v>
          </cell>
          <cell r="H254">
            <v>0</v>
          </cell>
          <cell r="I254">
            <v>3364583.33</v>
          </cell>
        </row>
        <row r="255">
          <cell r="D255" t="str">
            <v>VEH000608</v>
          </cell>
          <cell r="E255" t="str">
            <v>Bulzoni Auramo</v>
          </cell>
          <cell r="F255" t="str">
            <v>COM</v>
          </cell>
          <cell r="G255" t="str">
            <v>Depr. from 1/8/2025 to 31/8/2025</v>
          </cell>
          <cell r="H255">
            <v>0</v>
          </cell>
          <cell r="I255">
            <v>3364583.33</v>
          </cell>
        </row>
        <row r="256">
          <cell r="D256" t="str">
            <v>VEH000609</v>
          </cell>
          <cell r="E256" t="str">
            <v>Bulzoni Auramo</v>
          </cell>
          <cell r="F256" t="str">
            <v>COM</v>
          </cell>
          <cell r="G256" t="str">
            <v>Depr. from 1/8/2025 to 31/8/2025</v>
          </cell>
          <cell r="H256">
            <v>0</v>
          </cell>
          <cell r="I256">
            <v>3364583.33</v>
          </cell>
        </row>
        <row r="257">
          <cell r="D257" t="str">
            <v>VEH000610</v>
          </cell>
          <cell r="E257" t="str">
            <v>Forklift</v>
          </cell>
          <cell r="F257" t="str">
            <v>COM</v>
          </cell>
          <cell r="G257" t="str">
            <v>Depr. from 1/8/2025 to 31/8/2025</v>
          </cell>
          <cell r="H257">
            <v>0</v>
          </cell>
          <cell r="I257">
            <v>6666666.6699999999</v>
          </cell>
        </row>
        <row r="258">
          <cell r="D258" t="str">
            <v>VEH000611</v>
          </cell>
          <cell r="E258" t="str">
            <v>Forklift (no.18)</v>
          </cell>
          <cell r="F258" t="str">
            <v>COM</v>
          </cell>
          <cell r="G258" t="str">
            <v>Depr. from 1/8/2025 to 31/8/2025</v>
          </cell>
          <cell r="H258">
            <v>0</v>
          </cell>
          <cell r="I258">
            <v>10300000</v>
          </cell>
        </row>
        <row r="259">
          <cell r="D259" t="str">
            <v>VEH000612</v>
          </cell>
          <cell r="E259" t="str">
            <v>Drum Dumper</v>
          </cell>
          <cell r="F259" t="str">
            <v>COM</v>
          </cell>
          <cell r="G259" t="str">
            <v>Depr. from 1/8/2025 to 31/8/2025</v>
          </cell>
          <cell r="H259">
            <v>0</v>
          </cell>
          <cell r="I259">
            <v>3047676.6</v>
          </cell>
        </row>
        <row r="260">
          <cell r="D260" t="str">
            <v>VEH000613</v>
          </cell>
          <cell r="E260" t="str">
            <v>Drum Dumper</v>
          </cell>
          <cell r="F260" t="str">
            <v>COM</v>
          </cell>
          <cell r="G260" t="str">
            <v>Depr. from 1/8/2025 to 31/8/2025</v>
          </cell>
          <cell r="H260">
            <v>0</v>
          </cell>
          <cell r="I260">
            <v>3047676.6</v>
          </cell>
        </row>
        <row r="261">
          <cell r="D261" t="str">
            <v>VEH000614</v>
          </cell>
          <cell r="E261" t="str">
            <v>Fortuner</v>
          </cell>
          <cell r="F261" t="str">
            <v>COM</v>
          </cell>
          <cell r="G261" t="str">
            <v>Depr. from 1/8/2025 to 31/8/2025</v>
          </cell>
          <cell r="H261">
            <v>0</v>
          </cell>
          <cell r="I261">
            <v>9006990.5299999993</v>
          </cell>
        </row>
        <row r="262">
          <cell r="D262" t="str">
            <v>VEH000615</v>
          </cell>
          <cell r="E262" t="str">
            <v>Fortuner</v>
          </cell>
          <cell r="F262" t="str">
            <v>COM</v>
          </cell>
          <cell r="G262" t="str">
            <v>Depr. from 1/8/2025 to 31/8/2025</v>
          </cell>
          <cell r="H262">
            <v>0</v>
          </cell>
          <cell r="I262">
            <v>9006990.5299999993</v>
          </cell>
        </row>
        <row r="263">
          <cell r="D263" t="str">
            <v>VEH000616</v>
          </cell>
          <cell r="E263" t="str">
            <v>Forklift No.16</v>
          </cell>
          <cell r="F263" t="str">
            <v>COM</v>
          </cell>
          <cell r="G263" t="str">
            <v>Depr. from 1/8/2025 to 31/8/2025</v>
          </cell>
          <cell r="H263">
            <v>0</v>
          </cell>
          <cell r="I263">
            <v>7600000</v>
          </cell>
        </row>
        <row r="264">
          <cell r="D264" t="str">
            <v>VEH000617</v>
          </cell>
          <cell r="E264" t="str">
            <v>Forklift No.38</v>
          </cell>
          <cell r="F264" t="str">
            <v>COM</v>
          </cell>
          <cell r="G264" t="str">
            <v>Depr. from 1/8/2025 to 31/8/2025</v>
          </cell>
          <cell r="H264">
            <v>0</v>
          </cell>
          <cell r="I264">
            <v>7600000</v>
          </cell>
        </row>
        <row r="265">
          <cell r="D265" t="str">
            <v>VEH000618</v>
          </cell>
          <cell r="E265" t="str">
            <v>Forklift No.39</v>
          </cell>
          <cell r="F265" t="str">
            <v>COM</v>
          </cell>
          <cell r="G265" t="str">
            <v>Depr. from 1/8/2025 to 31/8/2025</v>
          </cell>
          <cell r="H265">
            <v>0</v>
          </cell>
          <cell r="I265">
            <v>7600000</v>
          </cell>
        </row>
        <row r="266">
          <cell r="D266" t="str">
            <v>VEH000619</v>
          </cell>
          <cell r="E266" t="str">
            <v>Forklift No.40</v>
          </cell>
          <cell r="F266" t="str">
            <v>COM</v>
          </cell>
          <cell r="G266" t="str">
            <v>Depr. from 1/8/2025 to 31/8/2025</v>
          </cell>
          <cell r="H266">
            <v>0</v>
          </cell>
          <cell r="I266">
            <v>7600000</v>
          </cell>
        </row>
        <row r="267">
          <cell r="D267" t="str">
            <v>VEH000620</v>
          </cell>
          <cell r="E267" t="str">
            <v>Avanza MT</v>
          </cell>
          <cell r="F267" t="str">
            <v>COM</v>
          </cell>
          <cell r="G267" t="str">
            <v>Depr. from 1/8/2025 to 31/8/2025</v>
          </cell>
          <cell r="H267">
            <v>0</v>
          </cell>
          <cell r="I267">
            <v>3202519.68</v>
          </cell>
        </row>
        <row r="268">
          <cell r="D268" t="str">
            <v>VEH000621</v>
          </cell>
          <cell r="E268" t="str">
            <v>Forklift No. 34</v>
          </cell>
          <cell r="F268" t="str">
            <v>COM</v>
          </cell>
          <cell r="G268" t="str">
            <v>Depr. from 1/8/2025 to 31/8/2025</v>
          </cell>
          <cell r="H268">
            <v>0</v>
          </cell>
          <cell r="I268">
            <v>11416666.67</v>
          </cell>
        </row>
        <row r="269">
          <cell r="D269" t="str">
            <v>VEH000622</v>
          </cell>
          <cell r="E269" t="str">
            <v>Forklift No. 37</v>
          </cell>
          <cell r="F269" t="str">
            <v>COM</v>
          </cell>
          <cell r="G269" t="str">
            <v>Depr. from 1/8/2025 to 31/8/2025</v>
          </cell>
          <cell r="H269">
            <v>0</v>
          </cell>
          <cell r="I269">
            <v>9133333.3300000001</v>
          </cell>
        </row>
        <row r="270">
          <cell r="D270" t="str">
            <v>VEH000623</v>
          </cell>
          <cell r="E270" t="str">
            <v>Forklift No. 35</v>
          </cell>
          <cell r="F270" t="str">
            <v>COM</v>
          </cell>
          <cell r="G270" t="str">
            <v>Depr. from 1/8/2025 to 31/8/2025</v>
          </cell>
          <cell r="H270">
            <v>0</v>
          </cell>
          <cell r="I270">
            <v>11416666.67</v>
          </cell>
        </row>
        <row r="271">
          <cell r="D271" t="str">
            <v>VEH000624</v>
          </cell>
          <cell r="E271" t="str">
            <v>Forklift No. 36</v>
          </cell>
          <cell r="F271" t="str">
            <v>COM</v>
          </cell>
          <cell r="G271" t="str">
            <v>Depr. from 1/8/2025 to 31/8/2025</v>
          </cell>
          <cell r="H271">
            <v>0</v>
          </cell>
          <cell r="I271">
            <v>9133333.3300000001</v>
          </cell>
        </row>
        <row r="272">
          <cell r="D272" t="str">
            <v>VEH000625</v>
          </cell>
          <cell r="E272" t="str">
            <v>Forklift No. 36</v>
          </cell>
          <cell r="F272" t="str">
            <v>COM</v>
          </cell>
          <cell r="G272" t="str">
            <v>Depr. from 1/8/2025 to 31/8/2025</v>
          </cell>
          <cell r="H272">
            <v>0</v>
          </cell>
          <cell r="I272">
            <v>9500000</v>
          </cell>
        </row>
        <row r="273">
          <cell r="D273" t="str">
            <v>VEH000626</v>
          </cell>
          <cell r="E273" t="str">
            <v>Forklift No. 37</v>
          </cell>
          <cell r="F273" t="str">
            <v>COM</v>
          </cell>
          <cell r="G273" t="str">
            <v>Depr. from 1/8/2025 to 31/8/2025</v>
          </cell>
          <cell r="H273">
            <v>0</v>
          </cell>
          <cell r="I273">
            <v>9500000</v>
          </cell>
        </row>
        <row r="274">
          <cell r="D274" t="str">
            <v>VEH000627</v>
          </cell>
          <cell r="E274" t="str">
            <v>Forklift No. 35</v>
          </cell>
          <cell r="F274" t="str">
            <v>COM</v>
          </cell>
          <cell r="G274" t="str">
            <v>Depr. from 1/8/2025 to 31/8/2025</v>
          </cell>
          <cell r="H274">
            <v>0</v>
          </cell>
          <cell r="I274">
            <v>11416666.67</v>
          </cell>
        </row>
        <row r="275">
          <cell r="D275" t="str">
            <v>VEH000629</v>
          </cell>
          <cell r="E275" t="str">
            <v>Forklift</v>
          </cell>
          <cell r="F275" t="str">
            <v>COM</v>
          </cell>
          <cell r="G275" t="str">
            <v>Depr. from 1/8/2025 to 31/8/2025</v>
          </cell>
          <cell r="H275">
            <v>0</v>
          </cell>
          <cell r="I275">
            <v>17916666.670000002</v>
          </cell>
        </row>
        <row r="276">
          <cell r="D276" t="str">
            <v>VEH000630</v>
          </cell>
          <cell r="E276" t="str">
            <v>Forklift</v>
          </cell>
          <cell r="F276" t="str">
            <v>COM</v>
          </cell>
          <cell r="G276" t="str">
            <v>Depr. from 1/8/2025 to 31/8/2025</v>
          </cell>
          <cell r="H276">
            <v>0</v>
          </cell>
          <cell r="I276">
            <v>7600000</v>
          </cell>
        </row>
        <row r="277">
          <cell r="D277" t="str">
            <v>VEH000631</v>
          </cell>
          <cell r="E277" t="str">
            <v>Forklift</v>
          </cell>
          <cell r="F277" t="str">
            <v>COM</v>
          </cell>
          <cell r="G277" t="str">
            <v>Depr. from 1/8/2025 to 31/8/2025</v>
          </cell>
          <cell r="H277">
            <v>0</v>
          </cell>
          <cell r="I277">
            <v>7600000</v>
          </cell>
        </row>
        <row r="278">
          <cell r="D278" t="str">
            <v>VEH000632</v>
          </cell>
          <cell r="E278" t="str">
            <v>Kijang Inova</v>
          </cell>
          <cell r="F278" t="str">
            <v>COM</v>
          </cell>
          <cell r="G278" t="str">
            <v>Depr. from 1/8/2025 to 31/8/2025</v>
          </cell>
          <cell r="H278">
            <v>0</v>
          </cell>
          <cell r="I278">
            <v>5472740.25</v>
          </cell>
        </row>
        <row r="279">
          <cell r="D279" t="str">
            <v>VEH000634</v>
          </cell>
          <cell r="E279" t="str">
            <v>Excavator</v>
          </cell>
          <cell r="F279" t="str">
            <v>COM</v>
          </cell>
          <cell r="G279" t="str">
            <v>Depr. from 1/8/2025 to 31/8/2025</v>
          </cell>
          <cell r="H279">
            <v>0</v>
          </cell>
          <cell r="I279">
            <v>14833333.33</v>
          </cell>
        </row>
        <row r="280">
          <cell r="D280" t="str">
            <v>VEH000635</v>
          </cell>
          <cell r="E280" t="str">
            <v>Rough Terrain Crane</v>
          </cell>
          <cell r="F280" t="str">
            <v>COM</v>
          </cell>
          <cell r="G280" t="str">
            <v>Depr. from 1/8/2025 to 31/8/2025</v>
          </cell>
          <cell r="H280">
            <v>0</v>
          </cell>
          <cell r="I280">
            <v>56500000</v>
          </cell>
        </row>
        <row r="281">
          <cell r="D281" t="str">
            <v>VEH000636</v>
          </cell>
          <cell r="E281" t="str">
            <v>UD Truck Cargo Deck</v>
          </cell>
          <cell r="F281" t="str">
            <v>COM</v>
          </cell>
          <cell r="G281" t="str">
            <v>Depr. from 1/8/2025 to 31/8/2025</v>
          </cell>
          <cell r="H281">
            <v>0</v>
          </cell>
          <cell r="I281">
            <v>23000000</v>
          </cell>
        </row>
        <row r="282">
          <cell r="D282" t="str">
            <v>VEH000637</v>
          </cell>
          <cell r="E282" t="str">
            <v>Truck Loader Crane</v>
          </cell>
          <cell r="F282" t="str">
            <v>COM</v>
          </cell>
          <cell r="G282" t="str">
            <v>Depr. from 1/8/2025 to 31/8/2025</v>
          </cell>
          <cell r="H282">
            <v>0</v>
          </cell>
          <cell r="I282">
            <v>13500000</v>
          </cell>
        </row>
        <row r="283">
          <cell r="D283" t="str">
            <v>VEH000638</v>
          </cell>
          <cell r="E283" t="str">
            <v>Forklift</v>
          </cell>
          <cell r="F283" t="str">
            <v>COM</v>
          </cell>
          <cell r="G283" t="str">
            <v>Depr. from 1/8/2025 to 31/8/2025</v>
          </cell>
          <cell r="H283">
            <v>0</v>
          </cell>
          <cell r="I283">
            <v>8416666.6699999999</v>
          </cell>
        </row>
        <row r="284">
          <cell r="D284" t="str">
            <v>VEH000639</v>
          </cell>
          <cell r="E284" t="str">
            <v>Avanza 1.5 G CVT</v>
          </cell>
          <cell r="F284" t="str">
            <v>COM</v>
          </cell>
          <cell r="G284" t="str">
            <v>Depr. from 1/8/2025 to 31/8/2025</v>
          </cell>
          <cell r="H284">
            <v>0</v>
          </cell>
          <cell r="I284">
            <v>3684170.43</v>
          </cell>
        </row>
        <row r="285">
          <cell r="D285" t="str">
            <v>VEH000640</v>
          </cell>
          <cell r="E285" t="str">
            <v>Bulldozer</v>
          </cell>
          <cell r="F285" t="str">
            <v>COM</v>
          </cell>
          <cell r="G285" t="str">
            <v>Depr. from 1/8/2025 to 31/8/2025</v>
          </cell>
          <cell r="H285">
            <v>0</v>
          </cell>
          <cell r="I285">
            <v>87500000</v>
          </cell>
        </row>
        <row r="286">
          <cell r="D286" t="str">
            <v>VEH000641</v>
          </cell>
          <cell r="E286" t="str">
            <v>Goldhofer THP</v>
          </cell>
          <cell r="F286" t="str">
            <v>COM</v>
          </cell>
          <cell r="G286" t="str">
            <v>Depr. from 1/8/2025 to 31/8/2025</v>
          </cell>
          <cell r="H286">
            <v>0</v>
          </cell>
          <cell r="I286">
            <v>24176421.18</v>
          </cell>
        </row>
        <row r="287">
          <cell r="D287" t="str">
            <v>VEH000642</v>
          </cell>
          <cell r="E287" t="str">
            <v>Prime Mover</v>
          </cell>
          <cell r="F287" t="str">
            <v>COM</v>
          </cell>
          <cell r="G287" t="str">
            <v>Depr. from 1/8/2025 to 31/8/2025</v>
          </cell>
          <cell r="H287">
            <v>0</v>
          </cell>
          <cell r="I287">
            <v>7232280.71</v>
          </cell>
        </row>
        <row r="288">
          <cell r="D288" t="str">
            <v>VEH000644</v>
          </cell>
          <cell r="E288" t="str">
            <v>Crowler Crane</v>
          </cell>
          <cell r="F288" t="str">
            <v>COM</v>
          </cell>
          <cell r="G288" t="str">
            <v>Depr. from 1/8/2025 to 31/8/2025</v>
          </cell>
          <cell r="H288">
            <v>0</v>
          </cell>
          <cell r="I288">
            <v>147283999.36000001</v>
          </cell>
        </row>
        <row r="289">
          <cell r="D289" t="str">
            <v>VEH000645</v>
          </cell>
          <cell r="E289" t="str">
            <v>UD Truck</v>
          </cell>
          <cell r="F289" t="str">
            <v>COM</v>
          </cell>
          <cell r="G289" t="str">
            <v>Depr. from 1/8/2025 to 31/8/2025</v>
          </cell>
          <cell r="H289">
            <v>0</v>
          </cell>
          <cell r="I289">
            <v>23000000</v>
          </cell>
        </row>
        <row r="290">
          <cell r="D290" t="str">
            <v>VEH000646</v>
          </cell>
          <cell r="E290" t="str">
            <v>Truck Loader Crane</v>
          </cell>
          <cell r="F290" t="str">
            <v>COM</v>
          </cell>
          <cell r="G290" t="str">
            <v>Depr. from 1/8/2025 to 31/8/2025</v>
          </cell>
          <cell r="H290">
            <v>0</v>
          </cell>
          <cell r="I290">
            <v>13500000</v>
          </cell>
        </row>
        <row r="291">
          <cell r="D291" t="str">
            <v>VEH000647</v>
          </cell>
          <cell r="E291" t="str">
            <v>Bulldozer</v>
          </cell>
          <cell r="F291" t="str">
            <v>COM</v>
          </cell>
          <cell r="G291" t="str">
            <v>Depr. from 1/8/2025 to 31/8/2025</v>
          </cell>
          <cell r="H291">
            <v>0</v>
          </cell>
          <cell r="I291">
            <v>63194444.439999998</v>
          </cell>
        </row>
        <row r="292">
          <cell r="D292" t="str">
            <v>VEH000648</v>
          </cell>
          <cell r="E292" t="str">
            <v>Bulldozer</v>
          </cell>
          <cell r="F292" t="str">
            <v>COM</v>
          </cell>
          <cell r="G292" t="str">
            <v>Depr. from 1/8/2025 to 31/8/2025</v>
          </cell>
          <cell r="H292">
            <v>0</v>
          </cell>
          <cell r="I292">
            <v>63194444.439999998</v>
          </cell>
        </row>
        <row r="293">
          <cell r="D293" t="str">
            <v>VEH000649</v>
          </cell>
          <cell r="E293" t="str">
            <v>Bulldozer</v>
          </cell>
          <cell r="F293" t="str">
            <v>COM</v>
          </cell>
          <cell r="G293" t="str">
            <v>Depr. from 1/8/2025 to 31/8/2025</v>
          </cell>
          <cell r="H293">
            <v>0</v>
          </cell>
          <cell r="I293">
            <v>42500000</v>
          </cell>
        </row>
        <row r="294">
          <cell r="D294" t="str">
            <v>VEH000650</v>
          </cell>
          <cell r="E294" t="str">
            <v>Bulldozer</v>
          </cell>
          <cell r="F294" t="str">
            <v>COM</v>
          </cell>
          <cell r="G294" t="str">
            <v>Depr. from 1/8/2025 to 31/8/2025</v>
          </cell>
          <cell r="H294">
            <v>0</v>
          </cell>
          <cell r="I294">
            <v>63194444.439999998</v>
          </cell>
        </row>
        <row r="295">
          <cell r="D295" t="str">
            <v>VEH000651</v>
          </cell>
          <cell r="E295" t="str">
            <v>Toyota Voxy</v>
          </cell>
          <cell r="F295" t="str">
            <v>COM</v>
          </cell>
          <cell r="G295" t="str">
            <v>Depr. from 1/8/2025 to 31/8/2025</v>
          </cell>
          <cell r="H295">
            <v>0</v>
          </cell>
          <cell r="I295">
            <v>9075647.1500000004</v>
          </cell>
        </row>
        <row r="296">
          <cell r="D296" t="str">
            <v>VEH000652</v>
          </cell>
          <cell r="E296" t="str">
            <v>Truck Box Hino SDL</v>
          </cell>
          <cell r="F296" t="str">
            <v>COM</v>
          </cell>
          <cell r="G296" t="str">
            <v>Depr. from 1/8/2025 to 31/8/2025</v>
          </cell>
          <cell r="H296">
            <v>0</v>
          </cell>
          <cell r="I296">
            <v>4929429.45</v>
          </cell>
        </row>
        <row r="297">
          <cell r="D297" t="str">
            <v>VEH000653</v>
          </cell>
          <cell r="E297" t="str">
            <v>Truck Box Hino SDL - Box</v>
          </cell>
          <cell r="F297" t="str">
            <v>COM</v>
          </cell>
          <cell r="G297" t="str">
            <v>Depr. from 1/8/2025 to 31/8/2025</v>
          </cell>
          <cell r="H297">
            <v>0</v>
          </cell>
          <cell r="I297">
            <v>916666.67</v>
          </cell>
        </row>
        <row r="298">
          <cell r="D298" t="str">
            <v>VEH000654</v>
          </cell>
          <cell r="E298" t="str">
            <v>Hilux Pick Up</v>
          </cell>
          <cell r="F298" t="str">
            <v>COM</v>
          </cell>
          <cell r="G298" t="str">
            <v>Depr. from 1/8/2025 to 31/8/2025</v>
          </cell>
          <cell r="H298">
            <v>0</v>
          </cell>
          <cell r="I298">
            <v>4465545.2300000004</v>
          </cell>
        </row>
        <row r="299">
          <cell r="D299" t="str">
            <v>VEH000655</v>
          </cell>
          <cell r="E299" t="str">
            <v>Hilux Pick Up</v>
          </cell>
          <cell r="F299" t="str">
            <v>COM</v>
          </cell>
          <cell r="G299" t="str">
            <v>Depr. from 1/8/2025 to 31/8/2025</v>
          </cell>
          <cell r="H299">
            <v>0</v>
          </cell>
          <cell r="I299">
            <v>4465545.2300000004</v>
          </cell>
        </row>
        <row r="300">
          <cell r="D300" t="str">
            <v>VEH000656</v>
          </cell>
          <cell r="E300" t="str">
            <v>Avanza</v>
          </cell>
          <cell r="F300" t="str">
            <v>COM</v>
          </cell>
          <cell r="G300" t="str">
            <v>Depr. from 1/8/2025 to 31/8/2025</v>
          </cell>
          <cell r="H300">
            <v>0</v>
          </cell>
          <cell r="I300">
            <v>3805899.4</v>
          </cell>
        </row>
        <row r="301">
          <cell r="D301" t="str">
            <v>VEH000657</v>
          </cell>
          <cell r="E301" t="str">
            <v>Inova Genix</v>
          </cell>
          <cell r="F301" t="str">
            <v>COM</v>
          </cell>
          <cell r="G301" t="str">
            <v>Depr. from 1/8/2025 to 31/8/2025</v>
          </cell>
          <cell r="H301">
            <v>0</v>
          </cell>
          <cell r="I301">
            <v>6491107.3700000001</v>
          </cell>
        </row>
        <row r="302">
          <cell r="D302" t="str">
            <v>VEH000658</v>
          </cell>
          <cell r="E302" t="str">
            <v>Voxy 2.0 CVT</v>
          </cell>
          <cell r="F302" t="str">
            <v>COM</v>
          </cell>
          <cell r="G302" t="str">
            <v>Depr. from 1/8/2025 to 31/8/2025</v>
          </cell>
          <cell r="H302">
            <v>0</v>
          </cell>
          <cell r="I302">
            <v>9134493.6300000008</v>
          </cell>
        </row>
        <row r="303">
          <cell r="D303" t="str">
            <v>VEH000659</v>
          </cell>
          <cell r="E303" t="str">
            <v>Excavator</v>
          </cell>
          <cell r="F303" t="str">
            <v>COM</v>
          </cell>
          <cell r="G303" t="str">
            <v>Depr. from 1/8/2025 to 31/8/2025</v>
          </cell>
          <cell r="H303">
            <v>0</v>
          </cell>
          <cell r="I303">
            <v>22500000</v>
          </cell>
        </row>
        <row r="304">
          <cell r="D304" t="str">
            <v>VEH000660</v>
          </cell>
          <cell r="E304" t="str">
            <v>Wheel Loader</v>
          </cell>
          <cell r="F304" t="str">
            <v>COM</v>
          </cell>
          <cell r="G304" t="str">
            <v>Depr. from 1/8/2025 to 31/8/2025</v>
          </cell>
          <cell r="H304">
            <v>0</v>
          </cell>
          <cell r="I304">
            <v>23833333.329999998</v>
          </cell>
        </row>
        <row r="305">
          <cell r="D305" t="str">
            <v>VEH000661</v>
          </cell>
          <cell r="E305" t="str">
            <v>wHeel Loader</v>
          </cell>
          <cell r="F305" t="str">
            <v>COM</v>
          </cell>
          <cell r="G305" t="str">
            <v>Depr. from 1/8/2025 to 31/8/2025</v>
          </cell>
          <cell r="H305">
            <v>0</v>
          </cell>
          <cell r="I305">
            <v>23833333.329999998</v>
          </cell>
        </row>
        <row r="306">
          <cell r="D306" t="str">
            <v>VEH000662</v>
          </cell>
          <cell r="E306" t="str">
            <v>Forklift</v>
          </cell>
          <cell r="F306" t="str">
            <v>COM</v>
          </cell>
          <cell r="G306" t="str">
            <v>Depr. from 1/8/2025 to 31/8/2025</v>
          </cell>
          <cell r="H306">
            <v>0</v>
          </cell>
          <cell r="I306">
            <v>7916666.6699999999</v>
          </cell>
        </row>
        <row r="307">
          <cell r="D307" t="str">
            <v>VEH000663</v>
          </cell>
          <cell r="E307" t="str">
            <v>Forklift</v>
          </cell>
          <cell r="F307" t="str">
            <v>COM</v>
          </cell>
          <cell r="G307" t="str">
            <v>Depr. from 1/8/2025 to 31/8/2025</v>
          </cell>
          <cell r="H307">
            <v>0</v>
          </cell>
          <cell r="I307">
            <v>7200000</v>
          </cell>
        </row>
        <row r="308">
          <cell r="D308" t="str">
            <v>VEH000664</v>
          </cell>
          <cell r="E308" t="str">
            <v>Forklift</v>
          </cell>
          <cell r="F308" t="str">
            <v>COM</v>
          </cell>
          <cell r="G308" t="str">
            <v>Depr. from 1/8/2025 to 31/8/2025</v>
          </cell>
          <cell r="H308">
            <v>0</v>
          </cell>
          <cell r="I308">
            <v>6900000</v>
          </cell>
        </row>
        <row r="309">
          <cell r="D309" t="str">
            <v>VEH000665</v>
          </cell>
          <cell r="E309" t="str">
            <v>Truck Box Hino 300 MDL</v>
          </cell>
          <cell r="F309" t="str">
            <v>COM</v>
          </cell>
          <cell r="G309" t="str">
            <v>Depr. from 1/8/2025 to 31/8/2025</v>
          </cell>
          <cell r="H309">
            <v>0</v>
          </cell>
          <cell r="I309">
            <v>6292342.3499999996</v>
          </cell>
        </row>
        <row r="310">
          <cell r="D310" t="str">
            <v>VEH000666</v>
          </cell>
          <cell r="E310" t="str">
            <v>BOX-Truck Box Hino 300 MDL</v>
          </cell>
          <cell r="F310" t="str">
            <v>COM</v>
          </cell>
          <cell r="G310" t="str">
            <v>Depr. from 1/8/2025 to 31/8/2025</v>
          </cell>
          <cell r="H310">
            <v>0</v>
          </cell>
          <cell r="I310">
            <v>750000</v>
          </cell>
        </row>
        <row r="311">
          <cell r="D311" t="str">
            <v>VEH000667</v>
          </cell>
          <cell r="E311" t="str">
            <v>Reach Forklift</v>
          </cell>
          <cell r="F311" t="str">
            <v>COM</v>
          </cell>
          <cell r="G311" t="str">
            <v>Depr. from 1/8/2025 to 31/8/2025</v>
          </cell>
          <cell r="H311">
            <v>0</v>
          </cell>
          <cell r="I311">
            <v>6900000</v>
          </cell>
        </row>
        <row r="312">
          <cell r="D312" t="str">
            <v>VEH000668</v>
          </cell>
          <cell r="E312" t="str">
            <v>Reach Forklift</v>
          </cell>
          <cell r="F312" t="str">
            <v>COM</v>
          </cell>
          <cell r="G312" t="str">
            <v>Depr. from 1/8/2025 to 31/8/2025</v>
          </cell>
          <cell r="H312">
            <v>0</v>
          </cell>
          <cell r="I312">
            <v>6900000</v>
          </cell>
        </row>
        <row r="313">
          <cell r="D313" t="str">
            <v>VEH000669</v>
          </cell>
          <cell r="E313" t="str">
            <v>Toyota Voxy</v>
          </cell>
          <cell r="F313" t="str">
            <v>COM</v>
          </cell>
          <cell r="G313" t="str">
            <v>Depr. from 1/8/2025 to 31/8/2025</v>
          </cell>
          <cell r="H313">
            <v>0</v>
          </cell>
          <cell r="I313">
            <v>9301692.9499999993</v>
          </cell>
        </row>
        <row r="314">
          <cell r="D314" t="str">
            <v>VEH000670</v>
          </cell>
          <cell r="E314" t="str">
            <v>Forklift</v>
          </cell>
          <cell r="F314" t="str">
            <v>COM</v>
          </cell>
          <cell r="G314" t="str">
            <v>Depr. from 1/8/2025 to 31/8/2025</v>
          </cell>
          <cell r="H314">
            <v>0</v>
          </cell>
          <cell r="I314">
            <v>5483333.3300000001</v>
          </cell>
        </row>
        <row r="315">
          <cell r="D315" t="str">
            <v>VEH000671</v>
          </cell>
          <cell r="E315" t="str">
            <v>Avanza</v>
          </cell>
          <cell r="F315" t="str">
            <v>COM</v>
          </cell>
          <cell r="G315" t="str">
            <v>Depr. from 1/8/2025 to 31/8/2025</v>
          </cell>
          <cell r="H315">
            <v>0</v>
          </cell>
          <cell r="I315">
            <v>4005366.75</v>
          </cell>
        </row>
        <row r="316">
          <cell r="D316" t="str">
            <v>VEH000672</v>
          </cell>
          <cell r="E316" t="str">
            <v>Forklift</v>
          </cell>
          <cell r="F316" t="str">
            <v>COM</v>
          </cell>
          <cell r="G316" t="str">
            <v>Depr. from 1/8/2025 to 31/8/2025</v>
          </cell>
          <cell r="H316">
            <v>0</v>
          </cell>
          <cell r="I316">
            <v>8833333.3300000001</v>
          </cell>
        </row>
        <row r="317">
          <cell r="D317" t="str">
            <v>VEH000673</v>
          </cell>
          <cell r="E317" t="str">
            <v>Forklift</v>
          </cell>
          <cell r="F317" t="str">
            <v>COM</v>
          </cell>
          <cell r="G317" t="str">
            <v>Depr. from 1/8/2025 to 31/8/2025</v>
          </cell>
          <cell r="H317">
            <v>0</v>
          </cell>
          <cell r="I317">
            <v>8833333.3300000001</v>
          </cell>
        </row>
        <row r="318">
          <cell r="D318" t="str">
            <v>VEH000674</v>
          </cell>
          <cell r="E318" t="str">
            <v>Forklift</v>
          </cell>
          <cell r="F318" t="str">
            <v>COM</v>
          </cell>
          <cell r="G318" t="str">
            <v>Depr. from 1/8/2025 to 31/8/2025</v>
          </cell>
          <cell r="H318">
            <v>0</v>
          </cell>
          <cell r="I318">
            <v>8583333.3300000001</v>
          </cell>
        </row>
        <row r="319">
          <cell r="D319" t="str">
            <v>VEH000675</v>
          </cell>
          <cell r="E319" t="str">
            <v>Forklift</v>
          </cell>
          <cell r="F319" t="str">
            <v>COM</v>
          </cell>
          <cell r="G319" t="str">
            <v>Depr. from 1/8/2025 to 31/8/2025</v>
          </cell>
          <cell r="H319">
            <v>0</v>
          </cell>
          <cell r="I319">
            <v>10250000</v>
          </cell>
        </row>
        <row r="320">
          <cell r="D320" t="str">
            <v>VEH000676</v>
          </cell>
          <cell r="E320" t="str">
            <v>Forklift</v>
          </cell>
          <cell r="F320" t="str">
            <v>COM</v>
          </cell>
          <cell r="G320" t="str">
            <v>Depr. from 1/8/2025 to 31/8/2025</v>
          </cell>
          <cell r="H320">
            <v>0</v>
          </cell>
          <cell r="I320">
            <v>10250000</v>
          </cell>
        </row>
        <row r="321">
          <cell r="D321" t="str">
            <v>VEH000677</v>
          </cell>
          <cell r="E321" t="str">
            <v>Forklift</v>
          </cell>
          <cell r="F321" t="str">
            <v>COM</v>
          </cell>
          <cell r="G321" t="str">
            <v>Depr. from 1/8/2025 to 31/8/2025</v>
          </cell>
          <cell r="H321">
            <v>0</v>
          </cell>
          <cell r="I321">
            <v>8645833.3100000005</v>
          </cell>
        </row>
        <row r="322">
          <cell r="D322" t="str">
            <v>VEH000678</v>
          </cell>
          <cell r="E322" t="str">
            <v>Forklift</v>
          </cell>
          <cell r="F322" t="str">
            <v>COM</v>
          </cell>
          <cell r="G322" t="str">
            <v>Depr. from 1/8/2025 to 31/8/2025</v>
          </cell>
          <cell r="H322">
            <v>0</v>
          </cell>
          <cell r="I322">
            <v>8645833.3100000005</v>
          </cell>
        </row>
        <row r="323">
          <cell r="D323" t="str">
            <v>VEH000679</v>
          </cell>
          <cell r="E323" t="str">
            <v>Forklift</v>
          </cell>
          <cell r="F323" t="str">
            <v>COM</v>
          </cell>
          <cell r="G323" t="str">
            <v>Depr. from 1/8/2025 to 31/8/2025</v>
          </cell>
          <cell r="H323">
            <v>0</v>
          </cell>
          <cell r="I323">
            <v>6416666.6699999999</v>
          </cell>
        </row>
        <row r="324">
          <cell r="D324" t="str">
            <v>VEH000680</v>
          </cell>
          <cell r="E324" t="str">
            <v>Forklift</v>
          </cell>
          <cell r="F324" t="str">
            <v>COM</v>
          </cell>
          <cell r="G324" t="str">
            <v>Depr. from 1/8/2025 to 31/8/2025</v>
          </cell>
          <cell r="H324">
            <v>0</v>
          </cell>
          <cell r="I324">
            <v>10250000</v>
          </cell>
        </row>
        <row r="325">
          <cell r="D325" t="str">
            <v>VEH000681</v>
          </cell>
          <cell r="E325" t="str">
            <v>Kijang Inova</v>
          </cell>
          <cell r="F325" t="str">
            <v>COM</v>
          </cell>
          <cell r="G325" t="str">
            <v>Depr. from 1/8/2025 to 31/8/2025</v>
          </cell>
          <cell r="H325">
            <v>0</v>
          </cell>
          <cell r="I325">
            <v>5774110</v>
          </cell>
        </row>
        <row r="326">
          <cell r="D326" t="str">
            <v>VEH000682</v>
          </cell>
          <cell r="E326" t="str">
            <v>Kijang Inova</v>
          </cell>
          <cell r="F326" t="str">
            <v>COM</v>
          </cell>
          <cell r="G326" t="str">
            <v>Depr. from 1/8/2025 to 31/8/2025</v>
          </cell>
          <cell r="H326">
            <v>0</v>
          </cell>
          <cell r="I326">
            <v>5774110</v>
          </cell>
        </row>
        <row r="327">
          <cell r="D327" t="str">
            <v>VEH000683</v>
          </cell>
          <cell r="E327" t="str">
            <v>Forklift</v>
          </cell>
          <cell r="F327" t="str">
            <v>COM</v>
          </cell>
          <cell r="G327" t="str">
            <v>Depr. from 1/8/2025 to 31/8/2025</v>
          </cell>
          <cell r="H327">
            <v>0</v>
          </cell>
          <cell r="I327">
            <v>9166666.6699999999</v>
          </cell>
        </row>
        <row r="328">
          <cell r="D328" t="str">
            <v>VEH000684</v>
          </cell>
          <cell r="E328" t="str">
            <v>Bulldozer</v>
          </cell>
          <cell r="F328" t="str">
            <v>COM</v>
          </cell>
          <cell r="G328" t="str">
            <v>Depr. from 1/8/2025 to 31/8/2025</v>
          </cell>
          <cell r="H328">
            <v>0</v>
          </cell>
          <cell r="I328">
            <v>56166666.670000002</v>
          </cell>
        </row>
        <row r="329">
          <cell r="D329" t="str">
            <v>VEH000685</v>
          </cell>
          <cell r="E329" t="str">
            <v>Forklift</v>
          </cell>
          <cell r="F329" t="str">
            <v>COM</v>
          </cell>
          <cell r="G329" t="str">
            <v>Depr. from 1/8/2025 to 31/8/2025</v>
          </cell>
          <cell r="H329">
            <v>0</v>
          </cell>
          <cell r="I329">
            <v>6900000</v>
          </cell>
        </row>
        <row r="330">
          <cell r="D330" t="str">
            <v>VEH000686</v>
          </cell>
          <cell r="E330" t="str">
            <v>Forklift</v>
          </cell>
          <cell r="F330" t="str">
            <v>COM</v>
          </cell>
          <cell r="G330" t="str">
            <v>Depr. from 1/8/2025 to 31/8/2025</v>
          </cell>
          <cell r="H330">
            <v>0</v>
          </cell>
          <cell r="I330">
            <v>6900000</v>
          </cell>
        </row>
        <row r="331">
          <cell r="D331" t="str">
            <v>VEH000687</v>
          </cell>
          <cell r="E331" t="str">
            <v>Rought Terain Crane</v>
          </cell>
          <cell r="F331" t="str">
            <v>COM</v>
          </cell>
          <cell r="G331" t="str">
            <v>Depr. from 1/8/2025 to 31/8/2025</v>
          </cell>
          <cell r="H331">
            <v>0</v>
          </cell>
          <cell r="I331">
            <v>55416666.670000002</v>
          </cell>
        </row>
        <row r="332">
          <cell r="D332" t="str">
            <v>VEH000688</v>
          </cell>
          <cell r="E332" t="str">
            <v>Forklift</v>
          </cell>
          <cell r="F332" t="str">
            <v>COM</v>
          </cell>
          <cell r="G332" t="str">
            <v>Depr. from 1/8/2025 to 31/8/2025</v>
          </cell>
          <cell r="H332">
            <v>0</v>
          </cell>
          <cell r="I332">
            <v>7866666.6699999999</v>
          </cell>
        </row>
        <row r="333">
          <cell r="D333" t="str">
            <v>VEH000689</v>
          </cell>
          <cell r="E333" t="str">
            <v>Hyd. Excavators</v>
          </cell>
          <cell r="F333" t="str">
            <v>COM</v>
          </cell>
          <cell r="G333" t="str">
            <v>Depr. from 1/8/2025 to 31/8/2025</v>
          </cell>
          <cell r="H333">
            <v>0</v>
          </cell>
          <cell r="I333">
            <v>22666666.670000002</v>
          </cell>
        </row>
        <row r="334">
          <cell r="D334" t="str">
            <v>VEH000690</v>
          </cell>
          <cell r="E334" t="str">
            <v>Bulldozer</v>
          </cell>
          <cell r="F334" t="str">
            <v>COM</v>
          </cell>
          <cell r="G334" t="str">
            <v>Depr. from 1/8/2025 to 31/8/2025</v>
          </cell>
          <cell r="H334">
            <v>0</v>
          </cell>
          <cell r="I334">
            <v>94444444.439999998</v>
          </cell>
        </row>
        <row r="335">
          <cell r="D335" t="str">
            <v>VEH000691</v>
          </cell>
          <cell r="E335" t="str">
            <v>Bulldozer</v>
          </cell>
          <cell r="F335" t="str">
            <v>COM</v>
          </cell>
          <cell r="G335" t="str">
            <v>Depr. from 1/8/2025 to 31/8/2025</v>
          </cell>
          <cell r="H335">
            <v>0</v>
          </cell>
          <cell r="I335">
            <v>64583333.329999998</v>
          </cell>
        </row>
        <row r="336">
          <cell r="D336" t="str">
            <v>VEH000692</v>
          </cell>
          <cell r="E336" t="str">
            <v>Forklift</v>
          </cell>
          <cell r="F336" t="str">
            <v>COM</v>
          </cell>
          <cell r="G336" t="str">
            <v>Depr. from 1/8/2025 to 31/8/2025</v>
          </cell>
          <cell r="H336">
            <v>0</v>
          </cell>
          <cell r="I336">
            <v>8800000</v>
          </cell>
        </row>
        <row r="337">
          <cell r="D337" t="str">
            <v>VEH000693</v>
          </cell>
          <cell r="E337" t="str">
            <v>INNOVA ZENIX G CVT 2.0</v>
          </cell>
          <cell r="F337" t="str">
            <v>COM</v>
          </cell>
          <cell r="G337" t="str">
            <v>Depr. from 1/8/2025 to 31/8/2025</v>
          </cell>
          <cell r="H337">
            <v>0</v>
          </cell>
          <cell r="I337">
            <v>6225194.4500000002</v>
          </cell>
        </row>
        <row r="338">
          <cell r="D338" t="str">
            <v>VEH000694</v>
          </cell>
          <cell r="E338" t="str">
            <v>INNOVA ZENIX G CVT 2.0</v>
          </cell>
          <cell r="F338" t="str">
            <v>COM</v>
          </cell>
          <cell r="G338" t="str">
            <v>Depr. from 1/8/2025 to 31/8/2025</v>
          </cell>
          <cell r="H338">
            <v>0</v>
          </cell>
          <cell r="I338">
            <v>6225194.4500000002</v>
          </cell>
        </row>
        <row r="339">
          <cell r="D339" t="str">
            <v>VEH000695</v>
          </cell>
          <cell r="E339" t="str">
            <v>INNOVA ZENIX G CVT 2.0</v>
          </cell>
          <cell r="F339" t="str">
            <v>COM</v>
          </cell>
          <cell r="G339" t="str">
            <v>Depr. from 1/8/2025 to 31/8/2025</v>
          </cell>
          <cell r="H339">
            <v>0</v>
          </cell>
          <cell r="I339">
            <v>6225194.4500000002</v>
          </cell>
        </row>
        <row r="340">
          <cell r="D340" t="str">
            <v>VEH000696</v>
          </cell>
          <cell r="E340" t="str">
            <v>Forklift</v>
          </cell>
          <cell r="F340" t="str">
            <v>COM</v>
          </cell>
          <cell r="G340" t="str">
            <v>Depr. from 1/8/2025 to 31/8/2025</v>
          </cell>
          <cell r="H340">
            <v>0</v>
          </cell>
          <cell r="I340">
            <v>10729166.67</v>
          </cell>
        </row>
        <row r="341">
          <cell r="D341" t="str">
            <v>VEH000697</v>
          </cell>
          <cell r="E341" t="str">
            <v>Forklift</v>
          </cell>
          <cell r="F341" t="str">
            <v>COM</v>
          </cell>
          <cell r="G341" t="str">
            <v>Depr. from 1/8/2025 to 31/8/2025</v>
          </cell>
          <cell r="H341">
            <v>0</v>
          </cell>
          <cell r="I341">
            <v>10729166.67</v>
          </cell>
        </row>
        <row r="342">
          <cell r="D342" t="str">
            <v>VEH000698</v>
          </cell>
          <cell r="E342" t="str">
            <v>Forklift</v>
          </cell>
          <cell r="F342" t="str">
            <v>COM</v>
          </cell>
          <cell r="G342" t="str">
            <v>Depr. from 1/8/2025 to 31/8/2025</v>
          </cell>
          <cell r="H342">
            <v>0</v>
          </cell>
          <cell r="I342">
            <v>10729166.67</v>
          </cell>
        </row>
        <row r="343">
          <cell r="D343" t="str">
            <v>VEH000699</v>
          </cell>
          <cell r="E343" t="str">
            <v>Forklift</v>
          </cell>
          <cell r="F343" t="str">
            <v>COM</v>
          </cell>
          <cell r="G343" t="str">
            <v>Depr. from 1/8/2025 to 31/8/2025</v>
          </cell>
          <cell r="H343">
            <v>0</v>
          </cell>
          <cell r="I343">
            <v>10729166.67</v>
          </cell>
        </row>
        <row r="344">
          <cell r="D344" t="str">
            <v>VEH000700</v>
          </cell>
          <cell r="E344" t="str">
            <v>Forklift</v>
          </cell>
          <cell r="F344" t="str">
            <v>COM</v>
          </cell>
          <cell r="G344" t="str">
            <v>Depr. from 1/8/2025 to 31/8/2025</v>
          </cell>
          <cell r="H344">
            <v>0</v>
          </cell>
          <cell r="I344">
            <v>8583333.3300000001</v>
          </cell>
        </row>
        <row r="345">
          <cell r="D345" t="str">
            <v>VEH000701</v>
          </cell>
          <cell r="E345" t="str">
            <v>Forklift</v>
          </cell>
          <cell r="F345" t="str">
            <v>COM</v>
          </cell>
          <cell r="G345" t="str">
            <v>Depr. from 1/8/2025 to 31/8/2025</v>
          </cell>
          <cell r="H345">
            <v>0</v>
          </cell>
          <cell r="I345">
            <v>7116666.6699999999</v>
          </cell>
        </row>
        <row r="346">
          <cell r="D346" t="str">
            <v>VEH000702</v>
          </cell>
          <cell r="E346" t="str">
            <v>Forklift</v>
          </cell>
          <cell r="F346" t="str">
            <v>COM</v>
          </cell>
          <cell r="G346" t="str">
            <v>Depr. from 1/8/2025 to 31/8/2025</v>
          </cell>
          <cell r="H346">
            <v>0</v>
          </cell>
          <cell r="I346">
            <v>7116666.6699999999</v>
          </cell>
        </row>
        <row r="347">
          <cell r="D347" t="str">
            <v>VEH000703</v>
          </cell>
          <cell r="E347" t="str">
            <v>Forklift</v>
          </cell>
          <cell r="F347" t="str">
            <v>COM</v>
          </cell>
          <cell r="G347" t="str">
            <v>Depr. from 1/8/2025 to 31/8/2025</v>
          </cell>
          <cell r="H347">
            <v>0</v>
          </cell>
          <cell r="I347">
            <v>7116666.6699999999</v>
          </cell>
        </row>
        <row r="348">
          <cell r="D348" t="str">
            <v>VEH000704</v>
          </cell>
          <cell r="E348" t="str">
            <v>Forklift</v>
          </cell>
          <cell r="F348" t="str">
            <v>COM</v>
          </cell>
          <cell r="G348" t="str">
            <v>Depr. from 1/8/2025 to 31/8/2025</v>
          </cell>
          <cell r="H348">
            <v>0</v>
          </cell>
          <cell r="I348">
            <v>7116666.6699999999</v>
          </cell>
        </row>
        <row r="349">
          <cell r="D349" t="str">
            <v>VEH000705</v>
          </cell>
          <cell r="E349" t="str">
            <v>Forklift</v>
          </cell>
          <cell r="F349" t="str">
            <v>COM</v>
          </cell>
          <cell r="G349" t="str">
            <v>Depr. from 1/8/2025 to 31/8/2025</v>
          </cell>
          <cell r="H349">
            <v>0</v>
          </cell>
          <cell r="I349">
            <v>7033333.3300000001</v>
          </cell>
        </row>
        <row r="350">
          <cell r="D350" t="str">
            <v>VEH000706</v>
          </cell>
          <cell r="E350" t="str">
            <v>Forklift</v>
          </cell>
          <cell r="F350" t="str">
            <v>COM</v>
          </cell>
          <cell r="G350" t="str">
            <v>Depr. from 1/8/2025 to 31/8/2025</v>
          </cell>
          <cell r="H350">
            <v>0</v>
          </cell>
          <cell r="I350">
            <v>7033333.3300000001</v>
          </cell>
        </row>
        <row r="351">
          <cell r="D351" t="str">
            <v>VEH000707</v>
          </cell>
          <cell r="E351" t="str">
            <v>Forklift</v>
          </cell>
          <cell r="F351" t="str">
            <v>COM</v>
          </cell>
          <cell r="G351" t="str">
            <v>Depr. from 1/8/2025 to 31/8/2025</v>
          </cell>
          <cell r="H351">
            <v>0</v>
          </cell>
          <cell r="I351">
            <v>7116666.6699999999</v>
          </cell>
        </row>
        <row r="352">
          <cell r="D352" t="str">
            <v>VEH000708</v>
          </cell>
          <cell r="E352" t="str">
            <v>Forklift</v>
          </cell>
          <cell r="F352" t="str">
            <v>COM</v>
          </cell>
          <cell r="G352" t="str">
            <v>Depr. from 1/8/2025 to 31/8/2025</v>
          </cell>
          <cell r="H352">
            <v>0</v>
          </cell>
          <cell r="I352">
            <v>7416666.6699999999</v>
          </cell>
        </row>
        <row r="353">
          <cell r="D353" t="str">
            <v>VEH000709</v>
          </cell>
          <cell r="E353" t="str">
            <v>Sweeper DULEVO</v>
          </cell>
          <cell r="F353" t="str">
            <v>COM</v>
          </cell>
          <cell r="G353" t="str">
            <v>Depr. from 1/8/2025 to 31/8/2025</v>
          </cell>
          <cell r="H353">
            <v>0</v>
          </cell>
          <cell r="I353">
            <v>11466666.67</v>
          </cell>
        </row>
        <row r="354">
          <cell r="D354" t="str">
            <v>VEH000710</v>
          </cell>
          <cell r="E354" t="str">
            <v>HITACHI Wheel Loaders</v>
          </cell>
          <cell r="F354" t="str">
            <v>COM</v>
          </cell>
          <cell r="G354" t="str">
            <v>Depr. from 1/8/2025 to 31/8/2025</v>
          </cell>
          <cell r="H354">
            <v>0</v>
          </cell>
          <cell r="I354">
            <v>39722222.219999999</v>
          </cell>
        </row>
        <row r="355">
          <cell r="D355" t="str">
            <v>VEH000711</v>
          </cell>
          <cell r="E355" t="str">
            <v>Forklift</v>
          </cell>
          <cell r="F355" t="str">
            <v>COM</v>
          </cell>
          <cell r="G355" t="str">
            <v>Depr. from 1/8/2025 to 31/8/2025</v>
          </cell>
          <cell r="H355">
            <v>0</v>
          </cell>
          <cell r="I355">
            <v>8083333.3200000003</v>
          </cell>
        </row>
        <row r="356">
          <cell r="D356" t="str">
            <v>VEH000712</v>
          </cell>
          <cell r="E356" t="str">
            <v>Forklift</v>
          </cell>
          <cell r="F356" t="str">
            <v>COM</v>
          </cell>
          <cell r="G356" t="str">
            <v>Depr. from 1/8/2025 to 31/8/2025</v>
          </cell>
          <cell r="H356">
            <v>0</v>
          </cell>
          <cell r="I356">
            <v>6983333.3200000003</v>
          </cell>
        </row>
        <row r="357">
          <cell r="D357" t="str">
            <v>VEH000713</v>
          </cell>
          <cell r="E357" t="str">
            <v>Forklift</v>
          </cell>
          <cell r="F357" t="str">
            <v>COM</v>
          </cell>
          <cell r="G357" t="str">
            <v>Depr. from 1/8/2025 to 31/8/2025</v>
          </cell>
          <cell r="H357">
            <v>0</v>
          </cell>
          <cell r="I357">
            <v>6983333.3200000003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Detail Deprec_202501"/>
      <sheetName val="Resume Deprec_202501"/>
      <sheetName val="Book Slip"/>
      <sheetName val="Journal_202501"/>
      <sheetName val="Sheet2"/>
    </sheetNames>
    <sheetDataSet>
      <sheetData sheetId="0" refreshError="1"/>
      <sheetData sheetId="1">
        <row r="2">
          <cell r="D2"/>
          <cell r="E2"/>
          <cell r="F2"/>
          <cell r="G2"/>
          <cell r="H2"/>
          <cell r="I2"/>
        </row>
        <row r="3">
          <cell r="D3" t="str">
            <v>Account</v>
          </cell>
          <cell r="E3" t="str">
            <v>Name</v>
          </cell>
          <cell r="F3" t="str">
            <v>Value model</v>
          </cell>
          <cell r="G3" t="str">
            <v>Description</v>
          </cell>
          <cell r="H3" t="str">
            <v>Debit</v>
          </cell>
          <cell r="I3" t="str">
            <v>Credit</v>
          </cell>
        </row>
        <row r="4">
          <cell r="D4" t="str">
            <v>BLD000016</v>
          </cell>
          <cell r="E4" t="str">
            <v>Expansion Canopy for Warehouse</v>
          </cell>
          <cell r="F4" t="str">
            <v>COM</v>
          </cell>
          <cell r="G4" t="str">
            <v>Depr. since 31/01/2025</v>
          </cell>
          <cell r="H4">
            <v>0</v>
          </cell>
          <cell r="I4">
            <v>2883333.33</v>
          </cell>
        </row>
        <row r="5">
          <cell r="D5" t="str">
            <v>BLD000017</v>
          </cell>
          <cell r="E5" t="str">
            <v>Expansion Canopy for Warehouse</v>
          </cell>
          <cell r="F5" t="str">
            <v>COM</v>
          </cell>
          <cell r="G5" t="str">
            <v>Depr. since 31/01/2025</v>
          </cell>
          <cell r="H5">
            <v>0</v>
          </cell>
          <cell r="I5">
            <v>720833.33</v>
          </cell>
        </row>
        <row r="6">
          <cell r="D6" t="str">
            <v>BLD000018</v>
          </cell>
          <cell r="E6" t="str">
            <v>Workshop  Jababeka Cikarang</v>
          </cell>
          <cell r="F6" t="str">
            <v>COM</v>
          </cell>
          <cell r="G6" t="str">
            <v>Depr. since 31/01/2025</v>
          </cell>
          <cell r="H6">
            <v>0</v>
          </cell>
          <cell r="I6">
            <v>638900</v>
          </cell>
        </row>
        <row r="7">
          <cell r="D7" t="str">
            <v>BLD000019</v>
          </cell>
          <cell r="E7" t="str">
            <v>Workshop  Jababeka Cikarang</v>
          </cell>
          <cell r="F7" t="str">
            <v>COM</v>
          </cell>
          <cell r="G7" t="str">
            <v>Depr. since 31/01/2025</v>
          </cell>
          <cell r="H7">
            <v>0</v>
          </cell>
          <cell r="I7">
            <v>3030375</v>
          </cell>
        </row>
        <row r="8">
          <cell r="D8" t="str">
            <v>BLD000020</v>
          </cell>
          <cell r="E8" t="str">
            <v>Renovion of New Workshop</v>
          </cell>
          <cell r="F8" t="str">
            <v>COM</v>
          </cell>
          <cell r="G8" t="str">
            <v>Depr. since 31/01/2025</v>
          </cell>
          <cell r="H8">
            <v>0</v>
          </cell>
          <cell r="I8">
            <v>150416.67000000001</v>
          </cell>
        </row>
        <row r="9">
          <cell r="D9" t="str">
            <v>BLD000021</v>
          </cell>
          <cell r="E9" t="str">
            <v>Renovion of New Workshop</v>
          </cell>
          <cell r="F9" t="str">
            <v>COM</v>
          </cell>
          <cell r="G9" t="str">
            <v>Depr. since 31/01/2025</v>
          </cell>
          <cell r="H9">
            <v>0</v>
          </cell>
          <cell r="I9">
            <v>101056.25</v>
          </cell>
        </row>
        <row r="10">
          <cell r="D10" t="str">
            <v>BLD000022</v>
          </cell>
          <cell r="E10" t="str">
            <v>Renovion of New Workshop</v>
          </cell>
          <cell r="F10" t="str">
            <v>COM</v>
          </cell>
          <cell r="G10" t="str">
            <v>Depr. since 31/01/2025</v>
          </cell>
          <cell r="H10">
            <v>0</v>
          </cell>
          <cell r="I10">
            <v>267000</v>
          </cell>
        </row>
        <row r="11">
          <cell r="D11" t="str">
            <v>BLD000023</v>
          </cell>
          <cell r="E11" t="str">
            <v>Renovion of New Workshop</v>
          </cell>
          <cell r="F11" t="str">
            <v>COM</v>
          </cell>
          <cell r="G11" t="str">
            <v>Depr. since 31/01/2025</v>
          </cell>
          <cell r="H11">
            <v>0</v>
          </cell>
          <cell r="I11">
            <v>178000</v>
          </cell>
        </row>
        <row r="12">
          <cell r="D12" t="str">
            <v>BLD000024</v>
          </cell>
          <cell r="E12" t="str">
            <v>Additional work for New wareho</v>
          </cell>
          <cell r="F12" t="str">
            <v>COM</v>
          </cell>
          <cell r="G12" t="str">
            <v>Depr. since 31/01/2025</v>
          </cell>
          <cell r="H12">
            <v>0</v>
          </cell>
          <cell r="I12">
            <v>91666.67</v>
          </cell>
        </row>
        <row r="13">
          <cell r="D13" t="str">
            <v>BLD000025</v>
          </cell>
          <cell r="E13" t="str">
            <v>Additional work for New wareho</v>
          </cell>
          <cell r="F13" t="str">
            <v>COM</v>
          </cell>
          <cell r="G13" t="str">
            <v>Depr. since 31/01/2025</v>
          </cell>
          <cell r="H13">
            <v>0</v>
          </cell>
          <cell r="I13">
            <v>67370.83</v>
          </cell>
        </row>
        <row r="14">
          <cell r="D14" t="str">
            <v>BLD000026</v>
          </cell>
          <cell r="E14" t="str">
            <v>Additional work for New wareho</v>
          </cell>
          <cell r="F14" t="str">
            <v>COM</v>
          </cell>
          <cell r="G14" t="str">
            <v>Depr. since 31/01/2025</v>
          </cell>
          <cell r="H14">
            <v>0</v>
          </cell>
          <cell r="I14">
            <v>216254.17</v>
          </cell>
        </row>
        <row r="15">
          <cell r="D15" t="str">
            <v>BLD000027</v>
          </cell>
          <cell r="E15" t="str">
            <v>Additional work for New wareho</v>
          </cell>
          <cell r="F15" t="str">
            <v>COM</v>
          </cell>
          <cell r="G15" t="str">
            <v>Depr. since 31/01/2025</v>
          </cell>
          <cell r="H15">
            <v>0</v>
          </cell>
          <cell r="I15">
            <v>156833.32999999999</v>
          </cell>
        </row>
        <row r="16">
          <cell r="D16" t="str">
            <v>BLD000028</v>
          </cell>
          <cell r="E16" t="str">
            <v>Renovion of New Workshop</v>
          </cell>
          <cell r="F16" t="str">
            <v>COM</v>
          </cell>
          <cell r="G16" t="str">
            <v>Depr. since 31/01/2025</v>
          </cell>
          <cell r="H16">
            <v>0</v>
          </cell>
          <cell r="I16">
            <v>209750</v>
          </cell>
        </row>
        <row r="17">
          <cell r="D17" t="str">
            <v>BLD000029</v>
          </cell>
          <cell r="E17" t="str">
            <v>Renovion of New Workshop</v>
          </cell>
          <cell r="F17" t="str">
            <v>COM</v>
          </cell>
          <cell r="G17" t="str">
            <v>Depr. since 31/01/2025</v>
          </cell>
          <cell r="H17">
            <v>0</v>
          </cell>
          <cell r="I17">
            <v>98897.04</v>
          </cell>
        </row>
        <row r="18">
          <cell r="D18" t="str">
            <v>BLD000030</v>
          </cell>
          <cell r="E18" t="str">
            <v>Renovion of New Workshop</v>
          </cell>
          <cell r="F18" t="str">
            <v>COM</v>
          </cell>
          <cell r="G18" t="str">
            <v>Depr. since 31/01/2025</v>
          </cell>
          <cell r="H18">
            <v>0</v>
          </cell>
          <cell r="I18">
            <v>16666.669999999998</v>
          </cell>
        </row>
        <row r="19">
          <cell r="D19" t="str">
            <v>BLD000031</v>
          </cell>
          <cell r="E19" t="str">
            <v>Renovion of New Workshop</v>
          </cell>
          <cell r="F19" t="str">
            <v>COM</v>
          </cell>
          <cell r="G19" t="str">
            <v>Depr. since 31/01/2025</v>
          </cell>
          <cell r="H19">
            <v>0</v>
          </cell>
          <cell r="I19">
            <v>41666.67</v>
          </cell>
        </row>
        <row r="20">
          <cell r="D20" t="str">
            <v>BLD000032</v>
          </cell>
          <cell r="E20" t="str">
            <v>Renovion of New Workshop</v>
          </cell>
          <cell r="F20" t="str">
            <v>COM</v>
          </cell>
          <cell r="G20" t="str">
            <v>Depr. since 31/01/2025</v>
          </cell>
          <cell r="H20">
            <v>0</v>
          </cell>
          <cell r="I20">
            <v>66770.83</v>
          </cell>
        </row>
        <row r="21">
          <cell r="D21" t="str">
            <v>BLD000033</v>
          </cell>
          <cell r="E21" t="str">
            <v>Renovion of New Workshop</v>
          </cell>
          <cell r="F21" t="str">
            <v>COM</v>
          </cell>
          <cell r="G21" t="str">
            <v>Depr. since 31/01/2025</v>
          </cell>
          <cell r="H21">
            <v>0</v>
          </cell>
          <cell r="I21">
            <v>38458.33</v>
          </cell>
        </row>
        <row r="22">
          <cell r="D22" t="str">
            <v>BLD000034</v>
          </cell>
          <cell r="E22" t="str">
            <v>Renovion of New Workshop</v>
          </cell>
          <cell r="F22" t="str">
            <v>COM</v>
          </cell>
          <cell r="G22" t="str">
            <v>Depr. since 31/01/2025</v>
          </cell>
          <cell r="H22">
            <v>0</v>
          </cell>
          <cell r="I22">
            <v>50791.67</v>
          </cell>
        </row>
        <row r="23">
          <cell r="D23" t="str">
            <v>BLD000035</v>
          </cell>
          <cell r="E23" t="str">
            <v>Renovion of New Workshop</v>
          </cell>
          <cell r="F23" t="str">
            <v>COM</v>
          </cell>
          <cell r="G23" t="str">
            <v>Depr. since 31/01/2025</v>
          </cell>
          <cell r="H23">
            <v>0</v>
          </cell>
          <cell r="I23">
            <v>48125</v>
          </cell>
        </row>
        <row r="24">
          <cell r="D24" t="str">
            <v>BLD000036</v>
          </cell>
          <cell r="E24" t="str">
            <v>Renovion of New Workshop</v>
          </cell>
          <cell r="F24" t="str">
            <v>COM</v>
          </cell>
          <cell r="G24" t="str">
            <v>Depr. since 31/01/2025</v>
          </cell>
          <cell r="H24">
            <v>0</v>
          </cell>
          <cell r="I24">
            <v>43652.5</v>
          </cell>
        </row>
        <row r="25">
          <cell r="D25" t="str">
            <v>BLD000037</v>
          </cell>
          <cell r="E25" t="str">
            <v>Renovion of New Workshop</v>
          </cell>
          <cell r="F25" t="str">
            <v>COM</v>
          </cell>
          <cell r="G25" t="str">
            <v>Depr. since 31/01/2025</v>
          </cell>
          <cell r="H25">
            <v>0</v>
          </cell>
          <cell r="I25">
            <v>43652.08</v>
          </cell>
        </row>
        <row r="26">
          <cell r="D26" t="str">
            <v>BLD000038</v>
          </cell>
          <cell r="E26" t="str">
            <v>Renovion of New Workshop</v>
          </cell>
          <cell r="F26" t="str">
            <v>COM</v>
          </cell>
          <cell r="G26" t="str">
            <v>Depr. since 31/01/2025</v>
          </cell>
          <cell r="H26">
            <v>0</v>
          </cell>
          <cell r="I26">
            <v>57500</v>
          </cell>
        </row>
        <row r="27">
          <cell r="D27" t="str">
            <v>BLD000039</v>
          </cell>
          <cell r="E27" t="str">
            <v>New mess for Japanesse</v>
          </cell>
          <cell r="F27" t="str">
            <v>COM</v>
          </cell>
          <cell r="G27" t="str">
            <v>Depr. since 31/01/2025</v>
          </cell>
          <cell r="H27">
            <v>0</v>
          </cell>
          <cell r="I27">
            <v>12500000</v>
          </cell>
        </row>
        <row r="28">
          <cell r="D28" t="str">
            <v>BLD000040</v>
          </cell>
          <cell r="E28" t="str">
            <v>Cilegon New Office</v>
          </cell>
          <cell r="F28" t="str">
            <v>COM</v>
          </cell>
          <cell r="G28" t="str">
            <v>Depr. since 31/01/2025</v>
          </cell>
          <cell r="H28">
            <v>0</v>
          </cell>
          <cell r="I28">
            <v>2251692.19</v>
          </cell>
        </row>
        <row r="29">
          <cell r="D29" t="str">
            <v>BLD000041</v>
          </cell>
          <cell r="E29" t="str">
            <v>Cilegon New Office</v>
          </cell>
          <cell r="F29" t="str">
            <v>COM</v>
          </cell>
          <cell r="G29" t="str">
            <v>Depr. since 31/01/2025</v>
          </cell>
          <cell r="H29">
            <v>0</v>
          </cell>
          <cell r="I29">
            <v>9006768.75</v>
          </cell>
        </row>
        <row r="30">
          <cell r="D30" t="str">
            <v>BLD000042</v>
          </cell>
          <cell r="E30" t="str">
            <v>Cilegon New Office</v>
          </cell>
          <cell r="F30" t="str">
            <v>COM</v>
          </cell>
          <cell r="G30" t="str">
            <v>Depr. since 31/01/2025</v>
          </cell>
          <cell r="H30">
            <v>0</v>
          </cell>
          <cell r="I30">
            <v>11258460.939999999</v>
          </cell>
        </row>
        <row r="31">
          <cell r="D31" t="str">
            <v>BLD000046</v>
          </cell>
          <cell r="E31" t="str">
            <v>Tanjung Priok Office</v>
          </cell>
          <cell r="F31" t="str">
            <v>COM</v>
          </cell>
          <cell r="G31" t="str">
            <v>Depr. since 31/01/2025</v>
          </cell>
          <cell r="H31">
            <v>0</v>
          </cell>
          <cell r="I31">
            <v>2375791.67</v>
          </cell>
        </row>
        <row r="32">
          <cell r="D32" t="str">
            <v>BLD000047</v>
          </cell>
          <cell r="E32" t="str">
            <v>Cikarang Warehouse and Office</v>
          </cell>
          <cell r="F32" t="str">
            <v>COM</v>
          </cell>
          <cell r="G32" t="str">
            <v>Depr. since 31/01/2025</v>
          </cell>
          <cell r="H32">
            <v>0</v>
          </cell>
          <cell r="I32">
            <v>72553845.689999998</v>
          </cell>
        </row>
        <row r="33">
          <cell r="D33" t="str">
            <v>BLD000048</v>
          </cell>
          <cell r="E33" t="str">
            <v>Cikarang Warehouse and Office</v>
          </cell>
          <cell r="F33" t="str">
            <v>COM</v>
          </cell>
          <cell r="G33" t="str">
            <v>Depr. since 31/01/2025</v>
          </cell>
          <cell r="H33">
            <v>0</v>
          </cell>
          <cell r="I33">
            <v>298755497.66000003</v>
          </cell>
        </row>
        <row r="34">
          <cell r="D34" t="str">
            <v>BLD000052</v>
          </cell>
          <cell r="E34" t="str">
            <v>Dormitory (Building Work)</v>
          </cell>
          <cell r="F34" t="str">
            <v>COM</v>
          </cell>
          <cell r="G34" t="str">
            <v>Depr. since 31/01/2025</v>
          </cell>
          <cell r="H34">
            <v>0</v>
          </cell>
          <cell r="I34">
            <v>35416666.670000002</v>
          </cell>
        </row>
        <row r="35">
          <cell r="D35" t="str">
            <v>BLD000053</v>
          </cell>
          <cell r="E35" t="str">
            <v>Dormitory (M&amp;E Work)</v>
          </cell>
          <cell r="F35" t="str">
            <v>COM</v>
          </cell>
          <cell r="G35" t="str">
            <v>Depr. since 31/01/2025</v>
          </cell>
          <cell r="H35">
            <v>0</v>
          </cell>
          <cell r="I35">
            <v>22916666.670000002</v>
          </cell>
        </row>
        <row r="36">
          <cell r="D36" t="str">
            <v>BLD000054</v>
          </cell>
          <cell r="E36" t="str">
            <v>Dormitory (Building Work)</v>
          </cell>
          <cell r="F36" t="str">
            <v>COM</v>
          </cell>
          <cell r="G36" t="str">
            <v>Depr. since 31/01/2025</v>
          </cell>
          <cell r="H36">
            <v>0</v>
          </cell>
          <cell r="I36">
            <v>2083333.33</v>
          </cell>
        </row>
        <row r="37">
          <cell r="D37" t="str">
            <v>BLD000055</v>
          </cell>
          <cell r="E37" t="str">
            <v>Building Permit (IMB)</v>
          </cell>
          <cell r="F37" t="str">
            <v>COM</v>
          </cell>
          <cell r="G37" t="str">
            <v>Depr. since 31/01/2025</v>
          </cell>
          <cell r="H37">
            <v>0</v>
          </cell>
          <cell r="I37">
            <v>254895.83</v>
          </cell>
        </row>
        <row r="38">
          <cell r="D38" t="str">
            <v>BLD000056</v>
          </cell>
          <cell r="E38" t="str">
            <v>Building</v>
          </cell>
          <cell r="F38" t="str">
            <v>COM</v>
          </cell>
          <cell r="G38" t="str">
            <v>Depr. since 31/01/2025</v>
          </cell>
          <cell r="H38">
            <v>0</v>
          </cell>
          <cell r="I38">
            <v>689457.01</v>
          </cell>
        </row>
        <row r="39">
          <cell r="D39" t="str">
            <v>BLD000059</v>
          </cell>
          <cell r="E39" t="str">
            <v>Legalizion Document (AJB)</v>
          </cell>
          <cell r="F39" t="str">
            <v>COM</v>
          </cell>
          <cell r="G39" t="str">
            <v>Depr. since 31/01/2025</v>
          </cell>
          <cell r="H39">
            <v>0</v>
          </cell>
          <cell r="I39">
            <v>349825.71</v>
          </cell>
        </row>
        <row r="40">
          <cell r="D40" t="str">
            <v>BLD000060</v>
          </cell>
          <cell r="E40" t="str">
            <v>Legalizion Document (BPHTB)</v>
          </cell>
          <cell r="F40" t="str">
            <v>COM</v>
          </cell>
          <cell r="G40" t="str">
            <v>Depr. since 31/01/2025</v>
          </cell>
          <cell r="H40">
            <v>0</v>
          </cell>
          <cell r="I40">
            <v>1634961.88</v>
          </cell>
        </row>
        <row r="41">
          <cell r="D41" t="str">
            <v>BLD000063</v>
          </cell>
          <cell r="E41" t="str">
            <v>IMB Tax Warehouse Phase II</v>
          </cell>
          <cell r="F41" t="str">
            <v>COM</v>
          </cell>
          <cell r="G41" t="str">
            <v>Depr. since 31/01/2025</v>
          </cell>
          <cell r="H41">
            <v>0</v>
          </cell>
          <cell r="I41">
            <v>8590693.4800000004</v>
          </cell>
        </row>
        <row r="42">
          <cell r="D42" t="str">
            <v>BLD000064</v>
          </cell>
          <cell r="E42" t="str">
            <v>Warehouse CLC Phase II</v>
          </cell>
          <cell r="F42" t="str">
            <v>COM</v>
          </cell>
          <cell r="G42" t="str">
            <v>Depr. since 31/01/2025</v>
          </cell>
          <cell r="H42">
            <v>0</v>
          </cell>
          <cell r="I42">
            <v>20833333.329999998</v>
          </cell>
        </row>
        <row r="43">
          <cell r="D43" t="str">
            <v>BLD000065</v>
          </cell>
          <cell r="E43" t="str">
            <v>Warehouse CLC Phase II</v>
          </cell>
          <cell r="F43" t="str">
            <v>COM</v>
          </cell>
          <cell r="G43" t="str">
            <v>Depr. since 31/01/2025</v>
          </cell>
          <cell r="H43">
            <v>0</v>
          </cell>
          <cell r="I43">
            <v>185229166.66999999</v>
          </cell>
        </row>
        <row r="44">
          <cell r="D44" t="str">
            <v>BLD000066</v>
          </cell>
          <cell r="E44" t="str">
            <v>Warehouse CLC Phase II</v>
          </cell>
          <cell r="F44" t="str">
            <v>COM</v>
          </cell>
          <cell r="G44" t="str">
            <v>Depr. since 31/01/2025</v>
          </cell>
          <cell r="H44">
            <v>0</v>
          </cell>
          <cell r="I44">
            <v>206062500</v>
          </cell>
        </row>
        <row r="45">
          <cell r="D45" t="str">
            <v>BLD000067</v>
          </cell>
          <cell r="E45" t="str">
            <v>Warehouse CLC Phase II</v>
          </cell>
          <cell r="F45" t="str">
            <v>COM</v>
          </cell>
          <cell r="G45" t="str">
            <v>Depr. since 31/01/2025</v>
          </cell>
          <cell r="H45">
            <v>0</v>
          </cell>
          <cell r="I45">
            <v>147187500</v>
          </cell>
        </row>
        <row r="46">
          <cell r="D46" t="str">
            <v>BLD000068</v>
          </cell>
          <cell r="E46" t="str">
            <v>Warehouse CLC Phase II</v>
          </cell>
          <cell r="F46" t="str">
            <v>COM</v>
          </cell>
          <cell r="G46" t="str">
            <v>Depr. since 31/01/2025</v>
          </cell>
          <cell r="H46">
            <v>0</v>
          </cell>
          <cell r="I46">
            <v>14063420</v>
          </cell>
        </row>
        <row r="47">
          <cell r="D47" t="str">
            <v>BLD000069</v>
          </cell>
          <cell r="E47" t="str">
            <v>Warehouse CLC Phase II</v>
          </cell>
          <cell r="F47" t="str">
            <v>COM</v>
          </cell>
          <cell r="G47" t="str">
            <v>Depr. since 31/01/2025</v>
          </cell>
          <cell r="H47">
            <v>0</v>
          </cell>
          <cell r="I47">
            <v>14791462</v>
          </cell>
        </row>
        <row r="48">
          <cell r="D48" t="str">
            <v>BLD000070</v>
          </cell>
          <cell r="E48" t="str">
            <v>Warehouse CLC Phase II</v>
          </cell>
          <cell r="F48" t="str">
            <v>COM</v>
          </cell>
          <cell r="G48" t="str">
            <v>Depr. since 31/01/2025</v>
          </cell>
          <cell r="H48">
            <v>0</v>
          </cell>
          <cell r="I48">
            <v>10885907.5</v>
          </cell>
        </row>
        <row r="49">
          <cell r="D49" t="str">
            <v>BLD000071</v>
          </cell>
          <cell r="E49" t="str">
            <v>Warehouse CLC Phase II</v>
          </cell>
          <cell r="F49" t="str">
            <v>COM</v>
          </cell>
          <cell r="G49" t="str">
            <v>Depr. since 31/01/2025</v>
          </cell>
          <cell r="H49">
            <v>0</v>
          </cell>
          <cell r="I49">
            <v>29437500</v>
          </cell>
        </row>
        <row r="50">
          <cell r="D50" t="str">
            <v>BLD000072</v>
          </cell>
          <cell r="E50" t="str">
            <v>Warehouse CLC Phase II</v>
          </cell>
          <cell r="F50" t="str">
            <v>COM</v>
          </cell>
          <cell r="G50" t="str">
            <v>Depr. since 31/01/2025</v>
          </cell>
          <cell r="H50">
            <v>0</v>
          </cell>
          <cell r="I50">
            <v>2227892.5</v>
          </cell>
        </row>
        <row r="51">
          <cell r="D51" t="str">
            <v>BLD000073</v>
          </cell>
          <cell r="E51" t="str">
            <v>Warehouse CLC Phase II</v>
          </cell>
          <cell r="F51" t="str">
            <v>COM</v>
          </cell>
          <cell r="G51" t="str">
            <v>Depr. since 31/01/2025</v>
          </cell>
          <cell r="H51">
            <v>0</v>
          </cell>
          <cell r="I51">
            <v>5577016.0199999996</v>
          </cell>
        </row>
        <row r="52">
          <cell r="D52" t="str">
            <v>BLD000076</v>
          </cell>
          <cell r="E52" t="str">
            <v>Motorcycle Parking Area</v>
          </cell>
          <cell r="F52" t="str">
            <v>COM</v>
          </cell>
          <cell r="G52" t="str">
            <v>Depr. since 31/01/2025</v>
          </cell>
          <cell r="H52">
            <v>0</v>
          </cell>
          <cell r="I52">
            <v>738726.27</v>
          </cell>
        </row>
        <row r="53">
          <cell r="D53" t="str">
            <v>BLD000077</v>
          </cell>
          <cell r="E53" t="str">
            <v>Motorcycle Parking Area</v>
          </cell>
          <cell r="F53" t="str">
            <v>COM</v>
          </cell>
          <cell r="G53" t="str">
            <v>Depr. since 31/01/2025</v>
          </cell>
          <cell r="H53">
            <v>0</v>
          </cell>
          <cell r="I53">
            <v>184681.57</v>
          </cell>
        </row>
        <row r="54">
          <cell r="D54" t="str">
            <v>BLD000078</v>
          </cell>
          <cell r="E54" t="str">
            <v>Bojonegara Renov. Site Office</v>
          </cell>
          <cell r="F54" t="str">
            <v>COM</v>
          </cell>
          <cell r="G54" t="str">
            <v>Depr. since 31/01/2025</v>
          </cell>
          <cell r="H54">
            <v>0</v>
          </cell>
          <cell r="I54">
            <v>875000</v>
          </cell>
        </row>
        <row r="55">
          <cell r="D55" t="str">
            <v>BLD000079</v>
          </cell>
          <cell r="E55" t="str">
            <v>Bojonegara Tempat B3</v>
          </cell>
          <cell r="F55" t="str">
            <v>COM</v>
          </cell>
          <cell r="G55" t="str">
            <v>Depr. since 31/01/2025</v>
          </cell>
          <cell r="H55">
            <v>0</v>
          </cell>
          <cell r="I55">
            <v>825000</v>
          </cell>
        </row>
        <row r="56">
          <cell r="D56" t="str">
            <v>BLD000080</v>
          </cell>
          <cell r="E56" t="str">
            <v>Sandblast &amp; Painting Shop</v>
          </cell>
          <cell r="F56" t="str">
            <v>COM</v>
          </cell>
          <cell r="G56" t="str">
            <v>Depr. since 31/01/2025</v>
          </cell>
          <cell r="H56">
            <v>0</v>
          </cell>
          <cell r="I56">
            <v>9602743.6300000008</v>
          </cell>
        </row>
        <row r="57">
          <cell r="D57"/>
          <cell r="E57"/>
          <cell r="F57"/>
          <cell r="G57"/>
          <cell r="H57"/>
          <cell r="I57">
            <v>1138378377.3399999</v>
          </cell>
        </row>
        <row r="58">
          <cell r="D58" t="str">
            <v>FNF000193</v>
          </cell>
          <cell r="E58" t="str">
            <v>Barcode Handy Terminal</v>
          </cell>
          <cell r="F58" t="str">
            <v>COM</v>
          </cell>
          <cell r="G58" t="str">
            <v>Depr. since 31/01/2025</v>
          </cell>
          <cell r="H58">
            <v>0</v>
          </cell>
          <cell r="I58">
            <v>1</v>
          </cell>
        </row>
        <row r="59">
          <cell r="D59" t="str">
            <v>FNF000194</v>
          </cell>
          <cell r="E59" t="str">
            <v>Barcode Handy Terminal</v>
          </cell>
          <cell r="F59" t="str">
            <v>COM</v>
          </cell>
          <cell r="G59" t="str">
            <v>Depr. since 31/01/2025</v>
          </cell>
          <cell r="H59">
            <v>0</v>
          </cell>
          <cell r="I59">
            <v>1</v>
          </cell>
        </row>
        <row r="60">
          <cell r="D60" t="str">
            <v>FNF000195</v>
          </cell>
          <cell r="E60" t="str">
            <v>Barcode Printer</v>
          </cell>
          <cell r="F60" t="str">
            <v>COM</v>
          </cell>
          <cell r="G60" t="str">
            <v>Depr. since 31/01/2025</v>
          </cell>
          <cell r="H60">
            <v>0</v>
          </cell>
          <cell r="I60">
            <v>1</v>
          </cell>
        </row>
        <row r="61">
          <cell r="D61" t="str">
            <v>FNF000196</v>
          </cell>
          <cell r="E61" t="str">
            <v>Barcode Handy Terminal</v>
          </cell>
          <cell r="F61" t="str">
            <v>COM</v>
          </cell>
          <cell r="G61" t="str">
            <v>Depr. since 31/01/2025</v>
          </cell>
          <cell r="H61">
            <v>0</v>
          </cell>
          <cell r="I61">
            <v>1</v>
          </cell>
        </row>
        <row r="62">
          <cell r="D62" t="str">
            <v>FNF000197</v>
          </cell>
          <cell r="E62" t="str">
            <v>Wifi Instalation  WH Makasar</v>
          </cell>
          <cell r="F62" t="str">
            <v>COM</v>
          </cell>
          <cell r="G62" t="str">
            <v>Depr. since 31/01/2025</v>
          </cell>
          <cell r="H62">
            <v>0</v>
          </cell>
          <cell r="I62">
            <v>1</v>
          </cell>
        </row>
        <row r="63">
          <cell r="D63" t="str">
            <v>FNF000198</v>
          </cell>
          <cell r="E63" t="str">
            <v>Heat Treatment Pallet</v>
          </cell>
          <cell r="F63" t="str">
            <v>COM</v>
          </cell>
          <cell r="G63" t="str">
            <v>Depr. since 31/01/2025</v>
          </cell>
          <cell r="H63">
            <v>0</v>
          </cell>
          <cell r="I63">
            <v>1</v>
          </cell>
        </row>
        <row r="64">
          <cell r="D64" t="str">
            <v>FNF000199</v>
          </cell>
          <cell r="E64" t="str">
            <v>heat Treatment Pallet</v>
          </cell>
          <cell r="F64" t="str">
            <v>COM</v>
          </cell>
          <cell r="G64" t="str">
            <v>Depr. since 31/01/2025</v>
          </cell>
          <cell r="H64">
            <v>0</v>
          </cell>
          <cell r="I64">
            <v>1</v>
          </cell>
        </row>
        <row r="65">
          <cell r="D65" t="str">
            <v>FNF000200</v>
          </cell>
          <cell r="E65" t="str">
            <v>Heat Treatment Pallet</v>
          </cell>
          <cell r="F65" t="str">
            <v>COM</v>
          </cell>
          <cell r="G65" t="str">
            <v>Depr. since 31/01/2025</v>
          </cell>
          <cell r="H65">
            <v>0</v>
          </cell>
          <cell r="I65">
            <v>1</v>
          </cell>
        </row>
        <row r="66">
          <cell r="D66" t="str">
            <v>FNF000201</v>
          </cell>
          <cell r="E66" t="str">
            <v>Printer Barcode</v>
          </cell>
          <cell r="F66" t="str">
            <v>COM</v>
          </cell>
          <cell r="G66" t="str">
            <v>Depr. since 31/01/2025</v>
          </cell>
          <cell r="H66">
            <v>0</v>
          </cell>
          <cell r="I66">
            <v>1</v>
          </cell>
        </row>
        <row r="67">
          <cell r="D67" t="str">
            <v>FNF000202</v>
          </cell>
          <cell r="E67" t="str">
            <v>Container Office Site 20 Feet</v>
          </cell>
          <cell r="F67" t="str">
            <v>COM</v>
          </cell>
          <cell r="G67" t="str">
            <v>Depr. since 31/01/2025</v>
          </cell>
          <cell r="H67">
            <v>0</v>
          </cell>
          <cell r="I67">
            <v>1</v>
          </cell>
        </row>
        <row r="68">
          <cell r="D68" t="str">
            <v>FNF000203</v>
          </cell>
          <cell r="E68" t="str">
            <v>SPSy Payroll Basic System</v>
          </cell>
          <cell r="F68" t="str">
            <v>COM</v>
          </cell>
          <cell r="G68" t="str">
            <v>Depr. since 31/01/2025</v>
          </cell>
          <cell r="H68">
            <v>0</v>
          </cell>
          <cell r="I68">
            <v>9785500</v>
          </cell>
        </row>
        <row r="69">
          <cell r="D69" t="str">
            <v>FNF000204</v>
          </cell>
          <cell r="E69" t="str">
            <v>SMART CDMS BLC Software</v>
          </cell>
          <cell r="F69" t="str">
            <v>COM</v>
          </cell>
          <cell r="G69" t="str">
            <v>Depr. since 31/01/2025</v>
          </cell>
          <cell r="H69">
            <v>0</v>
          </cell>
          <cell r="I69">
            <v>5616666.6699999999</v>
          </cell>
        </row>
        <row r="70">
          <cell r="D70" t="str">
            <v>FNF000205</v>
          </cell>
          <cell r="E70" t="str">
            <v>NEOPOST</v>
          </cell>
          <cell r="F70" t="str">
            <v>COM</v>
          </cell>
          <cell r="G70" t="str">
            <v>Depr. since 31/01/2025</v>
          </cell>
          <cell r="H70">
            <v>0</v>
          </cell>
          <cell r="I70">
            <v>823863.65</v>
          </cell>
        </row>
        <row r="71">
          <cell r="D71" t="str">
            <v>FNF000206</v>
          </cell>
          <cell r="E71" t="str">
            <v>New Access Points WH1</v>
          </cell>
          <cell r="F71" t="str">
            <v>COM</v>
          </cell>
          <cell r="G71" t="str">
            <v>Depr. since 31/01/2025</v>
          </cell>
          <cell r="H71">
            <v>0</v>
          </cell>
          <cell r="I71">
            <v>4711000</v>
          </cell>
        </row>
        <row r="72">
          <cell r="D72" t="str">
            <v>FNF000207</v>
          </cell>
          <cell r="E72" t="str">
            <v>New Access Points WH2</v>
          </cell>
          <cell r="F72" t="str">
            <v>COM</v>
          </cell>
          <cell r="G72" t="str">
            <v>Depr. since 31/01/2025</v>
          </cell>
          <cell r="H72">
            <v>0</v>
          </cell>
          <cell r="I72">
            <v>5629833.3300000001</v>
          </cell>
        </row>
        <row r="73">
          <cell r="D73" t="str">
            <v>FNF000208</v>
          </cell>
          <cell r="E73" t="str">
            <v>Access Poin WH2</v>
          </cell>
          <cell r="F73" t="str">
            <v>COM</v>
          </cell>
          <cell r="G73" t="str">
            <v>Depr. since 31/01/2025</v>
          </cell>
          <cell r="H73">
            <v>0</v>
          </cell>
          <cell r="I73">
            <v>758666.67</v>
          </cell>
        </row>
        <row r="74">
          <cell r="D74" t="str">
            <v>FNF000209</v>
          </cell>
          <cell r="E74" t="str">
            <v>FC Machine Fuji Xerox</v>
          </cell>
          <cell r="F74" t="str">
            <v>COM</v>
          </cell>
          <cell r="G74" t="str">
            <v>Depr. since 31/01/2025</v>
          </cell>
          <cell r="H74">
            <v>0</v>
          </cell>
          <cell r="I74">
            <v>1391666.67</v>
          </cell>
        </row>
        <row r="75">
          <cell r="D75" t="str">
            <v>FNF000210</v>
          </cell>
          <cell r="E75" t="str">
            <v>SYSTEM Metrix-Japan</v>
          </cell>
          <cell r="F75" t="str">
            <v>COM</v>
          </cell>
          <cell r="G75" t="str">
            <v>Depr. since 31/01/2025</v>
          </cell>
          <cell r="H75">
            <v>0</v>
          </cell>
          <cell r="I75">
            <v>187412.5</v>
          </cell>
        </row>
        <row r="76">
          <cell r="D76" t="str">
            <v>FNF000211</v>
          </cell>
          <cell r="E76" t="str">
            <v>Fotocopy Machine</v>
          </cell>
          <cell r="F76" t="str">
            <v>COM</v>
          </cell>
          <cell r="G76" t="str">
            <v>Depr. since 31/01/2025</v>
          </cell>
          <cell r="H76">
            <v>0</v>
          </cell>
          <cell r="I76">
            <v>1850000</v>
          </cell>
        </row>
        <row r="77">
          <cell r="D77" t="str">
            <v>FNF000212</v>
          </cell>
          <cell r="E77" t="str">
            <v>Air Conditioner</v>
          </cell>
          <cell r="F77" t="str">
            <v>COM</v>
          </cell>
          <cell r="G77" t="str">
            <v>Depr. since 31/01/2025</v>
          </cell>
          <cell r="H77">
            <v>0</v>
          </cell>
          <cell r="I77">
            <v>564236.11</v>
          </cell>
        </row>
        <row r="78">
          <cell r="D78" t="str">
            <v>FNF000213</v>
          </cell>
          <cell r="E78" t="str">
            <v>Timbangan Digital</v>
          </cell>
          <cell r="F78" t="str">
            <v>COM</v>
          </cell>
          <cell r="G78" t="str">
            <v>Depr. since 31/01/2025</v>
          </cell>
          <cell r="H78">
            <v>0</v>
          </cell>
          <cell r="I78">
            <v>330000</v>
          </cell>
        </row>
        <row r="79">
          <cell r="D79" t="str">
            <v>FNF000214</v>
          </cell>
          <cell r="E79" t="str">
            <v>Meeting Set JKT</v>
          </cell>
          <cell r="F79" t="str">
            <v>COM</v>
          </cell>
          <cell r="G79" t="str">
            <v>Depr. since 31/01/2025</v>
          </cell>
          <cell r="H79">
            <v>0</v>
          </cell>
          <cell r="I79">
            <v>5258333.33</v>
          </cell>
        </row>
        <row r="80">
          <cell r="D80" t="str">
            <v>FNF000215</v>
          </cell>
          <cell r="E80" t="str">
            <v>Access Door Face Recognition</v>
          </cell>
          <cell r="F80" t="str">
            <v>COM</v>
          </cell>
          <cell r="G80" t="str">
            <v>Depr. since 31/01/2025</v>
          </cell>
          <cell r="H80">
            <v>0</v>
          </cell>
          <cell r="I80">
            <v>344333.33</v>
          </cell>
        </row>
        <row r="81">
          <cell r="D81" t="str">
            <v>FNF000216</v>
          </cell>
          <cell r="E81" t="str">
            <v>CCTV Summitmas Office</v>
          </cell>
          <cell r="F81" t="str">
            <v>COM</v>
          </cell>
          <cell r="G81" t="str">
            <v>Depr. since 31/01/2025</v>
          </cell>
          <cell r="H81">
            <v>0</v>
          </cell>
          <cell r="I81">
            <v>210166.67</v>
          </cell>
        </row>
        <row r="82">
          <cell r="D82" t="str">
            <v>FNF000217</v>
          </cell>
          <cell r="E82" t="str">
            <v>Brankas</v>
          </cell>
          <cell r="F82" t="str">
            <v>COM</v>
          </cell>
          <cell r="G82" t="str">
            <v>Depr. since 31/01/2025</v>
          </cell>
          <cell r="H82">
            <v>0</v>
          </cell>
          <cell r="I82">
            <v>1197274.78</v>
          </cell>
        </row>
        <row r="83">
          <cell r="D83" t="str">
            <v>FNF000218</v>
          </cell>
          <cell r="E83" t="str">
            <v>Indonesian Maps</v>
          </cell>
          <cell r="F83" t="str">
            <v>COM</v>
          </cell>
          <cell r="G83" t="str">
            <v>Depr. since 31/01/2025</v>
          </cell>
          <cell r="H83">
            <v>0</v>
          </cell>
          <cell r="I83">
            <v>245000</v>
          </cell>
        </row>
        <row r="84">
          <cell r="D84" t="str">
            <v>FNF000219</v>
          </cell>
          <cell r="E84" t="str">
            <v>Logo Sankyu</v>
          </cell>
          <cell r="F84" t="str">
            <v>COM</v>
          </cell>
          <cell r="G84" t="str">
            <v>Depr. since 31/01/2025</v>
          </cell>
          <cell r="H84">
            <v>0</v>
          </cell>
          <cell r="I84">
            <v>215833.33</v>
          </cell>
        </row>
        <row r="85">
          <cell r="D85" t="str">
            <v>FNF000220</v>
          </cell>
          <cell r="E85" t="str">
            <v>Kitchen Set</v>
          </cell>
          <cell r="F85" t="str">
            <v>COM</v>
          </cell>
          <cell r="G85" t="str">
            <v>Depr. since 31/01/2025</v>
          </cell>
          <cell r="H85">
            <v>0</v>
          </cell>
          <cell r="I85">
            <v>402500</v>
          </cell>
        </row>
        <row r="86">
          <cell r="D86" t="str">
            <v>FNF000221</v>
          </cell>
          <cell r="E86" t="str">
            <v>FC APEOS 5570 CPS</v>
          </cell>
          <cell r="F86" t="str">
            <v>COM</v>
          </cell>
          <cell r="G86" t="str">
            <v>Depr. since 31/01/2025</v>
          </cell>
          <cell r="H86">
            <v>0</v>
          </cell>
          <cell r="I86">
            <v>1666666.67</v>
          </cell>
        </row>
        <row r="87">
          <cell r="D87" t="str">
            <v>FNF000222</v>
          </cell>
          <cell r="E87" t="str">
            <v>Barcode Printer</v>
          </cell>
          <cell r="F87" t="str">
            <v>COM</v>
          </cell>
          <cell r="G87" t="str">
            <v>Depr. since 31/01/2025</v>
          </cell>
          <cell r="H87">
            <v>0</v>
          </cell>
          <cell r="I87">
            <v>823958.33</v>
          </cell>
        </row>
        <row r="88">
          <cell r="D88" t="str">
            <v>FNF000223</v>
          </cell>
          <cell r="E88" t="str">
            <v>Barcode Printer</v>
          </cell>
          <cell r="F88" t="str">
            <v>COM</v>
          </cell>
          <cell r="G88" t="str">
            <v>Depr. since 31/01/2025</v>
          </cell>
          <cell r="H88">
            <v>0</v>
          </cell>
          <cell r="I88">
            <v>823958.33</v>
          </cell>
        </row>
        <row r="89">
          <cell r="D89" t="str">
            <v>FNF000224</v>
          </cell>
          <cell r="E89" t="str">
            <v>Barcode Handy Terminal Acessories</v>
          </cell>
          <cell r="F89" t="str">
            <v>COM</v>
          </cell>
          <cell r="G89" t="str">
            <v>Depr. since 31/01/2025</v>
          </cell>
          <cell r="H89">
            <v>0</v>
          </cell>
          <cell r="I89">
            <v>3673516.25</v>
          </cell>
        </row>
        <row r="90">
          <cell r="D90" t="str">
            <v>FNF000225</v>
          </cell>
          <cell r="E90" t="str">
            <v>Copy Machine</v>
          </cell>
          <cell r="F90" t="str">
            <v>COM</v>
          </cell>
          <cell r="G90" t="str">
            <v>Depr. since 31/01/2025</v>
          </cell>
          <cell r="H90">
            <v>0</v>
          </cell>
          <cell r="I90">
            <v>1253333.33</v>
          </cell>
        </row>
        <row r="91">
          <cell r="D91" t="str">
            <v>FNF000226</v>
          </cell>
          <cell r="E91" t="str">
            <v>SALSA PLUS Software</v>
          </cell>
          <cell r="F91" t="str">
            <v>COM</v>
          </cell>
          <cell r="G91" t="str">
            <v>Depr. since 31/01/2025</v>
          </cell>
          <cell r="H91">
            <v>0</v>
          </cell>
          <cell r="I91">
            <v>1930828.15</v>
          </cell>
        </row>
        <row r="92">
          <cell r="D92" t="str">
            <v>FNF000227</v>
          </cell>
          <cell r="E92" t="str">
            <v>Nextset</v>
          </cell>
          <cell r="F92" t="str">
            <v>COM</v>
          </cell>
          <cell r="G92" t="str">
            <v>Depr. since 31/01/2025</v>
          </cell>
          <cell r="H92">
            <v>0</v>
          </cell>
          <cell r="I92">
            <v>3219166.67</v>
          </cell>
        </row>
        <row r="93">
          <cell r="D93" t="str">
            <v>FNF000228</v>
          </cell>
          <cell r="E93" t="str">
            <v>Add Access Point</v>
          </cell>
          <cell r="F93" t="str">
            <v>COM</v>
          </cell>
          <cell r="G93" t="str">
            <v>Depr. since 31/01/2025</v>
          </cell>
          <cell r="H93">
            <v>0</v>
          </cell>
          <cell r="I93">
            <v>758055.56</v>
          </cell>
        </row>
        <row r="94">
          <cell r="D94" t="str">
            <v>FNF000229</v>
          </cell>
          <cell r="E94" t="str">
            <v>Partition Room</v>
          </cell>
          <cell r="F94" t="str">
            <v>COM</v>
          </cell>
          <cell r="G94" t="str">
            <v>Depr. since 31/01/2025</v>
          </cell>
          <cell r="H94">
            <v>0</v>
          </cell>
          <cell r="I94">
            <v>211066.67</v>
          </cell>
        </row>
        <row r="95">
          <cell r="D95" t="str">
            <v>FNF000230</v>
          </cell>
          <cell r="E95" t="str">
            <v>Carpet Floor</v>
          </cell>
          <cell r="F95" t="str">
            <v>COM</v>
          </cell>
          <cell r="G95" t="str">
            <v>Depr. since 31/01/2025</v>
          </cell>
          <cell r="H95">
            <v>0</v>
          </cell>
          <cell r="I95">
            <v>588000</v>
          </cell>
        </row>
        <row r="96">
          <cell r="D96" t="str">
            <v>FNF000231</v>
          </cell>
          <cell r="E96" t="str">
            <v>Wall Partition</v>
          </cell>
          <cell r="F96" t="str">
            <v>COM</v>
          </cell>
          <cell r="G96" t="str">
            <v>Depr. since 31/01/2025</v>
          </cell>
          <cell r="H96">
            <v>0</v>
          </cell>
          <cell r="I96">
            <v>551249.52</v>
          </cell>
        </row>
        <row r="97">
          <cell r="D97" t="str">
            <v>FNF000232</v>
          </cell>
          <cell r="E97" t="str">
            <v>Door</v>
          </cell>
          <cell r="F97" t="str">
            <v>COM</v>
          </cell>
          <cell r="G97" t="str">
            <v>Depr. since 31/01/2025</v>
          </cell>
          <cell r="H97">
            <v>0</v>
          </cell>
          <cell r="I97">
            <v>324767.15000000002</v>
          </cell>
        </row>
        <row r="98">
          <cell r="D98" t="str">
            <v>FNF000233</v>
          </cell>
          <cell r="E98" t="str">
            <v>Paper Schedder</v>
          </cell>
          <cell r="F98" t="str">
            <v>COM</v>
          </cell>
          <cell r="G98" t="str">
            <v>Depr. since 31/01/2025</v>
          </cell>
          <cell r="H98">
            <v>0</v>
          </cell>
          <cell r="I98">
            <v>348593.75</v>
          </cell>
        </row>
        <row r="99">
          <cell r="D99" t="str">
            <v>FNF000234</v>
          </cell>
          <cell r="E99" t="str">
            <v>Laptop SKY-Engineering</v>
          </cell>
          <cell r="F99" t="str">
            <v>COM</v>
          </cell>
          <cell r="G99" t="str">
            <v>Depr. since 31/01/2025</v>
          </cell>
          <cell r="H99">
            <v>0</v>
          </cell>
          <cell r="I99">
            <v>535625</v>
          </cell>
        </row>
        <row r="100">
          <cell r="D100" t="str">
            <v>FNF000235</v>
          </cell>
          <cell r="E100" t="str">
            <v>Laptop SKY-Engineering</v>
          </cell>
          <cell r="F100" t="str">
            <v>COM</v>
          </cell>
          <cell r="G100" t="str">
            <v>Depr. since 31/01/2025</v>
          </cell>
          <cell r="H100">
            <v>0</v>
          </cell>
          <cell r="I100">
            <v>535625</v>
          </cell>
        </row>
        <row r="101">
          <cell r="D101" t="str">
            <v>FNF000236</v>
          </cell>
          <cell r="E101" t="str">
            <v>Machine FC APEOS</v>
          </cell>
          <cell r="F101" t="str">
            <v>COM</v>
          </cell>
          <cell r="G101" t="str">
            <v>Depr. since 31/01/2025</v>
          </cell>
          <cell r="H101">
            <v>0</v>
          </cell>
          <cell r="I101">
            <v>1666666.67</v>
          </cell>
        </row>
        <row r="102">
          <cell r="D102" t="str">
            <v>FNF000237</v>
          </cell>
          <cell r="E102" t="str">
            <v>Barcode Printer</v>
          </cell>
          <cell r="F102" t="str">
            <v>COM</v>
          </cell>
          <cell r="G102" t="str">
            <v>Depr. since 31/01/2025</v>
          </cell>
          <cell r="H102">
            <v>0</v>
          </cell>
          <cell r="I102">
            <v>823958.33</v>
          </cell>
        </row>
        <row r="103">
          <cell r="D103" t="str">
            <v>FNF000238</v>
          </cell>
          <cell r="E103" t="str">
            <v>Barcode Printer</v>
          </cell>
          <cell r="F103" t="str">
            <v>COM</v>
          </cell>
          <cell r="G103" t="str">
            <v>Depr. since 31/01/2025</v>
          </cell>
          <cell r="H103">
            <v>0</v>
          </cell>
          <cell r="I103">
            <v>823958.33</v>
          </cell>
        </row>
        <row r="104">
          <cell r="D104" t="str">
            <v>FNF000239</v>
          </cell>
          <cell r="E104" t="str">
            <v>Barcode Printer</v>
          </cell>
          <cell r="F104" t="str">
            <v>COM</v>
          </cell>
          <cell r="G104" t="str">
            <v>Depr. since 31/01/2025</v>
          </cell>
          <cell r="H104">
            <v>0</v>
          </cell>
          <cell r="I104">
            <v>823958.33</v>
          </cell>
        </row>
        <row r="105">
          <cell r="D105" t="str">
            <v>FNF000240</v>
          </cell>
          <cell r="E105" t="str">
            <v>Barcode Printer</v>
          </cell>
          <cell r="F105" t="str">
            <v>COM</v>
          </cell>
          <cell r="G105" t="str">
            <v>Depr. since 31/01/2025</v>
          </cell>
          <cell r="H105">
            <v>0</v>
          </cell>
          <cell r="I105">
            <v>823958.33</v>
          </cell>
        </row>
        <row r="106">
          <cell r="D106" t="str">
            <v>FNF000241</v>
          </cell>
          <cell r="E106" t="str">
            <v>Barcode Printer</v>
          </cell>
          <cell r="F106" t="str">
            <v>COM</v>
          </cell>
          <cell r="G106" t="str">
            <v>Depr. since 31/01/2025</v>
          </cell>
          <cell r="H106">
            <v>0</v>
          </cell>
          <cell r="I106">
            <v>823958.33</v>
          </cell>
        </row>
        <row r="107">
          <cell r="D107" t="str">
            <v>FNF000242</v>
          </cell>
          <cell r="E107" t="str">
            <v>Barcode Printer</v>
          </cell>
          <cell r="F107" t="str">
            <v>COM</v>
          </cell>
          <cell r="G107" t="str">
            <v>Depr. since 31/01/2025</v>
          </cell>
          <cell r="H107">
            <v>0</v>
          </cell>
          <cell r="I107">
            <v>823958.33</v>
          </cell>
        </row>
        <row r="108">
          <cell r="D108" t="str">
            <v>FNF000243</v>
          </cell>
          <cell r="E108" t="str">
            <v>Carpet Floor</v>
          </cell>
          <cell r="F108" t="str">
            <v>COM</v>
          </cell>
          <cell r="G108" t="str">
            <v>Depr. since 31/01/2025</v>
          </cell>
          <cell r="H108">
            <v>0</v>
          </cell>
          <cell r="I108">
            <v>330416.67</v>
          </cell>
        </row>
        <row r="109">
          <cell r="D109" t="str">
            <v>FNF000244</v>
          </cell>
          <cell r="E109" t="str">
            <v>Partition Room</v>
          </cell>
          <cell r="F109" t="str">
            <v>COM</v>
          </cell>
          <cell r="G109" t="str">
            <v>Depr. since 31/01/2025</v>
          </cell>
          <cell r="H109">
            <v>0</v>
          </cell>
          <cell r="I109">
            <v>376000</v>
          </cell>
        </row>
        <row r="110">
          <cell r="D110" t="str">
            <v>FNF000245</v>
          </cell>
          <cell r="E110" t="str">
            <v>Carpet Floor</v>
          </cell>
          <cell r="F110" t="str">
            <v>COM</v>
          </cell>
          <cell r="G110" t="str">
            <v>Depr. since 31/01/2025</v>
          </cell>
          <cell r="H110">
            <v>0</v>
          </cell>
          <cell r="I110">
            <v>279583.33</v>
          </cell>
        </row>
        <row r="111">
          <cell r="D111" t="str">
            <v>FNF000246</v>
          </cell>
          <cell r="E111" t="str">
            <v>Training JIGS</v>
          </cell>
          <cell r="F111" t="str">
            <v>COM</v>
          </cell>
          <cell r="G111" t="str">
            <v>Depr. since 31/01/2025</v>
          </cell>
          <cell r="H111">
            <v>0</v>
          </cell>
          <cell r="I111">
            <v>236666.67</v>
          </cell>
        </row>
        <row r="112">
          <cell r="D112" t="str">
            <v>FNF000247</v>
          </cell>
          <cell r="E112" t="str">
            <v>Training JIGS</v>
          </cell>
          <cell r="F112" t="str">
            <v>COM</v>
          </cell>
          <cell r="G112" t="str">
            <v>Depr. since 31/01/2025</v>
          </cell>
          <cell r="H112">
            <v>0</v>
          </cell>
          <cell r="I112">
            <v>236666.67</v>
          </cell>
        </row>
        <row r="113">
          <cell r="D113" t="str">
            <v>FNF000248</v>
          </cell>
          <cell r="E113" t="str">
            <v>FortiGate 50E</v>
          </cell>
          <cell r="F113" t="str">
            <v>COM</v>
          </cell>
          <cell r="G113" t="str">
            <v>Depr. since 31/01/2025</v>
          </cell>
          <cell r="H113">
            <v>0</v>
          </cell>
          <cell r="I113">
            <v>467541.67</v>
          </cell>
        </row>
        <row r="114">
          <cell r="D114" t="str">
            <v>FNF000249</v>
          </cell>
          <cell r="E114" t="str">
            <v>FortiGate 50E</v>
          </cell>
          <cell r="F114" t="str">
            <v>COM</v>
          </cell>
          <cell r="G114" t="str">
            <v>Depr. since 31/01/2025</v>
          </cell>
          <cell r="H114">
            <v>0</v>
          </cell>
          <cell r="I114">
            <v>467541.67</v>
          </cell>
        </row>
        <row r="115">
          <cell r="D115" t="str">
            <v>FNF000250</v>
          </cell>
          <cell r="E115" t="str">
            <v>FortiGate 50E</v>
          </cell>
          <cell r="F115" t="str">
            <v>COM</v>
          </cell>
          <cell r="G115" t="str">
            <v>Depr. since 31/01/2025</v>
          </cell>
          <cell r="H115">
            <v>0</v>
          </cell>
          <cell r="I115">
            <v>467541.67</v>
          </cell>
        </row>
        <row r="116">
          <cell r="D116" t="str">
            <v>FNF000251</v>
          </cell>
          <cell r="E116" t="str">
            <v>FortiGate 50E</v>
          </cell>
          <cell r="F116" t="str">
            <v>COM</v>
          </cell>
          <cell r="G116" t="str">
            <v>Depr. since 31/01/2025</v>
          </cell>
          <cell r="H116">
            <v>0</v>
          </cell>
          <cell r="I116">
            <v>467541.67</v>
          </cell>
        </row>
        <row r="117">
          <cell r="D117" t="str">
            <v>FNF000252</v>
          </cell>
          <cell r="E117" t="str">
            <v>Drum Robotter Carrier</v>
          </cell>
          <cell r="F117" t="str">
            <v>COM</v>
          </cell>
          <cell r="G117" t="str">
            <v>Depr. since 31/01/2025</v>
          </cell>
          <cell r="H117">
            <v>0</v>
          </cell>
          <cell r="I117">
            <v>830156.25</v>
          </cell>
        </row>
        <row r="118">
          <cell r="D118" t="str">
            <v>FNF000253</v>
          </cell>
          <cell r="E118" t="str">
            <v>ZOLL AED PLUS</v>
          </cell>
          <cell r="F118" t="str">
            <v>COM</v>
          </cell>
          <cell r="G118" t="str">
            <v>Depr. since 31/01/2025</v>
          </cell>
          <cell r="H118">
            <v>0</v>
          </cell>
          <cell r="I118">
            <v>884166.67</v>
          </cell>
        </row>
        <row r="119">
          <cell r="D119" t="str">
            <v>FNF000254</v>
          </cell>
          <cell r="E119" t="str">
            <v>ZOLL AED PLUS</v>
          </cell>
          <cell r="F119" t="str">
            <v>COM</v>
          </cell>
          <cell r="G119" t="str">
            <v>Depr. since 31/01/2025</v>
          </cell>
          <cell r="H119">
            <v>0</v>
          </cell>
          <cell r="I119">
            <v>884166.67</v>
          </cell>
        </row>
        <row r="120">
          <cell r="D120" t="str">
            <v>FNF000255</v>
          </cell>
          <cell r="E120" t="str">
            <v>ZOLL AED PLUS</v>
          </cell>
          <cell r="F120" t="str">
            <v>COM</v>
          </cell>
          <cell r="G120" t="str">
            <v>Depr. since 31/01/2025</v>
          </cell>
          <cell r="H120">
            <v>0</v>
          </cell>
          <cell r="I120">
            <v>840416.67</v>
          </cell>
        </row>
        <row r="121">
          <cell r="D121" t="str">
            <v>FNF000256</v>
          </cell>
          <cell r="E121" t="str">
            <v>ZOLL AED PLUS</v>
          </cell>
          <cell r="F121" t="str">
            <v>COM</v>
          </cell>
          <cell r="G121" t="str">
            <v>Depr. since 31/01/2025</v>
          </cell>
          <cell r="H121">
            <v>0</v>
          </cell>
          <cell r="I121">
            <v>840416.67</v>
          </cell>
        </row>
        <row r="122">
          <cell r="D122" t="str">
            <v>FNF000257</v>
          </cell>
          <cell r="E122" t="str">
            <v>ZOLL AED PLUS</v>
          </cell>
          <cell r="F122" t="str">
            <v>COM</v>
          </cell>
          <cell r="G122" t="str">
            <v>Depr. since 31/01/2025</v>
          </cell>
          <cell r="H122">
            <v>0</v>
          </cell>
          <cell r="I122">
            <v>884166.67</v>
          </cell>
        </row>
        <row r="123">
          <cell r="D123" t="str">
            <v>FNF000258</v>
          </cell>
          <cell r="E123" t="str">
            <v>Ring Scaner</v>
          </cell>
          <cell r="F123" t="str">
            <v>COM</v>
          </cell>
          <cell r="G123" t="str">
            <v>Depr. since 31/01/2025</v>
          </cell>
          <cell r="H123">
            <v>0</v>
          </cell>
          <cell r="I123">
            <v>266666.67</v>
          </cell>
        </row>
        <row r="124">
          <cell r="D124" t="str">
            <v>FNF000259</v>
          </cell>
          <cell r="E124" t="str">
            <v>Ring Scaner</v>
          </cell>
          <cell r="F124" t="str">
            <v>COM</v>
          </cell>
          <cell r="G124" t="str">
            <v>Depr. since 31/01/2025</v>
          </cell>
          <cell r="H124">
            <v>0</v>
          </cell>
          <cell r="I124">
            <v>266666.67</v>
          </cell>
        </row>
        <row r="125">
          <cell r="D125" t="str">
            <v>FNF000260</v>
          </cell>
          <cell r="E125" t="str">
            <v>Ring Scaner</v>
          </cell>
          <cell r="F125" t="str">
            <v>COM</v>
          </cell>
          <cell r="G125" t="str">
            <v>Depr. since 31/01/2025</v>
          </cell>
          <cell r="H125">
            <v>0</v>
          </cell>
          <cell r="I125">
            <v>266666.67</v>
          </cell>
        </row>
        <row r="126">
          <cell r="D126" t="str">
            <v>FNF000261</v>
          </cell>
          <cell r="E126" t="str">
            <v>Ring Scaner</v>
          </cell>
          <cell r="F126" t="str">
            <v>COM</v>
          </cell>
          <cell r="G126" t="str">
            <v>Depr. since 31/01/2025</v>
          </cell>
          <cell r="H126">
            <v>0</v>
          </cell>
          <cell r="I126">
            <v>266666.67</v>
          </cell>
        </row>
        <row r="127">
          <cell r="D127" t="str">
            <v>FNF000262</v>
          </cell>
          <cell r="E127" t="str">
            <v>Ring Scaner</v>
          </cell>
          <cell r="F127" t="str">
            <v>COM</v>
          </cell>
          <cell r="G127" t="str">
            <v>Depr. since 31/01/2025</v>
          </cell>
          <cell r="H127">
            <v>0</v>
          </cell>
          <cell r="I127">
            <v>266666.67</v>
          </cell>
        </row>
        <row r="128">
          <cell r="D128" t="str">
            <v>FNF000263</v>
          </cell>
          <cell r="E128" t="str">
            <v>Ring Scaner</v>
          </cell>
          <cell r="F128" t="str">
            <v>COM</v>
          </cell>
          <cell r="G128" t="str">
            <v>Depr. since 31/01/2025</v>
          </cell>
          <cell r="H128">
            <v>0</v>
          </cell>
          <cell r="I128">
            <v>266666.67</v>
          </cell>
        </row>
        <row r="129">
          <cell r="D129" t="str">
            <v>FNF000264</v>
          </cell>
          <cell r="E129" t="str">
            <v>Ring Scaner</v>
          </cell>
          <cell r="F129" t="str">
            <v>COM</v>
          </cell>
          <cell r="G129" t="str">
            <v>Depr. since 31/01/2025</v>
          </cell>
          <cell r="H129">
            <v>0</v>
          </cell>
          <cell r="I129">
            <v>266666.67</v>
          </cell>
        </row>
        <row r="130">
          <cell r="D130" t="str">
            <v>FNF000265</v>
          </cell>
          <cell r="E130" t="str">
            <v>Ring Scaner</v>
          </cell>
          <cell r="F130" t="str">
            <v>COM</v>
          </cell>
          <cell r="G130" t="str">
            <v>Depr. since 31/01/2025</v>
          </cell>
          <cell r="H130">
            <v>0</v>
          </cell>
          <cell r="I130">
            <v>266666.67</v>
          </cell>
        </row>
        <row r="131">
          <cell r="D131" t="str">
            <v>FNF000266</v>
          </cell>
          <cell r="E131" t="str">
            <v>Ring Scaner</v>
          </cell>
          <cell r="F131" t="str">
            <v>COM</v>
          </cell>
          <cell r="G131" t="str">
            <v>Depr. since 31/01/2025</v>
          </cell>
          <cell r="H131">
            <v>0</v>
          </cell>
          <cell r="I131">
            <v>266666.67</v>
          </cell>
        </row>
        <row r="132">
          <cell r="D132" t="str">
            <v>FNF000267</v>
          </cell>
          <cell r="E132" t="str">
            <v>Ring Scaner</v>
          </cell>
          <cell r="F132" t="str">
            <v>COM</v>
          </cell>
          <cell r="G132" t="str">
            <v>Depr. since 31/01/2025</v>
          </cell>
          <cell r="H132">
            <v>0</v>
          </cell>
          <cell r="I132">
            <v>266666.67</v>
          </cell>
        </row>
        <row r="133">
          <cell r="D133" t="str">
            <v>FNF000268</v>
          </cell>
          <cell r="E133" t="str">
            <v>Ring Scaner</v>
          </cell>
          <cell r="F133" t="str">
            <v>COM</v>
          </cell>
          <cell r="G133" t="str">
            <v>Depr. since 31/01/2025</v>
          </cell>
          <cell r="H133">
            <v>0</v>
          </cell>
          <cell r="I133">
            <v>266666.67</v>
          </cell>
        </row>
        <row r="134">
          <cell r="D134" t="str">
            <v>FNF000269</v>
          </cell>
          <cell r="E134" t="str">
            <v>Ring Scaner</v>
          </cell>
          <cell r="F134" t="str">
            <v>COM</v>
          </cell>
          <cell r="G134" t="str">
            <v>Depr. since 31/01/2025</v>
          </cell>
          <cell r="H134">
            <v>0</v>
          </cell>
          <cell r="I134">
            <v>266666.67</v>
          </cell>
        </row>
        <row r="135">
          <cell r="D135" t="str">
            <v>FNF000270</v>
          </cell>
          <cell r="E135" t="str">
            <v>Ring Scaner</v>
          </cell>
          <cell r="F135" t="str">
            <v>COM</v>
          </cell>
          <cell r="G135" t="str">
            <v>Depr. since 31/01/2025</v>
          </cell>
          <cell r="H135">
            <v>0</v>
          </cell>
          <cell r="I135">
            <v>266666.67</v>
          </cell>
        </row>
        <row r="136">
          <cell r="D136" t="str">
            <v>FNF000271</v>
          </cell>
          <cell r="E136" t="str">
            <v>Ring Scaner</v>
          </cell>
          <cell r="F136" t="str">
            <v>COM</v>
          </cell>
          <cell r="G136" t="str">
            <v>Depr. since 31/01/2025</v>
          </cell>
          <cell r="H136">
            <v>0</v>
          </cell>
          <cell r="I136">
            <v>266666.67</v>
          </cell>
        </row>
        <row r="137">
          <cell r="D137" t="str">
            <v>FNF000272</v>
          </cell>
          <cell r="E137" t="str">
            <v>Ring Scaner</v>
          </cell>
          <cell r="F137" t="str">
            <v>COM</v>
          </cell>
          <cell r="G137" t="str">
            <v>Depr. since 31/01/2025</v>
          </cell>
          <cell r="H137">
            <v>0</v>
          </cell>
          <cell r="I137">
            <v>266666.67</v>
          </cell>
        </row>
        <row r="138">
          <cell r="D138" t="str">
            <v>FNF000273</v>
          </cell>
          <cell r="E138" t="str">
            <v>Ring Scaner</v>
          </cell>
          <cell r="F138" t="str">
            <v>COM</v>
          </cell>
          <cell r="G138" t="str">
            <v>Depr. since 31/01/2025</v>
          </cell>
          <cell r="H138">
            <v>0</v>
          </cell>
          <cell r="I138">
            <v>266666.67</v>
          </cell>
        </row>
        <row r="139">
          <cell r="D139" t="str">
            <v>FNF000274</v>
          </cell>
          <cell r="E139" t="str">
            <v>Ring Scaner</v>
          </cell>
          <cell r="F139" t="str">
            <v>COM</v>
          </cell>
          <cell r="G139" t="str">
            <v>Depr. since 31/01/2025</v>
          </cell>
          <cell r="H139">
            <v>0</v>
          </cell>
          <cell r="I139">
            <v>266666.67</v>
          </cell>
        </row>
        <row r="140">
          <cell r="D140" t="str">
            <v>FNF000275</v>
          </cell>
          <cell r="E140" t="str">
            <v>Ring Scaner</v>
          </cell>
          <cell r="F140" t="str">
            <v>COM</v>
          </cell>
          <cell r="G140" t="str">
            <v>Depr. since 31/01/2025</v>
          </cell>
          <cell r="H140">
            <v>0</v>
          </cell>
          <cell r="I140">
            <v>266666.67</v>
          </cell>
        </row>
        <row r="141">
          <cell r="D141" t="str">
            <v>FNF000276</v>
          </cell>
          <cell r="E141" t="str">
            <v>Ring Scaner</v>
          </cell>
          <cell r="F141" t="str">
            <v>COM</v>
          </cell>
          <cell r="G141" t="str">
            <v>Depr. since 31/01/2025</v>
          </cell>
          <cell r="H141">
            <v>0</v>
          </cell>
          <cell r="I141">
            <v>266666.67</v>
          </cell>
        </row>
        <row r="142">
          <cell r="D142" t="str">
            <v>FNF000277</v>
          </cell>
          <cell r="E142" t="str">
            <v>Ring Scaner</v>
          </cell>
          <cell r="F142" t="str">
            <v>COM</v>
          </cell>
          <cell r="G142" t="str">
            <v>Depr. since 31/01/2025</v>
          </cell>
          <cell r="H142">
            <v>0</v>
          </cell>
          <cell r="I142">
            <v>266666.67</v>
          </cell>
        </row>
        <row r="143">
          <cell r="D143" t="str">
            <v>FNF000278</v>
          </cell>
          <cell r="E143" t="str">
            <v>Ring Scaner</v>
          </cell>
          <cell r="F143" t="str">
            <v>COM</v>
          </cell>
          <cell r="G143" t="str">
            <v>Depr. since 31/01/2025</v>
          </cell>
          <cell r="H143">
            <v>0</v>
          </cell>
          <cell r="I143">
            <v>266666.67</v>
          </cell>
        </row>
        <row r="144">
          <cell r="D144" t="str">
            <v>FNF000279</v>
          </cell>
          <cell r="E144" t="str">
            <v>Ring Scaner</v>
          </cell>
          <cell r="F144" t="str">
            <v>COM</v>
          </cell>
          <cell r="G144" t="str">
            <v>Depr. since 31/01/2025</v>
          </cell>
          <cell r="H144">
            <v>0</v>
          </cell>
          <cell r="I144">
            <v>266666.67</v>
          </cell>
        </row>
        <row r="145">
          <cell r="D145" t="str">
            <v>FNF000280</v>
          </cell>
          <cell r="E145" t="str">
            <v>Ring Scaner</v>
          </cell>
          <cell r="F145" t="str">
            <v>COM</v>
          </cell>
          <cell r="G145" t="str">
            <v>Depr. since 31/01/2025</v>
          </cell>
          <cell r="H145">
            <v>0</v>
          </cell>
          <cell r="I145">
            <v>266666.67</v>
          </cell>
        </row>
        <row r="146">
          <cell r="D146" t="str">
            <v>FNF000281</v>
          </cell>
          <cell r="E146" t="str">
            <v>Ring Scaner</v>
          </cell>
          <cell r="F146" t="str">
            <v>COM</v>
          </cell>
          <cell r="G146" t="str">
            <v>Depr. since 31/01/2025</v>
          </cell>
          <cell r="H146">
            <v>0</v>
          </cell>
          <cell r="I146">
            <v>266666.67</v>
          </cell>
        </row>
        <row r="147">
          <cell r="D147" t="str">
            <v>FNF000282</v>
          </cell>
          <cell r="E147" t="str">
            <v>Ring Scaner</v>
          </cell>
          <cell r="F147" t="str">
            <v>COM</v>
          </cell>
          <cell r="G147" t="str">
            <v>Depr. since 31/01/2025</v>
          </cell>
          <cell r="H147">
            <v>0</v>
          </cell>
          <cell r="I147">
            <v>266666.67</v>
          </cell>
        </row>
        <row r="148">
          <cell r="D148" t="str">
            <v>FNF000283</v>
          </cell>
          <cell r="E148" t="str">
            <v>Ring Scaner</v>
          </cell>
          <cell r="F148" t="str">
            <v>COM</v>
          </cell>
          <cell r="G148" t="str">
            <v>Depr. since 31/01/2025</v>
          </cell>
          <cell r="H148">
            <v>0</v>
          </cell>
          <cell r="I148">
            <v>266666.67</v>
          </cell>
        </row>
        <row r="149">
          <cell r="D149" t="str">
            <v>FNF000284</v>
          </cell>
          <cell r="E149" t="str">
            <v>Charger Adaptor Ring Scaner</v>
          </cell>
          <cell r="F149" t="str">
            <v>COM</v>
          </cell>
          <cell r="G149" t="str">
            <v>Depr. since 31/01/2025</v>
          </cell>
          <cell r="H149">
            <v>0</v>
          </cell>
          <cell r="I149">
            <v>1016666.67</v>
          </cell>
        </row>
        <row r="150">
          <cell r="D150" t="str">
            <v>FNF000285</v>
          </cell>
          <cell r="E150" t="str">
            <v>KITO Chain Block 10 Ton</v>
          </cell>
          <cell r="F150" t="str">
            <v>COM</v>
          </cell>
          <cell r="G150" t="str">
            <v>Depr. since 31/01/2025</v>
          </cell>
          <cell r="H150">
            <v>0</v>
          </cell>
          <cell r="I150">
            <v>500000</v>
          </cell>
        </row>
        <row r="151">
          <cell r="D151" t="str">
            <v>FNF000286</v>
          </cell>
          <cell r="E151" t="str">
            <v>KITO Chain Block 10 Ton</v>
          </cell>
          <cell r="F151" t="str">
            <v>COM</v>
          </cell>
          <cell r="G151" t="str">
            <v>Depr. since 31/01/2025</v>
          </cell>
          <cell r="H151">
            <v>0</v>
          </cell>
          <cell r="I151">
            <v>500000</v>
          </cell>
        </row>
        <row r="152">
          <cell r="D152" t="str">
            <v>FNF000287</v>
          </cell>
          <cell r="E152" t="str">
            <v>KITO Chain Block 15 T</v>
          </cell>
          <cell r="F152" t="str">
            <v>COM</v>
          </cell>
          <cell r="G152" t="str">
            <v>Depr. since 31/01/2025</v>
          </cell>
          <cell r="H152">
            <v>0</v>
          </cell>
          <cell r="I152">
            <v>750000</v>
          </cell>
        </row>
        <row r="153">
          <cell r="D153" t="str">
            <v>FNF000288</v>
          </cell>
          <cell r="E153" t="str">
            <v>KITO Chain Block 15 T</v>
          </cell>
          <cell r="F153" t="str">
            <v>COM</v>
          </cell>
          <cell r="G153" t="str">
            <v>Depr. since 31/01/2025</v>
          </cell>
          <cell r="H153">
            <v>0</v>
          </cell>
          <cell r="I153">
            <v>750000</v>
          </cell>
        </row>
        <row r="154">
          <cell r="D154" t="str">
            <v>FNF000289</v>
          </cell>
          <cell r="E154" t="str">
            <v>Wire Rope Eye to Eye</v>
          </cell>
          <cell r="F154" t="str">
            <v>COM</v>
          </cell>
          <cell r="G154" t="str">
            <v>Depr. since 31/01/2025</v>
          </cell>
          <cell r="H154">
            <v>0</v>
          </cell>
          <cell r="I154">
            <v>302166.67</v>
          </cell>
        </row>
        <row r="155">
          <cell r="D155" t="str">
            <v>FNF000290</v>
          </cell>
          <cell r="E155" t="str">
            <v>Wire Rope Eye to Eye</v>
          </cell>
          <cell r="F155" t="str">
            <v>COM</v>
          </cell>
          <cell r="G155" t="str">
            <v>Depr. since 31/01/2025</v>
          </cell>
          <cell r="H155">
            <v>0</v>
          </cell>
          <cell r="I155">
            <v>302166.67</v>
          </cell>
        </row>
        <row r="156">
          <cell r="D156" t="str">
            <v>FNF000291</v>
          </cell>
          <cell r="E156" t="str">
            <v>Wire Rope Eye to Eye</v>
          </cell>
          <cell r="F156" t="str">
            <v>COM</v>
          </cell>
          <cell r="G156" t="str">
            <v>Depr. since 31/01/2025</v>
          </cell>
          <cell r="H156">
            <v>0</v>
          </cell>
          <cell r="I156">
            <v>302166.67</v>
          </cell>
        </row>
        <row r="157">
          <cell r="D157" t="str">
            <v>FNF000292</v>
          </cell>
          <cell r="E157" t="str">
            <v>Wire Rope Eye to Eye</v>
          </cell>
          <cell r="F157" t="str">
            <v>COM</v>
          </cell>
          <cell r="G157" t="str">
            <v>Depr. since 31/01/2025</v>
          </cell>
          <cell r="H157">
            <v>0</v>
          </cell>
          <cell r="I157">
            <v>302166.67</v>
          </cell>
        </row>
        <row r="158">
          <cell r="D158" t="str">
            <v>FNF000293</v>
          </cell>
          <cell r="E158" t="str">
            <v>Wire Rope Eye to Eye</v>
          </cell>
          <cell r="F158" t="str">
            <v>COM</v>
          </cell>
          <cell r="G158" t="str">
            <v>Depr. since 31/01/2025</v>
          </cell>
          <cell r="H158">
            <v>0</v>
          </cell>
          <cell r="I158">
            <v>372400</v>
          </cell>
        </row>
        <row r="159">
          <cell r="D159" t="str">
            <v>FNF000294</v>
          </cell>
          <cell r="E159" t="str">
            <v>Wire Rope Eye to Eye</v>
          </cell>
          <cell r="F159" t="str">
            <v>COM</v>
          </cell>
          <cell r="G159" t="str">
            <v>Depr. since 31/01/2025</v>
          </cell>
          <cell r="H159">
            <v>0</v>
          </cell>
          <cell r="I159">
            <v>372400</v>
          </cell>
        </row>
        <row r="160">
          <cell r="D160" t="str">
            <v>FNF000295</v>
          </cell>
          <cell r="E160" t="str">
            <v>Wire Rope Eye to Eye</v>
          </cell>
          <cell r="F160" t="str">
            <v>COM</v>
          </cell>
          <cell r="G160" t="str">
            <v>Depr. since 31/01/2025</v>
          </cell>
          <cell r="H160">
            <v>0</v>
          </cell>
          <cell r="I160">
            <v>372400</v>
          </cell>
        </row>
        <row r="161">
          <cell r="D161" t="str">
            <v>FNF000296</v>
          </cell>
          <cell r="E161" t="str">
            <v>Wire Rope Eye to Eye</v>
          </cell>
          <cell r="F161" t="str">
            <v>COM</v>
          </cell>
          <cell r="G161" t="str">
            <v>Depr. since 31/01/2025</v>
          </cell>
          <cell r="H161">
            <v>0</v>
          </cell>
          <cell r="I161">
            <v>372400</v>
          </cell>
        </row>
        <row r="162">
          <cell r="D162" t="str">
            <v>FNF000297</v>
          </cell>
          <cell r="E162" t="str">
            <v>Apeos C3070 CPS</v>
          </cell>
          <cell r="F162" t="str">
            <v>COM</v>
          </cell>
          <cell r="G162" t="str">
            <v>Depr. since 31/01/2025</v>
          </cell>
          <cell r="H162">
            <v>0</v>
          </cell>
          <cell r="I162">
            <v>2033333.32</v>
          </cell>
        </row>
        <row r="163">
          <cell r="D163" t="str">
            <v>FNF000298</v>
          </cell>
          <cell r="E163" t="str">
            <v>Gas Trailing Shield</v>
          </cell>
          <cell r="F163" t="str">
            <v>COM</v>
          </cell>
          <cell r="G163" t="str">
            <v>Depr. since 31/01/2025</v>
          </cell>
          <cell r="H163">
            <v>0</v>
          </cell>
          <cell r="I163">
            <v>805061.38</v>
          </cell>
        </row>
        <row r="164">
          <cell r="D164" t="str">
            <v>FNF000299</v>
          </cell>
          <cell r="E164" t="str">
            <v>Plus 2 Gas Trailing Shield</v>
          </cell>
          <cell r="F164" t="str">
            <v>COM</v>
          </cell>
          <cell r="G164" t="str">
            <v>Depr. since 31/01/2025</v>
          </cell>
          <cell r="H164">
            <v>0</v>
          </cell>
          <cell r="I164">
            <v>1125959.98</v>
          </cell>
        </row>
        <row r="165">
          <cell r="D165" t="str">
            <v>FNF000300</v>
          </cell>
          <cell r="E165" t="str">
            <v>Skirt # 1</v>
          </cell>
          <cell r="F165" t="str">
            <v>COM</v>
          </cell>
          <cell r="G165" t="str">
            <v>Depr. since 31/01/2025</v>
          </cell>
          <cell r="H165">
            <v>0</v>
          </cell>
          <cell r="I165">
            <v>630537.57999999996</v>
          </cell>
        </row>
        <row r="166">
          <cell r="D166" t="str">
            <v>FNF000301</v>
          </cell>
          <cell r="E166" t="str">
            <v>Skirt # 2</v>
          </cell>
          <cell r="F166" t="str">
            <v>COM</v>
          </cell>
          <cell r="G166" t="str">
            <v>Depr. since 31/01/2025</v>
          </cell>
          <cell r="H166">
            <v>0</v>
          </cell>
          <cell r="I166">
            <v>630537.57999999996</v>
          </cell>
        </row>
        <row r="167">
          <cell r="D167" t="str">
            <v>FNF000302</v>
          </cell>
          <cell r="E167" t="str">
            <v>Skirt # 4</v>
          </cell>
          <cell r="F167" t="str">
            <v>COM</v>
          </cell>
          <cell r="G167" t="str">
            <v>Depr. since 31/01/2025</v>
          </cell>
          <cell r="H167">
            <v>0</v>
          </cell>
          <cell r="I167">
            <v>630537.57999999996</v>
          </cell>
        </row>
        <row r="168">
          <cell r="D168" t="str">
            <v>FNF000303</v>
          </cell>
          <cell r="E168" t="str">
            <v>FortiGate 50E</v>
          </cell>
          <cell r="F168" t="str">
            <v>COM</v>
          </cell>
          <cell r="G168" t="str">
            <v>Depr. since 31/01/2025</v>
          </cell>
          <cell r="H168">
            <v>0</v>
          </cell>
          <cell r="I168">
            <v>214666.65</v>
          </cell>
        </row>
        <row r="169">
          <cell r="D169" t="str">
            <v>FNF000304</v>
          </cell>
          <cell r="E169" t="str">
            <v>INTERNET INFRA FOR OFFICE</v>
          </cell>
          <cell r="F169" t="str">
            <v>COM</v>
          </cell>
          <cell r="G169" t="str">
            <v>Depr. since 31/01/2025</v>
          </cell>
          <cell r="H169">
            <v>0</v>
          </cell>
          <cell r="I169">
            <v>844499.98</v>
          </cell>
        </row>
        <row r="170">
          <cell r="D170"/>
          <cell r="E170"/>
          <cell r="F170"/>
          <cell r="G170"/>
          <cell r="H170"/>
          <cell r="I170">
            <v>91933514.510000065</v>
          </cell>
        </row>
        <row r="171">
          <cell r="D171" t="str">
            <v>MNE000275</v>
          </cell>
          <cell r="E171" t="str">
            <v>Welding Machine Miller</v>
          </cell>
          <cell r="F171" t="str">
            <v>COM</v>
          </cell>
          <cell r="G171" t="str">
            <v>Depr. since 31/01/2025</v>
          </cell>
          <cell r="H171">
            <v>0</v>
          </cell>
          <cell r="I171">
            <v>1</v>
          </cell>
        </row>
        <row r="172">
          <cell r="D172" t="str">
            <v>MNE000276</v>
          </cell>
          <cell r="E172" t="str">
            <v>Welding Machine Miller</v>
          </cell>
          <cell r="F172" t="str">
            <v>COM</v>
          </cell>
          <cell r="G172" t="str">
            <v>Depr. since 31/01/2025</v>
          </cell>
          <cell r="H172">
            <v>0</v>
          </cell>
          <cell r="I172">
            <v>1</v>
          </cell>
        </row>
        <row r="173">
          <cell r="D173" t="str">
            <v>MNE000277</v>
          </cell>
          <cell r="E173" t="str">
            <v>Forklift fork</v>
          </cell>
          <cell r="F173" t="str">
            <v>COM</v>
          </cell>
          <cell r="G173" t="str">
            <v>Depr. since 31/01/2025</v>
          </cell>
          <cell r="H173">
            <v>0</v>
          </cell>
          <cell r="I173">
            <v>1</v>
          </cell>
        </row>
        <row r="174">
          <cell r="D174" t="str">
            <v>MNE000279</v>
          </cell>
          <cell r="E174" t="str">
            <v>Impact Wrench</v>
          </cell>
          <cell r="F174" t="str">
            <v>COM</v>
          </cell>
          <cell r="G174" t="str">
            <v>Depr. since 31/01/2025</v>
          </cell>
          <cell r="H174">
            <v>0</v>
          </cell>
          <cell r="I174">
            <v>1</v>
          </cell>
        </row>
        <row r="175">
          <cell r="D175" t="str">
            <v>MNE000281</v>
          </cell>
          <cell r="E175" t="str">
            <v>Shears Wrench</v>
          </cell>
          <cell r="F175" t="str">
            <v>COM</v>
          </cell>
          <cell r="G175" t="str">
            <v>Depr. since 31/01/2025</v>
          </cell>
          <cell r="H175">
            <v>0</v>
          </cell>
          <cell r="I175">
            <v>625000</v>
          </cell>
        </row>
        <row r="176">
          <cell r="D176" t="str">
            <v>MNE000282</v>
          </cell>
          <cell r="E176" t="str">
            <v>Shears Wrench</v>
          </cell>
          <cell r="F176" t="str">
            <v>COM</v>
          </cell>
          <cell r="G176" t="str">
            <v>Depr. since 31/01/2025</v>
          </cell>
          <cell r="H176">
            <v>0</v>
          </cell>
          <cell r="I176">
            <v>625000</v>
          </cell>
        </row>
        <row r="177">
          <cell r="D177" t="str">
            <v>MNE000283</v>
          </cell>
          <cell r="E177" t="str">
            <v>Air Compressor</v>
          </cell>
          <cell r="F177" t="str">
            <v>COM</v>
          </cell>
          <cell r="G177" t="str">
            <v>Depr. since 31/01/2025</v>
          </cell>
          <cell r="H177">
            <v>0</v>
          </cell>
          <cell r="I177">
            <v>248146.67</v>
          </cell>
        </row>
        <row r="178">
          <cell r="D178" t="str">
            <v>MNE000288</v>
          </cell>
          <cell r="E178" t="str">
            <v>Loading Bridge</v>
          </cell>
          <cell r="F178" t="str">
            <v>COM</v>
          </cell>
          <cell r="G178" t="str">
            <v>Depr. since 31/01/2025</v>
          </cell>
          <cell r="H178">
            <v>0</v>
          </cell>
          <cell r="I178">
            <v>1</v>
          </cell>
        </row>
        <row r="179">
          <cell r="D179" t="str">
            <v>MNE000290</v>
          </cell>
          <cell r="E179" t="str">
            <v>Nestainer</v>
          </cell>
          <cell r="F179" t="str">
            <v>COM</v>
          </cell>
          <cell r="G179" t="str">
            <v>Depr. since 31/01/2025</v>
          </cell>
          <cell r="H179">
            <v>0</v>
          </cell>
          <cell r="I179">
            <v>6878333.3300000001</v>
          </cell>
        </row>
        <row r="180">
          <cell r="D180" t="str">
            <v>MNE000291</v>
          </cell>
          <cell r="E180" t="str">
            <v>Generator Set</v>
          </cell>
          <cell r="F180" t="str">
            <v>COM</v>
          </cell>
          <cell r="G180" t="str">
            <v>Depr. since 31/01/2025</v>
          </cell>
          <cell r="H180">
            <v>0</v>
          </cell>
          <cell r="I180">
            <v>10833333.33</v>
          </cell>
        </row>
        <row r="181">
          <cell r="D181" t="str">
            <v>MNE000292</v>
          </cell>
          <cell r="E181" t="str">
            <v>Stand Baterry</v>
          </cell>
          <cell r="F181" t="str">
            <v>COM</v>
          </cell>
          <cell r="G181" t="str">
            <v>Depr. since 31/01/2025</v>
          </cell>
          <cell r="H181">
            <v>0</v>
          </cell>
          <cell r="I181">
            <v>1</v>
          </cell>
        </row>
        <row r="182">
          <cell r="D182" t="str">
            <v>MNE000293</v>
          </cell>
          <cell r="E182" t="str">
            <v>Portable Gas Monitor</v>
          </cell>
          <cell r="F182" t="str">
            <v>COM</v>
          </cell>
          <cell r="G182" t="str">
            <v>Depr. since 31/01/2025</v>
          </cell>
          <cell r="H182">
            <v>0</v>
          </cell>
          <cell r="I182">
            <v>1</v>
          </cell>
        </row>
        <row r="183">
          <cell r="D183" t="str">
            <v>MNE000294</v>
          </cell>
          <cell r="E183" t="str">
            <v>Portable Gas Monitor</v>
          </cell>
          <cell r="F183" t="str">
            <v>COM</v>
          </cell>
          <cell r="G183" t="str">
            <v>Depr. since 31/01/2025</v>
          </cell>
          <cell r="H183">
            <v>0</v>
          </cell>
          <cell r="I183">
            <v>1</v>
          </cell>
        </row>
        <row r="184">
          <cell r="D184" t="str">
            <v>MNE000295</v>
          </cell>
          <cell r="E184" t="str">
            <v>Portable Gas Monitor</v>
          </cell>
          <cell r="F184" t="str">
            <v>COM</v>
          </cell>
          <cell r="G184" t="str">
            <v>Depr. since 31/01/2025</v>
          </cell>
          <cell r="H184">
            <v>0</v>
          </cell>
          <cell r="I184">
            <v>1</v>
          </cell>
        </row>
        <row r="185">
          <cell r="D185" t="str">
            <v>MNE000296</v>
          </cell>
          <cell r="E185" t="str">
            <v>Portable Gas Monitor</v>
          </cell>
          <cell r="F185" t="str">
            <v>COM</v>
          </cell>
          <cell r="G185" t="str">
            <v>Depr. since 31/01/2025</v>
          </cell>
          <cell r="H185">
            <v>0</v>
          </cell>
          <cell r="I185">
            <v>1</v>
          </cell>
        </row>
        <row r="186">
          <cell r="D186" t="str">
            <v>MNE000297</v>
          </cell>
          <cell r="E186" t="str">
            <v>Portable Gas Monitor</v>
          </cell>
          <cell r="F186" t="str">
            <v>COM</v>
          </cell>
          <cell r="G186" t="str">
            <v>Depr. since 31/01/2025</v>
          </cell>
          <cell r="H186">
            <v>0</v>
          </cell>
          <cell r="I186">
            <v>1</v>
          </cell>
        </row>
        <row r="187">
          <cell r="D187" t="str">
            <v>MNE000298</v>
          </cell>
          <cell r="E187" t="str">
            <v>Nestainer</v>
          </cell>
          <cell r="F187" t="str">
            <v>COM</v>
          </cell>
          <cell r="G187" t="str">
            <v>Depr. since 31/01/2025</v>
          </cell>
          <cell r="H187">
            <v>0</v>
          </cell>
          <cell r="I187">
            <v>24795905.329999998</v>
          </cell>
        </row>
        <row r="188">
          <cell r="D188" t="str">
            <v>MNE000299</v>
          </cell>
          <cell r="E188" t="str">
            <v>Container</v>
          </cell>
          <cell r="F188" t="str">
            <v>COM</v>
          </cell>
          <cell r="G188" t="str">
            <v>Depr. since 31/01/2025</v>
          </cell>
          <cell r="H188">
            <v>0</v>
          </cell>
          <cell r="I188">
            <v>400000</v>
          </cell>
        </row>
        <row r="189">
          <cell r="D189" t="str">
            <v>MNE000300</v>
          </cell>
          <cell r="E189" t="str">
            <v>Container</v>
          </cell>
          <cell r="F189" t="str">
            <v>COM</v>
          </cell>
          <cell r="G189" t="str">
            <v>Depr. since 31/01/2025</v>
          </cell>
          <cell r="H189">
            <v>0</v>
          </cell>
          <cell r="I189">
            <v>400000</v>
          </cell>
        </row>
        <row r="190">
          <cell r="D190" t="str">
            <v>MNE000301</v>
          </cell>
          <cell r="E190" t="str">
            <v>Load Cell F Winch</v>
          </cell>
          <cell r="F190" t="str">
            <v>COM</v>
          </cell>
          <cell r="G190" t="str">
            <v>Depr. since 31/01/2025</v>
          </cell>
          <cell r="H190">
            <v>0</v>
          </cell>
          <cell r="I190">
            <v>1916666.67</v>
          </cell>
        </row>
        <row r="191">
          <cell r="D191" t="str">
            <v>MNE000302</v>
          </cell>
          <cell r="E191" t="str">
            <v>JET Cleaner Assy</v>
          </cell>
          <cell r="F191" t="str">
            <v>COM</v>
          </cell>
          <cell r="G191" t="str">
            <v>Depr. since 31/01/2025</v>
          </cell>
          <cell r="H191">
            <v>0</v>
          </cell>
          <cell r="I191">
            <v>470250</v>
          </cell>
        </row>
        <row r="192">
          <cell r="D192" t="str">
            <v>MNE000303</v>
          </cell>
          <cell r="E192" t="str">
            <v>Terrain Crane 50T</v>
          </cell>
          <cell r="F192" t="str">
            <v>COM</v>
          </cell>
          <cell r="G192" t="str">
            <v>Depr. since 31/01/2025</v>
          </cell>
          <cell r="H192">
            <v>0</v>
          </cell>
          <cell r="I192">
            <v>56500000</v>
          </cell>
        </row>
        <row r="193">
          <cell r="D193" t="str">
            <v>MNE000304</v>
          </cell>
          <cell r="E193" t="str">
            <v>Magneic Drill 32MM</v>
          </cell>
          <cell r="F193" t="str">
            <v>COM</v>
          </cell>
          <cell r="G193" t="str">
            <v>Depr. since 31/01/2025</v>
          </cell>
          <cell r="H193">
            <v>0</v>
          </cell>
          <cell r="I193">
            <v>445588.89</v>
          </cell>
        </row>
        <row r="194">
          <cell r="D194" t="str">
            <v>MNE000305</v>
          </cell>
          <cell r="E194" t="str">
            <v>Magneic Drill 32MM</v>
          </cell>
          <cell r="F194" t="str">
            <v>COM</v>
          </cell>
          <cell r="G194" t="str">
            <v>Depr. since 31/01/2025</v>
          </cell>
          <cell r="H194">
            <v>0</v>
          </cell>
          <cell r="I194">
            <v>445588.89</v>
          </cell>
        </row>
        <row r="195">
          <cell r="D195" t="str">
            <v>MNE000306</v>
          </cell>
          <cell r="E195" t="str">
            <v>Drum Clippers</v>
          </cell>
          <cell r="F195" t="str">
            <v>COM</v>
          </cell>
          <cell r="G195" t="str">
            <v>Depr. since 31/01/2025</v>
          </cell>
          <cell r="H195">
            <v>0</v>
          </cell>
          <cell r="I195">
            <v>650000</v>
          </cell>
        </row>
        <row r="196">
          <cell r="D196" t="str">
            <v>MNE000307</v>
          </cell>
          <cell r="E196" t="str">
            <v>Drum Clippers</v>
          </cell>
          <cell r="F196" t="str">
            <v>COM</v>
          </cell>
          <cell r="G196" t="str">
            <v>Depr. since 31/01/2025</v>
          </cell>
          <cell r="H196">
            <v>0</v>
          </cell>
          <cell r="I196">
            <v>812500</v>
          </cell>
        </row>
        <row r="197">
          <cell r="D197" t="str">
            <v>MNE000308</v>
          </cell>
          <cell r="E197" t="str">
            <v>Plasma Cutting Power</v>
          </cell>
          <cell r="F197" t="str">
            <v>COM</v>
          </cell>
          <cell r="G197" t="str">
            <v>Depr. since 31/01/2025</v>
          </cell>
          <cell r="H197">
            <v>0</v>
          </cell>
          <cell r="I197">
            <v>5083333.33</v>
          </cell>
        </row>
        <row r="198">
          <cell r="D198" t="str">
            <v>MNE000309</v>
          </cell>
          <cell r="E198" t="str">
            <v>Plasma Cutting Power</v>
          </cell>
          <cell r="F198" t="str">
            <v>COM</v>
          </cell>
          <cell r="G198" t="str">
            <v>Depr. since 31/01/2025</v>
          </cell>
          <cell r="H198">
            <v>0</v>
          </cell>
          <cell r="I198">
            <v>3111111.11</v>
          </cell>
        </row>
        <row r="199">
          <cell r="D199" t="str">
            <v>MNE000310</v>
          </cell>
          <cell r="E199" t="str">
            <v>Plasma Cutting Power</v>
          </cell>
          <cell r="F199" t="str">
            <v>COM</v>
          </cell>
          <cell r="G199" t="str">
            <v>Depr. since 31/01/2025</v>
          </cell>
          <cell r="H199">
            <v>0</v>
          </cell>
          <cell r="I199">
            <v>3111111.11</v>
          </cell>
        </row>
        <row r="200">
          <cell r="D200" t="str">
            <v>MNE000311</v>
          </cell>
          <cell r="E200" t="str">
            <v>Electric Winch</v>
          </cell>
          <cell r="F200" t="str">
            <v>COM</v>
          </cell>
          <cell r="G200" t="str">
            <v>Depr. since 31/01/2025</v>
          </cell>
          <cell r="H200">
            <v>0</v>
          </cell>
          <cell r="I200">
            <v>1385416.67</v>
          </cell>
        </row>
        <row r="201">
          <cell r="D201" t="str">
            <v>MNE000312</v>
          </cell>
          <cell r="E201" t="str">
            <v>Electric Winch</v>
          </cell>
          <cell r="F201" t="str">
            <v>COM</v>
          </cell>
          <cell r="G201" t="str">
            <v>Depr. since 31/01/2025</v>
          </cell>
          <cell r="H201">
            <v>0</v>
          </cell>
          <cell r="I201">
            <v>1385416.67</v>
          </cell>
        </row>
        <row r="202">
          <cell r="D202" t="str">
            <v>MNE000313</v>
          </cell>
          <cell r="E202" t="str">
            <v>Electric Winch</v>
          </cell>
          <cell r="F202" t="str">
            <v>COM</v>
          </cell>
          <cell r="G202" t="str">
            <v>Depr. since 31/01/2025</v>
          </cell>
          <cell r="H202">
            <v>0</v>
          </cell>
          <cell r="I202">
            <v>2572916.67</v>
          </cell>
        </row>
        <row r="203">
          <cell r="D203" t="str">
            <v>MNE000314</v>
          </cell>
          <cell r="E203" t="str">
            <v>Electric Winch</v>
          </cell>
          <cell r="F203" t="str">
            <v>COM</v>
          </cell>
          <cell r="G203" t="str">
            <v>Depr. since 31/01/2025</v>
          </cell>
          <cell r="H203">
            <v>0</v>
          </cell>
          <cell r="I203">
            <v>2572916.67</v>
          </cell>
        </row>
        <row r="204">
          <cell r="D204" t="str">
            <v>MNE000315</v>
          </cell>
          <cell r="E204" t="str">
            <v>Racking System</v>
          </cell>
          <cell r="F204" t="str">
            <v>COM</v>
          </cell>
          <cell r="G204" t="str">
            <v>Depr. since 31/01/2025</v>
          </cell>
          <cell r="H204">
            <v>0</v>
          </cell>
          <cell r="I204">
            <v>15486666.67</v>
          </cell>
        </row>
        <row r="205">
          <cell r="D205" t="str">
            <v>MNE000319</v>
          </cell>
          <cell r="E205" t="str">
            <v>Goodway Tube Cleaner RAM-PRO-A-50</v>
          </cell>
          <cell r="F205" t="str">
            <v>COM</v>
          </cell>
          <cell r="G205" t="str">
            <v>Depr. since 31/01/2025</v>
          </cell>
          <cell r="H205">
            <v>0</v>
          </cell>
          <cell r="I205">
            <v>1708333.33</v>
          </cell>
        </row>
        <row r="206">
          <cell r="D206" t="str">
            <v>MNE000320</v>
          </cell>
          <cell r="E206" t="str">
            <v>Mini Jetter KRV Diesel</v>
          </cell>
          <cell r="F206" t="str">
            <v>COM</v>
          </cell>
          <cell r="G206" t="str">
            <v>Depr. since 31/01/2025</v>
          </cell>
          <cell r="H206">
            <v>0</v>
          </cell>
          <cell r="I206">
            <v>347990</v>
          </cell>
        </row>
        <row r="207">
          <cell r="D207" t="str">
            <v>MNE000321</v>
          </cell>
          <cell r="E207" t="str">
            <v>Mini Jetter KRV Diesel</v>
          </cell>
          <cell r="F207" t="str">
            <v>COM</v>
          </cell>
          <cell r="G207" t="str">
            <v>Depr. since 31/01/2025</v>
          </cell>
          <cell r="H207">
            <v>0</v>
          </cell>
          <cell r="I207">
            <v>347990</v>
          </cell>
        </row>
        <row r="208">
          <cell r="D208" t="str">
            <v>MNE000322</v>
          </cell>
          <cell r="E208" t="str">
            <v>Mini Jetter KRV Diesel</v>
          </cell>
          <cell r="F208" t="str">
            <v>COM</v>
          </cell>
          <cell r="G208" t="str">
            <v>Depr. since 31/01/2025</v>
          </cell>
          <cell r="H208">
            <v>0</v>
          </cell>
          <cell r="I208">
            <v>347990</v>
          </cell>
        </row>
        <row r="209">
          <cell r="D209" t="str">
            <v>MNE000323</v>
          </cell>
          <cell r="E209" t="str">
            <v>Mini Jetter KRV Diesel</v>
          </cell>
          <cell r="F209" t="str">
            <v>COM</v>
          </cell>
          <cell r="G209" t="str">
            <v>Depr. since 31/01/2025</v>
          </cell>
          <cell r="H209">
            <v>0</v>
          </cell>
          <cell r="I209">
            <v>347990</v>
          </cell>
        </row>
        <row r="210">
          <cell r="D210" t="str">
            <v>MNE000324</v>
          </cell>
          <cell r="E210" t="str">
            <v>Air Screw Compressor AIRMAN PDS-185</v>
          </cell>
          <cell r="F210" t="str">
            <v>COM</v>
          </cell>
          <cell r="G210" t="str">
            <v>Depr. since 31/01/2025</v>
          </cell>
          <cell r="H210">
            <v>0</v>
          </cell>
          <cell r="I210">
            <v>4736666.67</v>
          </cell>
        </row>
        <row r="211">
          <cell r="D211" t="str">
            <v>MNE000325</v>
          </cell>
          <cell r="E211" t="str">
            <v>Air Screw Compressor AIRMAN PDS-185</v>
          </cell>
          <cell r="F211" t="str">
            <v>COM</v>
          </cell>
          <cell r="G211" t="str">
            <v>Depr. since 31/01/2025</v>
          </cell>
          <cell r="H211">
            <v>0</v>
          </cell>
          <cell r="I211">
            <v>4736666.67</v>
          </cell>
        </row>
        <row r="212">
          <cell r="D212" t="str">
            <v>MNE000326</v>
          </cell>
          <cell r="E212" t="str">
            <v>Atolly Magnetic Drill 32 mm</v>
          </cell>
          <cell r="F212" t="str">
            <v>COM</v>
          </cell>
          <cell r="G212" t="str">
            <v>Depr. since 31/01/2025</v>
          </cell>
          <cell r="H212">
            <v>0</v>
          </cell>
          <cell r="I212">
            <v>703694.44</v>
          </cell>
        </row>
        <row r="213">
          <cell r="D213" t="str">
            <v>MNE000327</v>
          </cell>
          <cell r="E213" t="str">
            <v>Atolly Magnetic Drill 32 mm</v>
          </cell>
          <cell r="F213" t="str">
            <v>COM</v>
          </cell>
          <cell r="G213" t="str">
            <v>Depr. since 31/01/2025</v>
          </cell>
          <cell r="H213">
            <v>0</v>
          </cell>
          <cell r="I213">
            <v>703694.44</v>
          </cell>
        </row>
        <row r="214">
          <cell r="D214" t="str">
            <v>MNE000328</v>
          </cell>
          <cell r="E214" t="str">
            <v>Aerial Bundle Extractor</v>
          </cell>
          <cell r="F214" t="str">
            <v>COM</v>
          </cell>
          <cell r="G214" t="str">
            <v>Depr. since 31/01/2025</v>
          </cell>
          <cell r="H214">
            <v>0</v>
          </cell>
          <cell r="I214">
            <v>24319623.039999999</v>
          </cell>
        </row>
        <row r="215">
          <cell r="D215"/>
          <cell r="E215"/>
          <cell r="F215"/>
          <cell r="G215"/>
          <cell r="H215"/>
          <cell r="I215">
            <v>179055851.59999996</v>
          </cell>
        </row>
        <row r="216">
          <cell r="D216" t="str">
            <v>STR000055</v>
          </cell>
          <cell r="E216" t="str">
            <v>Wifi Installation</v>
          </cell>
          <cell r="F216" t="str">
            <v>COM</v>
          </cell>
          <cell r="G216" t="str">
            <v>Depr. since 31/01/2025</v>
          </cell>
          <cell r="H216">
            <v>0</v>
          </cell>
          <cell r="I216">
            <v>1</v>
          </cell>
        </row>
        <row r="217">
          <cell r="D217" t="str">
            <v>STR000056</v>
          </cell>
          <cell r="E217" t="str">
            <v>Office Container 20 Feet</v>
          </cell>
          <cell r="F217" t="str">
            <v>COM</v>
          </cell>
          <cell r="G217" t="str">
            <v>Depr. since 31/01/2025</v>
          </cell>
          <cell r="H217">
            <v>0</v>
          </cell>
          <cell r="I217">
            <v>1</v>
          </cell>
        </row>
        <row r="218">
          <cell r="D218" t="str">
            <v>STR000057</v>
          </cell>
          <cell r="E218" t="str">
            <v>CCTV</v>
          </cell>
          <cell r="F218" t="str">
            <v>COM</v>
          </cell>
          <cell r="G218" t="str">
            <v>Depr. since 31/01/2025</v>
          </cell>
          <cell r="H218">
            <v>0</v>
          </cell>
          <cell r="I218">
            <v>1223750</v>
          </cell>
        </row>
        <row r="219">
          <cell r="D219" t="str">
            <v>STR000058</v>
          </cell>
          <cell r="E219" t="str">
            <v>Heat Treatment Pallet</v>
          </cell>
          <cell r="F219" t="str">
            <v>COM</v>
          </cell>
          <cell r="G219" t="str">
            <v>Depr. since 31/01/2025</v>
          </cell>
          <cell r="H219">
            <v>0</v>
          </cell>
          <cell r="I219">
            <v>1</v>
          </cell>
        </row>
        <row r="220">
          <cell r="D220" t="str">
            <v>STR000059</v>
          </cell>
          <cell r="E220" t="str">
            <v>Heat Treatment Cabel Power Ins</v>
          </cell>
          <cell r="F220" t="str">
            <v>COM</v>
          </cell>
          <cell r="G220" t="str">
            <v>Depr. since 31/01/2025</v>
          </cell>
          <cell r="H220">
            <v>0</v>
          </cell>
          <cell r="I220">
            <v>1</v>
          </cell>
        </row>
        <row r="221">
          <cell r="D221" t="str">
            <v>STR000060</v>
          </cell>
          <cell r="E221" t="str">
            <v>Bojonegara Lighting Protection</v>
          </cell>
          <cell r="F221" t="str">
            <v>COM</v>
          </cell>
          <cell r="G221" t="str">
            <v>Depr. since 31/01/2025</v>
          </cell>
          <cell r="H221">
            <v>0</v>
          </cell>
          <cell r="I221">
            <v>1</v>
          </cell>
        </row>
        <row r="222">
          <cell r="D222" t="str">
            <v>STR000061</v>
          </cell>
          <cell r="E222" t="str">
            <v>Bojonegara CCTV Camera System</v>
          </cell>
          <cell r="F222" t="str">
            <v>COM</v>
          </cell>
          <cell r="G222" t="str">
            <v>Depr. since 31/01/2025</v>
          </cell>
          <cell r="H222">
            <v>0</v>
          </cell>
          <cell r="I222">
            <v>1</v>
          </cell>
        </row>
        <row r="223">
          <cell r="D223" t="str">
            <v>STR000062</v>
          </cell>
          <cell r="E223" t="str">
            <v>Handrail Loading Dock WH 1</v>
          </cell>
          <cell r="F223" t="str">
            <v>COM</v>
          </cell>
          <cell r="G223" t="str">
            <v>Depr. since 31/01/2025</v>
          </cell>
          <cell r="H223">
            <v>0</v>
          </cell>
          <cell r="I223">
            <v>1</v>
          </cell>
        </row>
        <row r="224">
          <cell r="D224" t="str">
            <v>STR000063</v>
          </cell>
          <cell r="E224" t="str">
            <v>Handrail Loading Dock WH 2</v>
          </cell>
          <cell r="F224" t="str">
            <v>COM</v>
          </cell>
          <cell r="G224" t="str">
            <v>Depr. since 31/01/2025</v>
          </cell>
          <cell r="H224">
            <v>0</v>
          </cell>
          <cell r="I224">
            <v>1</v>
          </cell>
        </row>
        <row r="225">
          <cell r="D225" t="str">
            <v>STR000064</v>
          </cell>
          <cell r="E225" t="str">
            <v>Air Conditioner</v>
          </cell>
          <cell r="F225" t="str">
            <v>COM</v>
          </cell>
          <cell r="G225" t="str">
            <v>Depr. since 31/01/2025</v>
          </cell>
          <cell r="H225">
            <v>0</v>
          </cell>
          <cell r="I225">
            <v>546133.32999999996</v>
          </cell>
        </row>
        <row r="226">
          <cell r="D226" t="str">
            <v>STR000065</v>
          </cell>
          <cell r="E226" t="str">
            <v>Air Conditioner</v>
          </cell>
          <cell r="F226" t="str">
            <v>COM</v>
          </cell>
          <cell r="G226" t="str">
            <v>Depr. since 31/01/2025</v>
          </cell>
          <cell r="H226">
            <v>0</v>
          </cell>
          <cell r="I226">
            <v>561675</v>
          </cell>
        </row>
        <row r="227">
          <cell r="D227" t="str">
            <v>STR000066</v>
          </cell>
          <cell r="E227" t="str">
            <v>Air Conditioner</v>
          </cell>
          <cell r="F227" t="str">
            <v>COM</v>
          </cell>
          <cell r="G227" t="str">
            <v>Depr. since 31/01/2025</v>
          </cell>
          <cell r="H227">
            <v>0</v>
          </cell>
          <cell r="I227">
            <v>1060416.67</v>
          </cell>
        </row>
        <row r="228">
          <cell r="D228" t="str">
            <v>STR000067</v>
          </cell>
          <cell r="E228" t="str">
            <v>Air Conditioner</v>
          </cell>
          <cell r="F228" t="str">
            <v>COM</v>
          </cell>
          <cell r="G228" t="str">
            <v>Depr. since 31/01/2025</v>
          </cell>
          <cell r="H228">
            <v>0</v>
          </cell>
          <cell r="I228">
            <v>1060416.67</v>
          </cell>
        </row>
        <row r="229">
          <cell r="D229" t="str">
            <v>STR000068</v>
          </cell>
          <cell r="E229" t="str">
            <v>Body Harness Hangers</v>
          </cell>
          <cell r="F229" t="str">
            <v>COM</v>
          </cell>
          <cell r="G229" t="str">
            <v>Depr. since 31/01/2025</v>
          </cell>
          <cell r="H229">
            <v>0</v>
          </cell>
          <cell r="I229">
            <v>1041666.67</v>
          </cell>
        </row>
        <row r="230">
          <cell r="D230" t="str">
            <v>STR000069</v>
          </cell>
          <cell r="E230" t="str">
            <v>Body Harness Hangers</v>
          </cell>
          <cell r="F230" t="str">
            <v>COM</v>
          </cell>
          <cell r="G230" t="str">
            <v>Depr. since 31/01/2025</v>
          </cell>
          <cell r="H230">
            <v>0</v>
          </cell>
          <cell r="I230">
            <v>1041666.67</v>
          </cell>
        </row>
        <row r="231">
          <cell r="D231" t="str">
            <v>STR000070</v>
          </cell>
          <cell r="E231" t="str">
            <v>Renovation Office 7th Floor</v>
          </cell>
          <cell r="F231" t="str">
            <v>COM</v>
          </cell>
          <cell r="G231" t="str">
            <v>Depr. since 31/01/2025</v>
          </cell>
          <cell r="H231">
            <v>0</v>
          </cell>
          <cell r="I231">
            <v>2183333.33</v>
          </cell>
        </row>
        <row r="232">
          <cell r="D232" t="str">
            <v>STR000071</v>
          </cell>
          <cell r="E232" t="str">
            <v>Floor</v>
          </cell>
          <cell r="F232" t="str">
            <v>COM</v>
          </cell>
          <cell r="G232" t="str">
            <v>Depr. since 31/01/2025</v>
          </cell>
          <cell r="H232">
            <v>0</v>
          </cell>
          <cell r="I232">
            <v>1506057</v>
          </cell>
        </row>
        <row r="233">
          <cell r="D233" t="str">
            <v>STR000072</v>
          </cell>
          <cell r="E233" t="str">
            <v>Gypsum Wall Partition</v>
          </cell>
          <cell r="F233" t="str">
            <v>COM</v>
          </cell>
          <cell r="G233" t="str">
            <v>Depr. since 31/01/2025</v>
          </cell>
          <cell r="H233">
            <v>0</v>
          </cell>
          <cell r="I233">
            <v>1369069.58</v>
          </cell>
        </row>
        <row r="234">
          <cell r="D234" t="str">
            <v>STR000073</v>
          </cell>
          <cell r="E234" t="str">
            <v>Wallpaper</v>
          </cell>
          <cell r="F234" t="str">
            <v>COM</v>
          </cell>
          <cell r="G234" t="str">
            <v>Depr. since 31/01/2025</v>
          </cell>
          <cell r="H234">
            <v>0</v>
          </cell>
          <cell r="I234">
            <v>241740</v>
          </cell>
        </row>
        <row r="235">
          <cell r="D235" t="str">
            <v>STR000074</v>
          </cell>
          <cell r="E235" t="str">
            <v>Glass Partition</v>
          </cell>
          <cell r="F235" t="str">
            <v>COM</v>
          </cell>
          <cell r="G235" t="str">
            <v>Depr. since 31/01/2025</v>
          </cell>
          <cell r="H235">
            <v>0</v>
          </cell>
          <cell r="I235">
            <v>458500</v>
          </cell>
        </row>
        <row r="236">
          <cell r="D236" t="str">
            <v>STR000075</v>
          </cell>
          <cell r="E236" t="str">
            <v>Door</v>
          </cell>
          <cell r="F236" t="str">
            <v>COM</v>
          </cell>
          <cell r="G236" t="str">
            <v>Depr. since 31/01/2025</v>
          </cell>
          <cell r="H236">
            <v>0</v>
          </cell>
          <cell r="I236">
            <v>1169083.33</v>
          </cell>
        </row>
        <row r="237">
          <cell r="D237" t="str">
            <v>STR000076</v>
          </cell>
          <cell r="E237" t="str">
            <v>Ceiling</v>
          </cell>
          <cell r="F237" t="str">
            <v>COM</v>
          </cell>
          <cell r="G237" t="str">
            <v>Depr. since 31/01/2025</v>
          </cell>
          <cell r="H237">
            <v>0</v>
          </cell>
          <cell r="I237">
            <v>551192</v>
          </cell>
        </row>
        <row r="238">
          <cell r="D238" t="str">
            <v>STR000077</v>
          </cell>
          <cell r="E238" t="str">
            <v>Water Supply Booster</v>
          </cell>
          <cell r="F238" t="str">
            <v>COM</v>
          </cell>
          <cell r="G238" t="str">
            <v>Depr. since 31/01/2025</v>
          </cell>
          <cell r="H238">
            <v>0</v>
          </cell>
          <cell r="I238">
            <v>5000000</v>
          </cell>
        </row>
        <row r="239">
          <cell r="D239" t="str">
            <v>STR000078</v>
          </cell>
          <cell r="E239" t="str">
            <v>Floor Epoxy</v>
          </cell>
          <cell r="F239" t="str">
            <v>COM</v>
          </cell>
          <cell r="G239" t="str">
            <v>Depr. since 31/01/2025</v>
          </cell>
          <cell r="H239">
            <v>0</v>
          </cell>
          <cell r="I239">
            <v>1546705.27</v>
          </cell>
        </row>
        <row r="240">
          <cell r="D240" t="str">
            <v>STR000079</v>
          </cell>
          <cell r="E240" t="str">
            <v>Wall Partition</v>
          </cell>
          <cell r="F240" t="str">
            <v>COM</v>
          </cell>
          <cell r="G240" t="str">
            <v>Depr. since 31/01/2025</v>
          </cell>
          <cell r="H240">
            <v>0</v>
          </cell>
          <cell r="I240">
            <v>984561.4</v>
          </cell>
        </row>
        <row r="241">
          <cell r="D241"/>
          <cell r="E241"/>
          <cell r="F241"/>
          <cell r="G241"/>
          <cell r="H241"/>
          <cell r="I241">
            <v>21545974.919999998</v>
          </cell>
        </row>
        <row r="242">
          <cell r="D242" t="str">
            <v>SYS000001</v>
          </cell>
          <cell r="E242" t="str">
            <v>Nextset Form</v>
          </cell>
          <cell r="F242" t="str">
            <v>COM</v>
          </cell>
          <cell r="G242" t="str">
            <v>Depr. since 31/01/2025</v>
          </cell>
          <cell r="H242">
            <v>0</v>
          </cell>
          <cell r="I242">
            <v>1317500</v>
          </cell>
        </row>
        <row r="243">
          <cell r="D243" t="str">
            <v>SYS000002</v>
          </cell>
          <cell r="E243" t="str">
            <v>ZWCAD Software</v>
          </cell>
          <cell r="F243" t="str">
            <v>COM</v>
          </cell>
          <cell r="G243" t="str">
            <v>Depr. since 31/01/2025</v>
          </cell>
          <cell r="H243">
            <v>0</v>
          </cell>
          <cell r="I243">
            <v>312500</v>
          </cell>
        </row>
        <row r="244">
          <cell r="D244" t="str">
            <v>SYS000003</v>
          </cell>
          <cell r="E244" t="str">
            <v>ZWCAD Software</v>
          </cell>
          <cell r="F244" t="str">
            <v>COM</v>
          </cell>
          <cell r="G244" t="str">
            <v>Depr. since 31/01/2025</v>
          </cell>
          <cell r="H244">
            <v>0</v>
          </cell>
          <cell r="I244">
            <v>312500</v>
          </cell>
        </row>
        <row r="245">
          <cell r="D245"/>
          <cell r="E245"/>
          <cell r="F245"/>
          <cell r="G245"/>
          <cell r="H245"/>
          <cell r="I245">
            <v>1942500</v>
          </cell>
        </row>
        <row r="246">
          <cell r="D246" t="str">
            <v>VEH000561</v>
          </cell>
          <cell r="E246" t="str">
            <v>Xpander Sport AT</v>
          </cell>
          <cell r="F246" t="str">
            <v>COM</v>
          </cell>
          <cell r="G246" t="str">
            <v>Depr. since 31/01/2025</v>
          </cell>
          <cell r="H246">
            <v>0</v>
          </cell>
          <cell r="I246">
            <v>1</v>
          </cell>
        </row>
        <row r="247">
          <cell r="D247" t="str">
            <v>VEH000563</v>
          </cell>
          <cell r="E247" t="str">
            <v>Rider Sweeper FSR B</v>
          </cell>
          <cell r="F247" t="str">
            <v>COM</v>
          </cell>
          <cell r="G247" t="str">
            <v>Depr. since 31/01/2025</v>
          </cell>
          <cell r="H247">
            <v>0</v>
          </cell>
          <cell r="I247">
            <v>1</v>
          </cell>
        </row>
        <row r="248">
          <cell r="D248" t="str">
            <v>VEH000564</v>
          </cell>
          <cell r="E248" t="str">
            <v>Xpander Exceed M/T</v>
          </cell>
          <cell r="F248" t="str">
            <v>COM</v>
          </cell>
          <cell r="G248" t="str">
            <v>Depr. since 31/01/2025</v>
          </cell>
          <cell r="H248">
            <v>0</v>
          </cell>
          <cell r="I248">
            <v>1</v>
          </cell>
        </row>
        <row r="249">
          <cell r="D249" t="str">
            <v>VEH000565</v>
          </cell>
          <cell r="E249" t="str">
            <v>Wing Box</v>
          </cell>
          <cell r="F249" t="str">
            <v>COM</v>
          </cell>
          <cell r="G249" t="str">
            <v>Depr. since 31/01/2025</v>
          </cell>
          <cell r="H249">
            <v>0</v>
          </cell>
          <cell r="I249">
            <v>1.2</v>
          </cell>
        </row>
        <row r="250">
          <cell r="D250" t="str">
            <v>VEH000566</v>
          </cell>
          <cell r="E250" t="str">
            <v>Wing Box</v>
          </cell>
          <cell r="F250" t="str">
            <v>COM</v>
          </cell>
          <cell r="G250" t="str">
            <v>Depr. since 31/01/2025</v>
          </cell>
          <cell r="H250">
            <v>0</v>
          </cell>
          <cell r="I250">
            <v>1.2</v>
          </cell>
        </row>
        <row r="251">
          <cell r="D251" t="str">
            <v>VEH000567</v>
          </cell>
          <cell r="E251" t="str">
            <v>Mitsubishi Triton DC HDX 4x4 M</v>
          </cell>
          <cell r="F251" t="str">
            <v>COM</v>
          </cell>
          <cell r="G251" t="str">
            <v>Depr. since 31/01/2025</v>
          </cell>
          <cell r="H251">
            <v>0</v>
          </cell>
          <cell r="I251">
            <v>4659090.9000000004</v>
          </cell>
        </row>
        <row r="252">
          <cell r="D252" t="str">
            <v>VEH000569</v>
          </cell>
          <cell r="E252" t="str">
            <v>Forklift (No.28)</v>
          </cell>
          <cell r="F252" t="str">
            <v>COM</v>
          </cell>
          <cell r="G252" t="str">
            <v>Depr. since 31/01/2025</v>
          </cell>
          <cell r="H252">
            <v>0</v>
          </cell>
          <cell r="I252">
            <v>6758333.3300000001</v>
          </cell>
        </row>
        <row r="253">
          <cell r="D253" t="str">
            <v>VEH000570</v>
          </cell>
          <cell r="E253" t="str">
            <v>Forklift No.03</v>
          </cell>
          <cell r="F253" t="str">
            <v>COM</v>
          </cell>
          <cell r="G253" t="str">
            <v>Depr. since 31/01/2025</v>
          </cell>
          <cell r="H253">
            <v>0</v>
          </cell>
          <cell r="I253">
            <v>7750000</v>
          </cell>
        </row>
        <row r="254">
          <cell r="D254" t="str">
            <v>VEH000571</v>
          </cell>
          <cell r="E254" t="str">
            <v>Forklift</v>
          </cell>
          <cell r="F254" t="str">
            <v>COM</v>
          </cell>
          <cell r="G254" t="str">
            <v>Depr. since 31/01/2025</v>
          </cell>
          <cell r="H254">
            <v>0</v>
          </cell>
          <cell r="I254">
            <v>1</v>
          </cell>
        </row>
        <row r="255">
          <cell r="D255" t="str">
            <v>VEH000572</v>
          </cell>
          <cell r="E255" t="str">
            <v>Forklift</v>
          </cell>
          <cell r="F255" t="str">
            <v>COM</v>
          </cell>
          <cell r="G255" t="str">
            <v>Depr. since 31/01/2025</v>
          </cell>
          <cell r="H255">
            <v>0</v>
          </cell>
          <cell r="I255">
            <v>1</v>
          </cell>
        </row>
        <row r="256">
          <cell r="D256" t="str">
            <v>VEH000573</v>
          </cell>
          <cell r="E256" t="str">
            <v>forklift</v>
          </cell>
          <cell r="F256" t="str">
            <v>COM</v>
          </cell>
          <cell r="G256" t="str">
            <v>Depr. since 31/01/2025</v>
          </cell>
          <cell r="H256">
            <v>0</v>
          </cell>
          <cell r="I256">
            <v>1</v>
          </cell>
        </row>
        <row r="257">
          <cell r="D257" t="str">
            <v>VEH000574</v>
          </cell>
          <cell r="E257" t="str">
            <v>forklift</v>
          </cell>
          <cell r="F257" t="str">
            <v>COM</v>
          </cell>
          <cell r="G257" t="str">
            <v>Depr. since 31/01/2025</v>
          </cell>
          <cell r="H257">
            <v>0</v>
          </cell>
          <cell r="I257">
            <v>1</v>
          </cell>
        </row>
        <row r="258">
          <cell r="D258" t="str">
            <v>VEH000575</v>
          </cell>
          <cell r="E258" t="str">
            <v>Forklift</v>
          </cell>
          <cell r="F258" t="str">
            <v>COM</v>
          </cell>
          <cell r="G258" t="str">
            <v>Depr. since 31/01/2025</v>
          </cell>
          <cell r="H258">
            <v>0</v>
          </cell>
          <cell r="I258">
            <v>7750000</v>
          </cell>
        </row>
        <row r="259">
          <cell r="D259" t="str">
            <v>VEH000576</v>
          </cell>
          <cell r="E259" t="str">
            <v>Forklift</v>
          </cell>
          <cell r="F259" t="str">
            <v>COM</v>
          </cell>
          <cell r="G259" t="str">
            <v>Depr. since 31/01/2025</v>
          </cell>
          <cell r="H259">
            <v>0</v>
          </cell>
          <cell r="I259">
            <v>7750000</v>
          </cell>
        </row>
        <row r="260">
          <cell r="D260" t="str">
            <v>VEH000577</v>
          </cell>
          <cell r="E260" t="str">
            <v>Forklift</v>
          </cell>
          <cell r="F260" t="str">
            <v>COM</v>
          </cell>
          <cell r="G260" t="str">
            <v>Depr. since 31/01/2025</v>
          </cell>
          <cell r="H260">
            <v>0</v>
          </cell>
          <cell r="I260">
            <v>9083333.3300000001</v>
          </cell>
        </row>
        <row r="261">
          <cell r="D261" t="str">
            <v>VEH000578</v>
          </cell>
          <cell r="E261" t="str">
            <v>Forklift</v>
          </cell>
          <cell r="F261" t="str">
            <v>COM</v>
          </cell>
          <cell r="G261" t="str">
            <v>Depr. since 31/01/2025</v>
          </cell>
          <cell r="H261">
            <v>0</v>
          </cell>
          <cell r="I261">
            <v>8750000</v>
          </cell>
        </row>
        <row r="262">
          <cell r="D262" t="str">
            <v>VEH000579</v>
          </cell>
          <cell r="E262" t="str">
            <v>Forklift</v>
          </cell>
          <cell r="F262" t="str">
            <v>COM</v>
          </cell>
          <cell r="G262" t="str">
            <v>Depr. since 31/01/2025</v>
          </cell>
          <cell r="H262">
            <v>0</v>
          </cell>
          <cell r="I262">
            <v>6083333.3300000001</v>
          </cell>
        </row>
        <row r="263">
          <cell r="D263" t="str">
            <v>VEH000580</v>
          </cell>
          <cell r="E263" t="str">
            <v>Forklift</v>
          </cell>
          <cell r="F263" t="str">
            <v>COM</v>
          </cell>
          <cell r="G263" t="str">
            <v>Depr. since 31/01/2025</v>
          </cell>
          <cell r="H263">
            <v>0</v>
          </cell>
          <cell r="I263">
            <v>9416666.6699999999</v>
          </cell>
        </row>
        <row r="264">
          <cell r="D264" t="str">
            <v>VEH000581</v>
          </cell>
          <cell r="E264" t="str">
            <v>Forklift</v>
          </cell>
          <cell r="F264" t="str">
            <v>COM</v>
          </cell>
          <cell r="G264" t="str">
            <v>Depr. since 31/01/2025</v>
          </cell>
          <cell r="H264">
            <v>0</v>
          </cell>
          <cell r="I264">
            <v>9416666.6699999999</v>
          </cell>
        </row>
        <row r="265">
          <cell r="D265" t="str">
            <v>VEH000582</v>
          </cell>
          <cell r="E265" t="str">
            <v>forklift</v>
          </cell>
          <cell r="F265" t="str">
            <v>COM</v>
          </cell>
          <cell r="G265" t="str">
            <v>Depr. since 31/01/2025</v>
          </cell>
          <cell r="H265">
            <v>0</v>
          </cell>
          <cell r="I265">
            <v>9416666.6699999999</v>
          </cell>
        </row>
        <row r="266">
          <cell r="D266" t="str">
            <v>VEH000583</v>
          </cell>
          <cell r="E266" t="str">
            <v>Forklift (No. 23)</v>
          </cell>
          <cell r="F266" t="str">
            <v>COM</v>
          </cell>
          <cell r="G266" t="str">
            <v>Depr. since 31/01/2025</v>
          </cell>
          <cell r="H266">
            <v>0</v>
          </cell>
          <cell r="I266">
            <v>7750000</v>
          </cell>
        </row>
        <row r="267">
          <cell r="D267" t="str">
            <v>VEH000584</v>
          </cell>
          <cell r="E267" t="str">
            <v>Forklift (No. 31)</v>
          </cell>
          <cell r="F267" t="str">
            <v>COM</v>
          </cell>
          <cell r="G267" t="str">
            <v>Depr. since 31/01/2025</v>
          </cell>
          <cell r="H267">
            <v>0</v>
          </cell>
          <cell r="I267">
            <v>9416666.6699999999</v>
          </cell>
        </row>
        <row r="268">
          <cell r="D268" t="str">
            <v>VEH000585</v>
          </cell>
          <cell r="E268" t="str">
            <v>Forklift (No. 32)</v>
          </cell>
          <cell r="F268" t="str">
            <v>COM</v>
          </cell>
          <cell r="G268" t="str">
            <v>Depr. since 31/01/2025</v>
          </cell>
          <cell r="H268">
            <v>0</v>
          </cell>
          <cell r="I268">
            <v>9416666.6699999999</v>
          </cell>
        </row>
        <row r="269">
          <cell r="D269" t="str">
            <v>VEH000586</v>
          </cell>
          <cell r="E269" t="str">
            <v>Forklift (No. 30)</v>
          </cell>
          <cell r="F269" t="str">
            <v>COM</v>
          </cell>
          <cell r="G269" t="str">
            <v>Depr. since 31/01/2025</v>
          </cell>
          <cell r="H269">
            <v>0</v>
          </cell>
          <cell r="I269">
            <v>7750000</v>
          </cell>
        </row>
        <row r="270">
          <cell r="D270" t="str">
            <v>VEH000587</v>
          </cell>
          <cell r="E270" t="str">
            <v>Bulldozer (No. 04)</v>
          </cell>
          <cell r="F270" t="str">
            <v>COM</v>
          </cell>
          <cell r="G270" t="str">
            <v>Depr. since 31/01/2025</v>
          </cell>
          <cell r="H270">
            <v>0</v>
          </cell>
          <cell r="I270">
            <v>1</v>
          </cell>
        </row>
        <row r="271">
          <cell r="D271" t="str">
            <v>VEH000588</v>
          </cell>
          <cell r="E271" t="str">
            <v>Forklift (No.17)</v>
          </cell>
          <cell r="F271" t="str">
            <v>COM</v>
          </cell>
          <cell r="G271" t="str">
            <v>Depr. since 31/01/2025</v>
          </cell>
          <cell r="H271">
            <v>0</v>
          </cell>
          <cell r="I271">
            <v>7250000</v>
          </cell>
        </row>
        <row r="272">
          <cell r="D272" t="str">
            <v>VEH000589</v>
          </cell>
          <cell r="E272" t="str">
            <v>Push Pull</v>
          </cell>
          <cell r="F272" t="str">
            <v>COM</v>
          </cell>
          <cell r="G272" t="str">
            <v>Depr. since 31/01/2025</v>
          </cell>
          <cell r="H272">
            <v>0</v>
          </cell>
          <cell r="I272">
            <v>3340833.33</v>
          </cell>
        </row>
        <row r="273">
          <cell r="D273" t="str">
            <v>VEH000590</v>
          </cell>
          <cell r="E273" t="str">
            <v>Avanza 1.3 G A/T</v>
          </cell>
          <cell r="F273" t="str">
            <v>COM</v>
          </cell>
          <cell r="G273" t="str">
            <v>Depr. since 31/01/2025</v>
          </cell>
          <cell r="H273">
            <v>0</v>
          </cell>
          <cell r="I273">
            <v>3135248.1</v>
          </cell>
        </row>
        <row r="274">
          <cell r="D274" t="str">
            <v>VEH000591</v>
          </cell>
          <cell r="E274" t="str">
            <v>Avanza 1.3 G A/T</v>
          </cell>
          <cell r="F274" t="str">
            <v>COM</v>
          </cell>
          <cell r="G274" t="str">
            <v>Depr. since 31/01/2025</v>
          </cell>
          <cell r="H274">
            <v>0</v>
          </cell>
          <cell r="I274">
            <v>3135248.1</v>
          </cell>
        </row>
        <row r="275">
          <cell r="D275" t="str">
            <v>VEH000592</v>
          </cell>
          <cell r="E275" t="str">
            <v>Avanza 1.3 G A/T</v>
          </cell>
          <cell r="F275" t="str">
            <v>COM</v>
          </cell>
          <cell r="G275" t="str">
            <v>Depr. since 31/01/2025</v>
          </cell>
          <cell r="H275">
            <v>0</v>
          </cell>
          <cell r="I275">
            <v>3135248.1</v>
          </cell>
        </row>
        <row r="276">
          <cell r="D276" t="str">
            <v>VEH000593</v>
          </cell>
          <cell r="E276" t="str">
            <v>Avanza 1.3 G A/T</v>
          </cell>
          <cell r="F276" t="str">
            <v>COM</v>
          </cell>
          <cell r="G276" t="str">
            <v>Depr. since 31/01/2025</v>
          </cell>
          <cell r="H276">
            <v>0</v>
          </cell>
          <cell r="I276">
            <v>3135248.1</v>
          </cell>
        </row>
        <row r="277">
          <cell r="D277" t="str">
            <v>VEH000594</v>
          </cell>
          <cell r="E277" t="str">
            <v>Avanza 1.3 G A/T</v>
          </cell>
          <cell r="F277" t="str">
            <v>COM</v>
          </cell>
          <cell r="G277" t="str">
            <v>Depr. since 31/01/2025</v>
          </cell>
          <cell r="H277">
            <v>0</v>
          </cell>
          <cell r="I277">
            <v>3135248.1</v>
          </cell>
        </row>
        <row r="278">
          <cell r="D278" t="str">
            <v>VEH000595</v>
          </cell>
          <cell r="E278" t="str">
            <v>Truck Crane</v>
          </cell>
          <cell r="F278" t="str">
            <v>COM</v>
          </cell>
          <cell r="G278" t="str">
            <v>Depr. since 31/01/2025</v>
          </cell>
          <cell r="H278">
            <v>0</v>
          </cell>
          <cell r="I278">
            <v>7812500</v>
          </cell>
        </row>
        <row r="279">
          <cell r="D279" t="str">
            <v>VEH000596</v>
          </cell>
          <cell r="E279" t="str">
            <v>Tractor Head</v>
          </cell>
          <cell r="F279" t="str">
            <v>COM</v>
          </cell>
          <cell r="G279" t="str">
            <v>Depr. since 31/01/2025</v>
          </cell>
          <cell r="H279">
            <v>0</v>
          </cell>
          <cell r="I279">
            <v>10000000</v>
          </cell>
        </row>
        <row r="280">
          <cell r="D280" t="str">
            <v>VEH000597</v>
          </cell>
          <cell r="E280" t="str">
            <v>Trailer Hight Bed 40Ft</v>
          </cell>
          <cell r="F280" t="str">
            <v>COM</v>
          </cell>
          <cell r="G280" t="str">
            <v>Depr. since 31/01/2025</v>
          </cell>
          <cell r="H280">
            <v>0</v>
          </cell>
          <cell r="I280">
            <v>2450000</v>
          </cell>
        </row>
        <row r="281">
          <cell r="D281" t="str">
            <v>VEH000598</v>
          </cell>
          <cell r="E281" t="str">
            <v>Tractor Head</v>
          </cell>
          <cell r="F281" t="str">
            <v>COM</v>
          </cell>
          <cell r="G281" t="str">
            <v>Depr. since 31/01/2025</v>
          </cell>
          <cell r="H281">
            <v>0</v>
          </cell>
          <cell r="I281">
            <v>10000000</v>
          </cell>
        </row>
        <row r="282">
          <cell r="D282" t="str">
            <v>VEH000599</v>
          </cell>
          <cell r="E282" t="str">
            <v>Trailer Hight Bed 40Ft</v>
          </cell>
          <cell r="F282" t="str">
            <v>COM</v>
          </cell>
          <cell r="G282" t="str">
            <v>Depr. since 31/01/2025</v>
          </cell>
          <cell r="H282">
            <v>0</v>
          </cell>
          <cell r="I282">
            <v>2450000</v>
          </cell>
        </row>
        <row r="283">
          <cell r="D283" t="str">
            <v>VEH000600</v>
          </cell>
          <cell r="E283" t="str">
            <v>Tractor Head</v>
          </cell>
          <cell r="F283" t="str">
            <v>COM</v>
          </cell>
          <cell r="G283" t="str">
            <v>Depr. since 31/01/2025</v>
          </cell>
          <cell r="H283">
            <v>0</v>
          </cell>
          <cell r="I283">
            <v>10000000</v>
          </cell>
        </row>
        <row r="284">
          <cell r="D284" t="str">
            <v>VEH000601</v>
          </cell>
          <cell r="E284" t="str">
            <v>Trailer Hight Bed 40Ft</v>
          </cell>
          <cell r="F284" t="str">
            <v>COM</v>
          </cell>
          <cell r="G284" t="str">
            <v>Depr. since 31/01/2025</v>
          </cell>
          <cell r="H284">
            <v>0</v>
          </cell>
          <cell r="I284">
            <v>2450000</v>
          </cell>
        </row>
        <row r="285">
          <cell r="D285" t="str">
            <v>VEH000602</v>
          </cell>
          <cell r="E285" t="str">
            <v>Roughter Crane 25 T</v>
          </cell>
          <cell r="F285" t="str">
            <v>COM</v>
          </cell>
          <cell r="G285" t="str">
            <v>Depr. since 31/01/2025</v>
          </cell>
          <cell r="H285">
            <v>0</v>
          </cell>
          <cell r="I285">
            <v>30833333.329999998</v>
          </cell>
        </row>
        <row r="286">
          <cell r="D286" t="str">
            <v>VEH000603</v>
          </cell>
          <cell r="E286" t="str">
            <v>Whell Loader</v>
          </cell>
          <cell r="F286" t="str">
            <v>COM</v>
          </cell>
          <cell r="G286" t="str">
            <v>Depr. since 31/01/2025</v>
          </cell>
          <cell r="H286">
            <v>0</v>
          </cell>
          <cell r="I286">
            <v>1</v>
          </cell>
        </row>
        <row r="287">
          <cell r="D287" t="str">
            <v>VEH000604</v>
          </cell>
          <cell r="E287" t="str">
            <v>Bulzoni Auramo</v>
          </cell>
          <cell r="F287" t="str">
            <v>COM</v>
          </cell>
          <cell r="G287" t="str">
            <v>Depr. since 31/01/2025</v>
          </cell>
          <cell r="H287">
            <v>0</v>
          </cell>
          <cell r="I287">
            <v>3364583.33</v>
          </cell>
        </row>
        <row r="288">
          <cell r="D288" t="str">
            <v>VEH000605</v>
          </cell>
          <cell r="E288" t="str">
            <v>bulzoni Auramo</v>
          </cell>
          <cell r="F288" t="str">
            <v>COM</v>
          </cell>
          <cell r="G288" t="str">
            <v>Depr. since 31/01/2025</v>
          </cell>
          <cell r="H288">
            <v>0</v>
          </cell>
          <cell r="I288">
            <v>3364583.33</v>
          </cell>
        </row>
        <row r="289">
          <cell r="D289" t="str">
            <v>VEH000606</v>
          </cell>
          <cell r="E289" t="str">
            <v>Bulzoni Auramo</v>
          </cell>
          <cell r="F289" t="str">
            <v>COM</v>
          </cell>
          <cell r="G289" t="str">
            <v>Depr. since 31/01/2025</v>
          </cell>
          <cell r="H289">
            <v>0</v>
          </cell>
          <cell r="I289">
            <v>3364583.33</v>
          </cell>
        </row>
        <row r="290">
          <cell r="D290" t="str">
            <v>VEH000607</v>
          </cell>
          <cell r="E290" t="str">
            <v>Bulzoni Auramo</v>
          </cell>
          <cell r="F290" t="str">
            <v>COM</v>
          </cell>
          <cell r="G290" t="str">
            <v>Depr. since 31/01/2025</v>
          </cell>
          <cell r="H290">
            <v>0</v>
          </cell>
          <cell r="I290">
            <v>3364583.33</v>
          </cell>
        </row>
        <row r="291">
          <cell r="D291" t="str">
            <v>VEH000608</v>
          </cell>
          <cell r="E291" t="str">
            <v>Bulzoni Auramo</v>
          </cell>
          <cell r="F291" t="str">
            <v>COM</v>
          </cell>
          <cell r="G291" t="str">
            <v>Depr. since 31/01/2025</v>
          </cell>
          <cell r="H291">
            <v>0</v>
          </cell>
          <cell r="I291">
            <v>3364583.33</v>
          </cell>
        </row>
        <row r="292">
          <cell r="D292" t="str">
            <v>VEH000609</v>
          </cell>
          <cell r="E292" t="str">
            <v>Bulzoni Auramo</v>
          </cell>
          <cell r="F292" t="str">
            <v>COM</v>
          </cell>
          <cell r="G292" t="str">
            <v>Depr. since 31/01/2025</v>
          </cell>
          <cell r="H292">
            <v>0</v>
          </cell>
          <cell r="I292">
            <v>3364583.33</v>
          </cell>
        </row>
        <row r="293">
          <cell r="D293" t="str">
            <v>VEH000610</v>
          </cell>
          <cell r="E293" t="str">
            <v>Forklift</v>
          </cell>
          <cell r="F293" t="str">
            <v>COM</v>
          </cell>
          <cell r="G293" t="str">
            <v>Depr. since 31/01/2025</v>
          </cell>
          <cell r="H293">
            <v>0</v>
          </cell>
          <cell r="I293">
            <v>6666666.6699999999</v>
          </cell>
        </row>
        <row r="294">
          <cell r="D294" t="str">
            <v>VEH000611</v>
          </cell>
          <cell r="E294" t="str">
            <v>Forklift (no.18)</v>
          </cell>
          <cell r="F294" t="str">
            <v>COM</v>
          </cell>
          <cell r="G294" t="str">
            <v>Depr. since 31/01/2025</v>
          </cell>
          <cell r="H294">
            <v>0</v>
          </cell>
          <cell r="I294">
            <v>10300000</v>
          </cell>
        </row>
        <row r="295">
          <cell r="D295" t="str">
            <v>VEH000612</v>
          </cell>
          <cell r="E295" t="str">
            <v>Drum Dumper</v>
          </cell>
          <cell r="F295" t="str">
            <v>COM</v>
          </cell>
          <cell r="G295" t="str">
            <v>Depr. since 31/01/2025</v>
          </cell>
          <cell r="H295">
            <v>0</v>
          </cell>
          <cell r="I295">
            <v>3047676.6</v>
          </cell>
        </row>
        <row r="296">
          <cell r="D296" t="str">
            <v>VEH000613</v>
          </cell>
          <cell r="E296" t="str">
            <v>Drum Dumper</v>
          </cell>
          <cell r="F296" t="str">
            <v>COM</v>
          </cell>
          <cell r="G296" t="str">
            <v>Depr. since 31/01/2025</v>
          </cell>
          <cell r="H296">
            <v>0</v>
          </cell>
          <cell r="I296">
            <v>3047676.6</v>
          </cell>
        </row>
        <row r="297">
          <cell r="D297" t="str">
            <v>VEH000614</v>
          </cell>
          <cell r="E297" t="str">
            <v>Fortuner</v>
          </cell>
          <cell r="F297" t="str">
            <v>COM</v>
          </cell>
          <cell r="G297" t="str">
            <v>Depr. since 31/01/2025</v>
          </cell>
          <cell r="H297">
            <v>0</v>
          </cell>
          <cell r="I297">
            <v>9006990.5299999993</v>
          </cell>
        </row>
        <row r="298">
          <cell r="D298" t="str">
            <v>VEH000615</v>
          </cell>
          <cell r="E298" t="str">
            <v>Fortuner</v>
          </cell>
          <cell r="F298" t="str">
            <v>COM</v>
          </cell>
          <cell r="G298" t="str">
            <v>Depr. since 31/01/2025</v>
          </cell>
          <cell r="H298">
            <v>0</v>
          </cell>
          <cell r="I298">
            <v>9006990.5299999993</v>
          </cell>
        </row>
        <row r="299">
          <cell r="D299" t="str">
            <v>VEH000616</v>
          </cell>
          <cell r="E299" t="str">
            <v>Forklift No.16</v>
          </cell>
          <cell r="F299" t="str">
            <v>COM</v>
          </cell>
          <cell r="G299" t="str">
            <v>Depr. since 31/01/2025</v>
          </cell>
          <cell r="H299">
            <v>0</v>
          </cell>
          <cell r="I299">
            <v>7600000</v>
          </cell>
        </row>
        <row r="300">
          <cell r="D300" t="str">
            <v>VEH000617</v>
          </cell>
          <cell r="E300" t="str">
            <v>Forklift No.38</v>
          </cell>
          <cell r="F300" t="str">
            <v>COM</v>
          </cell>
          <cell r="G300" t="str">
            <v>Depr. since 31/01/2025</v>
          </cell>
          <cell r="H300">
            <v>0</v>
          </cell>
          <cell r="I300">
            <v>7600000</v>
          </cell>
        </row>
        <row r="301">
          <cell r="D301" t="str">
            <v>VEH000618</v>
          </cell>
          <cell r="E301" t="str">
            <v>Forklift No.39</v>
          </cell>
          <cell r="F301" t="str">
            <v>COM</v>
          </cell>
          <cell r="G301" t="str">
            <v>Depr. since 31/01/2025</v>
          </cell>
          <cell r="H301">
            <v>0</v>
          </cell>
          <cell r="I301">
            <v>7600000</v>
          </cell>
        </row>
        <row r="302">
          <cell r="D302" t="str">
            <v>VEH000619</v>
          </cell>
          <cell r="E302" t="str">
            <v>Forklift No.40</v>
          </cell>
          <cell r="F302" t="str">
            <v>COM</v>
          </cell>
          <cell r="G302" t="str">
            <v>Depr. since 31/01/2025</v>
          </cell>
          <cell r="H302">
            <v>0</v>
          </cell>
          <cell r="I302">
            <v>7600000</v>
          </cell>
        </row>
        <row r="303">
          <cell r="D303" t="str">
            <v>VEH000620</v>
          </cell>
          <cell r="E303" t="str">
            <v>Avanza MT</v>
          </cell>
          <cell r="F303" t="str">
            <v>COM</v>
          </cell>
          <cell r="G303" t="str">
            <v>Depr. since 31/01/2025</v>
          </cell>
          <cell r="H303">
            <v>0</v>
          </cell>
          <cell r="I303">
            <v>3202519.68</v>
          </cell>
        </row>
        <row r="304">
          <cell r="D304" t="str">
            <v>VEH000621</v>
          </cell>
          <cell r="E304" t="str">
            <v>Forklift No. 34</v>
          </cell>
          <cell r="F304" t="str">
            <v>COM</v>
          </cell>
          <cell r="G304" t="str">
            <v>Depr. since 31/01/2025</v>
          </cell>
          <cell r="H304">
            <v>0</v>
          </cell>
          <cell r="I304">
            <v>11416666.67</v>
          </cell>
        </row>
        <row r="305">
          <cell r="D305" t="str">
            <v>VEH000622</v>
          </cell>
          <cell r="E305" t="str">
            <v>Forklift No. 37</v>
          </cell>
          <cell r="F305" t="str">
            <v>COM</v>
          </cell>
          <cell r="G305" t="str">
            <v>Depr. since 31/01/2025</v>
          </cell>
          <cell r="H305">
            <v>0</v>
          </cell>
          <cell r="I305">
            <v>9133333.3300000001</v>
          </cell>
        </row>
        <row r="306">
          <cell r="D306" t="str">
            <v>VEH000623</v>
          </cell>
          <cell r="E306" t="str">
            <v>Forklift No. 35</v>
          </cell>
          <cell r="F306" t="str">
            <v>COM</v>
          </cell>
          <cell r="G306" t="str">
            <v>Depr. since 31/01/2025</v>
          </cell>
          <cell r="H306">
            <v>0</v>
          </cell>
          <cell r="I306">
            <v>11416666.67</v>
          </cell>
        </row>
        <row r="307">
          <cell r="D307" t="str">
            <v>VEH000624</v>
          </cell>
          <cell r="E307" t="str">
            <v>Forklift No. 36</v>
          </cell>
          <cell r="F307" t="str">
            <v>COM</v>
          </cell>
          <cell r="G307" t="str">
            <v>Depr. since 31/01/2025</v>
          </cell>
          <cell r="H307">
            <v>0</v>
          </cell>
          <cell r="I307">
            <v>9133333.3300000001</v>
          </cell>
        </row>
        <row r="308">
          <cell r="D308" t="str">
            <v>VEH000625</v>
          </cell>
          <cell r="E308" t="str">
            <v>Forklift No. 36</v>
          </cell>
          <cell r="F308" t="str">
            <v>COM</v>
          </cell>
          <cell r="G308" t="str">
            <v>Depr. since 31/01/2025</v>
          </cell>
          <cell r="H308">
            <v>0</v>
          </cell>
          <cell r="I308">
            <v>9500000</v>
          </cell>
        </row>
        <row r="309">
          <cell r="D309" t="str">
            <v>VEH000626</v>
          </cell>
          <cell r="E309" t="str">
            <v>Forklift No. 37</v>
          </cell>
          <cell r="F309" t="str">
            <v>COM</v>
          </cell>
          <cell r="G309" t="str">
            <v>Depr. since 31/01/2025</v>
          </cell>
          <cell r="H309">
            <v>0</v>
          </cell>
          <cell r="I309">
            <v>9500000</v>
          </cell>
        </row>
        <row r="310">
          <cell r="D310" t="str">
            <v>VEH000627</v>
          </cell>
          <cell r="E310" t="str">
            <v>Forklift No. 35</v>
          </cell>
          <cell r="F310" t="str">
            <v>COM</v>
          </cell>
          <cell r="G310" t="str">
            <v>Depr. since 31/01/2025</v>
          </cell>
          <cell r="H310">
            <v>0</v>
          </cell>
          <cell r="I310">
            <v>11416666.67</v>
          </cell>
        </row>
        <row r="311">
          <cell r="D311" t="str">
            <v>VEH000628</v>
          </cell>
          <cell r="E311" t="str">
            <v>Bulldozer No. 06</v>
          </cell>
          <cell r="F311" t="str">
            <v>COM</v>
          </cell>
          <cell r="G311" t="str">
            <v>Depr. since 31/01/2025</v>
          </cell>
          <cell r="H311">
            <v>0</v>
          </cell>
          <cell r="I311">
            <v>86111111.109999999</v>
          </cell>
        </row>
        <row r="312">
          <cell r="D312" t="str">
            <v>VEH000629</v>
          </cell>
          <cell r="E312" t="str">
            <v>Forklift</v>
          </cell>
          <cell r="F312" t="str">
            <v>COM</v>
          </cell>
          <cell r="G312" t="str">
            <v>Depr. since 31/01/2025</v>
          </cell>
          <cell r="H312">
            <v>0</v>
          </cell>
          <cell r="I312">
            <v>17916666.670000002</v>
          </cell>
        </row>
        <row r="313">
          <cell r="D313" t="str">
            <v>VEH000630</v>
          </cell>
          <cell r="E313" t="str">
            <v>Forklift</v>
          </cell>
          <cell r="F313" t="str">
            <v>COM</v>
          </cell>
          <cell r="G313" t="str">
            <v>Depr. since 31/01/2025</v>
          </cell>
          <cell r="H313">
            <v>0</v>
          </cell>
          <cell r="I313">
            <v>7600000</v>
          </cell>
        </row>
        <row r="314">
          <cell r="D314" t="str">
            <v>VEH000631</v>
          </cell>
          <cell r="E314" t="str">
            <v>Forklift</v>
          </cell>
          <cell r="F314" t="str">
            <v>COM</v>
          </cell>
          <cell r="G314" t="str">
            <v>Depr. since 31/01/2025</v>
          </cell>
          <cell r="H314">
            <v>0</v>
          </cell>
          <cell r="I314">
            <v>7600000</v>
          </cell>
        </row>
        <row r="315">
          <cell r="D315" t="str">
            <v>VEH000632</v>
          </cell>
          <cell r="E315" t="str">
            <v>Kijang Inova</v>
          </cell>
          <cell r="F315" t="str">
            <v>COM</v>
          </cell>
          <cell r="G315" t="str">
            <v>Depr. since 31/01/2025</v>
          </cell>
          <cell r="H315">
            <v>0</v>
          </cell>
          <cell r="I315">
            <v>5472740.25</v>
          </cell>
        </row>
        <row r="316">
          <cell r="D316" t="str">
            <v>VEH000633</v>
          </cell>
          <cell r="E316" t="str">
            <v>Excavator</v>
          </cell>
          <cell r="F316" t="str">
            <v>COM</v>
          </cell>
          <cell r="G316" t="str">
            <v>Depr. since 31/01/2025</v>
          </cell>
          <cell r="H316">
            <v>0</v>
          </cell>
          <cell r="I316">
            <v>38888888.890000001</v>
          </cell>
        </row>
        <row r="317">
          <cell r="D317" t="str">
            <v>VEH000634</v>
          </cell>
          <cell r="E317" t="str">
            <v>Excavator</v>
          </cell>
          <cell r="F317" t="str">
            <v>COM</v>
          </cell>
          <cell r="G317" t="str">
            <v>Depr. since 31/01/2025</v>
          </cell>
          <cell r="H317">
            <v>0</v>
          </cell>
          <cell r="I317">
            <v>14833333.33</v>
          </cell>
        </row>
        <row r="318">
          <cell r="D318" t="str">
            <v>VEH000635</v>
          </cell>
          <cell r="E318" t="str">
            <v>Rough Terrain Crane</v>
          </cell>
          <cell r="F318" t="str">
            <v>COM</v>
          </cell>
          <cell r="G318" t="str">
            <v>Depr. since 31/01/2025</v>
          </cell>
          <cell r="H318">
            <v>0</v>
          </cell>
          <cell r="I318">
            <v>56500000</v>
          </cell>
        </row>
        <row r="319">
          <cell r="D319" t="str">
            <v>VEH000636</v>
          </cell>
          <cell r="E319" t="str">
            <v>UD Truck Cargo Deck</v>
          </cell>
          <cell r="F319" t="str">
            <v>COM</v>
          </cell>
          <cell r="G319" t="str">
            <v>Depr. since 31/01/2025</v>
          </cell>
          <cell r="H319">
            <v>0</v>
          </cell>
          <cell r="I319">
            <v>23000000</v>
          </cell>
        </row>
        <row r="320">
          <cell r="D320" t="str">
            <v>VEH000637</v>
          </cell>
          <cell r="E320" t="str">
            <v>Truck Loader Crane</v>
          </cell>
          <cell r="F320" t="str">
            <v>COM</v>
          </cell>
          <cell r="G320" t="str">
            <v>Depr. since 31/01/2025</v>
          </cell>
          <cell r="H320">
            <v>0</v>
          </cell>
          <cell r="I320">
            <v>13500000</v>
          </cell>
        </row>
        <row r="321">
          <cell r="D321" t="str">
            <v>VEH000638</v>
          </cell>
          <cell r="E321" t="str">
            <v>Forklift</v>
          </cell>
          <cell r="F321" t="str">
            <v>COM</v>
          </cell>
          <cell r="G321" t="str">
            <v>Depr. since 31/01/2025</v>
          </cell>
          <cell r="H321">
            <v>0</v>
          </cell>
          <cell r="I321">
            <v>8416666.6699999999</v>
          </cell>
        </row>
        <row r="322">
          <cell r="D322" t="str">
            <v>VEH000639</v>
          </cell>
          <cell r="E322" t="str">
            <v>Avanza 1.5 G CVT</v>
          </cell>
          <cell r="F322" t="str">
            <v>COM</v>
          </cell>
          <cell r="G322" t="str">
            <v>Depr. since 31/01/2025</v>
          </cell>
          <cell r="H322">
            <v>0</v>
          </cell>
          <cell r="I322">
            <v>3684170.43</v>
          </cell>
        </row>
        <row r="323">
          <cell r="D323" t="str">
            <v>VEH000640</v>
          </cell>
          <cell r="E323" t="str">
            <v>Bulldozer</v>
          </cell>
          <cell r="F323" t="str">
            <v>COM</v>
          </cell>
          <cell r="G323" t="str">
            <v>Depr. since 31/01/2025</v>
          </cell>
          <cell r="H323">
            <v>0</v>
          </cell>
          <cell r="I323">
            <v>87500000</v>
          </cell>
        </row>
        <row r="324">
          <cell r="D324" t="str">
            <v>VEH000641</v>
          </cell>
          <cell r="E324" t="str">
            <v>Goldhofer THP</v>
          </cell>
          <cell r="F324" t="str">
            <v>COM</v>
          </cell>
          <cell r="G324" t="str">
            <v>Depr. since 31/01/2025</v>
          </cell>
          <cell r="H324">
            <v>0</v>
          </cell>
          <cell r="I324">
            <v>24176421.18</v>
          </cell>
        </row>
        <row r="325">
          <cell r="D325" t="str">
            <v>VEH000642</v>
          </cell>
          <cell r="E325" t="str">
            <v>Prime Mover</v>
          </cell>
          <cell r="F325" t="str">
            <v>COM</v>
          </cell>
          <cell r="G325" t="str">
            <v>Depr. since 31/01/2025</v>
          </cell>
          <cell r="H325">
            <v>0</v>
          </cell>
          <cell r="I325">
            <v>7232280.71</v>
          </cell>
        </row>
        <row r="326">
          <cell r="D326" t="str">
            <v>VEH000643</v>
          </cell>
          <cell r="E326" t="str">
            <v>All Terrain Crane</v>
          </cell>
          <cell r="F326" t="str">
            <v>COM</v>
          </cell>
          <cell r="G326" t="str">
            <v>Depr. since 31/01/2025</v>
          </cell>
          <cell r="H326">
            <v>0</v>
          </cell>
          <cell r="I326">
            <v>1</v>
          </cell>
        </row>
        <row r="327">
          <cell r="D327" t="str">
            <v>VEH000644</v>
          </cell>
          <cell r="E327" t="str">
            <v>Crowler Crane</v>
          </cell>
          <cell r="F327" t="str">
            <v>COM</v>
          </cell>
          <cell r="G327" t="str">
            <v>Depr. since 31/01/2025</v>
          </cell>
          <cell r="H327">
            <v>0</v>
          </cell>
          <cell r="I327">
            <v>147283999.36000001</v>
          </cell>
        </row>
        <row r="328">
          <cell r="D328" t="str">
            <v>VEH000645</v>
          </cell>
          <cell r="E328" t="str">
            <v>UD Truck</v>
          </cell>
          <cell r="F328" t="str">
            <v>COM</v>
          </cell>
          <cell r="G328" t="str">
            <v>Depr. since 31/01/2025</v>
          </cell>
          <cell r="H328">
            <v>0</v>
          </cell>
          <cell r="I328">
            <v>23000000</v>
          </cell>
        </row>
        <row r="329">
          <cell r="D329" t="str">
            <v>VEH000646</v>
          </cell>
          <cell r="E329" t="str">
            <v>Truck Loader Crane</v>
          </cell>
          <cell r="F329" t="str">
            <v>COM</v>
          </cell>
          <cell r="G329" t="str">
            <v>Depr. since 31/01/2025</v>
          </cell>
          <cell r="H329">
            <v>0</v>
          </cell>
          <cell r="I329">
            <v>13500000</v>
          </cell>
        </row>
        <row r="330">
          <cell r="D330" t="str">
            <v>VEH000647</v>
          </cell>
          <cell r="E330" t="str">
            <v>Bulldozer</v>
          </cell>
          <cell r="F330" t="str">
            <v>COM</v>
          </cell>
          <cell r="G330" t="str">
            <v>Depr. since 31/01/2025</v>
          </cell>
          <cell r="H330">
            <v>0</v>
          </cell>
          <cell r="I330">
            <v>63194444.439999998</v>
          </cell>
        </row>
        <row r="331">
          <cell r="D331" t="str">
            <v>VEH000648</v>
          </cell>
          <cell r="E331" t="str">
            <v>Bulldozer</v>
          </cell>
          <cell r="F331" t="str">
            <v>COM</v>
          </cell>
          <cell r="G331" t="str">
            <v>Depr. since 31/01/2025</v>
          </cell>
          <cell r="H331">
            <v>0</v>
          </cell>
          <cell r="I331">
            <v>63194444.439999998</v>
          </cell>
        </row>
        <row r="332">
          <cell r="D332" t="str">
            <v>VEH000649</v>
          </cell>
          <cell r="E332" t="str">
            <v>Bulldozer</v>
          </cell>
          <cell r="F332" t="str">
            <v>COM</v>
          </cell>
          <cell r="G332" t="str">
            <v>Depr. since 31/01/2025</v>
          </cell>
          <cell r="H332">
            <v>0</v>
          </cell>
          <cell r="I332">
            <v>42500000</v>
          </cell>
        </row>
        <row r="333">
          <cell r="D333" t="str">
            <v>VEH000650</v>
          </cell>
          <cell r="E333" t="str">
            <v>Bulldozer</v>
          </cell>
          <cell r="F333" t="str">
            <v>COM</v>
          </cell>
          <cell r="G333" t="str">
            <v>Depr. since 31/01/2025</v>
          </cell>
          <cell r="H333">
            <v>0</v>
          </cell>
          <cell r="I333">
            <v>63194444.439999998</v>
          </cell>
        </row>
        <row r="334">
          <cell r="D334" t="str">
            <v>VEH000651</v>
          </cell>
          <cell r="E334" t="str">
            <v>Toyota Voxy</v>
          </cell>
          <cell r="F334" t="str">
            <v>COM</v>
          </cell>
          <cell r="G334" t="str">
            <v>Depr. since 31/01/2025</v>
          </cell>
          <cell r="H334">
            <v>0</v>
          </cell>
          <cell r="I334">
            <v>9075647.1500000004</v>
          </cell>
        </row>
        <row r="335">
          <cell r="D335" t="str">
            <v>VEH000652</v>
          </cell>
          <cell r="E335" t="str">
            <v>Truck Box Hino SDL</v>
          </cell>
          <cell r="F335" t="str">
            <v>COM</v>
          </cell>
          <cell r="G335" t="str">
            <v>Depr. since 31/01/2025</v>
          </cell>
          <cell r="H335">
            <v>0</v>
          </cell>
          <cell r="I335">
            <v>4929429.45</v>
          </cell>
        </row>
        <row r="336">
          <cell r="D336" t="str">
            <v>VEH000653</v>
          </cell>
          <cell r="E336" t="str">
            <v>Truck Box Hino SDL - Box</v>
          </cell>
          <cell r="F336" t="str">
            <v>COM</v>
          </cell>
          <cell r="G336" t="str">
            <v>Depr. since 31/01/2025</v>
          </cell>
          <cell r="H336">
            <v>0</v>
          </cell>
          <cell r="I336">
            <v>916666.67</v>
          </cell>
        </row>
        <row r="337">
          <cell r="D337" t="str">
            <v>VEH000654</v>
          </cell>
          <cell r="E337" t="str">
            <v>Hilux Pick Up</v>
          </cell>
          <cell r="F337" t="str">
            <v>COM</v>
          </cell>
          <cell r="G337" t="str">
            <v>Depr. since 31/01/2025</v>
          </cell>
          <cell r="H337">
            <v>0</v>
          </cell>
          <cell r="I337">
            <v>4465545.2300000004</v>
          </cell>
        </row>
        <row r="338">
          <cell r="D338" t="str">
            <v>VEH000655</v>
          </cell>
          <cell r="E338" t="str">
            <v>Hilux Pick Up</v>
          </cell>
          <cell r="F338" t="str">
            <v>COM</v>
          </cell>
          <cell r="G338" t="str">
            <v>Depr. since 31/01/2025</v>
          </cell>
          <cell r="H338">
            <v>0</v>
          </cell>
          <cell r="I338">
            <v>4465545.2300000004</v>
          </cell>
        </row>
        <row r="339">
          <cell r="D339" t="str">
            <v>VEH000656</v>
          </cell>
          <cell r="E339" t="str">
            <v>Avanza</v>
          </cell>
          <cell r="F339" t="str">
            <v>COM</v>
          </cell>
          <cell r="G339" t="str">
            <v>Depr. since 31/01/2025</v>
          </cell>
          <cell r="H339">
            <v>0</v>
          </cell>
          <cell r="I339">
            <v>3805899.4</v>
          </cell>
        </row>
        <row r="340">
          <cell r="D340" t="str">
            <v>VEH000657</v>
          </cell>
          <cell r="E340" t="str">
            <v>Inova Genix</v>
          </cell>
          <cell r="F340" t="str">
            <v>COM</v>
          </cell>
          <cell r="G340" t="str">
            <v>Depr. since 31/01/2025</v>
          </cell>
          <cell r="H340">
            <v>0</v>
          </cell>
          <cell r="I340">
            <v>6491107.3700000001</v>
          </cell>
        </row>
        <row r="341">
          <cell r="D341" t="str">
            <v>VEH000658</v>
          </cell>
          <cell r="E341" t="str">
            <v>Voxy 2.0 CVT</v>
          </cell>
          <cell r="F341" t="str">
            <v>COM</v>
          </cell>
          <cell r="G341" t="str">
            <v>Depr. since 31/01/2025</v>
          </cell>
          <cell r="H341">
            <v>0</v>
          </cell>
          <cell r="I341">
            <v>9134493.6300000008</v>
          </cell>
        </row>
        <row r="342">
          <cell r="D342" t="str">
            <v>VEH000659</v>
          </cell>
          <cell r="E342" t="str">
            <v>Excavator</v>
          </cell>
          <cell r="F342" t="str">
            <v>COM</v>
          </cell>
          <cell r="G342" t="str">
            <v>Depr. since 31/01/2025</v>
          </cell>
          <cell r="H342">
            <v>0</v>
          </cell>
          <cell r="I342">
            <v>22500000</v>
          </cell>
        </row>
        <row r="343">
          <cell r="D343" t="str">
            <v>VEH000660</v>
          </cell>
          <cell r="E343" t="str">
            <v>Wheel Loader</v>
          </cell>
          <cell r="F343" t="str">
            <v>COM</v>
          </cell>
          <cell r="G343" t="str">
            <v>Depr. since 31/01/2025</v>
          </cell>
          <cell r="H343">
            <v>0</v>
          </cell>
          <cell r="I343">
            <v>23833333.329999998</v>
          </cell>
        </row>
        <row r="344">
          <cell r="D344" t="str">
            <v>VEH000661</v>
          </cell>
          <cell r="E344" t="str">
            <v>wHeel Loader</v>
          </cell>
          <cell r="F344" t="str">
            <v>COM</v>
          </cell>
          <cell r="G344" t="str">
            <v>Depr. since 31/01/2025</v>
          </cell>
          <cell r="H344">
            <v>0</v>
          </cell>
          <cell r="I344">
            <v>23833333.329999998</v>
          </cell>
        </row>
        <row r="345">
          <cell r="D345" t="str">
            <v>VEH000662</v>
          </cell>
          <cell r="E345" t="str">
            <v>Forklift</v>
          </cell>
          <cell r="F345" t="str">
            <v>COM</v>
          </cell>
          <cell r="G345" t="str">
            <v>Depr. since 31/01/2025</v>
          </cell>
          <cell r="H345">
            <v>0</v>
          </cell>
          <cell r="I345">
            <v>7916666.6699999999</v>
          </cell>
        </row>
        <row r="346">
          <cell r="D346" t="str">
            <v>VEH000663</v>
          </cell>
          <cell r="E346" t="str">
            <v>Forklift</v>
          </cell>
          <cell r="F346" t="str">
            <v>COM</v>
          </cell>
          <cell r="G346" t="str">
            <v>Depr. since 31/01/2025</v>
          </cell>
          <cell r="H346">
            <v>0</v>
          </cell>
          <cell r="I346">
            <v>7200000</v>
          </cell>
        </row>
        <row r="347">
          <cell r="D347" t="str">
            <v>VEH000664</v>
          </cell>
          <cell r="E347" t="str">
            <v>Forklift</v>
          </cell>
          <cell r="F347" t="str">
            <v>COM</v>
          </cell>
          <cell r="G347" t="str">
            <v>Depr. since 31/01/2025</v>
          </cell>
          <cell r="H347">
            <v>0</v>
          </cell>
          <cell r="I347">
            <v>6900000</v>
          </cell>
        </row>
        <row r="348">
          <cell r="D348" t="str">
            <v>VEH000665</v>
          </cell>
          <cell r="E348" t="str">
            <v>Truck Box Hino 300 MDL</v>
          </cell>
          <cell r="F348" t="str">
            <v>COM</v>
          </cell>
          <cell r="G348" t="str">
            <v>Depr. since 31/01/2025</v>
          </cell>
          <cell r="H348">
            <v>0</v>
          </cell>
          <cell r="I348">
            <v>6292342.3499999996</v>
          </cell>
        </row>
        <row r="349">
          <cell r="D349" t="str">
            <v>VEH000666</v>
          </cell>
          <cell r="E349" t="str">
            <v>BOX-Truck Box Hino 300 MDL</v>
          </cell>
          <cell r="F349" t="str">
            <v>COM</v>
          </cell>
          <cell r="G349" t="str">
            <v>Depr. since 31/01/2025</v>
          </cell>
          <cell r="H349">
            <v>0</v>
          </cell>
          <cell r="I349">
            <v>750000</v>
          </cell>
        </row>
        <row r="350">
          <cell r="D350" t="str">
            <v>VEH000667</v>
          </cell>
          <cell r="E350" t="str">
            <v>Reach Forklift</v>
          </cell>
          <cell r="F350" t="str">
            <v>COM</v>
          </cell>
          <cell r="G350" t="str">
            <v>Depr. since 31/01/2025</v>
          </cell>
          <cell r="H350">
            <v>0</v>
          </cell>
          <cell r="I350">
            <v>6900000</v>
          </cell>
        </row>
        <row r="351">
          <cell r="D351" t="str">
            <v>VEH000668</v>
          </cell>
          <cell r="E351" t="str">
            <v>Reach Forklift</v>
          </cell>
          <cell r="F351" t="str">
            <v>COM</v>
          </cell>
          <cell r="G351" t="str">
            <v>Depr. since 31/01/2025</v>
          </cell>
          <cell r="H351">
            <v>0</v>
          </cell>
          <cell r="I351">
            <v>6900000</v>
          </cell>
        </row>
        <row r="352">
          <cell r="D352" t="str">
            <v>VEH000669</v>
          </cell>
          <cell r="E352" t="str">
            <v>Toyota Voxy</v>
          </cell>
          <cell r="F352"/>
          <cell r="G352" t="str">
            <v>Depr. since 31/01/2025</v>
          </cell>
          <cell r="H352">
            <v>0</v>
          </cell>
          <cell r="I352">
            <v>9301692.9499999993</v>
          </cell>
        </row>
        <row r="353">
          <cell r="D353" t="str">
            <v>VEH000670</v>
          </cell>
          <cell r="E353" t="str">
            <v>Forklift</v>
          </cell>
          <cell r="F353"/>
          <cell r="G353" t="str">
            <v>Depr. since 31/01/2025</v>
          </cell>
          <cell r="H353">
            <v>0</v>
          </cell>
          <cell r="I353">
            <v>5483333.3300000001</v>
          </cell>
        </row>
        <row r="354">
          <cell r="D354" t="str">
            <v>VEH000671</v>
          </cell>
          <cell r="E354" t="str">
            <v>Avanza</v>
          </cell>
          <cell r="F354"/>
          <cell r="G354" t="str">
            <v>Depr. since 31/01/2025</v>
          </cell>
          <cell r="H354">
            <v>0</v>
          </cell>
          <cell r="I354">
            <v>4005366.75</v>
          </cell>
        </row>
        <row r="355">
          <cell r="D355" t="str">
            <v>VEH000672</v>
          </cell>
          <cell r="E355" t="str">
            <v>Forklift</v>
          </cell>
          <cell r="F355"/>
          <cell r="G355" t="str">
            <v>Depr. since 31/01/2025</v>
          </cell>
          <cell r="H355">
            <v>0</v>
          </cell>
          <cell r="I355">
            <v>8833333.3300000001</v>
          </cell>
        </row>
        <row r="356">
          <cell r="D356" t="str">
            <v>VEH000673</v>
          </cell>
          <cell r="E356" t="str">
            <v>Forklift</v>
          </cell>
          <cell r="F356"/>
          <cell r="G356" t="str">
            <v>Depr. since 31/01/2025</v>
          </cell>
          <cell r="H356">
            <v>0</v>
          </cell>
          <cell r="I356">
            <v>8833333.3300000001</v>
          </cell>
        </row>
        <row r="357">
          <cell r="D357" t="str">
            <v>VEH000674</v>
          </cell>
          <cell r="E357" t="str">
            <v>Forklift</v>
          </cell>
          <cell r="F357"/>
          <cell r="G357" t="str">
            <v>Depr. since 31/01/2025</v>
          </cell>
          <cell r="H357">
            <v>0</v>
          </cell>
          <cell r="I357">
            <v>8583333.3300000001</v>
          </cell>
        </row>
        <row r="358">
          <cell r="D358" t="str">
            <v>VEH000675</v>
          </cell>
          <cell r="E358" t="str">
            <v>Forklift</v>
          </cell>
          <cell r="F358"/>
          <cell r="G358" t="str">
            <v>Depr. since 31/01/2025</v>
          </cell>
          <cell r="H358">
            <v>0</v>
          </cell>
          <cell r="I358">
            <v>10250000</v>
          </cell>
        </row>
        <row r="359">
          <cell r="D359" t="str">
            <v>VEH000676</v>
          </cell>
          <cell r="E359" t="str">
            <v>Forklift</v>
          </cell>
          <cell r="F359"/>
          <cell r="G359" t="str">
            <v>Depr. since 31/01/2025</v>
          </cell>
          <cell r="H359">
            <v>0</v>
          </cell>
          <cell r="I359">
            <v>10250000</v>
          </cell>
        </row>
        <row r="360">
          <cell r="D360" t="str">
            <v>VEH000677</v>
          </cell>
          <cell r="E360" t="str">
            <v>Forklift</v>
          </cell>
          <cell r="F360"/>
          <cell r="G360" t="str">
            <v>Depr. since 31/01/2025</v>
          </cell>
          <cell r="H360">
            <v>0</v>
          </cell>
          <cell r="I360">
            <v>6916666.6699999999</v>
          </cell>
        </row>
        <row r="361">
          <cell r="D361" t="str">
            <v>VEH000678</v>
          </cell>
          <cell r="E361" t="str">
            <v>Forklift</v>
          </cell>
          <cell r="F361"/>
          <cell r="G361" t="str">
            <v>Depr. since 31/01/2025</v>
          </cell>
          <cell r="H361">
            <v>0</v>
          </cell>
          <cell r="I361">
            <v>6916666.6699999999</v>
          </cell>
        </row>
        <row r="362">
          <cell r="D362" t="str">
            <v>VEH000679</v>
          </cell>
          <cell r="E362" t="str">
            <v>Forklift</v>
          </cell>
          <cell r="F362"/>
          <cell r="G362" t="str">
            <v>Depr. since 31/01/2025</v>
          </cell>
          <cell r="H362">
            <v>0</v>
          </cell>
          <cell r="I362">
            <v>6416666.6699999999</v>
          </cell>
        </row>
        <row r="363">
          <cell r="D363" t="str">
            <v>VEH000680</v>
          </cell>
          <cell r="E363" t="str">
            <v>Forklift</v>
          </cell>
          <cell r="F363"/>
          <cell r="G363" t="str">
            <v>Depr. since 31/01/2025</v>
          </cell>
          <cell r="H363">
            <v>0</v>
          </cell>
          <cell r="I363">
            <v>10250000</v>
          </cell>
        </row>
        <row r="364">
          <cell r="D364" t="str">
            <v>VEH000681</v>
          </cell>
          <cell r="E364" t="str">
            <v>Kijang Inova</v>
          </cell>
          <cell r="F364"/>
          <cell r="G364" t="str">
            <v>Depr. since 31/01/2025</v>
          </cell>
          <cell r="H364">
            <v>0</v>
          </cell>
          <cell r="I364">
            <v>5774110</v>
          </cell>
        </row>
        <row r="365">
          <cell r="D365" t="str">
            <v>VEH000682</v>
          </cell>
          <cell r="E365" t="str">
            <v>Kijang Inova</v>
          </cell>
          <cell r="F365"/>
          <cell r="G365" t="str">
            <v>Depr. since 31/01/2025</v>
          </cell>
          <cell r="H365">
            <v>0</v>
          </cell>
          <cell r="I365">
            <v>5774110</v>
          </cell>
        </row>
        <row r="366">
          <cell r="D366" t="str">
            <v>VEH000683</v>
          </cell>
          <cell r="E366" t="str">
            <v>Forklift</v>
          </cell>
          <cell r="F366"/>
          <cell r="G366" t="str">
            <v>Depr. since 31/01/2025</v>
          </cell>
          <cell r="H366">
            <v>0</v>
          </cell>
          <cell r="I366">
            <v>9166666.6699999999</v>
          </cell>
        </row>
        <row r="367">
          <cell r="D367" t="str">
            <v>VEH000684</v>
          </cell>
          <cell r="E367" t="str">
            <v>Bulldozer</v>
          </cell>
          <cell r="F367"/>
          <cell r="G367" t="str">
            <v>Depr. since 31/01/2025</v>
          </cell>
          <cell r="H367">
            <v>0</v>
          </cell>
          <cell r="I367">
            <v>56166666.670000002</v>
          </cell>
        </row>
        <row r="368">
          <cell r="D368" t="str">
            <v>VEH000685</v>
          </cell>
          <cell r="E368" t="str">
            <v>Forklift</v>
          </cell>
          <cell r="F368"/>
          <cell r="G368" t="str">
            <v>Depr. since 31/01/2025</v>
          </cell>
          <cell r="H368">
            <v>0</v>
          </cell>
          <cell r="I368">
            <v>6900000</v>
          </cell>
        </row>
        <row r="369">
          <cell r="D369" t="str">
            <v>VEH000686</v>
          </cell>
          <cell r="E369" t="str">
            <v>Forklift</v>
          </cell>
          <cell r="F369"/>
          <cell r="G369" t="str">
            <v>Depr. since 31/01/2025</v>
          </cell>
          <cell r="H369">
            <v>0</v>
          </cell>
          <cell r="I369">
            <v>6900000</v>
          </cell>
        </row>
        <row r="370">
          <cell r="D370" t="str">
            <v>VEH000687</v>
          </cell>
          <cell r="E370" t="str">
            <v>Rought Terain Crane</v>
          </cell>
          <cell r="F370"/>
          <cell r="G370" t="str">
            <v>Depr. since 31/01/2025</v>
          </cell>
          <cell r="H370">
            <v>0</v>
          </cell>
          <cell r="I370">
            <v>55416666.670000002</v>
          </cell>
        </row>
        <row r="371">
          <cell r="D371" t="str">
            <v>VEH000688</v>
          </cell>
          <cell r="E371" t="str">
            <v>Forklift</v>
          </cell>
          <cell r="F371"/>
          <cell r="G371" t="str">
            <v>Depr. since 31/01/2025</v>
          </cell>
          <cell r="H371">
            <v>0</v>
          </cell>
          <cell r="I371">
            <v>7866666.6699999999</v>
          </cell>
        </row>
        <row r="372">
          <cell r="D372" t="str">
            <v>VEH000689</v>
          </cell>
          <cell r="E372" t="str">
            <v>Hyd. Excavators</v>
          </cell>
          <cell r="F372"/>
          <cell r="G372" t="str">
            <v>Depr. since 31/01/2025</v>
          </cell>
          <cell r="H372">
            <v>0</v>
          </cell>
          <cell r="I372">
            <v>22666666.670000002</v>
          </cell>
        </row>
        <row r="373">
          <cell r="D373" t="str">
            <v>VEH000690</v>
          </cell>
          <cell r="E373" t="str">
            <v>Bulldozer</v>
          </cell>
          <cell r="F373"/>
          <cell r="G373" t="str">
            <v>Depr. since 31/01/2025</v>
          </cell>
          <cell r="H373">
            <v>0</v>
          </cell>
          <cell r="I373">
            <v>94444444.444444448</v>
          </cell>
        </row>
        <row r="374">
          <cell r="D374" t="str">
            <v>VEH000691</v>
          </cell>
          <cell r="E374" t="str">
            <v>Bulldozer</v>
          </cell>
          <cell r="F374"/>
          <cell r="G374" t="str">
            <v>Depr. since 31/01/2025</v>
          </cell>
          <cell r="H374">
            <v>0</v>
          </cell>
          <cell r="I374">
            <v>64583333.333333336</v>
          </cell>
        </row>
        <row r="375">
          <cell r="D375" t="str">
            <v>VEH000692</v>
          </cell>
          <cell r="E375" t="str">
            <v>Forklift</v>
          </cell>
          <cell r="F375"/>
          <cell r="G375" t="str">
            <v>Depr. since 31/01/2025</v>
          </cell>
          <cell r="H375">
            <v>0</v>
          </cell>
          <cell r="I375">
            <v>8800000</v>
          </cell>
        </row>
        <row r="376">
          <cell r="D376" t="str">
            <v>VEH000693</v>
          </cell>
          <cell r="E376" t="str">
            <v>INNOVA ZENIX G CVT 2.0</v>
          </cell>
          <cell r="F376"/>
          <cell r="G376" t="str">
            <v>Depr. since 31/01/2025</v>
          </cell>
          <cell r="H376">
            <v>0</v>
          </cell>
          <cell r="I376">
            <v>6225194.4500000002</v>
          </cell>
        </row>
        <row r="377">
          <cell r="D377" t="str">
            <v>VEH000694</v>
          </cell>
          <cell r="E377" t="str">
            <v>INNOVA ZENIX G CVT 2.0</v>
          </cell>
          <cell r="F377"/>
          <cell r="G377" t="str">
            <v>Depr. since 31/01/2025</v>
          </cell>
          <cell r="H377">
            <v>0</v>
          </cell>
          <cell r="I377">
            <v>6225194.4500000002</v>
          </cell>
        </row>
        <row r="378">
          <cell r="D378" t="str">
            <v>VEH000695</v>
          </cell>
          <cell r="E378" t="str">
            <v>INNOVA ZENIX G CVT 2.0</v>
          </cell>
          <cell r="F378"/>
          <cell r="G378" t="str">
            <v>Depr. since 31/01/2025</v>
          </cell>
          <cell r="H378">
            <v>0</v>
          </cell>
          <cell r="I378">
            <v>6225194.4500000002</v>
          </cell>
        </row>
        <row r="379">
          <cell r="D379" t="str">
            <v>VEH000696</v>
          </cell>
          <cell r="E379" t="str">
            <v>Forklift</v>
          </cell>
          <cell r="F379"/>
          <cell r="G379" t="str">
            <v>Depr. since 31/01/2025</v>
          </cell>
          <cell r="H379">
            <v>0</v>
          </cell>
          <cell r="I379">
            <v>10729166.67</v>
          </cell>
        </row>
        <row r="380">
          <cell r="D380" t="str">
            <v>VEH000697</v>
          </cell>
          <cell r="E380" t="str">
            <v>Forklift</v>
          </cell>
          <cell r="F380"/>
          <cell r="G380" t="str">
            <v>Depr. since 31/01/2025</v>
          </cell>
          <cell r="H380">
            <v>0</v>
          </cell>
          <cell r="I380">
            <v>10729166.67</v>
          </cell>
        </row>
        <row r="381">
          <cell r="D381" t="str">
            <v>VEH000698</v>
          </cell>
          <cell r="E381" t="str">
            <v>Forklift</v>
          </cell>
          <cell r="F381"/>
          <cell r="G381" t="str">
            <v>Depr. since 31/01/2025</v>
          </cell>
          <cell r="H381">
            <v>0</v>
          </cell>
          <cell r="I381">
            <v>10729166.67</v>
          </cell>
        </row>
        <row r="382">
          <cell r="D382" t="str">
            <v>VEH000699</v>
          </cell>
          <cell r="E382" t="str">
            <v>Forklift</v>
          </cell>
          <cell r="F382"/>
          <cell r="G382" t="str">
            <v>Depr. since 31/01/2025</v>
          </cell>
          <cell r="H382">
            <v>0</v>
          </cell>
          <cell r="I382">
            <v>10729166.67</v>
          </cell>
        </row>
        <row r="383">
          <cell r="D383" t="str">
            <v>VEH000700</v>
          </cell>
          <cell r="E383" t="str">
            <v>Forklift</v>
          </cell>
          <cell r="F383"/>
          <cell r="G383" t="str">
            <v>Depr. since 31/01/2025</v>
          </cell>
          <cell r="H383">
            <v>0</v>
          </cell>
          <cell r="I383">
            <v>8583333.3300000001</v>
          </cell>
        </row>
        <row r="384">
          <cell r="D384" t="str">
            <v>VEH000701</v>
          </cell>
          <cell r="E384" t="str">
            <v>Forklift</v>
          </cell>
          <cell r="F384"/>
          <cell r="G384" t="str">
            <v>Depr. since 31/01/2025</v>
          </cell>
          <cell r="H384">
            <v>0</v>
          </cell>
          <cell r="I384">
            <v>7116666.6699999999</v>
          </cell>
        </row>
        <row r="385">
          <cell r="D385" t="str">
            <v>VEH000702</v>
          </cell>
          <cell r="E385" t="str">
            <v>Forklift</v>
          </cell>
          <cell r="F385"/>
          <cell r="G385" t="str">
            <v>Depr. since 31/01/2025</v>
          </cell>
          <cell r="H385">
            <v>0</v>
          </cell>
          <cell r="I385">
            <v>7116666.6699999999</v>
          </cell>
        </row>
        <row r="386">
          <cell r="D386" t="str">
            <v>VEH000703</v>
          </cell>
          <cell r="E386" t="str">
            <v>Forklift</v>
          </cell>
          <cell r="F386"/>
          <cell r="G386" t="str">
            <v>Depr. since 31/01/2025</v>
          </cell>
          <cell r="H386">
            <v>0</v>
          </cell>
          <cell r="I386">
            <v>7116666.6699999999</v>
          </cell>
        </row>
        <row r="387">
          <cell r="D387" t="str">
            <v>VEH000704</v>
          </cell>
          <cell r="E387" t="str">
            <v>Forklift</v>
          </cell>
          <cell r="F387"/>
          <cell r="G387" t="str">
            <v>Depr. since 31/01/2025</v>
          </cell>
          <cell r="H387">
            <v>0</v>
          </cell>
          <cell r="I387">
            <v>7116666.6699999999</v>
          </cell>
        </row>
        <row r="388">
          <cell r="D388" t="str">
            <v>VEH000705</v>
          </cell>
          <cell r="E388" t="str">
            <v>Forklift</v>
          </cell>
          <cell r="F388"/>
          <cell r="G388" t="str">
            <v>Depr. since 31/01/2025</v>
          </cell>
          <cell r="H388">
            <v>0</v>
          </cell>
          <cell r="I388">
            <v>7033333.3300000001</v>
          </cell>
        </row>
        <row r="389">
          <cell r="D389" t="str">
            <v>VEH000706</v>
          </cell>
          <cell r="E389" t="str">
            <v>Forklift</v>
          </cell>
          <cell r="F389"/>
          <cell r="G389" t="str">
            <v>Depr. since 31/01/2025</v>
          </cell>
          <cell r="H389">
            <v>0</v>
          </cell>
          <cell r="I389">
            <v>7033333.3300000001</v>
          </cell>
        </row>
        <row r="390">
          <cell r="D390" t="str">
            <v>VEH000707</v>
          </cell>
          <cell r="E390" t="str">
            <v>Forklift</v>
          </cell>
          <cell r="F390"/>
          <cell r="G390" t="str">
            <v>Depr. since 31/01/2025</v>
          </cell>
          <cell r="H390">
            <v>0</v>
          </cell>
          <cell r="I390">
            <v>7116666.6699999999</v>
          </cell>
        </row>
        <row r="391">
          <cell r="D391" t="str">
            <v>VEH000708</v>
          </cell>
          <cell r="E391" t="str">
            <v>Forklift</v>
          </cell>
          <cell r="F391"/>
          <cell r="G391" t="str">
            <v>Depr. since 31/01/2025</v>
          </cell>
          <cell r="H391">
            <v>0</v>
          </cell>
          <cell r="I391">
            <v>7416666.6699999999</v>
          </cell>
        </row>
        <row r="392">
          <cell r="D392" t="str">
            <v>VEH000709</v>
          </cell>
          <cell r="E392" t="str">
            <v>Sweeper DULEVO</v>
          </cell>
          <cell r="F392"/>
          <cell r="G392" t="str">
            <v>Depr. since 31/01/2025</v>
          </cell>
          <cell r="H392">
            <v>0</v>
          </cell>
          <cell r="I392">
            <v>11466666.67</v>
          </cell>
        </row>
        <row r="393">
          <cell r="D393" t="str">
            <v>VEH000710</v>
          </cell>
          <cell r="E393" t="str">
            <v>HITACHI Wheel Loaders</v>
          </cell>
          <cell r="F393"/>
          <cell r="G393" t="str">
            <v>Depr. since 31/01/2025</v>
          </cell>
          <cell r="H393">
            <v>0</v>
          </cell>
          <cell r="I393">
            <v>39722222.219999999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BEA29B-317D-4274-93E4-308AC9FF0AD7}" name="Table" displayName="Table" ref="I3:N23" totalsRowShown="0">
  <autoFilter ref="I3:N23" xr:uid="{1FBEA29B-317D-4274-93E4-308AC9FF0AD7}"/>
  <tableColumns count="6">
    <tableColumn id="1" xr3:uid="{13A7FCBF-4B3D-46C8-BD7B-425A00B8DFA9}" name="MainAccount"/>
    <tableColumn id="2" xr3:uid="{170FA84C-616B-4703-8C9B-74C8C4E99D78}" name="Name"/>
    <tableColumn id="3" xr3:uid="{F1DF0731-B1E5-42F1-946B-D977227B0339}" name="Opening balance"/>
    <tableColumn id="4" xr3:uid="{F62D4882-4E3D-4540-8813-A96EBD1A5FC1}" name="Debit"/>
    <tableColumn id="5" xr3:uid="{079C77C6-7206-42DC-B8A7-C66E4C41576C}" name="Credit"/>
    <tableColumn id="6" xr3:uid="{04A18840-8116-4683-981A-F3E38D969B1A}" name="Closing bal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range">
      <a:dk1>
        <a:srgbClr val="000000"/>
      </a:dk1>
      <a:lt1>
        <a:sysClr val="window" lastClr="FFFFFF"/>
      </a:lt1>
      <a:dk2>
        <a:srgbClr val="637052"/>
      </a:dk2>
      <a:lt2>
        <a:srgbClr val="CCDDEA"/>
      </a:lt2>
      <a:accent1>
        <a:srgbClr val="E48312"/>
      </a:accent1>
      <a:accent2>
        <a:srgbClr val="BD582C"/>
      </a:accent2>
      <a:accent3>
        <a:srgbClr val="865640"/>
      </a:accent3>
      <a:accent4>
        <a:srgbClr val="9B8357"/>
      </a:accent4>
      <a:accent5>
        <a:srgbClr val="C2BC80"/>
      </a:accent5>
      <a:accent6>
        <a:srgbClr val="94A088"/>
      </a:accent6>
      <a:hlink>
        <a:srgbClr val="2998E3"/>
      </a:hlink>
      <a:folHlink>
        <a:srgbClr val="8C8C8C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FF00"/>
  </sheetPr>
  <dimension ref="B1:Q53"/>
  <sheetViews>
    <sheetView topLeftCell="C1" workbookViewId="0">
      <selection activeCell="I3" sqref="I3:N22"/>
    </sheetView>
  </sheetViews>
  <sheetFormatPr defaultRowHeight="13.2"/>
  <cols>
    <col min="1" max="1" width="3.88671875" customWidth="1"/>
    <col min="2" max="2" width="14.44140625" bestFit="1" customWidth="1"/>
    <col min="3" max="3" width="50.109375" bestFit="1" customWidth="1"/>
    <col min="4" max="4" width="18.33203125" bestFit="1" customWidth="1"/>
    <col min="5" max="6" width="17.5546875" bestFit="1" customWidth="1"/>
    <col min="7" max="7" width="18.33203125" bestFit="1" customWidth="1"/>
    <col min="10" max="10" width="50.109375" bestFit="1" customWidth="1"/>
    <col min="11" max="11" width="18.33203125" bestFit="1" customWidth="1"/>
    <col min="12" max="13" width="16.44140625" bestFit="1" customWidth="1"/>
    <col min="14" max="14" width="18.33203125" bestFit="1" customWidth="1"/>
    <col min="17" max="17" width="12.6640625" bestFit="1" customWidth="1"/>
  </cols>
  <sheetData>
    <row r="1" spans="2:17" ht="21">
      <c r="B1" s="829" t="s">
        <v>0</v>
      </c>
      <c r="C1" s="829"/>
      <c r="D1" s="829"/>
      <c r="E1" s="829"/>
      <c r="F1" s="829"/>
      <c r="G1" s="829"/>
      <c r="I1" s="200"/>
      <c r="J1" s="200"/>
    </row>
    <row r="2" spans="2:17" ht="4.5" customHeight="1" thickBot="1"/>
    <row r="3" spans="2:17" s="5" customFormat="1" ht="14.4">
      <c r="B3" s="120" t="s">
        <v>1</v>
      </c>
      <c r="C3" s="121" t="s">
        <v>2</v>
      </c>
      <c r="D3" s="121" t="s">
        <v>3</v>
      </c>
      <c r="E3" s="121" t="s">
        <v>4</v>
      </c>
      <c r="F3" s="121" t="s">
        <v>5</v>
      </c>
      <c r="G3" s="122" t="s">
        <v>6</v>
      </c>
      <c r="I3" t="s">
        <v>1614</v>
      </c>
      <c r="J3" t="s">
        <v>2</v>
      </c>
      <c r="K3" t="s">
        <v>3</v>
      </c>
      <c r="L3" t="s">
        <v>4</v>
      </c>
      <c r="M3" t="s">
        <v>5</v>
      </c>
      <c r="N3" t="s">
        <v>6</v>
      </c>
    </row>
    <row r="4" spans="2:17" ht="14.4">
      <c r="B4" s="150" t="s">
        <v>1645</v>
      </c>
      <c r="C4" s="150" t="s">
        <v>7</v>
      </c>
      <c r="D4" s="151"/>
      <c r="E4" s="151"/>
      <c r="F4" s="151"/>
      <c r="G4" s="151">
        <f t="shared" ref="G4:G26" si="0">IFERROR(VLOOKUP(B4,$I$4:$N$27,6,FALSE),0)</f>
        <v>102037368651</v>
      </c>
      <c r="H4" t="str">
        <f t="shared" ref="H4:H21" si="1">LEFT(I4,3)</f>
        <v>421</v>
      </c>
      <c r="I4" s="622" t="s">
        <v>1656</v>
      </c>
      <c r="J4" s="622" t="s">
        <v>1664</v>
      </c>
      <c r="K4" s="623">
        <v>-12006757</v>
      </c>
      <c r="L4" s="623">
        <v>0</v>
      </c>
      <c r="M4" s="623">
        <v>0</v>
      </c>
      <c r="N4" s="623">
        <v>-12006757</v>
      </c>
      <c r="P4" s="479">
        <v>102037368651</v>
      </c>
      <c r="Q4" s="218">
        <f>P4-N4</f>
        <v>102049375408</v>
      </c>
    </row>
    <row r="5" spans="2:17" ht="14.4">
      <c r="B5" s="150" t="s">
        <v>1640</v>
      </c>
      <c r="C5" s="150" t="s">
        <v>8</v>
      </c>
      <c r="D5" s="151"/>
      <c r="E5" s="151"/>
      <c r="F5" s="151"/>
      <c r="G5" s="151">
        <f t="shared" si="0"/>
        <v>283126312377.26001</v>
      </c>
      <c r="H5" t="str">
        <f t="shared" si="1"/>
        <v>421</v>
      </c>
      <c r="I5" s="622" t="s">
        <v>1655</v>
      </c>
      <c r="J5" s="622" t="s">
        <v>1665</v>
      </c>
      <c r="K5" s="623">
        <v>-1413090090.1700001</v>
      </c>
      <c r="L5" s="623">
        <v>0</v>
      </c>
      <c r="M5" s="623">
        <v>0</v>
      </c>
      <c r="N5" s="623">
        <v>-1413090090.1700001</v>
      </c>
      <c r="P5" s="479">
        <v>283314365127.26001</v>
      </c>
      <c r="Q5" s="218">
        <f t="shared" ref="Q5:Q18" si="2">P5-N5</f>
        <v>284727455217.42999</v>
      </c>
    </row>
    <row r="6" spans="2:17" ht="14.4">
      <c r="B6" s="150" t="s">
        <v>1647</v>
      </c>
      <c r="C6" s="150" t="s">
        <v>9</v>
      </c>
      <c r="D6" s="151"/>
      <c r="E6" s="151"/>
      <c r="F6" s="151"/>
      <c r="G6" s="151">
        <f t="shared" si="0"/>
        <v>9665830615.1900005</v>
      </c>
      <c r="H6" t="str">
        <f t="shared" si="1"/>
        <v>421</v>
      </c>
      <c r="I6" s="622" t="s">
        <v>1657</v>
      </c>
      <c r="J6" s="622" t="s">
        <v>1666</v>
      </c>
      <c r="K6" s="623">
        <v>-30900901</v>
      </c>
      <c r="L6" s="623">
        <v>0</v>
      </c>
      <c r="M6" s="623">
        <v>0</v>
      </c>
      <c r="N6" s="623">
        <v>-30900901</v>
      </c>
      <c r="P6" s="479">
        <v>9430727671.1900005</v>
      </c>
      <c r="Q6" s="218">
        <f t="shared" si="2"/>
        <v>9461628572.1900005</v>
      </c>
    </row>
    <row r="7" spans="2:17" ht="14.4">
      <c r="B7" s="150" t="s">
        <v>1646</v>
      </c>
      <c r="C7" s="150" t="s">
        <v>10</v>
      </c>
      <c r="D7" s="151"/>
      <c r="E7" s="151"/>
      <c r="F7" s="151"/>
      <c r="G7" s="151">
        <f t="shared" si="0"/>
        <v>77229167502.75</v>
      </c>
      <c r="H7" t="str">
        <f t="shared" si="1"/>
        <v>152</v>
      </c>
      <c r="I7" s="622" t="s">
        <v>1640</v>
      </c>
      <c r="J7" s="622" t="s">
        <v>1667</v>
      </c>
      <c r="K7" s="623">
        <v>283126312377.26001</v>
      </c>
      <c r="L7" s="623">
        <v>0</v>
      </c>
      <c r="M7" s="623">
        <v>0</v>
      </c>
      <c r="N7" s="623">
        <v>283126312377.26001</v>
      </c>
      <c r="P7" s="479">
        <v>78722000762.470001</v>
      </c>
      <c r="Q7" s="218">
        <f t="shared" si="2"/>
        <v>-204404311614.79001</v>
      </c>
    </row>
    <row r="8" spans="2:17" ht="14.4">
      <c r="B8" s="150" t="s">
        <v>1649</v>
      </c>
      <c r="C8" s="150" t="s">
        <v>11</v>
      </c>
      <c r="D8" s="151"/>
      <c r="E8" s="151"/>
      <c r="F8" s="199"/>
      <c r="G8" s="151">
        <f>IFERROR(VLOOKUP(B8,$I$4:$N$27,6,FALSE),0)</f>
        <v>439524858758.88</v>
      </c>
      <c r="H8" t="str">
        <f t="shared" si="1"/>
        <v>161</v>
      </c>
      <c r="I8" s="622" t="s">
        <v>1641</v>
      </c>
      <c r="J8" s="622" t="s">
        <v>1668</v>
      </c>
      <c r="K8" s="623">
        <v>3335691892</v>
      </c>
      <c r="L8" s="623">
        <v>0</v>
      </c>
      <c r="M8" s="623">
        <v>471891891</v>
      </c>
      <c r="N8" s="623">
        <v>2863800001</v>
      </c>
      <c r="P8" s="479">
        <v>441783110912.13</v>
      </c>
      <c r="Q8" s="218">
        <f t="shared" si="2"/>
        <v>438919310911.13</v>
      </c>
    </row>
    <row r="9" spans="2:17" ht="14.4">
      <c r="B9" s="150" t="s">
        <v>1644</v>
      </c>
      <c r="C9" s="150" t="s">
        <v>12</v>
      </c>
      <c r="D9" s="151"/>
      <c r="E9" s="151"/>
      <c r="F9" s="151"/>
      <c r="G9" s="151">
        <f t="shared" si="0"/>
        <v>14168663337.16</v>
      </c>
      <c r="H9" t="str">
        <f t="shared" si="1"/>
        <v>251</v>
      </c>
      <c r="I9" s="622" t="s">
        <v>1642</v>
      </c>
      <c r="J9" s="622" t="s">
        <v>1669</v>
      </c>
      <c r="K9" s="623">
        <v>-157188122671.04999</v>
      </c>
      <c r="L9" s="623">
        <v>0</v>
      </c>
      <c r="M9" s="623">
        <v>1138378377.3399999</v>
      </c>
      <c r="N9" s="623">
        <v>-158326501048.39001</v>
      </c>
      <c r="P9" s="479">
        <v>13614925486.08</v>
      </c>
      <c r="Q9" s="218">
        <f t="shared" si="2"/>
        <v>171941426534.47</v>
      </c>
    </row>
    <row r="10" spans="2:17" ht="14.4">
      <c r="B10" s="150" t="s">
        <v>1659</v>
      </c>
      <c r="C10" s="150" t="s">
        <v>13</v>
      </c>
      <c r="D10" s="151"/>
      <c r="E10" s="151"/>
      <c r="F10" s="151"/>
      <c r="G10" s="151">
        <f t="shared" si="0"/>
        <v>0</v>
      </c>
      <c r="H10" t="str">
        <f t="shared" si="1"/>
        <v>161</v>
      </c>
      <c r="I10" s="622" t="s">
        <v>1643</v>
      </c>
      <c r="J10" s="622" t="s">
        <v>1670</v>
      </c>
      <c r="K10" s="623">
        <v>0</v>
      </c>
      <c r="L10" s="623">
        <v>0</v>
      </c>
      <c r="M10" s="623">
        <v>0</v>
      </c>
      <c r="N10" s="623">
        <v>0</v>
      </c>
      <c r="P10" s="479">
        <v>620000000</v>
      </c>
      <c r="Q10" s="218">
        <f t="shared" si="2"/>
        <v>620000000</v>
      </c>
    </row>
    <row r="11" spans="2:17" ht="14.4">
      <c r="B11" s="150" t="s">
        <v>1660</v>
      </c>
      <c r="C11" s="150" t="s">
        <v>15</v>
      </c>
      <c r="D11" s="151"/>
      <c r="E11" s="151"/>
      <c r="F11" s="151"/>
      <c r="G11" s="151">
        <f t="shared" si="0"/>
        <v>0</v>
      </c>
      <c r="H11" t="str">
        <f t="shared" si="1"/>
        <v>156</v>
      </c>
      <c r="I11" s="622" t="s">
        <v>1644</v>
      </c>
      <c r="J11" s="622" t="s">
        <v>1671</v>
      </c>
      <c r="K11" s="623">
        <v>14168663337.16</v>
      </c>
      <c r="L11" s="623">
        <v>0</v>
      </c>
      <c r="M11" s="623">
        <v>0</v>
      </c>
      <c r="N11" s="623">
        <v>14168663337.16</v>
      </c>
      <c r="P11" s="479">
        <v>1434345000</v>
      </c>
      <c r="Q11" s="218">
        <f t="shared" si="2"/>
        <v>-12734318337.16</v>
      </c>
    </row>
    <row r="12" spans="2:17" ht="14.4">
      <c r="B12" s="520" t="s">
        <v>1661</v>
      </c>
      <c r="C12" s="520" t="s">
        <v>17</v>
      </c>
      <c r="D12" s="521"/>
      <c r="E12" s="521"/>
      <c r="F12" s="521"/>
      <c r="G12" s="521">
        <f t="shared" si="0"/>
        <v>0</v>
      </c>
      <c r="H12" t="str">
        <f t="shared" si="1"/>
        <v>151</v>
      </c>
      <c r="I12" s="622" t="s">
        <v>1645</v>
      </c>
      <c r="J12" s="622" t="s">
        <v>1672</v>
      </c>
      <c r="K12" s="623">
        <v>102037368651</v>
      </c>
      <c r="L12" s="623">
        <v>0</v>
      </c>
      <c r="M12" s="623">
        <v>0</v>
      </c>
      <c r="N12" s="623">
        <v>102037368651</v>
      </c>
      <c r="P12" s="479">
        <v>0</v>
      </c>
      <c r="Q12" s="218">
        <f t="shared" si="2"/>
        <v>-102037368651</v>
      </c>
    </row>
    <row r="13" spans="2:17" ht="14.4">
      <c r="B13" s="520" t="s">
        <v>1662</v>
      </c>
      <c r="C13" s="520" t="s">
        <v>19</v>
      </c>
      <c r="D13" s="521"/>
      <c r="E13" s="521"/>
      <c r="F13" s="521"/>
      <c r="G13" s="521">
        <f t="shared" si="0"/>
        <v>0</v>
      </c>
      <c r="H13" t="str">
        <f t="shared" si="1"/>
        <v>154</v>
      </c>
      <c r="I13" s="622" t="s">
        <v>1646</v>
      </c>
      <c r="J13" s="622" t="s">
        <v>1673</v>
      </c>
      <c r="K13" s="623">
        <v>77109498230.75</v>
      </c>
      <c r="L13" s="623">
        <v>119669272</v>
      </c>
      <c r="M13" s="623">
        <v>0</v>
      </c>
      <c r="N13" s="623">
        <v>77229167502.75</v>
      </c>
      <c r="P13" s="479">
        <v>-112955585372.52</v>
      </c>
      <c r="Q13" s="218">
        <f t="shared" si="2"/>
        <v>-190184752875.27002</v>
      </c>
    </row>
    <row r="14" spans="2:17" ht="14.4">
      <c r="B14" s="520" t="s">
        <v>1643</v>
      </c>
      <c r="C14" s="520" t="s">
        <v>14</v>
      </c>
      <c r="D14" s="521"/>
      <c r="E14" s="521"/>
      <c r="F14" s="521"/>
      <c r="G14" s="521">
        <f t="shared" si="0"/>
        <v>0</v>
      </c>
      <c r="H14" t="str">
        <f t="shared" si="1"/>
        <v>153</v>
      </c>
      <c r="I14" s="622" t="s">
        <v>1647</v>
      </c>
      <c r="J14" s="622" t="s">
        <v>1674</v>
      </c>
      <c r="K14" s="623">
        <v>9665830615.1900005</v>
      </c>
      <c r="L14" s="623">
        <v>0</v>
      </c>
      <c r="M14" s="623">
        <v>0</v>
      </c>
      <c r="N14" s="623">
        <v>9665830615.1900005</v>
      </c>
      <c r="P14" s="479">
        <v>-7954243253.8299999</v>
      </c>
      <c r="Q14" s="218">
        <f t="shared" si="2"/>
        <v>-17620073869.02</v>
      </c>
    </row>
    <row r="15" spans="2:17" ht="14.4">
      <c r="B15" s="520" t="s">
        <v>1641</v>
      </c>
      <c r="C15" s="520" t="s">
        <v>16</v>
      </c>
      <c r="D15" s="521"/>
      <c r="E15" s="521"/>
      <c r="F15" s="521"/>
      <c r="G15" s="521">
        <f t="shared" si="0"/>
        <v>2863800001</v>
      </c>
      <c r="H15" t="str">
        <f t="shared" si="1"/>
        <v>172</v>
      </c>
      <c r="I15" s="622" t="s">
        <v>1648</v>
      </c>
      <c r="J15" s="622" t="s">
        <v>1675</v>
      </c>
      <c r="K15" s="623">
        <v>156000000</v>
      </c>
      <c r="L15" s="623">
        <v>56670000</v>
      </c>
      <c r="M15" s="623">
        <v>0</v>
      </c>
      <c r="N15" s="623">
        <v>212670000</v>
      </c>
      <c r="P15" s="479">
        <v>-65588325367.580002</v>
      </c>
      <c r="Q15" s="218">
        <f t="shared" si="2"/>
        <v>-65800995367.580002</v>
      </c>
    </row>
    <row r="16" spans="2:17" ht="14.4">
      <c r="B16" s="150" t="s">
        <v>1642</v>
      </c>
      <c r="C16" s="150" t="s">
        <v>21</v>
      </c>
      <c r="D16" s="151"/>
      <c r="E16" s="151"/>
      <c r="F16" s="151"/>
      <c r="G16" s="151">
        <f t="shared" si="0"/>
        <v>-158326501048.39001</v>
      </c>
      <c r="H16" t="str">
        <f t="shared" si="1"/>
        <v>155</v>
      </c>
      <c r="I16" s="622" t="s">
        <v>1649</v>
      </c>
      <c r="J16" s="622" t="s">
        <v>1676</v>
      </c>
      <c r="K16" s="623">
        <v>427318588489.88</v>
      </c>
      <c r="L16" s="623">
        <v>13166270269</v>
      </c>
      <c r="M16" s="623">
        <v>960000000</v>
      </c>
      <c r="N16" s="623">
        <v>439524858758.88</v>
      </c>
      <c r="P16" s="479">
        <v>-373871954970.13</v>
      </c>
      <c r="Q16" s="218">
        <f t="shared" si="2"/>
        <v>-813396813729.01001</v>
      </c>
    </row>
    <row r="17" spans="2:17" ht="14.4">
      <c r="B17" s="150" t="s">
        <v>1652</v>
      </c>
      <c r="C17" s="150" t="s">
        <v>22</v>
      </c>
      <c r="D17" s="151"/>
      <c r="E17" s="151"/>
      <c r="F17" s="151"/>
      <c r="G17" s="151">
        <f t="shared" si="0"/>
        <v>-9032942568.1900005</v>
      </c>
      <c r="H17" t="str">
        <f t="shared" si="1"/>
        <v>251</v>
      </c>
      <c r="I17" s="622" t="s">
        <v>1650</v>
      </c>
      <c r="J17" s="622" t="s">
        <v>1677</v>
      </c>
      <c r="K17" s="623">
        <v>-11029999694.309999</v>
      </c>
      <c r="L17" s="623">
        <v>0</v>
      </c>
      <c r="M17" s="623">
        <v>99343353.239999995</v>
      </c>
      <c r="N17" s="623">
        <v>-11129343047.549999</v>
      </c>
      <c r="P17" s="479">
        <v>-11021762213.52</v>
      </c>
      <c r="Q17" s="218">
        <f t="shared" si="2"/>
        <v>107580834.02999878</v>
      </c>
    </row>
    <row r="18" spans="2:17" ht="14.4">
      <c r="B18" s="150" t="s">
        <v>1651</v>
      </c>
      <c r="C18" s="150" t="s">
        <v>23</v>
      </c>
      <c r="D18" s="151"/>
      <c r="E18" s="151"/>
      <c r="F18" s="151"/>
      <c r="G18" s="151">
        <f t="shared" si="0"/>
        <v>-68709827895.129997</v>
      </c>
      <c r="H18" t="str">
        <f t="shared" si="1"/>
        <v>251</v>
      </c>
      <c r="I18" s="622" t="s">
        <v>1651</v>
      </c>
      <c r="J18" s="622" t="s">
        <v>1678</v>
      </c>
      <c r="K18" s="623">
        <v>-68540837564.059998</v>
      </c>
      <c r="L18" s="623">
        <v>0</v>
      </c>
      <c r="M18" s="623">
        <v>168990331.06999999</v>
      </c>
      <c r="N18" s="623">
        <v>-68709827895.129997</v>
      </c>
      <c r="P18" s="479">
        <v>-1122161435.27</v>
      </c>
      <c r="Q18" s="218">
        <f t="shared" si="2"/>
        <v>67587666459.860001</v>
      </c>
    </row>
    <row r="19" spans="2:17" ht="14.4">
      <c r="B19" s="150" t="s">
        <v>1654</v>
      </c>
      <c r="C19" s="150" t="s">
        <v>24</v>
      </c>
      <c r="D19" s="151"/>
      <c r="E19" s="151"/>
      <c r="F19" s="151"/>
      <c r="G19" s="593">
        <f t="shared" si="0"/>
        <v>-331081357310.73999</v>
      </c>
      <c r="H19" t="str">
        <f t="shared" si="1"/>
        <v>251</v>
      </c>
      <c r="I19" s="622" t="s">
        <v>1652</v>
      </c>
      <c r="J19" s="622" t="s">
        <v>1679</v>
      </c>
      <c r="K19" s="623">
        <v>-9012620351.2700005</v>
      </c>
      <c r="L19" s="623">
        <v>0</v>
      </c>
      <c r="M19" s="623">
        <v>20322216.920000002</v>
      </c>
      <c r="N19" s="623">
        <v>-9032942568.1900005</v>
      </c>
    </row>
    <row r="20" spans="2:17" ht="14.4">
      <c r="B20" s="150" t="s">
        <v>1650</v>
      </c>
      <c r="C20" s="150" t="s">
        <v>25</v>
      </c>
      <c r="D20" s="151"/>
      <c r="E20" s="151"/>
      <c r="F20" s="151"/>
      <c r="G20" s="593">
        <f t="shared" si="0"/>
        <v>-11129343047.549999</v>
      </c>
      <c r="H20" t="str">
        <f t="shared" si="1"/>
        <v>254</v>
      </c>
      <c r="I20" s="622" t="s">
        <v>1653</v>
      </c>
      <c r="J20" s="622" t="s">
        <v>1680</v>
      </c>
      <c r="K20" s="623">
        <v>-26259999.760000002</v>
      </c>
      <c r="L20" s="623">
        <v>0</v>
      </c>
      <c r="M20" s="623">
        <v>3669499.98</v>
      </c>
      <c r="N20" s="623">
        <v>-29929499.739999998</v>
      </c>
    </row>
    <row r="21" spans="2:17" ht="14.4">
      <c r="B21" s="607" t="s">
        <v>1658</v>
      </c>
      <c r="C21" s="522" t="s">
        <v>18</v>
      </c>
      <c r="D21" s="521"/>
      <c r="E21" s="521"/>
      <c r="F21" s="521"/>
      <c r="G21" s="594">
        <f t="shared" si="0"/>
        <v>0</v>
      </c>
      <c r="H21" t="str">
        <f t="shared" si="1"/>
        <v>251</v>
      </c>
      <c r="I21" s="622" t="s">
        <v>1654</v>
      </c>
      <c r="J21" s="622" t="s">
        <v>1681</v>
      </c>
      <c r="K21" s="623">
        <v>-328730466080.02002</v>
      </c>
      <c r="L21" s="623">
        <v>566999998.86000001</v>
      </c>
      <c r="M21" s="623">
        <v>2917891229.5799999</v>
      </c>
      <c r="N21" s="623">
        <v>-331081357310.73999</v>
      </c>
    </row>
    <row r="22" spans="2:17" ht="14.4">
      <c r="B22" s="274" t="s">
        <v>1655</v>
      </c>
      <c r="C22" s="274" t="s">
        <v>29</v>
      </c>
      <c r="G22" s="593">
        <f t="shared" si="0"/>
        <v>-1413090090.1700001</v>
      </c>
      <c r="I22" s="622" t="s">
        <v>1658</v>
      </c>
      <c r="J22" s="622" t="s">
        <v>1682</v>
      </c>
      <c r="K22" s="623">
        <v>0</v>
      </c>
      <c r="L22" s="623">
        <v>0</v>
      </c>
      <c r="M22" s="623">
        <v>0</v>
      </c>
      <c r="N22" s="623">
        <v>0</v>
      </c>
    </row>
    <row r="23" spans="2:17" ht="14.4">
      <c r="B23" s="486" t="s">
        <v>1657</v>
      </c>
      <c r="C23" s="487" t="s">
        <v>30</v>
      </c>
      <c r="G23" s="593">
        <f t="shared" si="0"/>
        <v>-30900901</v>
      </c>
      <c r="I23" s="604"/>
      <c r="J23" s="604"/>
      <c r="K23" s="605"/>
      <c r="L23" s="605"/>
      <c r="M23" s="605"/>
      <c r="N23" s="605"/>
    </row>
    <row r="24" spans="2:17" ht="14.4">
      <c r="B24" s="489" t="s">
        <v>1656</v>
      </c>
      <c r="C24" s="490" t="s">
        <v>28</v>
      </c>
      <c r="G24" s="593">
        <f t="shared" si="0"/>
        <v>-12006757</v>
      </c>
    </row>
    <row r="25" spans="2:17" ht="14.4">
      <c r="B25" s="556" t="s">
        <v>1663</v>
      </c>
      <c r="C25" s="557" t="s">
        <v>27</v>
      </c>
      <c r="G25" s="592">
        <f t="shared" si="0"/>
        <v>0</v>
      </c>
    </row>
    <row r="26" spans="2:17" ht="14.4">
      <c r="B26" s="590" t="s">
        <v>1648</v>
      </c>
      <c r="C26" s="591" t="s">
        <v>20</v>
      </c>
      <c r="G26" s="593">
        <f t="shared" si="0"/>
        <v>212670000</v>
      </c>
    </row>
    <row r="27" spans="2:17" ht="14.4">
      <c r="B27" s="590" t="s">
        <v>1653</v>
      </c>
      <c r="C27" s="591" t="s">
        <v>26</v>
      </c>
      <c r="G27" s="593">
        <f>IFERROR(VLOOKUP(B27,$I$4:$N$27,6,FALSE),0)</f>
        <v>-29929499.739999998</v>
      </c>
    </row>
    <row r="28" spans="2:17" ht="14.4">
      <c r="B28" s="488"/>
      <c r="C28" s="488"/>
      <c r="G28" s="151"/>
    </row>
    <row r="29" spans="2:17" ht="14.4">
      <c r="B29" s="274"/>
      <c r="C29" s="274"/>
      <c r="G29" s="151"/>
    </row>
    <row r="30" spans="2:17">
      <c r="D30" t="str">
        <f>H4&amp;"*,"&amp;H5&amp;"*,"&amp;H6&amp;"*,"&amp;H7&amp;"*,"&amp;H8&amp;"*,"&amp;H9&amp;"*,"&amp;H10&amp;"*,"&amp;H11&amp;"*,"&amp;H13&amp;"*,"&amp;H14&amp;"*,"&amp;H15&amp;"*,"&amp;H16&amp;"*,"&amp;H17&amp;"*,"&amp;H18&amp;"*,"&amp;H19&amp;"*,"&amp;H20&amp;"*,"&amp;H12</f>
        <v>421*,421*,421*,152*,161*,251*,161*,156*,154*,153*,172*,155*,251*,251*,251*,254*,151</v>
      </c>
      <c r="G30" s="146"/>
    </row>
    <row r="31" spans="2:17">
      <c r="D31" t="s">
        <v>31</v>
      </c>
      <c r="G31" s="89"/>
    </row>
    <row r="35" spans="10:10" ht="14.4">
      <c r="J35" s="601" t="s">
        <v>283</v>
      </c>
    </row>
    <row r="36" spans="10:10" ht="14.4">
      <c r="J36" s="601" t="s">
        <v>285</v>
      </c>
    </row>
    <row r="37" spans="10:10" ht="14.4">
      <c r="J37" s="601" t="s">
        <v>286</v>
      </c>
    </row>
    <row r="38" spans="10:10" ht="14.4">
      <c r="J38" s="601" t="s">
        <v>287</v>
      </c>
    </row>
    <row r="39" spans="10:10" ht="14.4">
      <c r="J39" s="601" t="s">
        <v>288</v>
      </c>
    </row>
    <row r="40" spans="10:10" ht="14.4">
      <c r="J40" s="601" t="s">
        <v>289</v>
      </c>
    </row>
    <row r="41" spans="10:10" ht="14.4">
      <c r="J41" s="601" t="s">
        <v>290</v>
      </c>
    </row>
    <row r="42" spans="10:10" ht="14.4">
      <c r="J42" s="601" t="s">
        <v>291</v>
      </c>
    </row>
    <row r="43" spans="10:10" ht="14.4">
      <c r="J43" s="601" t="s">
        <v>1079</v>
      </c>
    </row>
    <row r="44" spans="10:10" ht="14.4">
      <c r="J44" s="601" t="s">
        <v>1080</v>
      </c>
    </row>
    <row r="45" spans="10:10" ht="14.4">
      <c r="J45" s="601" t="s">
        <v>1081</v>
      </c>
    </row>
    <row r="46" spans="10:10" ht="14.4">
      <c r="J46" s="601" t="s">
        <v>1082</v>
      </c>
    </row>
    <row r="47" spans="10:10" ht="14.4">
      <c r="J47" s="601" t="s">
        <v>1083</v>
      </c>
    </row>
    <row r="48" spans="10:10" ht="14.4">
      <c r="J48" s="601" t="s">
        <v>1084</v>
      </c>
    </row>
    <row r="49" spans="10:10" ht="14.4">
      <c r="J49" s="601" t="s">
        <v>1085</v>
      </c>
    </row>
    <row r="50" spans="10:10" ht="14.4">
      <c r="J50" s="601" t="s">
        <v>1086</v>
      </c>
    </row>
    <row r="51" spans="10:10" ht="14.4">
      <c r="J51" s="601" t="s">
        <v>1088</v>
      </c>
    </row>
    <row r="52" spans="10:10" ht="14.4">
      <c r="J52" s="601" t="s">
        <v>1089</v>
      </c>
    </row>
    <row r="53" spans="10:10" ht="14.4">
      <c r="J53" s="601" t="s">
        <v>1090</v>
      </c>
    </row>
  </sheetData>
  <mergeCells count="1">
    <mergeCell ref="B1:G1"/>
  </mergeCells>
  <conditionalFormatting sqref="B24">
    <cfRule type="duplicateValues" dxfId="22" priority="2"/>
  </conditionalFormatting>
  <conditionalFormatting sqref="B25:B27">
    <cfRule type="duplicateValues" dxfId="21" priority="1"/>
  </conditionalFormatting>
  <conditionalFormatting sqref="B28 B23">
    <cfRule type="duplicateValues" dxfId="20" priority="3"/>
  </conditionalFormatting>
  <conditionalFormatting sqref="B29 B22">
    <cfRule type="duplicateValues" dxfId="19" priority="4"/>
  </conditionalFormatting>
  <conditionalFormatting sqref="I1:I2 I23:I1048576">
    <cfRule type="duplicateValues" dxfId="18" priority="5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FF00"/>
    <pageSetUpPr fitToPage="1"/>
  </sheetPr>
  <dimension ref="A1:N437"/>
  <sheetViews>
    <sheetView showGridLines="0" view="pageBreakPreview" zoomScale="79" zoomScaleNormal="70" zoomScaleSheetLayoutView="70" workbookViewId="0">
      <pane xSplit="2" ySplit="6" topLeftCell="C7" activePane="bottomRight" state="frozen"/>
      <selection pane="topRight" activeCell="E690" sqref="E690"/>
      <selection pane="bottomLeft" activeCell="E690" sqref="E690"/>
      <selection pane="bottomRight" activeCell="O18" sqref="O18"/>
    </sheetView>
  </sheetViews>
  <sheetFormatPr defaultColWidth="9.109375" defaultRowHeight="15.6"/>
  <cols>
    <col min="1" max="1" width="6.6640625" style="7" customWidth="1"/>
    <col min="2" max="2" width="35.6640625" style="7" bestFit="1" customWidth="1"/>
    <col min="3" max="5" width="30.33203125" style="7" customWidth="1"/>
    <col min="6" max="6" width="30.33203125" style="7" hidden="1" customWidth="1"/>
    <col min="7" max="7" width="31.109375" style="7" customWidth="1"/>
    <col min="8" max="8" width="3.44140625" style="7" customWidth="1"/>
    <col min="9" max="10" width="30.33203125" style="7" customWidth="1"/>
    <col min="11" max="11" width="3.5546875" style="4" customWidth="1"/>
    <col min="12" max="12" width="8.44140625" style="7" customWidth="1"/>
    <col min="13" max="13" width="9.109375" style="7"/>
    <col min="14" max="14" width="19.5546875" style="7" bestFit="1" customWidth="1"/>
    <col min="15" max="15" width="9.109375" style="7"/>
    <col min="16" max="16" width="11.5546875" style="7" bestFit="1" customWidth="1"/>
    <col min="17" max="16384" width="9.109375" style="7"/>
  </cols>
  <sheetData>
    <row r="1" spans="1:11" s="2" customFormat="1" ht="19.5" customHeight="1">
      <c r="A1" s="1" t="s">
        <v>32</v>
      </c>
      <c r="K1" s="1"/>
    </row>
    <row r="2" spans="1:11" s="2" customFormat="1" ht="19.5" customHeight="1">
      <c r="A2" s="1" t="s">
        <v>33</v>
      </c>
      <c r="K2" s="1"/>
    </row>
    <row r="3" spans="1:11" s="2" customFormat="1" ht="19.5" customHeight="1">
      <c r="A3" s="830" t="s">
        <v>1703</v>
      </c>
      <c r="B3" s="830"/>
      <c r="C3" s="53"/>
      <c r="D3" s="54"/>
      <c r="K3" s="1"/>
    </row>
    <row r="4" spans="1:11" ht="16.2" thickBot="1">
      <c r="J4" s="22"/>
      <c r="K4" s="147"/>
    </row>
    <row r="5" spans="1:11" s="4" customFormat="1" ht="24.75" customHeight="1">
      <c r="A5" s="163" t="s">
        <v>34</v>
      </c>
      <c r="B5" s="164" t="s">
        <v>35</v>
      </c>
      <c r="C5" s="833" t="s">
        <v>36</v>
      </c>
      <c r="D5" s="833"/>
      <c r="E5" s="833"/>
      <c r="F5" s="833"/>
      <c r="G5" s="832"/>
      <c r="I5" s="831" t="s">
        <v>1615</v>
      </c>
      <c r="J5" s="832"/>
      <c r="K5" s="98"/>
    </row>
    <row r="6" spans="1:11" s="4" customFormat="1" ht="24.75" customHeight="1" thickBot="1">
      <c r="A6" s="165"/>
      <c r="B6" s="166"/>
      <c r="C6" s="166" t="s">
        <v>37</v>
      </c>
      <c r="D6" s="166" t="s">
        <v>38</v>
      </c>
      <c r="E6" s="166" t="s">
        <v>39</v>
      </c>
      <c r="F6" s="166" t="s">
        <v>40</v>
      </c>
      <c r="G6" s="167" t="s">
        <v>41</v>
      </c>
      <c r="I6" s="165" t="s">
        <v>42</v>
      </c>
      <c r="J6" s="167" t="s">
        <v>43</v>
      </c>
      <c r="K6" s="99"/>
    </row>
    <row r="7" spans="1:11">
      <c r="A7" s="12"/>
      <c r="C7" s="8"/>
      <c r="D7" s="9"/>
      <c r="E7" s="9"/>
      <c r="F7" s="9"/>
      <c r="G7" s="13" t="s">
        <v>44</v>
      </c>
      <c r="I7" s="21" t="s">
        <v>45</v>
      </c>
      <c r="J7" s="13" t="s">
        <v>46</v>
      </c>
      <c r="K7" s="148"/>
    </row>
    <row r="8" spans="1:11" ht="16.2" thickBot="1">
      <c r="A8" s="6" t="s">
        <v>47</v>
      </c>
      <c r="C8" s="8"/>
      <c r="D8" s="9"/>
      <c r="E8" s="9"/>
      <c r="F8" s="9"/>
      <c r="G8" s="10"/>
      <c r="I8" s="21"/>
      <c r="J8" s="10"/>
    </row>
    <row r="9" spans="1:11" ht="27.75" customHeight="1">
      <c r="A9" s="156" t="s">
        <v>48</v>
      </c>
      <c r="B9" s="157" t="s">
        <v>8</v>
      </c>
      <c r="C9" s="172">
        <v>283126312377.26001</v>
      </c>
      <c r="D9" s="173">
        <f>SUMIFS(FA_2025!$T$26:$T$38,FA_2025!$D$26:$D$38,TOTAL!$A$9,FA_2025!$AR$26:$AR$38,TOTAL!$D$6)</f>
        <v>0</v>
      </c>
      <c r="E9" s="173">
        <f>-SUMIFS(FA_2025!$T$26:$T$38,FA_2025!$D$26:$D$38,TOTAL!$A$9,FA_2025!$AS$26:$AS$38,TOTAL!$E$6)</f>
        <v>0</v>
      </c>
      <c r="F9" s="173"/>
      <c r="G9" s="174">
        <f t="shared" ref="G9:G16" si="0">+C9+D9+E9+F9</f>
        <v>283126312377.26001</v>
      </c>
      <c r="I9" s="182">
        <f>TB!G5</f>
        <v>283126312377.26001</v>
      </c>
      <c r="J9" s="183">
        <f t="shared" ref="J9:J16" si="1">+G9-I9</f>
        <v>0</v>
      </c>
      <c r="K9" s="100"/>
    </row>
    <row r="10" spans="1:11" ht="27.75" customHeight="1">
      <c r="A10" s="158" t="s">
        <v>49</v>
      </c>
      <c r="B10" s="159" t="s">
        <v>9</v>
      </c>
      <c r="C10" s="175">
        <v>9665830615.1899986</v>
      </c>
      <c r="D10" s="176">
        <f>SUMIFS(FA_2025!$T$39:$T$63,FA_2025!$D$39:$D$63,TOTAL!$A$10,FA_2025!$AR$39:$AR$63,TOTAL!$D$6)</f>
        <v>0</v>
      </c>
      <c r="E10" s="176">
        <f>-SUMIFS(FA_2025!$T$39:$T$63,FA_2025!$D$39:$D$63,TOTAL!$A$10,FA_2025!$AS$39:$AS$63,TOTAL!$E$6)</f>
        <v>0</v>
      </c>
      <c r="F10" s="176"/>
      <c r="G10" s="177">
        <f t="shared" si="0"/>
        <v>9665830615.1899986</v>
      </c>
      <c r="I10" s="184">
        <f>TB!G6</f>
        <v>9665830615.1900005</v>
      </c>
      <c r="J10" s="177">
        <f>+G10-I10</f>
        <v>0</v>
      </c>
      <c r="K10" s="100"/>
    </row>
    <row r="11" spans="1:11" ht="27.75" customHeight="1">
      <c r="A11" s="158" t="s">
        <v>50</v>
      </c>
      <c r="B11" s="159" t="s">
        <v>51</v>
      </c>
      <c r="C11" s="175">
        <v>79065597549.75</v>
      </c>
      <c r="D11" s="176">
        <f>SUMIFS(FA_2025!$T$64:$T$101,FA_2025!$D$64:$D$101,TOTAL!$A$11,FA_2025!$AR$64:$AR$101,TOTAL!$D$6)</f>
        <v>145223481</v>
      </c>
      <c r="E11" s="176">
        <f>-SUMIFS(FA_2025!$T$64:$T$101,FA_2025!$D$64:$D$101,TOTAL!$A$11,FA_2025!$AS$64:$AS$101,TOTAL!$E$6)</f>
        <v>0</v>
      </c>
      <c r="F11" s="176"/>
      <c r="G11" s="177">
        <f>+C11+D11+E11+F11</f>
        <v>79210821030.75</v>
      </c>
      <c r="I11" s="184">
        <f>TB!G7</f>
        <v>77229167502.75</v>
      </c>
      <c r="J11" s="177">
        <f t="shared" si="1"/>
        <v>1981653528</v>
      </c>
      <c r="K11" s="100"/>
    </row>
    <row r="12" spans="1:11" ht="27.75" customHeight="1">
      <c r="A12" s="158">
        <v>159</v>
      </c>
      <c r="B12" s="159" t="s">
        <v>52</v>
      </c>
      <c r="C12" s="175">
        <v>0</v>
      </c>
      <c r="D12" s="176">
        <v>0</v>
      </c>
      <c r="E12" s="176">
        <v>0</v>
      </c>
      <c r="F12" s="176"/>
      <c r="G12" s="177">
        <f t="shared" si="0"/>
        <v>0</v>
      </c>
      <c r="I12" s="184">
        <v>0</v>
      </c>
      <c r="J12" s="177">
        <f t="shared" si="1"/>
        <v>0</v>
      </c>
      <c r="K12" s="100"/>
    </row>
    <row r="13" spans="1:11" ht="27.75" customHeight="1">
      <c r="A13" s="158" t="s">
        <v>53</v>
      </c>
      <c r="B13" s="159" t="s">
        <v>11</v>
      </c>
      <c r="C13" s="175">
        <v>425453787744.48004</v>
      </c>
      <c r="D13" s="176">
        <f>SUMIFS(FA_2025!$T$102:$T$219,FA_2025!$D$102:$D$219,TOTAL!$A$13,FA_2025!$AR$102:$AR$219,TOTAL!$D$6)</f>
        <v>4433108108</v>
      </c>
      <c r="E13" s="176">
        <f>-SUMIFS(FA_2025!$T$102:$T$219,FA_2025!$D$102:$D$219,TOTAL!$A$13,FA_2025!$AS$102:$AS$219,TOTAL!$E$6)</f>
        <v>-4566394287.6000004</v>
      </c>
      <c r="F13" s="176"/>
      <c r="G13" s="177">
        <f>C13+D13+E13+F13</f>
        <v>425320501564.88007</v>
      </c>
      <c r="I13" s="184">
        <f>TB!G8</f>
        <v>439524858758.88</v>
      </c>
      <c r="J13" s="177">
        <f t="shared" si="1"/>
        <v>-14204357193.999939</v>
      </c>
      <c r="K13" s="100"/>
    </row>
    <row r="14" spans="1:11" ht="27.75" customHeight="1">
      <c r="A14" s="158" t="s">
        <v>54</v>
      </c>
      <c r="B14" s="159" t="s">
        <v>55</v>
      </c>
      <c r="C14" s="175">
        <v>14017655671.100002</v>
      </c>
      <c r="D14" s="176">
        <f>SUMIFS(FA_2025!$T$220:$T$250,FA_2025!$D$220:$D$250,TOTAL!$A$14,FA_2025!$AR$220:$AR$250,TOTAL!$D$6)</f>
        <v>122000000</v>
      </c>
      <c r="E14" s="176">
        <f>-SUMIFS(FA_2025!$T$220:$T$250,FA_2025!$D$220:$D$250,TOTAL!$A$14,FA_2025!$AS$220:$AS$250,TOTAL!$E$6)</f>
        <v>0</v>
      </c>
      <c r="F14" s="176"/>
      <c r="G14" s="177">
        <f>+C14+D14+E14+F14</f>
        <v>14139655671.100002</v>
      </c>
      <c r="I14" s="184">
        <f>TB!G9</f>
        <v>14168663337.16</v>
      </c>
      <c r="J14" s="177">
        <f t="shared" si="1"/>
        <v>-29007666.059997559</v>
      </c>
      <c r="K14" s="100"/>
    </row>
    <row r="15" spans="1:11" ht="27.75" customHeight="1">
      <c r="A15" s="158">
        <v>172</v>
      </c>
      <c r="B15" s="159" t="s">
        <v>56</v>
      </c>
      <c r="C15" s="175">
        <v>109050000</v>
      </c>
      <c r="D15" s="176">
        <f>SUMIFS(FA_2025!$T$220:$T$250,FA_2025!$D$220:$D$250,TOTAL!$A$15,FA_2025!$AR$220:$AR$250,TOTAL!$D$6)</f>
        <v>0</v>
      </c>
      <c r="E15" s="176">
        <f>-SUMIFS(FA_2025!$T$220:$T$250,FA_2025!$D$220:$D$250,TOTAL!$A$15,FA_2025!$AS$220:$AS$250,TOTAL!$E$6)</f>
        <v>0</v>
      </c>
      <c r="F15" s="176"/>
      <c r="G15" s="177">
        <f>+C15+D15+E15+F15</f>
        <v>109050000</v>
      </c>
      <c r="I15" s="184">
        <f>TB!G26</f>
        <v>212670000</v>
      </c>
      <c r="J15" s="177">
        <f t="shared" si="1"/>
        <v>-103620000</v>
      </c>
      <c r="K15" s="100"/>
    </row>
    <row r="16" spans="1:11" ht="27.75" customHeight="1">
      <c r="A16" s="158" t="s">
        <v>57</v>
      </c>
      <c r="B16" s="159" t="s">
        <v>7</v>
      </c>
      <c r="C16" s="175">
        <v>102037368651</v>
      </c>
      <c r="D16" s="176">
        <f>-SUMIFS(FA_2025!$T$256:$T$330,FA_2025!$D$256:$D$330,TOTAL!$A$16,FA_2025!$AR$256:$AR$330,TOTAL!$D$6)</f>
        <v>0</v>
      </c>
      <c r="E16" s="176" t="e">
        <f>-SUMIFS(FA_2025!#REF!,FA_2025!#REF!,TOTAL!$A$16,FA_2025!#REF!,TOTAL!$E$6)</f>
        <v>#REF!</v>
      </c>
      <c r="F16" s="176"/>
      <c r="G16" s="177" t="e">
        <f t="shared" si="0"/>
        <v>#REF!</v>
      </c>
      <c r="I16" s="184">
        <v>102037368651</v>
      </c>
      <c r="J16" s="177" t="e">
        <f t="shared" si="1"/>
        <v>#REF!</v>
      </c>
      <c r="K16" s="100"/>
    </row>
    <row r="17" spans="1:14" ht="27.75" customHeight="1" thickBot="1">
      <c r="A17" s="178">
        <v>161</v>
      </c>
      <c r="B17" s="179" t="s">
        <v>58</v>
      </c>
      <c r="C17" s="201">
        <v>4108230270</v>
      </c>
      <c r="D17" s="180">
        <f>SUMIFS(FA_2025!$T$256:$T$256,FA_2025!$D$256:$D$256,TOTAL!$A$17,FA_2025!$AR$256:$AR$256,TOTAL!$D$6)</f>
        <v>0</v>
      </c>
      <c r="E17" s="180">
        <f>-SUMIFS(FA_2025!$AQ$256:$AQ$256,FA_2025!$D$256:$D$256,TOTAL!$A$17,FA_2025!$AS$256:$AS$256,TOTAL!$E$6)</f>
        <v>0</v>
      </c>
      <c r="F17" s="180"/>
      <c r="G17" s="181">
        <f>+C17+D17+E17+F17</f>
        <v>4108230270</v>
      </c>
      <c r="I17" s="185">
        <f>SUM(TB!G12:G15,TB!G21)</f>
        <v>2863800001</v>
      </c>
      <c r="J17" s="181">
        <f>+G17-I17</f>
        <v>1244430269</v>
      </c>
      <c r="K17" s="100"/>
    </row>
    <row r="18" spans="1:14" s="4" customFormat="1" ht="27.75" customHeight="1" thickBot="1">
      <c r="A18" s="168"/>
      <c r="B18" s="169" t="s">
        <v>59</v>
      </c>
      <c r="C18" s="170">
        <v>917583832878.78003</v>
      </c>
      <c r="D18" s="170">
        <f>SUM(D9:D17)</f>
        <v>4700331589</v>
      </c>
      <c r="E18" s="170" t="e">
        <f>SUM(E9:E17)</f>
        <v>#REF!</v>
      </c>
      <c r="F18" s="170">
        <f>SUM(F9:F17)</f>
        <v>0</v>
      </c>
      <c r="G18" s="171" t="e">
        <f>SUM(G9:G17)</f>
        <v>#REF!</v>
      </c>
      <c r="I18" s="186">
        <f>SUM(I9:I17)</f>
        <v>928828671243.24011</v>
      </c>
      <c r="J18" s="187" t="e">
        <f>SUM(J9:J17)</f>
        <v>#REF!</v>
      </c>
      <c r="K18" s="100"/>
      <c r="N18" s="555"/>
    </row>
    <row r="19" spans="1:14" s="192" customFormat="1">
      <c r="A19" s="190"/>
      <c r="B19" s="191"/>
      <c r="C19" s="11">
        <v>913475602608.78003</v>
      </c>
      <c r="D19" s="11"/>
      <c r="E19" s="11"/>
      <c r="F19" s="11"/>
      <c r="G19" s="105" t="e">
        <f>G18-G17</f>
        <v>#REF!</v>
      </c>
      <c r="I19" s="11"/>
      <c r="J19" s="11"/>
      <c r="K19" s="149"/>
    </row>
    <row r="20" spans="1:14" s="192" customFormat="1" ht="16.2" thickBot="1">
      <c r="A20" s="202" t="s">
        <v>60</v>
      </c>
      <c r="B20" s="191"/>
      <c r="C20" s="11"/>
      <c r="D20" s="11"/>
      <c r="E20" s="11"/>
      <c r="F20" s="11"/>
      <c r="G20" s="11"/>
      <c r="I20" s="11"/>
      <c r="J20" s="11"/>
      <c r="K20" s="149"/>
    </row>
    <row r="21" spans="1:14" ht="27.75" customHeight="1">
      <c r="A21" s="156" t="s">
        <v>48</v>
      </c>
      <c r="B21" s="157" t="s">
        <v>8</v>
      </c>
      <c r="C21" s="172">
        <v>148081095652.95599</v>
      </c>
      <c r="D21" s="173" t="e">
        <f>SUM(FA_2025!#REF!)</f>
        <v>#REF!</v>
      </c>
      <c r="E21" s="173">
        <f>-SUMIFS(FA_2025!$AP$26:$AP$1036,FA_2025!$D$26:$D$1036,TOTAL!$A21,FA_2025!$AS$26:$AS$1036,TOTAL!$E$6)</f>
        <v>0</v>
      </c>
      <c r="F21" s="173"/>
      <c r="G21" s="183" t="e">
        <f>+C21+D21+E21+F21</f>
        <v>#REF!</v>
      </c>
      <c r="I21" s="182">
        <f>TB!G16</f>
        <v>-158326501048.39001</v>
      </c>
      <c r="J21" s="183" t="e">
        <f>+G21+I21</f>
        <v>#REF!</v>
      </c>
      <c r="K21" s="100"/>
    </row>
    <row r="22" spans="1:14" ht="27.75" customHeight="1">
      <c r="A22" s="158" t="s">
        <v>49</v>
      </c>
      <c r="B22" s="159" t="s">
        <v>9</v>
      </c>
      <c r="C22" s="175">
        <v>8843923866.4900017</v>
      </c>
      <c r="D22" s="176" t="e">
        <f>SUM(FA_2025!#REF!)</f>
        <v>#REF!</v>
      </c>
      <c r="E22" s="176">
        <f>-SUMIFS(FA_2025!$AP$26:$AP$1036,FA_2025!$D$26:$D$1036,TOTAL!$A22,FA_2025!$AS$26:$AS$1036,TOTAL!$E$6)</f>
        <v>0</v>
      </c>
      <c r="F22" s="176"/>
      <c r="G22" s="177" t="e">
        <f t="shared" ref="G22:G27" si="2">+C22+D22+E22+F22</f>
        <v>#REF!</v>
      </c>
      <c r="I22" s="184">
        <f>TB!G17</f>
        <v>-9032942568.1900005</v>
      </c>
      <c r="J22" s="177" t="e">
        <f>+G22+I22</f>
        <v>#REF!</v>
      </c>
      <c r="K22" s="100"/>
    </row>
    <row r="23" spans="1:14" ht="27.75" customHeight="1">
      <c r="A23" s="158" t="s">
        <v>50</v>
      </c>
      <c r="B23" s="159" t="s">
        <v>51</v>
      </c>
      <c r="C23" s="175">
        <v>69407990508.161987</v>
      </c>
      <c r="D23" s="176" t="e">
        <f>SUM(FA_2025!#REF!)</f>
        <v>#REF!</v>
      </c>
      <c r="E23" s="176">
        <f>-SUMIFS(FA_2025!$AP$26:$AP$1036,FA_2025!$D$26:$D$1036,TOTAL!$A23,FA_2025!$AS$26:$AS$1036,TOTAL!$E$6)</f>
        <v>0</v>
      </c>
      <c r="F23" s="176"/>
      <c r="G23" s="177" t="e">
        <f>+C23+D23+E23+F23</f>
        <v>#REF!</v>
      </c>
      <c r="I23" s="184">
        <f>TB!G18</f>
        <v>-68709827895.129997</v>
      </c>
      <c r="J23" s="177" t="e">
        <f t="shared" ref="J23:J27" si="3">+G23+I23</f>
        <v>#REF!</v>
      </c>
      <c r="K23" s="100"/>
    </row>
    <row r="24" spans="1:14" ht="27.75" customHeight="1">
      <c r="A24" s="158">
        <v>159</v>
      </c>
      <c r="B24" s="159" t="s">
        <v>52</v>
      </c>
      <c r="C24" s="175">
        <v>0</v>
      </c>
      <c r="D24" s="176">
        <v>0</v>
      </c>
      <c r="E24" s="176">
        <f>-SUMIFS(FA_2025!$AP$26:$AP$1036,FA_2025!$D$26:$D$1036,TOTAL!$A24,FA_2025!$AS$26:$AS$1036,TOTAL!$E$6)</f>
        <v>0</v>
      </c>
      <c r="F24" s="176"/>
      <c r="G24" s="177">
        <f t="shared" si="2"/>
        <v>0</v>
      </c>
      <c r="I24" s="184"/>
      <c r="J24" s="177">
        <f t="shared" si="3"/>
        <v>0</v>
      </c>
      <c r="K24" s="100"/>
    </row>
    <row r="25" spans="1:14" ht="27.75" customHeight="1">
      <c r="A25" s="158" t="s">
        <v>53</v>
      </c>
      <c r="B25" s="159" t="s">
        <v>11</v>
      </c>
      <c r="C25" s="175">
        <v>332263213748.03394</v>
      </c>
      <c r="D25" s="176" t="e">
        <f>SUM(FA_2025!#REF!)</f>
        <v>#REF!</v>
      </c>
      <c r="E25" s="176">
        <f>-SUMIFS(FA_2025!$AP$26:$AP$1036,FA_2025!$D$26:$D$1036,TOTAL!$A25,FA_2025!$AS$26:$AS$1036,TOTAL!$E$6)</f>
        <v>-4566394287.5999994</v>
      </c>
      <c r="F25" s="176"/>
      <c r="G25" s="177" t="e">
        <f>+C25+D25+E25+F25</f>
        <v>#REF!</v>
      </c>
      <c r="I25" s="184">
        <f>TB!G19</f>
        <v>-331081357310.73999</v>
      </c>
      <c r="J25" s="177" t="e">
        <f t="shared" si="3"/>
        <v>#REF!</v>
      </c>
      <c r="K25" s="100"/>
    </row>
    <row r="26" spans="1:14" ht="27.75" customHeight="1">
      <c r="A26" s="158" t="s">
        <v>54</v>
      </c>
      <c r="B26" s="159" t="s">
        <v>55</v>
      </c>
      <c r="C26" s="175">
        <v>10974551541.605556</v>
      </c>
      <c r="D26" s="176" t="e">
        <f>SUM(FA_2025!#REF!)</f>
        <v>#REF!</v>
      </c>
      <c r="E26" s="176">
        <f>-SUMIFS(FA_2025!$AP$26:$AP$1036,FA_2025!$D$26:$D$1036,TOTAL!$A26,FA_2025!$AS$26:$AS$1036,TOTAL!$E$6)</f>
        <v>0</v>
      </c>
      <c r="F26" s="176"/>
      <c r="G26" s="177" t="e">
        <f t="shared" si="2"/>
        <v>#REF!</v>
      </c>
      <c r="I26" s="184">
        <f>TB!G20</f>
        <v>-11129343047.549999</v>
      </c>
      <c r="J26" s="177" t="e">
        <f t="shared" si="3"/>
        <v>#REF!</v>
      </c>
      <c r="K26" s="100"/>
    </row>
    <row r="27" spans="1:14" ht="27.75" customHeight="1" thickBot="1">
      <c r="A27" s="579">
        <v>172</v>
      </c>
      <c r="B27" s="580" t="s">
        <v>56</v>
      </c>
      <c r="C27" s="581">
        <v>9155000</v>
      </c>
      <c r="D27" s="582" t="e">
        <f>SUM(FA_2025!#REF!)</f>
        <v>#REF!</v>
      </c>
      <c r="E27" s="582">
        <f>-SUMIFS(FA_2025!$AP$26:$AP$1036,FA_2025!$D$26:$D$1036,TOTAL!$A27,FA_2025!$AS$26:$AS$1036,TOTAL!$E$6)</f>
        <v>0</v>
      </c>
      <c r="F27" s="582"/>
      <c r="G27" s="583" t="e">
        <f t="shared" si="2"/>
        <v>#REF!</v>
      </c>
      <c r="I27" s="184">
        <f>TB!G27</f>
        <v>-29929499.739999998</v>
      </c>
      <c r="J27" s="177" t="e">
        <f t="shared" si="3"/>
        <v>#REF!</v>
      </c>
      <c r="K27" s="100"/>
    </row>
    <row r="28" spans="1:14" s="4" customFormat="1" ht="27.75" customHeight="1" thickBot="1">
      <c r="A28" s="584"/>
      <c r="B28" s="585" t="s">
        <v>59</v>
      </c>
      <c r="C28" s="586">
        <v>569579930317.24744</v>
      </c>
      <c r="D28" s="586" t="e">
        <f t="shared" ref="D28:G28" si="4">SUM(D21:D27)</f>
        <v>#REF!</v>
      </c>
      <c r="E28" s="586">
        <f t="shared" si="4"/>
        <v>-4566394287.5999994</v>
      </c>
      <c r="F28" s="587">
        <f t="shared" si="4"/>
        <v>0</v>
      </c>
      <c r="G28" s="187" t="e">
        <f t="shared" si="4"/>
        <v>#REF!</v>
      </c>
      <c r="I28" s="189">
        <f>SUM(I21:I27)</f>
        <v>-578309901369.73999</v>
      </c>
      <c r="J28" s="188" t="e">
        <f>SUM(J21:J26)</f>
        <v>#REF!</v>
      </c>
      <c r="K28" s="100"/>
    </row>
    <row r="29" spans="1:14" ht="18" customHeight="1">
      <c r="C29" s="14"/>
      <c r="D29" s="15"/>
      <c r="E29" s="15"/>
      <c r="F29" s="15"/>
      <c r="G29" s="15"/>
    </row>
    <row r="30" spans="1:14">
      <c r="C30" s="14">
        <f>C18-C28</f>
        <v>348003902561.53259</v>
      </c>
      <c r="D30" s="15"/>
      <c r="E30" s="16" t="s">
        <v>61</v>
      </c>
      <c r="F30" s="16"/>
      <c r="G30" s="17" t="e">
        <f>+G18-G28</f>
        <v>#REF!</v>
      </c>
    </row>
    <row r="31" spans="1:14" ht="18" customHeight="1" thickBot="1">
      <c r="A31" s="202" t="s">
        <v>62</v>
      </c>
      <c r="C31" s="14" t="e">
        <f>C30+C40</f>
        <v>#REF!</v>
      </c>
      <c r="D31" s="18"/>
      <c r="E31" s="15"/>
      <c r="F31" s="19"/>
      <c r="G31" s="15"/>
    </row>
    <row r="32" spans="1:14" ht="18" customHeight="1">
      <c r="A32" s="156" t="s">
        <v>57</v>
      </c>
      <c r="B32" s="157" t="s">
        <v>7</v>
      </c>
      <c r="C32" s="160" t="e">
        <f>G16</f>
        <v>#REF!</v>
      </c>
      <c r="D32" s="103"/>
      <c r="F32" s="20"/>
      <c r="G32" s="15"/>
    </row>
    <row r="33" spans="1:11" ht="18" customHeight="1">
      <c r="A33" s="158" t="s">
        <v>48</v>
      </c>
      <c r="B33" s="159" t="s">
        <v>8</v>
      </c>
      <c r="C33" s="196" t="e">
        <f t="shared" ref="C33:C39" si="5">G9-G21</f>
        <v>#REF!</v>
      </c>
      <c r="D33" s="103"/>
      <c r="F33" s="20"/>
      <c r="G33" s="15"/>
    </row>
    <row r="34" spans="1:11" ht="18" customHeight="1">
      <c r="A34" s="158" t="s">
        <v>49</v>
      </c>
      <c r="B34" s="159" t="s">
        <v>9</v>
      </c>
      <c r="C34" s="161" t="e">
        <f t="shared" si="5"/>
        <v>#REF!</v>
      </c>
      <c r="D34" s="104"/>
      <c r="F34" s="20"/>
      <c r="G34" s="15"/>
    </row>
    <row r="35" spans="1:11" ht="18" customHeight="1">
      <c r="A35" s="158" t="s">
        <v>50</v>
      </c>
      <c r="B35" s="159" t="s">
        <v>51</v>
      </c>
      <c r="C35" s="161" t="e">
        <f t="shared" si="5"/>
        <v>#REF!</v>
      </c>
      <c r="D35" s="104"/>
      <c r="F35" s="20"/>
      <c r="G35" s="15"/>
    </row>
    <row r="36" spans="1:11" ht="18" customHeight="1">
      <c r="A36" s="158">
        <v>159</v>
      </c>
      <c r="B36" s="159" t="s">
        <v>52</v>
      </c>
      <c r="C36" s="161">
        <f t="shared" si="5"/>
        <v>0</v>
      </c>
      <c r="F36" s="20"/>
      <c r="G36" s="11"/>
      <c r="J36" s="104"/>
    </row>
    <row r="37" spans="1:11" ht="18" customHeight="1">
      <c r="A37" s="158" t="s">
        <v>53</v>
      </c>
      <c r="B37" s="159" t="s">
        <v>11</v>
      </c>
      <c r="C37" s="162" t="e">
        <f t="shared" si="5"/>
        <v>#REF!</v>
      </c>
      <c r="D37" s="155"/>
      <c r="F37" s="20"/>
      <c r="G37" s="11"/>
      <c r="H37" s="11"/>
      <c r="I37" s="105"/>
      <c r="J37" s="11"/>
      <c r="K37" s="149"/>
    </row>
    <row r="38" spans="1:11" ht="18" customHeight="1">
      <c r="A38" s="158" t="s">
        <v>54</v>
      </c>
      <c r="B38" s="159" t="s">
        <v>55</v>
      </c>
      <c r="C38" s="162" t="e">
        <f t="shared" si="5"/>
        <v>#REF!</v>
      </c>
      <c r="D38" s="155"/>
      <c r="F38" s="20"/>
      <c r="G38" s="11"/>
      <c r="H38" s="11"/>
      <c r="I38" s="105"/>
      <c r="J38" s="11"/>
      <c r="K38" s="149"/>
    </row>
    <row r="39" spans="1:11" ht="18" customHeight="1" thickBot="1">
      <c r="A39" s="588">
        <v>172</v>
      </c>
      <c r="B39" s="589" t="s">
        <v>56</v>
      </c>
      <c r="C39" s="162" t="e">
        <f t="shared" si="5"/>
        <v>#REF!</v>
      </c>
      <c r="D39" s="155"/>
      <c r="G39" s="11"/>
      <c r="H39" s="11"/>
      <c r="I39" s="11"/>
      <c r="J39" s="11"/>
      <c r="K39" s="149"/>
    </row>
    <row r="40" spans="1:11" ht="18" customHeight="1" thickBot="1">
      <c r="A40" s="193"/>
      <c r="B40" s="194"/>
      <c r="C40" s="195" t="e">
        <f>SUM(C32:C38)</f>
        <v>#REF!</v>
      </c>
      <c r="D40" s="3"/>
      <c r="G40" s="11"/>
      <c r="H40" s="11"/>
      <c r="I40" s="11"/>
      <c r="J40" s="11"/>
      <c r="K40" s="149"/>
    </row>
    <row r="41" spans="1:11" ht="18" customHeight="1">
      <c r="C41" s="155"/>
      <c r="D41" s="3"/>
      <c r="G41" s="11"/>
      <c r="H41" s="11"/>
      <c r="I41" s="11"/>
      <c r="J41" s="11"/>
      <c r="K41" s="149"/>
    </row>
    <row r="42" spans="1:11" ht="18" customHeight="1">
      <c r="C42" s="3"/>
      <c r="D42" s="3"/>
      <c r="G42" s="11"/>
      <c r="H42" s="11"/>
      <c r="I42" s="11"/>
      <c r="J42" s="11"/>
      <c r="K42" s="149"/>
    </row>
    <row r="43" spans="1:11" ht="18" customHeight="1">
      <c r="C43" s="572"/>
      <c r="D43" s="572"/>
      <c r="E43" s="573"/>
      <c r="F43" s="573"/>
      <c r="G43" s="573"/>
      <c r="H43" s="573"/>
    </row>
    <row r="44" spans="1:11" ht="18" customHeight="1">
      <c r="C44" s="572"/>
      <c r="D44" s="572"/>
      <c r="E44" s="572"/>
      <c r="F44" s="573"/>
      <c r="G44" s="572"/>
      <c r="H44" s="573"/>
    </row>
    <row r="45" spans="1:11" ht="18" customHeight="1">
      <c r="C45" s="572"/>
      <c r="D45" s="572"/>
      <c r="E45" s="573"/>
      <c r="F45" s="573"/>
      <c r="G45" s="573"/>
      <c r="H45" s="573"/>
    </row>
    <row r="46" spans="1:11" ht="18" customHeight="1">
      <c r="C46" s="572"/>
      <c r="D46" s="572"/>
      <c r="E46" s="573"/>
      <c r="F46" s="573"/>
      <c r="G46" s="573"/>
      <c r="H46" s="573"/>
    </row>
    <row r="47" spans="1:11" ht="18" customHeight="1">
      <c r="C47" s="572"/>
      <c r="D47" s="572"/>
      <c r="E47" s="573"/>
      <c r="F47" s="573"/>
      <c r="G47" s="573"/>
      <c r="H47" s="573"/>
    </row>
    <row r="48" spans="1:11" ht="18" customHeight="1">
      <c r="C48" s="572"/>
      <c r="D48" s="572"/>
      <c r="E48" s="573"/>
      <c r="F48" s="573"/>
      <c r="G48" s="573"/>
      <c r="H48" s="573"/>
    </row>
    <row r="49" spans="3:4" ht="18" customHeight="1">
      <c r="C49" s="3"/>
      <c r="D49" s="3"/>
    </row>
    <row r="50" spans="3:4" ht="18" customHeight="1">
      <c r="C50" s="3"/>
      <c r="D50" s="3"/>
    </row>
    <row r="51" spans="3:4" ht="18" customHeight="1">
      <c r="C51" s="3"/>
      <c r="D51" s="3"/>
    </row>
    <row r="52" spans="3:4" ht="18" customHeight="1">
      <c r="C52" s="3"/>
      <c r="D52" s="3"/>
    </row>
    <row r="53" spans="3:4" ht="18" customHeight="1">
      <c r="C53" s="3"/>
      <c r="D53" s="3"/>
    </row>
    <row r="54" spans="3:4" ht="18" customHeight="1">
      <c r="C54" s="3"/>
      <c r="D54" s="3"/>
    </row>
    <row r="55" spans="3:4" ht="18" customHeight="1">
      <c r="C55" s="3"/>
      <c r="D55" s="3"/>
    </row>
    <row r="56" spans="3:4" ht="18" customHeight="1">
      <c r="C56" s="3"/>
      <c r="D56" s="3"/>
    </row>
    <row r="57" spans="3:4" ht="18" customHeight="1">
      <c r="C57" s="3"/>
      <c r="D57" s="3"/>
    </row>
    <row r="58" spans="3:4">
      <c r="C58" s="3"/>
      <c r="D58" s="3"/>
    </row>
    <row r="59" spans="3:4">
      <c r="C59" s="3"/>
      <c r="D59" s="3"/>
    </row>
    <row r="60" spans="3:4">
      <c r="C60" s="3"/>
      <c r="D60" s="3"/>
    </row>
    <row r="61" spans="3:4">
      <c r="C61" s="3"/>
      <c r="D61" s="3"/>
    </row>
    <row r="62" spans="3:4">
      <c r="C62" s="3"/>
      <c r="D62" s="3"/>
    </row>
    <row r="63" spans="3:4">
      <c r="C63" s="3"/>
      <c r="D63" s="3"/>
    </row>
    <row r="64" spans="3:4">
      <c r="C64" s="3"/>
      <c r="D64" s="3"/>
    </row>
    <row r="65" spans="3:4">
      <c r="C65" s="3"/>
      <c r="D65" s="3"/>
    </row>
    <row r="66" spans="3:4">
      <c r="C66" s="3"/>
      <c r="D66" s="3"/>
    </row>
    <row r="67" spans="3:4">
      <c r="C67" s="3"/>
      <c r="D67" s="3"/>
    </row>
    <row r="68" spans="3:4">
      <c r="C68" s="3"/>
      <c r="D68" s="3"/>
    </row>
    <row r="69" spans="3:4">
      <c r="C69" s="3"/>
      <c r="D69" s="3"/>
    </row>
    <row r="70" spans="3:4">
      <c r="C70" s="3"/>
      <c r="D70" s="3"/>
    </row>
    <row r="71" spans="3:4">
      <c r="C71" s="3"/>
      <c r="D71" s="3"/>
    </row>
    <row r="72" spans="3:4">
      <c r="C72" s="3"/>
      <c r="D72" s="3"/>
    </row>
    <row r="73" spans="3:4">
      <c r="C73" s="3"/>
      <c r="D73" s="3"/>
    </row>
    <row r="74" spans="3:4">
      <c r="C74" s="3"/>
      <c r="D74" s="3"/>
    </row>
    <row r="75" spans="3:4">
      <c r="C75" s="3"/>
      <c r="D75" s="3"/>
    </row>
    <row r="76" spans="3:4">
      <c r="C76" s="3"/>
      <c r="D76" s="3"/>
    </row>
    <row r="77" spans="3:4">
      <c r="C77" s="3"/>
      <c r="D77" s="3"/>
    </row>
    <row r="78" spans="3:4">
      <c r="C78" s="3"/>
      <c r="D78" s="3"/>
    </row>
    <row r="79" spans="3:4">
      <c r="C79" s="3"/>
      <c r="D79" s="3"/>
    </row>
    <row r="80" spans="3:4">
      <c r="C80" s="3"/>
      <c r="D80" s="3"/>
    </row>
    <row r="81" spans="3:4">
      <c r="C81" s="3"/>
      <c r="D81" s="3"/>
    </row>
    <row r="82" spans="3:4">
      <c r="C82" s="3"/>
      <c r="D82" s="3"/>
    </row>
    <row r="83" spans="3:4">
      <c r="C83" s="3"/>
      <c r="D83" s="3"/>
    </row>
    <row r="84" spans="3:4">
      <c r="C84" s="3"/>
      <c r="D84" s="3"/>
    </row>
    <row r="85" spans="3:4">
      <c r="C85" s="3"/>
      <c r="D85" s="3"/>
    </row>
    <row r="86" spans="3:4">
      <c r="C86" s="3"/>
      <c r="D86" s="3"/>
    </row>
    <row r="87" spans="3:4">
      <c r="C87" s="3"/>
      <c r="D87" s="3"/>
    </row>
    <row r="88" spans="3:4">
      <c r="C88" s="3"/>
      <c r="D88" s="3"/>
    </row>
    <row r="89" spans="3:4">
      <c r="C89" s="3"/>
      <c r="D89" s="3"/>
    </row>
    <row r="90" spans="3:4">
      <c r="C90" s="3"/>
      <c r="D90" s="3"/>
    </row>
    <row r="91" spans="3:4">
      <c r="C91" s="3"/>
      <c r="D91" s="3"/>
    </row>
    <row r="92" spans="3:4">
      <c r="C92" s="3"/>
      <c r="D92" s="3"/>
    </row>
    <row r="93" spans="3:4">
      <c r="C93" s="3"/>
      <c r="D93" s="3"/>
    </row>
    <row r="94" spans="3:4">
      <c r="C94" s="3"/>
      <c r="D94" s="3"/>
    </row>
    <row r="95" spans="3:4">
      <c r="C95" s="3"/>
      <c r="D95" s="3"/>
    </row>
    <row r="96" spans="3:4">
      <c r="C96" s="3"/>
      <c r="D96" s="3"/>
    </row>
    <row r="97" spans="3:4">
      <c r="C97" s="3"/>
      <c r="D97" s="3"/>
    </row>
    <row r="98" spans="3:4">
      <c r="C98" s="3"/>
      <c r="D98" s="3"/>
    </row>
    <row r="99" spans="3:4">
      <c r="C99" s="3"/>
      <c r="D99" s="3"/>
    </row>
    <row r="100" spans="3:4">
      <c r="C100" s="3"/>
      <c r="D100" s="3"/>
    </row>
    <row r="101" spans="3:4">
      <c r="C101" s="3"/>
      <c r="D101" s="3"/>
    </row>
    <row r="102" spans="3:4">
      <c r="C102" s="3"/>
      <c r="D102" s="3"/>
    </row>
    <row r="103" spans="3:4">
      <c r="C103" s="3"/>
      <c r="D103" s="3"/>
    </row>
    <row r="104" spans="3:4">
      <c r="C104" s="3"/>
      <c r="D104" s="3"/>
    </row>
    <row r="105" spans="3:4">
      <c r="C105" s="3"/>
      <c r="D105" s="3"/>
    </row>
    <row r="106" spans="3:4">
      <c r="C106" s="3"/>
      <c r="D106" s="3"/>
    </row>
    <row r="107" spans="3:4">
      <c r="C107" s="3"/>
      <c r="D107" s="3"/>
    </row>
    <row r="108" spans="3:4">
      <c r="C108" s="3"/>
      <c r="D108" s="3"/>
    </row>
    <row r="109" spans="3:4">
      <c r="C109" s="3"/>
      <c r="D109" s="3"/>
    </row>
    <row r="110" spans="3:4">
      <c r="C110" s="3"/>
      <c r="D110" s="3"/>
    </row>
    <row r="111" spans="3:4">
      <c r="C111" s="3"/>
      <c r="D111" s="3"/>
    </row>
    <row r="112" spans="3:4">
      <c r="C112" s="3"/>
      <c r="D112" s="3"/>
    </row>
    <row r="113" spans="3:4">
      <c r="C113" s="3"/>
      <c r="D113" s="3"/>
    </row>
    <row r="114" spans="3:4">
      <c r="C114" s="3"/>
      <c r="D114" s="3"/>
    </row>
    <row r="115" spans="3:4">
      <c r="C115" s="3"/>
      <c r="D115" s="3"/>
    </row>
    <row r="116" spans="3:4">
      <c r="C116" s="3"/>
      <c r="D116" s="3"/>
    </row>
    <row r="117" spans="3:4">
      <c r="C117" s="3"/>
      <c r="D117" s="3"/>
    </row>
    <row r="118" spans="3:4">
      <c r="C118" s="3"/>
      <c r="D118" s="3"/>
    </row>
    <row r="119" spans="3:4">
      <c r="C119" s="3"/>
      <c r="D119" s="3"/>
    </row>
    <row r="120" spans="3:4">
      <c r="C120" s="3"/>
      <c r="D120" s="3"/>
    </row>
    <row r="121" spans="3:4">
      <c r="C121" s="3"/>
      <c r="D121" s="3"/>
    </row>
    <row r="122" spans="3:4">
      <c r="C122" s="3"/>
      <c r="D122" s="3"/>
    </row>
    <row r="123" spans="3:4">
      <c r="C123" s="3"/>
      <c r="D123" s="3"/>
    </row>
    <row r="124" spans="3:4">
      <c r="C124" s="3"/>
      <c r="D124" s="3"/>
    </row>
    <row r="125" spans="3:4">
      <c r="C125" s="3"/>
      <c r="D125" s="3"/>
    </row>
    <row r="126" spans="3:4">
      <c r="C126" s="3"/>
      <c r="D126" s="3"/>
    </row>
    <row r="127" spans="3:4">
      <c r="C127" s="3"/>
      <c r="D127" s="3"/>
    </row>
    <row r="128" spans="3:4">
      <c r="C128" s="3"/>
      <c r="D128" s="3"/>
    </row>
    <row r="129" spans="3:4">
      <c r="C129" s="3"/>
      <c r="D129" s="3"/>
    </row>
    <row r="130" spans="3:4">
      <c r="C130" s="3"/>
      <c r="D130" s="3"/>
    </row>
    <row r="131" spans="3:4">
      <c r="C131" s="3"/>
      <c r="D131" s="3"/>
    </row>
    <row r="132" spans="3:4">
      <c r="C132" s="3"/>
      <c r="D132" s="3"/>
    </row>
    <row r="133" spans="3:4">
      <c r="C133" s="3"/>
      <c r="D133" s="3"/>
    </row>
    <row r="134" spans="3:4">
      <c r="C134" s="3"/>
      <c r="D134" s="3"/>
    </row>
    <row r="135" spans="3:4">
      <c r="C135" s="3"/>
      <c r="D135" s="3"/>
    </row>
    <row r="136" spans="3:4">
      <c r="C136" s="3"/>
      <c r="D136" s="3"/>
    </row>
    <row r="137" spans="3:4">
      <c r="C137" s="3"/>
      <c r="D137" s="3"/>
    </row>
    <row r="138" spans="3:4">
      <c r="C138" s="3"/>
      <c r="D138" s="3"/>
    </row>
    <row r="139" spans="3:4">
      <c r="C139" s="3"/>
      <c r="D139" s="3"/>
    </row>
    <row r="140" spans="3:4">
      <c r="C140" s="3"/>
      <c r="D140" s="3"/>
    </row>
    <row r="141" spans="3:4">
      <c r="C141" s="3"/>
      <c r="D141" s="3"/>
    </row>
    <row r="142" spans="3:4">
      <c r="C142" s="3"/>
      <c r="D142" s="3"/>
    </row>
    <row r="143" spans="3:4">
      <c r="C143" s="3"/>
      <c r="D143" s="3"/>
    </row>
    <row r="144" spans="3:4">
      <c r="C144" s="3"/>
      <c r="D144" s="3"/>
    </row>
    <row r="145" spans="3:4">
      <c r="C145" s="3"/>
      <c r="D145" s="3"/>
    </row>
    <row r="146" spans="3:4">
      <c r="C146" s="3"/>
      <c r="D146" s="3"/>
    </row>
    <row r="147" spans="3:4">
      <c r="C147" s="3"/>
      <c r="D147" s="3"/>
    </row>
    <row r="148" spans="3:4">
      <c r="C148" s="3"/>
      <c r="D148" s="3"/>
    </row>
    <row r="149" spans="3:4">
      <c r="C149" s="3"/>
      <c r="D149" s="3"/>
    </row>
    <row r="150" spans="3:4">
      <c r="C150" s="3"/>
      <c r="D150" s="3"/>
    </row>
    <row r="151" spans="3:4">
      <c r="C151" s="3"/>
      <c r="D151" s="3"/>
    </row>
    <row r="152" spans="3:4">
      <c r="C152" s="3"/>
      <c r="D152" s="3"/>
    </row>
    <row r="153" spans="3:4">
      <c r="C153" s="3"/>
      <c r="D153" s="3"/>
    </row>
    <row r="154" spans="3:4">
      <c r="C154" s="3"/>
      <c r="D154" s="3"/>
    </row>
    <row r="155" spans="3:4">
      <c r="C155" s="3"/>
      <c r="D155" s="3"/>
    </row>
    <row r="156" spans="3:4">
      <c r="C156" s="3"/>
      <c r="D156" s="3"/>
    </row>
    <row r="157" spans="3:4">
      <c r="C157" s="3"/>
      <c r="D157" s="3"/>
    </row>
    <row r="158" spans="3:4">
      <c r="C158" s="3"/>
      <c r="D158" s="3"/>
    </row>
    <row r="159" spans="3:4">
      <c r="C159" s="3"/>
      <c r="D159" s="3"/>
    </row>
    <row r="160" spans="3:4">
      <c r="C160" s="3"/>
      <c r="D160" s="3"/>
    </row>
    <row r="161" spans="3:4">
      <c r="C161" s="3"/>
      <c r="D161" s="3"/>
    </row>
    <row r="162" spans="3:4">
      <c r="C162" s="3"/>
      <c r="D162" s="3"/>
    </row>
    <row r="163" spans="3:4">
      <c r="C163" s="3"/>
      <c r="D163" s="3"/>
    </row>
    <row r="164" spans="3:4">
      <c r="C164" s="3"/>
      <c r="D164" s="3"/>
    </row>
    <row r="165" spans="3:4">
      <c r="C165" s="3"/>
      <c r="D165" s="3"/>
    </row>
    <row r="166" spans="3:4">
      <c r="C166" s="3"/>
      <c r="D166" s="3"/>
    </row>
    <row r="167" spans="3:4">
      <c r="C167" s="3"/>
      <c r="D167" s="3"/>
    </row>
    <row r="168" spans="3:4">
      <c r="C168" s="3"/>
      <c r="D168" s="3"/>
    </row>
    <row r="169" spans="3:4">
      <c r="C169" s="3"/>
      <c r="D169" s="3"/>
    </row>
    <row r="170" spans="3:4">
      <c r="C170" s="3"/>
      <c r="D170" s="3"/>
    </row>
    <row r="171" spans="3:4">
      <c r="C171" s="3"/>
      <c r="D171" s="3"/>
    </row>
    <row r="172" spans="3:4">
      <c r="C172" s="3"/>
      <c r="D172" s="3"/>
    </row>
    <row r="173" spans="3:4">
      <c r="C173" s="3"/>
      <c r="D173" s="3"/>
    </row>
    <row r="174" spans="3:4">
      <c r="C174" s="3"/>
      <c r="D174" s="3"/>
    </row>
    <row r="175" spans="3:4">
      <c r="C175" s="3"/>
      <c r="D175" s="3"/>
    </row>
    <row r="176" spans="3:4">
      <c r="C176" s="3"/>
      <c r="D176" s="3"/>
    </row>
    <row r="177" spans="3:4">
      <c r="C177" s="3"/>
      <c r="D177" s="3"/>
    </row>
    <row r="178" spans="3:4">
      <c r="C178" s="3"/>
      <c r="D178" s="3"/>
    </row>
    <row r="179" spans="3:4">
      <c r="C179" s="3"/>
      <c r="D179" s="3"/>
    </row>
    <row r="180" spans="3:4">
      <c r="C180" s="3"/>
      <c r="D180" s="3"/>
    </row>
    <row r="181" spans="3:4">
      <c r="C181" s="3"/>
      <c r="D181" s="3"/>
    </row>
    <row r="182" spans="3:4">
      <c r="C182" s="3"/>
      <c r="D182" s="3"/>
    </row>
    <row r="183" spans="3:4">
      <c r="C183" s="3"/>
      <c r="D183" s="3"/>
    </row>
    <row r="184" spans="3:4">
      <c r="C184" s="3"/>
      <c r="D184" s="3"/>
    </row>
    <row r="185" spans="3:4">
      <c r="C185" s="3"/>
      <c r="D185" s="3"/>
    </row>
    <row r="186" spans="3:4">
      <c r="C186" s="3"/>
      <c r="D186" s="3"/>
    </row>
    <row r="187" spans="3:4">
      <c r="C187" s="3"/>
      <c r="D187" s="3"/>
    </row>
    <row r="188" spans="3:4">
      <c r="C188" s="3"/>
      <c r="D188" s="3"/>
    </row>
    <row r="189" spans="3:4">
      <c r="C189" s="3"/>
      <c r="D189" s="3"/>
    </row>
    <row r="190" spans="3:4">
      <c r="C190" s="3"/>
      <c r="D190" s="3"/>
    </row>
    <row r="191" spans="3:4">
      <c r="C191" s="3"/>
      <c r="D191" s="3"/>
    </row>
    <row r="192" spans="3:4">
      <c r="C192" s="3"/>
      <c r="D192" s="3"/>
    </row>
    <row r="193" spans="3:4">
      <c r="C193" s="3"/>
      <c r="D193" s="3"/>
    </row>
    <row r="194" spans="3:4">
      <c r="C194" s="3"/>
      <c r="D194" s="3"/>
    </row>
    <row r="195" spans="3:4">
      <c r="C195" s="3"/>
      <c r="D195" s="3"/>
    </row>
    <row r="196" spans="3:4">
      <c r="C196" s="3"/>
      <c r="D196" s="3"/>
    </row>
    <row r="197" spans="3:4">
      <c r="C197" s="3"/>
      <c r="D197" s="3"/>
    </row>
    <row r="198" spans="3:4">
      <c r="C198" s="3"/>
      <c r="D198" s="3"/>
    </row>
    <row r="199" spans="3:4">
      <c r="C199" s="3"/>
      <c r="D199" s="3"/>
    </row>
    <row r="200" spans="3:4">
      <c r="C200" s="3"/>
      <c r="D200" s="3"/>
    </row>
    <row r="201" spans="3:4">
      <c r="C201" s="3"/>
      <c r="D201" s="3"/>
    </row>
    <row r="202" spans="3:4">
      <c r="C202" s="3"/>
      <c r="D202" s="3"/>
    </row>
    <row r="203" spans="3:4">
      <c r="C203" s="3"/>
      <c r="D203" s="3"/>
    </row>
    <row r="204" spans="3:4">
      <c r="C204" s="3"/>
      <c r="D204" s="3"/>
    </row>
    <row r="205" spans="3:4">
      <c r="C205" s="3"/>
      <c r="D205" s="3"/>
    </row>
    <row r="206" spans="3:4">
      <c r="C206" s="3"/>
      <c r="D206" s="3"/>
    </row>
    <row r="207" spans="3:4">
      <c r="C207" s="3"/>
      <c r="D207" s="3"/>
    </row>
    <row r="208" spans="3:4">
      <c r="C208" s="3"/>
      <c r="D208" s="3"/>
    </row>
    <row r="209" spans="3:4">
      <c r="C209" s="3"/>
      <c r="D209" s="3"/>
    </row>
    <row r="210" spans="3:4">
      <c r="C210" s="3"/>
      <c r="D210" s="3"/>
    </row>
    <row r="211" spans="3:4">
      <c r="C211" s="3"/>
      <c r="D211" s="3"/>
    </row>
    <row r="212" spans="3:4">
      <c r="C212" s="3"/>
      <c r="D212" s="3"/>
    </row>
    <row r="213" spans="3:4">
      <c r="C213" s="3"/>
      <c r="D213" s="3"/>
    </row>
    <row r="214" spans="3:4">
      <c r="C214" s="3"/>
      <c r="D214" s="3"/>
    </row>
    <row r="215" spans="3:4">
      <c r="C215" s="3"/>
      <c r="D215" s="3"/>
    </row>
    <row r="216" spans="3:4">
      <c r="C216" s="3"/>
      <c r="D216" s="3"/>
    </row>
    <row r="217" spans="3:4">
      <c r="C217" s="3"/>
      <c r="D217" s="3"/>
    </row>
    <row r="218" spans="3:4">
      <c r="C218" s="3"/>
      <c r="D218" s="3"/>
    </row>
    <row r="219" spans="3:4">
      <c r="C219" s="3"/>
      <c r="D219" s="3"/>
    </row>
    <row r="220" spans="3:4">
      <c r="C220" s="3"/>
      <c r="D220" s="3"/>
    </row>
    <row r="221" spans="3:4">
      <c r="C221" s="3"/>
      <c r="D221" s="3"/>
    </row>
    <row r="222" spans="3:4">
      <c r="C222" s="3"/>
      <c r="D222" s="3"/>
    </row>
    <row r="223" spans="3:4">
      <c r="C223" s="3"/>
      <c r="D223" s="3"/>
    </row>
    <row r="224" spans="3:4">
      <c r="C224" s="3"/>
      <c r="D224" s="3"/>
    </row>
    <row r="225" spans="3:4">
      <c r="C225" s="3"/>
      <c r="D225" s="3"/>
    </row>
    <row r="226" spans="3:4">
      <c r="C226" s="3"/>
      <c r="D226" s="3"/>
    </row>
    <row r="227" spans="3:4">
      <c r="C227" s="3"/>
      <c r="D227" s="3"/>
    </row>
    <row r="228" spans="3:4">
      <c r="C228" s="3"/>
      <c r="D228" s="3"/>
    </row>
    <row r="229" spans="3:4">
      <c r="C229" s="3"/>
      <c r="D229" s="3"/>
    </row>
    <row r="230" spans="3:4">
      <c r="C230" s="3"/>
      <c r="D230" s="3"/>
    </row>
    <row r="231" spans="3:4">
      <c r="C231" s="3"/>
      <c r="D231" s="3"/>
    </row>
    <row r="232" spans="3:4">
      <c r="C232" s="3"/>
      <c r="D232" s="3"/>
    </row>
    <row r="233" spans="3:4">
      <c r="C233" s="3"/>
      <c r="D233" s="3"/>
    </row>
    <row r="234" spans="3:4">
      <c r="C234" s="3"/>
      <c r="D234" s="3"/>
    </row>
    <row r="235" spans="3:4">
      <c r="C235" s="3"/>
      <c r="D235" s="3"/>
    </row>
    <row r="236" spans="3:4">
      <c r="C236" s="3"/>
      <c r="D236" s="3"/>
    </row>
    <row r="237" spans="3:4">
      <c r="C237" s="3"/>
      <c r="D237" s="3"/>
    </row>
    <row r="238" spans="3:4">
      <c r="C238" s="3"/>
      <c r="D238" s="3"/>
    </row>
    <row r="239" spans="3:4">
      <c r="C239" s="3"/>
      <c r="D239" s="3"/>
    </row>
    <row r="240" spans="3:4">
      <c r="C240" s="3"/>
      <c r="D240" s="3"/>
    </row>
    <row r="241" spans="3:4">
      <c r="C241" s="3"/>
      <c r="D241" s="3"/>
    </row>
    <row r="242" spans="3:4">
      <c r="C242" s="3"/>
      <c r="D242" s="3"/>
    </row>
    <row r="243" spans="3:4">
      <c r="C243" s="3"/>
      <c r="D243" s="3"/>
    </row>
    <row r="244" spans="3:4">
      <c r="C244" s="3"/>
      <c r="D244" s="3"/>
    </row>
    <row r="245" spans="3:4">
      <c r="C245" s="3"/>
      <c r="D245" s="3"/>
    </row>
    <row r="246" spans="3:4">
      <c r="C246" s="3"/>
      <c r="D246" s="3"/>
    </row>
    <row r="247" spans="3:4">
      <c r="C247" s="3"/>
      <c r="D247" s="3"/>
    </row>
    <row r="248" spans="3:4">
      <c r="C248" s="3"/>
      <c r="D248" s="3"/>
    </row>
    <row r="249" spans="3:4">
      <c r="C249" s="3"/>
      <c r="D249" s="3"/>
    </row>
    <row r="250" spans="3:4">
      <c r="C250" s="3"/>
      <c r="D250" s="3"/>
    </row>
    <row r="251" spans="3:4">
      <c r="C251" s="3"/>
      <c r="D251" s="3"/>
    </row>
    <row r="252" spans="3:4">
      <c r="C252" s="3"/>
      <c r="D252" s="3"/>
    </row>
    <row r="253" spans="3:4">
      <c r="C253" s="3"/>
      <c r="D253" s="3"/>
    </row>
    <row r="254" spans="3:4">
      <c r="C254" s="3"/>
      <c r="D254" s="3"/>
    </row>
    <row r="255" spans="3:4">
      <c r="C255" s="3"/>
      <c r="D255" s="3"/>
    </row>
    <row r="256" spans="3:4">
      <c r="C256" s="3"/>
      <c r="D256" s="3"/>
    </row>
    <row r="257" spans="3:4">
      <c r="C257" s="3"/>
      <c r="D257" s="3"/>
    </row>
    <row r="258" spans="3:4">
      <c r="C258" s="3"/>
      <c r="D258" s="3"/>
    </row>
    <row r="259" spans="3:4">
      <c r="C259" s="3"/>
      <c r="D259" s="3"/>
    </row>
    <row r="260" spans="3:4">
      <c r="C260" s="3"/>
      <c r="D260" s="3"/>
    </row>
    <row r="261" spans="3:4">
      <c r="C261" s="3"/>
      <c r="D261" s="3"/>
    </row>
    <row r="262" spans="3:4">
      <c r="C262" s="3"/>
      <c r="D262" s="3"/>
    </row>
    <row r="263" spans="3:4">
      <c r="C263" s="3"/>
      <c r="D263" s="3"/>
    </row>
    <row r="264" spans="3:4">
      <c r="C264" s="3"/>
      <c r="D264" s="3"/>
    </row>
    <row r="265" spans="3:4">
      <c r="C265" s="3"/>
      <c r="D265" s="3"/>
    </row>
    <row r="266" spans="3:4">
      <c r="C266" s="3"/>
      <c r="D266" s="3"/>
    </row>
    <row r="267" spans="3:4">
      <c r="C267" s="3"/>
      <c r="D267" s="3"/>
    </row>
    <row r="268" spans="3:4">
      <c r="C268" s="3"/>
      <c r="D268" s="3"/>
    </row>
    <row r="269" spans="3:4">
      <c r="C269" s="3"/>
      <c r="D269" s="3"/>
    </row>
    <row r="270" spans="3:4">
      <c r="C270" s="3"/>
      <c r="D270" s="3"/>
    </row>
    <row r="271" spans="3:4">
      <c r="C271" s="3"/>
      <c r="D271" s="3"/>
    </row>
    <row r="272" spans="3:4">
      <c r="C272" s="3"/>
      <c r="D272" s="3"/>
    </row>
    <row r="273" spans="3:4">
      <c r="C273" s="3"/>
      <c r="D273" s="3"/>
    </row>
    <row r="274" spans="3:4">
      <c r="C274" s="3"/>
      <c r="D274" s="3"/>
    </row>
    <row r="275" spans="3:4">
      <c r="C275" s="3"/>
      <c r="D275" s="3"/>
    </row>
    <row r="276" spans="3:4">
      <c r="C276" s="3"/>
      <c r="D276" s="3"/>
    </row>
    <row r="277" spans="3:4">
      <c r="C277" s="3"/>
      <c r="D277" s="3"/>
    </row>
    <row r="278" spans="3:4">
      <c r="C278" s="3"/>
      <c r="D278" s="3"/>
    </row>
    <row r="279" spans="3:4">
      <c r="C279" s="3"/>
      <c r="D279" s="3"/>
    </row>
    <row r="280" spans="3:4">
      <c r="C280" s="3"/>
      <c r="D280" s="3"/>
    </row>
    <row r="281" spans="3:4">
      <c r="C281" s="3"/>
      <c r="D281" s="3"/>
    </row>
    <row r="282" spans="3:4">
      <c r="C282" s="3"/>
      <c r="D282" s="3"/>
    </row>
    <row r="283" spans="3:4">
      <c r="C283" s="3"/>
      <c r="D283" s="3"/>
    </row>
    <row r="284" spans="3:4">
      <c r="C284" s="3"/>
      <c r="D284" s="3"/>
    </row>
    <row r="285" spans="3:4">
      <c r="C285" s="3"/>
      <c r="D285" s="3"/>
    </row>
    <row r="286" spans="3:4">
      <c r="C286" s="3"/>
      <c r="D286" s="3"/>
    </row>
    <row r="287" spans="3:4">
      <c r="C287" s="3"/>
      <c r="D287" s="3"/>
    </row>
    <row r="288" spans="3:4">
      <c r="C288" s="3"/>
      <c r="D288" s="3"/>
    </row>
    <row r="289" spans="3:4">
      <c r="C289" s="3"/>
      <c r="D289" s="3"/>
    </row>
    <row r="290" spans="3:4">
      <c r="C290" s="3"/>
      <c r="D290" s="3"/>
    </row>
    <row r="291" spans="3:4">
      <c r="C291" s="3"/>
      <c r="D291" s="3"/>
    </row>
    <row r="292" spans="3:4">
      <c r="C292" s="3"/>
      <c r="D292" s="3"/>
    </row>
    <row r="293" spans="3:4">
      <c r="C293" s="3"/>
      <c r="D293" s="3"/>
    </row>
    <row r="294" spans="3:4">
      <c r="C294" s="3"/>
      <c r="D294" s="3"/>
    </row>
    <row r="295" spans="3:4">
      <c r="C295" s="3"/>
      <c r="D295" s="3"/>
    </row>
    <row r="296" spans="3:4">
      <c r="C296" s="3"/>
      <c r="D296" s="3"/>
    </row>
    <row r="297" spans="3:4">
      <c r="C297" s="3"/>
      <c r="D297" s="3"/>
    </row>
    <row r="298" spans="3:4">
      <c r="C298" s="3"/>
      <c r="D298" s="3"/>
    </row>
    <row r="299" spans="3:4">
      <c r="C299" s="3"/>
      <c r="D299" s="3"/>
    </row>
    <row r="300" spans="3:4">
      <c r="C300" s="3"/>
      <c r="D300" s="3"/>
    </row>
    <row r="301" spans="3:4">
      <c r="C301" s="3"/>
      <c r="D301" s="3"/>
    </row>
    <row r="302" spans="3:4">
      <c r="C302" s="3"/>
      <c r="D302" s="3"/>
    </row>
    <row r="303" spans="3:4">
      <c r="C303" s="3"/>
      <c r="D303" s="3"/>
    </row>
    <row r="304" spans="3:4">
      <c r="C304" s="3"/>
      <c r="D304" s="3"/>
    </row>
    <row r="305" spans="3:4">
      <c r="C305" s="3"/>
      <c r="D305" s="3"/>
    </row>
    <row r="306" spans="3:4">
      <c r="C306" s="3"/>
      <c r="D306" s="3"/>
    </row>
    <row r="307" spans="3:4">
      <c r="C307" s="3"/>
      <c r="D307" s="3"/>
    </row>
    <row r="308" spans="3:4">
      <c r="C308" s="3"/>
      <c r="D308" s="3"/>
    </row>
    <row r="309" spans="3:4">
      <c r="C309" s="3"/>
      <c r="D309" s="3"/>
    </row>
    <row r="310" spans="3:4">
      <c r="C310" s="3"/>
      <c r="D310" s="3"/>
    </row>
    <row r="311" spans="3:4">
      <c r="C311" s="3"/>
      <c r="D311" s="3"/>
    </row>
    <row r="312" spans="3:4">
      <c r="C312" s="3"/>
      <c r="D312" s="3"/>
    </row>
    <row r="313" spans="3:4">
      <c r="C313" s="3"/>
      <c r="D313" s="3"/>
    </row>
    <row r="314" spans="3:4">
      <c r="C314" s="3"/>
      <c r="D314" s="3"/>
    </row>
    <row r="315" spans="3:4">
      <c r="C315" s="3"/>
      <c r="D315" s="3"/>
    </row>
    <row r="316" spans="3:4">
      <c r="C316" s="3"/>
      <c r="D316" s="3"/>
    </row>
    <row r="317" spans="3:4">
      <c r="C317" s="3"/>
      <c r="D317" s="3"/>
    </row>
    <row r="318" spans="3:4">
      <c r="C318" s="3"/>
      <c r="D318" s="3"/>
    </row>
    <row r="319" spans="3:4">
      <c r="C319" s="3"/>
      <c r="D319" s="3"/>
    </row>
    <row r="320" spans="3:4">
      <c r="C320" s="3"/>
      <c r="D320" s="3"/>
    </row>
    <row r="321" spans="3:4">
      <c r="C321" s="3"/>
      <c r="D321" s="3"/>
    </row>
    <row r="322" spans="3:4">
      <c r="C322" s="3"/>
      <c r="D322" s="3"/>
    </row>
    <row r="323" spans="3:4">
      <c r="C323" s="3"/>
      <c r="D323" s="3"/>
    </row>
    <row r="324" spans="3:4">
      <c r="C324" s="3"/>
      <c r="D324" s="3"/>
    </row>
    <row r="325" spans="3:4">
      <c r="C325" s="3"/>
      <c r="D325" s="3"/>
    </row>
    <row r="326" spans="3:4">
      <c r="C326" s="3"/>
      <c r="D326" s="3"/>
    </row>
    <row r="327" spans="3:4">
      <c r="C327" s="3"/>
      <c r="D327" s="3"/>
    </row>
    <row r="328" spans="3:4">
      <c r="C328" s="3"/>
      <c r="D328" s="3"/>
    </row>
    <row r="329" spans="3:4">
      <c r="C329" s="3"/>
      <c r="D329" s="3"/>
    </row>
    <row r="330" spans="3:4">
      <c r="C330" s="3"/>
      <c r="D330" s="3"/>
    </row>
    <row r="331" spans="3:4">
      <c r="C331" s="3"/>
      <c r="D331" s="3"/>
    </row>
    <row r="332" spans="3:4">
      <c r="C332" s="3"/>
      <c r="D332" s="3"/>
    </row>
    <row r="333" spans="3:4">
      <c r="C333" s="3"/>
      <c r="D333" s="3"/>
    </row>
    <row r="334" spans="3:4">
      <c r="C334" s="3"/>
      <c r="D334" s="3"/>
    </row>
    <row r="335" spans="3:4">
      <c r="C335" s="3"/>
      <c r="D335" s="3"/>
    </row>
    <row r="336" spans="3:4">
      <c r="C336" s="3"/>
      <c r="D336" s="3"/>
    </row>
    <row r="337" spans="3:4">
      <c r="C337" s="3"/>
      <c r="D337" s="3"/>
    </row>
    <row r="338" spans="3:4">
      <c r="C338" s="3"/>
      <c r="D338" s="3"/>
    </row>
    <row r="339" spans="3:4">
      <c r="C339" s="3"/>
      <c r="D339" s="3"/>
    </row>
    <row r="340" spans="3:4">
      <c r="C340" s="3"/>
      <c r="D340" s="3"/>
    </row>
    <row r="341" spans="3:4">
      <c r="C341" s="3"/>
      <c r="D341" s="3"/>
    </row>
    <row r="342" spans="3:4">
      <c r="C342" s="3"/>
      <c r="D342" s="3"/>
    </row>
    <row r="343" spans="3:4">
      <c r="C343" s="3"/>
      <c r="D343" s="3"/>
    </row>
    <row r="344" spans="3:4">
      <c r="C344" s="3"/>
      <c r="D344" s="3"/>
    </row>
    <row r="345" spans="3:4">
      <c r="C345" s="3"/>
      <c r="D345" s="3"/>
    </row>
    <row r="346" spans="3:4">
      <c r="C346" s="3"/>
      <c r="D346" s="3"/>
    </row>
    <row r="347" spans="3:4">
      <c r="C347" s="3"/>
      <c r="D347" s="3"/>
    </row>
    <row r="348" spans="3:4">
      <c r="C348" s="3"/>
      <c r="D348" s="3"/>
    </row>
    <row r="349" spans="3:4">
      <c r="C349" s="3"/>
      <c r="D349" s="3"/>
    </row>
    <row r="350" spans="3:4">
      <c r="C350" s="3"/>
      <c r="D350" s="3"/>
    </row>
    <row r="351" spans="3:4">
      <c r="C351" s="3"/>
      <c r="D351" s="3"/>
    </row>
    <row r="352" spans="3:4">
      <c r="C352" s="3"/>
      <c r="D352" s="3"/>
    </row>
    <row r="353" spans="3:4">
      <c r="C353" s="3"/>
      <c r="D353" s="3"/>
    </row>
    <row r="354" spans="3:4">
      <c r="C354" s="3"/>
      <c r="D354" s="3"/>
    </row>
    <row r="355" spans="3:4">
      <c r="C355" s="3"/>
      <c r="D355" s="3"/>
    </row>
    <row r="356" spans="3:4">
      <c r="C356" s="3"/>
      <c r="D356" s="3"/>
    </row>
    <row r="357" spans="3:4">
      <c r="C357" s="3"/>
      <c r="D357" s="3"/>
    </row>
    <row r="358" spans="3:4">
      <c r="C358" s="3"/>
      <c r="D358" s="3"/>
    </row>
    <row r="359" spans="3:4">
      <c r="C359" s="3"/>
      <c r="D359" s="3"/>
    </row>
    <row r="360" spans="3:4">
      <c r="C360" s="3"/>
      <c r="D360" s="3"/>
    </row>
    <row r="361" spans="3:4">
      <c r="C361" s="3"/>
      <c r="D361" s="3"/>
    </row>
    <row r="362" spans="3:4">
      <c r="C362" s="3"/>
      <c r="D362" s="3"/>
    </row>
    <row r="363" spans="3:4">
      <c r="C363" s="3"/>
      <c r="D363" s="3"/>
    </row>
    <row r="364" spans="3:4">
      <c r="C364" s="3"/>
      <c r="D364" s="3"/>
    </row>
    <row r="365" spans="3:4">
      <c r="C365" s="3"/>
      <c r="D365" s="3"/>
    </row>
    <row r="366" spans="3:4">
      <c r="C366" s="3"/>
      <c r="D366" s="3"/>
    </row>
    <row r="367" spans="3:4">
      <c r="C367" s="3"/>
      <c r="D367" s="3"/>
    </row>
    <row r="368" spans="3:4">
      <c r="C368" s="3"/>
      <c r="D368" s="3"/>
    </row>
    <row r="369" spans="3:4">
      <c r="C369" s="3"/>
      <c r="D369" s="3"/>
    </row>
    <row r="370" spans="3:4">
      <c r="C370" s="3"/>
      <c r="D370" s="3"/>
    </row>
    <row r="371" spans="3:4">
      <c r="C371" s="3"/>
      <c r="D371" s="3"/>
    </row>
    <row r="372" spans="3:4">
      <c r="C372" s="3"/>
      <c r="D372" s="3"/>
    </row>
    <row r="373" spans="3:4">
      <c r="C373" s="3"/>
      <c r="D373" s="3"/>
    </row>
    <row r="374" spans="3:4">
      <c r="C374" s="3"/>
      <c r="D374" s="3"/>
    </row>
    <row r="375" spans="3:4">
      <c r="C375" s="3"/>
      <c r="D375" s="3"/>
    </row>
    <row r="376" spans="3:4">
      <c r="C376" s="3"/>
      <c r="D376" s="3"/>
    </row>
    <row r="377" spans="3:4">
      <c r="C377" s="3"/>
      <c r="D377" s="3"/>
    </row>
    <row r="378" spans="3:4">
      <c r="C378" s="3"/>
      <c r="D378" s="3"/>
    </row>
    <row r="379" spans="3:4">
      <c r="C379" s="3"/>
      <c r="D379" s="3"/>
    </row>
    <row r="380" spans="3:4">
      <c r="C380" s="3"/>
      <c r="D380" s="3"/>
    </row>
    <row r="381" spans="3:4">
      <c r="C381" s="3"/>
      <c r="D381" s="3"/>
    </row>
    <row r="382" spans="3:4">
      <c r="C382" s="3"/>
      <c r="D382" s="3"/>
    </row>
    <row r="383" spans="3:4">
      <c r="C383" s="3"/>
      <c r="D383" s="3"/>
    </row>
    <row r="384" spans="3:4">
      <c r="C384" s="3"/>
      <c r="D384" s="3"/>
    </row>
    <row r="385" spans="3:4">
      <c r="C385" s="3"/>
      <c r="D385" s="3"/>
    </row>
    <row r="386" spans="3:4">
      <c r="C386" s="3"/>
      <c r="D386" s="3"/>
    </row>
    <row r="387" spans="3:4">
      <c r="C387" s="3"/>
      <c r="D387" s="3"/>
    </row>
    <row r="388" spans="3:4">
      <c r="C388" s="3"/>
      <c r="D388" s="3"/>
    </row>
    <row r="389" spans="3:4">
      <c r="C389" s="3"/>
      <c r="D389" s="3"/>
    </row>
    <row r="390" spans="3:4">
      <c r="C390" s="3"/>
      <c r="D390" s="3"/>
    </row>
    <row r="391" spans="3:4">
      <c r="C391" s="3"/>
      <c r="D391" s="3"/>
    </row>
    <row r="392" spans="3:4">
      <c r="C392" s="3"/>
      <c r="D392" s="3"/>
    </row>
    <row r="393" spans="3:4">
      <c r="C393" s="3"/>
      <c r="D393" s="3"/>
    </row>
    <row r="394" spans="3:4">
      <c r="C394" s="3"/>
      <c r="D394" s="3"/>
    </row>
    <row r="395" spans="3:4">
      <c r="C395" s="3"/>
      <c r="D395" s="3"/>
    </row>
    <row r="396" spans="3:4">
      <c r="C396" s="3"/>
      <c r="D396" s="3"/>
    </row>
    <row r="397" spans="3:4">
      <c r="C397" s="3"/>
      <c r="D397" s="3"/>
    </row>
    <row r="398" spans="3:4">
      <c r="C398" s="3"/>
      <c r="D398" s="3"/>
    </row>
    <row r="399" spans="3:4">
      <c r="C399" s="3"/>
      <c r="D399" s="3"/>
    </row>
    <row r="400" spans="3:4">
      <c r="C400" s="3"/>
      <c r="D400" s="3"/>
    </row>
    <row r="401" spans="3:4">
      <c r="C401" s="3"/>
      <c r="D401" s="3"/>
    </row>
    <row r="402" spans="3:4">
      <c r="C402" s="3"/>
      <c r="D402" s="3"/>
    </row>
    <row r="403" spans="3:4">
      <c r="C403" s="3"/>
      <c r="D403" s="3"/>
    </row>
    <row r="404" spans="3:4">
      <c r="C404" s="3"/>
      <c r="D404" s="3"/>
    </row>
    <row r="405" spans="3:4">
      <c r="C405" s="3"/>
      <c r="D405" s="3"/>
    </row>
    <row r="406" spans="3:4">
      <c r="C406" s="3"/>
      <c r="D406" s="3"/>
    </row>
    <row r="407" spans="3:4">
      <c r="C407" s="3"/>
      <c r="D407" s="3"/>
    </row>
    <row r="408" spans="3:4">
      <c r="C408" s="3"/>
      <c r="D408" s="3"/>
    </row>
    <row r="409" spans="3:4">
      <c r="C409" s="3"/>
      <c r="D409" s="3"/>
    </row>
    <row r="410" spans="3:4">
      <c r="C410" s="3"/>
      <c r="D410" s="3"/>
    </row>
    <row r="411" spans="3:4">
      <c r="C411" s="3"/>
      <c r="D411" s="3"/>
    </row>
    <row r="412" spans="3:4">
      <c r="C412" s="3"/>
      <c r="D412" s="3"/>
    </row>
    <row r="413" spans="3:4">
      <c r="C413" s="3"/>
      <c r="D413" s="3"/>
    </row>
    <row r="414" spans="3:4">
      <c r="C414" s="3"/>
      <c r="D414" s="3"/>
    </row>
    <row r="415" spans="3:4">
      <c r="C415" s="3"/>
      <c r="D415" s="3"/>
    </row>
    <row r="416" spans="3:4">
      <c r="C416" s="3"/>
      <c r="D416" s="3"/>
    </row>
    <row r="417" spans="3:4">
      <c r="C417" s="3"/>
      <c r="D417" s="3"/>
    </row>
    <row r="418" spans="3:4">
      <c r="C418" s="3"/>
      <c r="D418" s="3"/>
    </row>
    <row r="419" spans="3:4">
      <c r="C419" s="3"/>
      <c r="D419" s="3"/>
    </row>
    <row r="420" spans="3:4">
      <c r="C420" s="3"/>
      <c r="D420" s="3"/>
    </row>
    <row r="421" spans="3:4">
      <c r="C421" s="3"/>
      <c r="D421" s="3"/>
    </row>
    <row r="422" spans="3:4">
      <c r="C422" s="3"/>
      <c r="D422" s="3"/>
    </row>
    <row r="423" spans="3:4">
      <c r="C423" s="3"/>
      <c r="D423" s="3"/>
    </row>
    <row r="424" spans="3:4">
      <c r="C424" s="3"/>
      <c r="D424" s="3"/>
    </row>
    <row r="425" spans="3:4">
      <c r="C425" s="3"/>
      <c r="D425" s="3"/>
    </row>
    <row r="426" spans="3:4">
      <c r="C426" s="3"/>
      <c r="D426" s="3"/>
    </row>
    <row r="427" spans="3:4">
      <c r="C427" s="3"/>
      <c r="D427" s="3"/>
    </row>
    <row r="428" spans="3:4">
      <c r="C428" s="3"/>
      <c r="D428" s="3"/>
    </row>
    <row r="429" spans="3:4">
      <c r="C429" s="3"/>
      <c r="D429" s="3"/>
    </row>
    <row r="430" spans="3:4">
      <c r="C430" s="3"/>
      <c r="D430" s="3"/>
    </row>
    <row r="431" spans="3:4">
      <c r="C431" s="3"/>
      <c r="D431" s="3"/>
    </row>
    <row r="432" spans="3:4">
      <c r="C432" s="3"/>
      <c r="D432" s="3"/>
    </row>
    <row r="433" spans="3:4">
      <c r="C433" s="3"/>
      <c r="D433" s="3"/>
    </row>
    <row r="434" spans="3:4">
      <c r="C434" s="3"/>
      <c r="D434" s="3"/>
    </row>
    <row r="435" spans="3:4">
      <c r="C435" s="3"/>
      <c r="D435" s="3"/>
    </row>
    <row r="436" spans="3:4">
      <c r="C436" s="3"/>
      <c r="D436" s="3"/>
    </row>
    <row r="437" spans="3:4">
      <c r="C437" s="3"/>
      <c r="D437" s="3"/>
    </row>
  </sheetData>
  <mergeCells count="3">
    <mergeCell ref="A3:B3"/>
    <mergeCell ref="I5:J5"/>
    <mergeCell ref="C5:G5"/>
  </mergeCells>
  <phoneticPr fontId="86" type="noConversion"/>
  <pageMargins left="0.66" right="0.64" top="0.71" bottom="1" header="0.5" footer="0.5"/>
  <pageSetup paperSize="9" scale="54" orientation="landscape" r:id="rId1"/>
  <headerFooter alignWithMargins="0">
    <oddFooter>&amp;L&amp;F&amp;R&amp;D&amp;T</oddFooter>
  </headerFooter>
  <rowBreaks count="1" manualBreakCount="1">
    <brk id="28" max="16383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</sheetPr>
  <dimension ref="A1:BG268"/>
  <sheetViews>
    <sheetView showGridLines="0" tabSelected="1" zoomScale="85" zoomScaleNormal="85" workbookViewId="0">
      <selection activeCell="L19" sqref="L19"/>
    </sheetView>
  </sheetViews>
  <sheetFormatPr defaultColWidth="7.6640625" defaultRowHeight="13.8" outlineLevelRow="1"/>
  <cols>
    <col min="1" max="1" width="7.5546875" style="23" customWidth="1"/>
    <col min="2" max="2" width="7.5546875" style="39" bestFit="1" customWidth="1"/>
    <col min="3" max="3" width="12.88671875" style="27" customWidth="1"/>
    <col min="4" max="4" width="7.33203125" style="23" bestFit="1" customWidth="1"/>
    <col min="5" max="5" width="7.33203125" style="23" customWidth="1"/>
    <col min="6" max="6" width="14.44140625" style="39" customWidth="1"/>
    <col min="7" max="7" width="13.6640625" style="39" customWidth="1"/>
    <col min="8" max="8" width="13.6640625" style="63" customWidth="1"/>
    <col min="9" max="17" width="13.6640625" style="24" customWidth="1"/>
    <col min="18" max="19" width="13.6640625" style="23" customWidth="1"/>
    <col min="20" max="20" width="17" style="57" bestFit="1" customWidth="1"/>
    <col min="21" max="21" width="30.21875" style="28" customWidth="1"/>
    <col min="22" max="22" width="6.33203125" style="23" bestFit="1" customWidth="1"/>
    <col min="23" max="23" width="10" style="23" bestFit="1" customWidth="1"/>
    <col min="24" max="24" width="10.33203125" style="23" bestFit="1" customWidth="1"/>
    <col min="25" max="25" width="9.88671875" style="23" bestFit="1" customWidth="1"/>
    <col min="26" max="26" width="12.5546875" style="23" bestFit="1" customWidth="1"/>
    <col min="27" max="27" width="22" style="23" bestFit="1" customWidth="1"/>
    <col min="28" max="28" width="15.33203125" style="23" bestFit="1" customWidth="1"/>
    <col min="29" max="29" width="24.88671875" style="23" bestFit="1" customWidth="1"/>
    <col min="30" max="30" width="13.6640625" style="23" bestFit="1" customWidth="1"/>
    <col min="31" max="41" width="13.5546875" style="23" bestFit="1" customWidth="1"/>
    <col min="42" max="42" width="22" style="23" bestFit="1" customWidth="1"/>
    <col min="43" max="43" width="16.6640625" style="65" bestFit="1" customWidth="1"/>
    <col min="44" max="44" width="9.33203125" style="24" bestFit="1" customWidth="1"/>
    <col min="45" max="45" width="8.88671875" style="24" bestFit="1" customWidth="1"/>
    <col min="46" max="46" width="13.88671875" style="26" bestFit="1" customWidth="1"/>
    <col min="47" max="47" width="14" style="24" bestFit="1" customWidth="1"/>
    <col min="48" max="48" width="11.5546875" style="146" bestFit="1" customWidth="1"/>
    <col min="49" max="49" width="12.33203125" style="146" bestFit="1" customWidth="1"/>
    <col min="50" max="50" width="12.5546875" bestFit="1" customWidth="1"/>
    <col min="51" max="51" width="3.44140625" bestFit="1" customWidth="1"/>
    <col min="52" max="52" width="3.6640625" bestFit="1" customWidth="1"/>
    <col min="53" max="53" width="3.33203125" bestFit="1" customWidth="1"/>
    <col min="54" max="54" width="8.109375" bestFit="1" customWidth="1"/>
    <col min="55" max="55" width="8.33203125" bestFit="1" customWidth="1"/>
    <col min="56" max="56" width="6" bestFit="1" customWidth="1"/>
    <col min="57" max="57" width="8" bestFit="1" customWidth="1"/>
    <col min="58" max="58" width="5.109375" bestFit="1" customWidth="1"/>
    <col min="59" max="59" width="3.88671875" bestFit="1" customWidth="1"/>
    <col min="60" max="60" width="2" bestFit="1" customWidth="1"/>
  </cols>
  <sheetData>
    <row r="1" spans="1:49" s="282" customFormat="1" ht="14.4">
      <c r="A1" s="291" t="s">
        <v>63</v>
      </c>
      <c r="B1" s="595"/>
      <c r="C1" s="596"/>
      <c r="D1" s="597"/>
      <c r="E1" s="597"/>
      <c r="F1" s="276"/>
      <c r="G1" s="276"/>
      <c r="H1" s="292"/>
      <c r="I1" s="290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4"/>
      <c r="U1" s="293"/>
      <c r="V1" s="276"/>
      <c r="W1" s="276"/>
      <c r="X1" s="276"/>
      <c r="Y1" s="276"/>
      <c r="Z1" s="276"/>
      <c r="AA1" s="294"/>
      <c r="AB1" s="294"/>
      <c r="AC1" s="276"/>
      <c r="AD1" s="276"/>
      <c r="AE1" s="276"/>
      <c r="AF1" s="276"/>
      <c r="AG1" s="276"/>
      <c r="AH1" s="276"/>
      <c r="AI1" s="276"/>
      <c r="AJ1" s="276"/>
      <c r="AK1" s="276"/>
      <c r="AL1" s="276"/>
      <c r="AM1" s="276"/>
      <c r="AN1" s="276"/>
      <c r="AO1" s="276"/>
      <c r="AP1" s="276"/>
      <c r="AQ1" s="295"/>
      <c r="AR1" s="276"/>
      <c r="AS1" s="276"/>
      <c r="AT1" s="290"/>
      <c r="AU1" s="290"/>
      <c r="AV1" s="491"/>
      <c r="AW1" s="491"/>
    </row>
    <row r="2" spans="1:49" s="282" customFormat="1" ht="14.4">
      <c r="A2" s="291" t="s">
        <v>64</v>
      </c>
      <c r="B2" s="595"/>
      <c r="C2" s="596"/>
      <c r="D2" s="597"/>
      <c r="E2" s="597"/>
      <c r="F2" s="276"/>
      <c r="G2" s="276"/>
      <c r="H2" s="292"/>
      <c r="I2" s="290"/>
      <c r="J2" s="293"/>
      <c r="K2" s="293"/>
      <c r="L2" s="293"/>
      <c r="M2" s="293"/>
      <c r="N2" s="293"/>
      <c r="O2" s="293"/>
      <c r="P2" s="293"/>
      <c r="Q2" s="293"/>
      <c r="R2" s="293"/>
      <c r="S2" s="293"/>
      <c r="T2" s="294"/>
      <c r="U2" s="299"/>
      <c r="V2" s="276"/>
      <c r="W2" s="276"/>
      <c r="X2" s="276"/>
      <c r="Y2" s="276"/>
      <c r="Z2" s="276"/>
      <c r="AA2" s="294"/>
      <c r="AB2" s="294"/>
      <c r="AC2" s="276"/>
      <c r="AD2" s="276"/>
      <c r="AE2" s="276"/>
      <c r="AF2" s="276"/>
      <c r="AG2" s="276"/>
      <c r="AH2" s="276"/>
      <c r="AI2" s="276"/>
      <c r="AJ2" s="276"/>
      <c r="AK2" s="276"/>
      <c r="AL2" s="276"/>
      <c r="AM2" s="276"/>
      <c r="AN2" s="276"/>
      <c r="AO2" s="276"/>
      <c r="AP2" s="276"/>
      <c r="AQ2" s="295"/>
      <c r="AR2" s="276"/>
      <c r="AS2" s="276"/>
      <c r="AT2" s="290"/>
      <c r="AU2" s="290"/>
      <c r="AV2" s="491"/>
      <c r="AW2" s="491"/>
    </row>
    <row r="3" spans="1:49" s="282" customFormat="1" ht="14.4">
      <c r="A3" s="845">
        <v>46022</v>
      </c>
      <c r="B3" s="845"/>
      <c r="C3" s="845"/>
      <c r="D3" s="845"/>
      <c r="E3" s="632"/>
      <c r="F3" s="276"/>
      <c r="G3" s="276"/>
      <c r="H3" s="292"/>
      <c r="I3" s="290"/>
      <c r="J3" s="276"/>
      <c r="K3" s="296"/>
      <c r="L3" s="276"/>
      <c r="M3" s="276"/>
      <c r="N3" s="276"/>
      <c r="O3" s="276"/>
      <c r="P3" s="276"/>
      <c r="Q3" s="276"/>
      <c r="R3" s="276"/>
      <c r="S3" s="276"/>
      <c r="T3" s="294"/>
      <c r="U3" s="299"/>
      <c r="V3" s="276"/>
      <c r="W3" s="276"/>
      <c r="X3" s="276"/>
      <c r="Y3" s="276"/>
      <c r="Z3" s="276"/>
      <c r="AA3" s="294"/>
      <c r="AB3" s="294"/>
      <c r="AC3" s="276"/>
      <c r="AD3" s="297"/>
      <c r="AE3" s="297"/>
      <c r="AF3" s="297"/>
      <c r="AG3" s="297"/>
      <c r="AH3" s="297"/>
      <c r="AI3" s="297"/>
      <c r="AJ3" s="297"/>
      <c r="AK3" s="297"/>
      <c r="AL3" s="297"/>
      <c r="AM3" s="297"/>
      <c r="AN3" s="297"/>
      <c r="AO3" s="297"/>
      <c r="AP3" s="297"/>
      <c r="AQ3" s="298"/>
      <c r="AR3" s="276"/>
      <c r="AS3" s="276"/>
      <c r="AT3" s="290"/>
      <c r="AU3" s="290"/>
      <c r="AV3" s="491"/>
      <c r="AW3" s="491"/>
    </row>
    <row r="4" spans="1:49" s="282" customFormat="1" ht="14.4">
      <c r="A4" s="632"/>
      <c r="B4" s="632"/>
      <c r="C4" s="632"/>
      <c r="D4" s="632"/>
      <c r="E4" s="632"/>
      <c r="F4" s="276"/>
      <c r="G4" s="276"/>
      <c r="H4" s="292"/>
      <c r="I4" s="290"/>
      <c r="J4" s="276"/>
      <c r="K4" s="296"/>
      <c r="L4" s="276"/>
      <c r="M4" s="276"/>
      <c r="N4" s="276"/>
      <c r="O4" s="276"/>
      <c r="P4" s="276"/>
      <c r="Q4" s="276"/>
      <c r="R4" s="276"/>
      <c r="S4" s="276"/>
      <c r="T4" s="294"/>
      <c r="U4" s="299"/>
      <c r="V4" s="276"/>
      <c r="W4" s="276"/>
      <c r="X4" s="276"/>
      <c r="Y4" s="276"/>
      <c r="Z4" s="276"/>
      <c r="AA4" s="294"/>
      <c r="AB4" s="294"/>
      <c r="AC4" s="276"/>
      <c r="AD4" s="297"/>
      <c r="AE4" s="297"/>
      <c r="AF4" s="297"/>
      <c r="AG4" s="297"/>
      <c r="AH4" s="297"/>
      <c r="AI4" s="297"/>
      <c r="AJ4" s="297"/>
      <c r="AK4" s="297"/>
      <c r="AL4" s="297"/>
      <c r="AM4" s="297"/>
      <c r="AN4" s="297"/>
      <c r="AO4" s="297"/>
      <c r="AP4" s="297"/>
      <c r="AQ4" s="298"/>
      <c r="AR4" s="276"/>
      <c r="AS4" s="276"/>
      <c r="AT4" s="290"/>
      <c r="AU4" s="290"/>
      <c r="AV4" s="491"/>
      <c r="AW4" s="491"/>
    </row>
    <row r="5" spans="1:49" s="282" customFormat="1" ht="14.4">
      <c r="A5" s="632"/>
      <c r="B5" s="632"/>
      <c r="C5" s="632"/>
      <c r="D5" s="632"/>
      <c r="E5" s="632"/>
      <c r="F5" s="671" t="s">
        <v>1716</v>
      </c>
      <c r="G5" s="671" t="s">
        <v>1717</v>
      </c>
      <c r="H5" s="671" t="s">
        <v>1718</v>
      </c>
      <c r="I5" s="671" t="s">
        <v>1719</v>
      </c>
      <c r="J5" s="671" t="s">
        <v>1720</v>
      </c>
      <c r="K5" s="671" t="s">
        <v>1721</v>
      </c>
      <c r="L5" s="671" t="s">
        <v>1722</v>
      </c>
      <c r="M5" s="671" t="s">
        <v>1723</v>
      </c>
      <c r="N5" s="671" t="s">
        <v>1724</v>
      </c>
      <c r="O5" s="671" t="s">
        <v>1725</v>
      </c>
      <c r="P5" s="671" t="s">
        <v>1726</v>
      </c>
      <c r="Q5" s="671" t="s">
        <v>1727</v>
      </c>
      <c r="R5" s="671" t="s">
        <v>1728</v>
      </c>
      <c r="S5" s="671" t="s">
        <v>1729</v>
      </c>
      <c r="T5" s="672"/>
      <c r="U5" s="299"/>
      <c r="V5" s="276"/>
      <c r="W5" s="276"/>
      <c r="X5" s="276"/>
      <c r="Y5" s="276"/>
      <c r="Z5" s="276"/>
      <c r="AA5" s="672"/>
      <c r="AB5" s="672"/>
      <c r="AC5" s="276"/>
      <c r="AD5" s="297"/>
      <c r="AE5" s="297"/>
      <c r="AF5" s="297"/>
      <c r="AG5" s="297"/>
      <c r="AH5" s="297"/>
      <c r="AI5" s="297"/>
      <c r="AJ5" s="297"/>
      <c r="AK5" s="297"/>
      <c r="AL5" s="297"/>
      <c r="AM5" s="297"/>
      <c r="AN5" s="297"/>
      <c r="AO5" s="297"/>
      <c r="AP5" s="297"/>
      <c r="AQ5" s="673"/>
      <c r="AR5" s="276"/>
      <c r="AS5" s="276"/>
      <c r="AT5" s="290"/>
      <c r="AU5" s="290"/>
      <c r="AV5" s="674"/>
      <c r="AW5" s="674"/>
    </row>
    <row r="6" spans="1:49" s="282" customFormat="1" ht="14.4">
      <c r="A6" s="632"/>
      <c r="B6" s="632"/>
      <c r="C6" s="632"/>
      <c r="D6" s="632"/>
      <c r="E6" s="675" t="s">
        <v>1730</v>
      </c>
      <c r="F6" s="676" t="s">
        <v>1705</v>
      </c>
      <c r="G6" s="677">
        <f>SUMIF($E$25:$E$280,F6,$AD$25:$AD$280)</f>
        <v>303466497.65941662</v>
      </c>
      <c r="H6" s="677">
        <f>SUMIF($E$25:$E$281,F6,$AE$25:$AE$281)</f>
        <v>303466497.65941662</v>
      </c>
      <c r="I6" s="677">
        <f>SUMIF($E$25:$E$281,F6,$AF$25:$AF$281)</f>
        <v>303466497.65941662</v>
      </c>
      <c r="J6" s="677">
        <f>SUMIF($E$25:$E$281,F6,$AG$25:$AG$281)</f>
        <v>303466497.65941662</v>
      </c>
      <c r="K6" s="677">
        <f>SUMIF($E$25:$E$281,F6,$AH$25:$AH$281)</f>
        <v>303466497.65941662</v>
      </c>
      <c r="L6" s="677">
        <f ca="1">SUMIF($E$25:$E$281,F6,$AI$25:$AI$280)</f>
        <v>303466497.65941662</v>
      </c>
      <c r="M6" s="677">
        <f>SUMIF($E$25:$E$281,F6,$AJ$25:$AJ$281)</f>
        <v>303466497.65941662</v>
      </c>
      <c r="N6" s="677">
        <f>SUMIF($E$25:$E$280,F6,$AK$25:$AK$280)</f>
        <v>303466497.65941662</v>
      </c>
      <c r="O6" s="677">
        <f>SUMIF($E$25:$E$280,F6,$AL$25:$AL$280)</f>
        <v>303466497.65941662</v>
      </c>
      <c r="P6" s="677">
        <f>SUMIF($E$25:$E$280,F6,$AM$25:$AM$280)</f>
        <v>303466497.65941662</v>
      </c>
      <c r="Q6" s="677">
        <f>SUMIF($E$25:$E$280,F6,$AN$25:$AN$280)</f>
        <v>303466497.65941662</v>
      </c>
      <c r="R6" s="677">
        <f>SUMIF($E$25:$E$280,F6,$AO$25:$AO$280)</f>
        <v>303466497.65941662</v>
      </c>
      <c r="S6" s="678">
        <f ca="1">SUM(G6:R6)</f>
        <v>3641597971.9129996</v>
      </c>
      <c r="T6" s="672"/>
      <c r="U6" s="299"/>
      <c r="V6" s="276"/>
      <c r="W6" s="276"/>
      <c r="X6" s="276"/>
      <c r="Y6" s="276"/>
      <c r="Z6" s="276"/>
      <c r="AA6" s="672"/>
      <c r="AB6" s="672"/>
      <c r="AC6" s="276"/>
      <c r="AD6" s="297"/>
      <c r="AE6" s="297"/>
      <c r="AF6" s="297"/>
      <c r="AG6" s="297"/>
      <c r="AH6" s="297"/>
      <c r="AI6" s="297"/>
      <c r="AJ6" s="297"/>
      <c r="AK6" s="297"/>
      <c r="AL6" s="297"/>
      <c r="AM6" s="297"/>
      <c r="AN6" s="297"/>
      <c r="AO6" s="297"/>
      <c r="AP6" s="297"/>
      <c r="AQ6" s="673"/>
      <c r="AR6" s="276"/>
      <c r="AS6" s="276"/>
      <c r="AT6" s="290"/>
      <c r="AU6" s="290"/>
      <c r="AV6" s="674"/>
      <c r="AW6" s="674"/>
    </row>
    <row r="7" spans="1:49" s="282" customFormat="1" ht="14.4">
      <c r="A7" s="632"/>
      <c r="B7" s="632"/>
      <c r="C7" s="632"/>
      <c r="D7" s="632"/>
      <c r="E7" s="675" t="s">
        <v>1731</v>
      </c>
      <c r="F7" s="676" t="s">
        <v>1706</v>
      </c>
      <c r="G7" s="677">
        <f>SUMIF($E$25:$E$280,F7,$AD$25:$AD$280)</f>
        <v>652013617.77083337</v>
      </c>
      <c r="H7" s="677">
        <f>SUMIF($E$25:$E$280,F7,$AE$25:$AE$280)</f>
        <v>652013617.77083337</v>
      </c>
      <c r="I7" s="677">
        <f>SUMIF($E$25:$E$280,F7,$AF$25:$AF$280)</f>
        <v>652013617.77083337</v>
      </c>
      <c r="J7" s="677">
        <f>SUMIF($E$25:$E$280,F7,$AG$25:$AG$280)</f>
        <v>652013617.77083337</v>
      </c>
      <c r="K7" s="677">
        <f>SUMIF($E$25:$E$280,F7,$AH$25:$AH$280)</f>
        <v>652013617.77083337</v>
      </c>
      <c r="L7" s="677">
        <f>SUMIF($E$25:$E$280,F7,$AI$25:$AI$280)</f>
        <v>652013617.77083337</v>
      </c>
      <c r="M7" s="677">
        <f>SUMIF($E$25:$E$280,F7,$AJ$25:$AJ$280)</f>
        <v>652013617.77083337</v>
      </c>
      <c r="N7" s="677">
        <f>SUMIF($E$25:$E$280,F7,$AK$25:$AK$280)</f>
        <v>652013617.77083337</v>
      </c>
      <c r="O7" s="677">
        <f>SUMIF($E$25:$E$280,F7,$AL$25:$AL$280)</f>
        <v>652013617.77083337</v>
      </c>
      <c r="P7" s="677">
        <f>SUMIF($E$25:$E$280,F7,$AM$25:$AM$280)</f>
        <v>652013617.77083337</v>
      </c>
      <c r="Q7" s="677">
        <f>SUMIF($E$25:$E$280,F7,$AN$25:$AN$280)</f>
        <v>652013617.77083337</v>
      </c>
      <c r="R7" s="677">
        <f>SUMIF($E$25:$E$280,F7,$AO$25:$AO$280)</f>
        <v>652013617.77083337</v>
      </c>
      <c r="S7" s="678">
        <f t="shared" ref="S7:S14" si="0">SUM(G7:R7)</f>
        <v>7824163413.249999</v>
      </c>
      <c r="T7" s="672"/>
      <c r="U7" s="299"/>
      <c r="V7" s="276"/>
      <c r="W7" s="276"/>
      <c r="X7" s="276"/>
      <c r="Y7" s="276"/>
      <c r="Z7" s="276"/>
      <c r="AA7" s="672"/>
      <c r="AB7" s="672"/>
      <c r="AC7" s="276"/>
      <c r="AD7" s="297"/>
      <c r="AE7" s="297"/>
      <c r="AF7" s="297"/>
      <c r="AG7" s="297"/>
      <c r="AH7" s="297"/>
      <c r="AI7" s="297"/>
      <c r="AJ7" s="297"/>
      <c r="AK7" s="297"/>
      <c r="AL7" s="297"/>
      <c r="AM7" s="297"/>
      <c r="AN7" s="297"/>
      <c r="AO7" s="297"/>
      <c r="AP7" s="297"/>
      <c r="AQ7" s="673"/>
      <c r="AR7" s="276"/>
      <c r="AS7" s="276"/>
      <c r="AT7" s="290"/>
      <c r="AU7" s="290"/>
      <c r="AV7" s="674"/>
      <c r="AW7" s="674"/>
    </row>
    <row r="8" spans="1:49" s="282" customFormat="1" ht="14.4">
      <c r="A8" s="632"/>
      <c r="B8" s="632"/>
      <c r="C8" s="632"/>
      <c r="D8" s="632"/>
      <c r="E8" s="675" t="s">
        <v>1732</v>
      </c>
      <c r="F8" s="676" t="s">
        <v>1711</v>
      </c>
      <c r="G8" s="677">
        <f ca="1">SUMIF($E$25:$E$281,F8,$AD$25:$AD$280)</f>
        <v>12888438.466666667</v>
      </c>
      <c r="H8" s="677">
        <f ca="1">SUMIF($E$25:$E$281,F8,$AE$25:$AE$280)</f>
        <v>12888438.466666667</v>
      </c>
      <c r="I8" s="677">
        <f>SUMIF($E$25:$E$280,F8,$AF$25:$AF$281)</f>
        <v>12888438.466666667</v>
      </c>
      <c r="J8" s="677">
        <f>SUMIF($E$25:$E$280,F8,$AG$25:$AG$280)</f>
        <v>31452402.433333334</v>
      </c>
      <c r="K8" s="677">
        <f>SUMIF($E$25:$E$280,F8,$AH$25:$AH$280)</f>
        <v>31452402.433333334</v>
      </c>
      <c r="L8" s="677">
        <f>SUMIF($E$25:$E$280,F8,$AI$25:$AI$280)</f>
        <v>31452402.433333334</v>
      </c>
      <c r="M8" s="677">
        <f>SUMIF($E$25:$E$280,F8,$AJ$25:$AJ$280)</f>
        <v>31452402.433333334</v>
      </c>
      <c r="N8" s="677">
        <f>SUMIF($E$25:$E$280,F8,$AK$25:$AK$280)</f>
        <v>31452402.433333334</v>
      </c>
      <c r="O8" s="677">
        <f>SUMIF($E$25:$E$280,F8,$AL$25:$AL$280)</f>
        <v>64723573.600000009</v>
      </c>
      <c r="P8" s="677">
        <f>SUMIF($E$25:$E$280,F8,$AM$25:$AM$280)</f>
        <v>67290240.266666681</v>
      </c>
      <c r="Q8" s="677">
        <f>SUMIF($E$25:$E$280,F8,$AN$25:$AN$280)</f>
        <v>67290240.266666681</v>
      </c>
      <c r="R8" s="677">
        <f>SUMIF($E$25:$E$280,F8,$AO$25:$AO$280)</f>
        <v>67290240.266666681</v>
      </c>
      <c r="S8" s="678">
        <f t="shared" ca="1" si="0"/>
        <v>462521621.9666667</v>
      </c>
      <c r="T8" s="672"/>
      <c r="U8" s="299"/>
      <c r="V8" s="276"/>
      <c r="W8" s="276"/>
      <c r="X8" s="276"/>
      <c r="Y8" s="276"/>
      <c r="Z8" s="276"/>
      <c r="AA8" s="672"/>
      <c r="AB8" s="672"/>
      <c r="AC8" s="276"/>
      <c r="AD8" s="297"/>
      <c r="AE8" s="297"/>
      <c r="AF8" s="297"/>
      <c r="AG8" s="297"/>
      <c r="AH8" s="297"/>
      <c r="AI8" s="297"/>
      <c r="AJ8" s="297"/>
      <c r="AK8" s="297"/>
      <c r="AL8" s="297"/>
      <c r="AM8" s="297"/>
      <c r="AN8" s="297"/>
      <c r="AO8" s="297"/>
      <c r="AP8" s="297"/>
      <c r="AQ8" s="673"/>
      <c r="AR8" s="276"/>
      <c r="AS8" s="276"/>
      <c r="AT8" s="290"/>
      <c r="AU8" s="290"/>
      <c r="AV8" s="674"/>
      <c r="AW8" s="674"/>
    </row>
    <row r="9" spans="1:49" s="282" customFormat="1" ht="14.4">
      <c r="A9" s="632"/>
      <c r="B9" s="632"/>
      <c r="C9" s="632"/>
      <c r="D9" s="632"/>
      <c r="E9" s="675" t="s">
        <v>1737</v>
      </c>
      <c r="F9" s="676" t="s">
        <v>1710</v>
      </c>
      <c r="G9" s="677">
        <f ca="1">SUMIF($E$25:$E$281,F9,$AD$25:$AD$280)</f>
        <v>14100000</v>
      </c>
      <c r="H9" s="677">
        <f ca="1">SUMIF($E$25:$E$281,F9,$AE$25:$AE$280)</f>
        <v>14100000</v>
      </c>
      <c r="I9" s="677">
        <f>SUMIF($E$25:$E$280,F9,$AF$25:$AF$281)</f>
        <v>14100000</v>
      </c>
      <c r="J9" s="677">
        <f>SUMIF($E$25:$E$280,F9,$AG$25:$AG$280)</f>
        <v>14100000</v>
      </c>
      <c r="K9" s="677">
        <f>SUMIF($E$25:$E$280,F9,$AH$25:$AH$280)</f>
        <v>14100000</v>
      </c>
      <c r="L9" s="677">
        <f>SUMIF($E$25:$E$280,F9,$AI$25:$AI$280)</f>
        <v>119985837.58333334</v>
      </c>
      <c r="M9" s="677">
        <f>SUMIF($E$25:$E$280,F9,$AJ$25:$AJ$280)</f>
        <v>119985837.58333334</v>
      </c>
      <c r="N9" s="677">
        <f>SUMIF($E$25:$E$280,F9,$AK$25:$AK$280)</f>
        <v>119985837.58333334</v>
      </c>
      <c r="O9" s="677">
        <f>SUMIF($E$25:$E$280,F9,$AL$25:$AL$280)</f>
        <v>119985837.58333334</v>
      </c>
      <c r="P9" s="677">
        <f>SUMIF($E$25:$E$280,F9,$AM$25:$AM$280)</f>
        <v>119985837.58333334</v>
      </c>
      <c r="Q9" s="677">
        <f>SUMIF($E$25:$E$280,F9,$AN$25:$AN$280)</f>
        <v>119985837.58333334</v>
      </c>
      <c r="R9" s="677">
        <f>SUMIF($E$25:$E$280,F9,$AO$25:$AO$280)</f>
        <v>119985837.58333334</v>
      </c>
      <c r="S9" s="678">
        <f t="shared" ca="1" si="0"/>
        <v>910400863.08333349</v>
      </c>
      <c r="T9" s="672"/>
      <c r="U9" s="299"/>
      <c r="V9" s="276"/>
      <c r="W9" s="276"/>
      <c r="X9" s="276"/>
      <c r="Y9" s="276"/>
      <c r="Z9" s="276"/>
      <c r="AA9" s="672"/>
      <c r="AB9" s="672"/>
      <c r="AC9" s="276"/>
      <c r="AD9" s="297"/>
      <c r="AE9" s="297"/>
      <c r="AF9" s="297"/>
      <c r="AG9" s="297"/>
      <c r="AH9" s="297"/>
      <c r="AI9" s="297"/>
      <c r="AJ9" s="297"/>
      <c r="AK9" s="297"/>
      <c r="AL9" s="297"/>
      <c r="AM9" s="297"/>
      <c r="AN9" s="297"/>
      <c r="AO9" s="297"/>
      <c r="AP9" s="297"/>
      <c r="AQ9" s="673"/>
      <c r="AR9" s="276"/>
      <c r="AS9" s="276"/>
      <c r="AT9" s="290"/>
      <c r="AU9" s="290"/>
      <c r="AV9" s="674"/>
      <c r="AW9" s="674"/>
    </row>
    <row r="10" spans="1:49" s="282" customFormat="1" ht="14.4">
      <c r="A10" s="632"/>
      <c r="B10" s="632"/>
      <c r="C10" s="632"/>
      <c r="D10" s="632"/>
      <c r="E10" s="675" t="s">
        <v>1138</v>
      </c>
      <c r="F10" s="676" t="s">
        <v>1708</v>
      </c>
      <c r="G10" s="677">
        <f ca="1">SUMIF($E$25:$E$281,F10,$AD$25:$AD$280)</f>
        <v>0</v>
      </c>
      <c r="H10" s="677">
        <f ca="1">SUMIF($E$25:$E$281,F10,$AE$25:$AE$280)</f>
        <v>0</v>
      </c>
      <c r="I10" s="677">
        <f>SUMIF($E$25:$E$280,F10,$AF$25:$AF$281)</f>
        <v>0</v>
      </c>
      <c r="J10" s="677">
        <f>SUMIF($E$25:$E$280,F10,$AG$25:$AG$280)</f>
        <v>0</v>
      </c>
      <c r="K10" s="677">
        <f>SUMIF($E$25:$E$280,F10,$AH$25:$AH$280)</f>
        <v>0</v>
      </c>
      <c r="L10" s="677">
        <f>SUMIF($E$25:$E$280,F10,$AI$25:$AI$280)</f>
        <v>0</v>
      </c>
      <c r="M10" s="677">
        <f>SUMIF($E$25:$E$280,F10,$AJ$25:$AJ$280)</f>
        <v>0</v>
      </c>
      <c r="N10" s="677">
        <f>SUMIF($E$25:$E$280,F10,$AK$25:$AK$280)</f>
        <v>0</v>
      </c>
      <c r="O10" s="677">
        <f>SUMIF($E$25:$E$280,F10,$AL$25:$AL$280)</f>
        <v>0</v>
      </c>
      <c r="P10" s="677">
        <f>SUMIF($E$25:$E$280,F10,$AM$25:$AM$280)</f>
        <v>0</v>
      </c>
      <c r="Q10" s="677">
        <f>SUMIF($E$25:$E$280,F10,$AN$25:$AN$280)</f>
        <v>0</v>
      </c>
      <c r="R10" s="677">
        <f>SUMIF($E$25:$E$280,F10,$AO$25:$AO$280)</f>
        <v>0</v>
      </c>
      <c r="S10" s="678">
        <f t="shared" ca="1" si="0"/>
        <v>0</v>
      </c>
      <c r="T10" s="672"/>
      <c r="U10" s="299"/>
      <c r="V10" s="276"/>
      <c r="W10" s="276"/>
      <c r="X10" s="276"/>
      <c r="Y10" s="276"/>
      <c r="Z10" s="276"/>
      <c r="AA10" s="672"/>
      <c r="AB10" s="672"/>
      <c r="AC10" s="276"/>
      <c r="AD10" s="297"/>
      <c r="AE10" s="297"/>
      <c r="AF10" s="297"/>
      <c r="AG10" s="297"/>
      <c r="AH10" s="297"/>
      <c r="AI10" s="297"/>
      <c r="AJ10" s="297"/>
      <c r="AK10" s="297"/>
      <c r="AL10" s="297"/>
      <c r="AM10" s="297"/>
      <c r="AN10" s="297"/>
      <c r="AO10" s="297"/>
      <c r="AP10" s="297"/>
      <c r="AQ10" s="673"/>
      <c r="AR10" s="276"/>
      <c r="AS10" s="276"/>
      <c r="AT10" s="290"/>
      <c r="AU10" s="290"/>
      <c r="AV10" s="674"/>
      <c r="AW10" s="674"/>
    </row>
    <row r="11" spans="1:49" s="282" customFormat="1" ht="14.4">
      <c r="A11" s="632"/>
      <c r="B11" s="632"/>
      <c r="C11" s="632"/>
      <c r="D11" s="632"/>
      <c r="E11" s="675" t="s">
        <v>1733</v>
      </c>
      <c r="F11" s="676" t="s">
        <v>1709</v>
      </c>
      <c r="G11" s="677">
        <f ca="1">SUMIF($E$25:$E$281,F11,$AD$25:$AD$280)</f>
        <v>13333333</v>
      </c>
      <c r="H11" s="677">
        <f ca="1">SUMIF($E$25:$E$281,F11,$AE$25:$AE$280)</f>
        <v>13333333</v>
      </c>
      <c r="I11" s="677">
        <f>SUMIF($E$25:$E$280,F11,$AF$25:$AF$281)</f>
        <v>13333333</v>
      </c>
      <c r="J11" s="677">
        <f>SUMIF($E$25:$E$280,F11,$AG$25:$AG$280)</f>
        <v>13333333</v>
      </c>
      <c r="K11" s="677">
        <f>SUMIF($E$25:$E$280,F11,$AH$25:$AH$280)</f>
        <v>13333333</v>
      </c>
      <c r="L11" s="677">
        <f>SUMIF($E$25:$E$280,F11,$AI$25:$AI$280)</f>
        <v>13333333</v>
      </c>
      <c r="M11" s="677">
        <f>SUMIF($E$25:$E$280,F11,$AJ$25:$AJ$280)</f>
        <v>13333333</v>
      </c>
      <c r="N11" s="677">
        <f>SUMIF($E$25:$E$280,F11,$AK$25:$AK$280)</f>
        <v>13333333</v>
      </c>
      <c r="O11" s="677">
        <f>SUMIF($E$25:$E$280,F11,$AL$25:$AL$280)</f>
        <v>13333333</v>
      </c>
      <c r="P11" s="677">
        <f>SUMIF($E$25:$E$280,F11,$AM$25:$AM$280)</f>
        <v>13333333</v>
      </c>
      <c r="Q11" s="677">
        <f>SUMIF($E$25:$E$280,F11,$AN$25:$AN$280)</f>
        <v>13333333</v>
      </c>
      <c r="R11" s="677">
        <f>SUMIF($E$25:$E$280,F11,$AO$25:$AO$280)</f>
        <v>13333333</v>
      </c>
      <c r="S11" s="678">
        <f t="shared" ca="1" si="0"/>
        <v>159999996</v>
      </c>
      <c r="T11" s="672"/>
      <c r="U11" s="299"/>
      <c r="V11" s="276"/>
      <c r="W11" s="276"/>
      <c r="X11" s="276"/>
      <c r="Y11" s="276"/>
      <c r="Z11" s="276"/>
      <c r="AA11" s="672"/>
      <c r="AB11" s="672"/>
      <c r="AC11" s="276"/>
      <c r="AD11" s="297"/>
      <c r="AE11" s="297"/>
      <c r="AF11" s="297"/>
      <c r="AG11" s="297"/>
      <c r="AH11" s="297"/>
      <c r="AI11" s="297"/>
      <c r="AJ11" s="297"/>
      <c r="AK11" s="297"/>
      <c r="AL11" s="297"/>
      <c r="AM11" s="297"/>
      <c r="AN11" s="297"/>
      <c r="AO11" s="297"/>
      <c r="AP11" s="297"/>
      <c r="AQ11" s="673"/>
      <c r="AR11" s="276"/>
      <c r="AS11" s="276"/>
      <c r="AT11" s="290"/>
      <c r="AU11" s="290"/>
      <c r="AV11" s="674"/>
      <c r="AW11" s="674"/>
    </row>
    <row r="12" spans="1:49" s="282" customFormat="1" ht="14.4">
      <c r="A12" s="632"/>
      <c r="B12" s="632"/>
      <c r="C12" s="632"/>
      <c r="D12" s="632"/>
      <c r="E12" s="675" t="s">
        <v>1734</v>
      </c>
      <c r="F12" s="676" t="s">
        <v>1712</v>
      </c>
      <c r="G12" s="677">
        <f ca="1">SUMIF($E$25:$E$281,F12,$AD$25:$AD$280)</f>
        <v>0</v>
      </c>
      <c r="H12" s="677">
        <f ca="1">SUMIF($E$25:$E$281,F12,$AE$25:$AE$280)</f>
        <v>0</v>
      </c>
      <c r="I12" s="677">
        <f>SUMIF($E$25:$E$280,F12,$AF$25:$AF$281)</f>
        <v>0</v>
      </c>
      <c r="J12" s="677">
        <f>SUMIF($E$25:$E$280,F12,$AG$25:$AG$280)</f>
        <v>0</v>
      </c>
      <c r="K12" s="677">
        <f>SUMIF($E$25:$E$280,F12,$AH$25:$AH$280)</f>
        <v>0</v>
      </c>
      <c r="L12" s="677">
        <f>SUMIF($E$25:$E$280,F12,$AI$25:$AI$280)</f>
        <v>0</v>
      </c>
      <c r="M12" s="677">
        <f>SUMIF($E$25:$E$280,F12,$AJ$25:$AJ$280)</f>
        <v>0</v>
      </c>
      <c r="N12" s="677">
        <f>SUMIF($E$25:$E$280,F12,$AK$25:$AK$280)</f>
        <v>0</v>
      </c>
      <c r="O12" s="677">
        <f>SUMIF($E$25:$E$280,F12,$AL$25:$AL$280)</f>
        <v>0</v>
      </c>
      <c r="P12" s="677">
        <f>SUMIF($E$25:$E$280,F12,$AM$25:$AM$280)</f>
        <v>0</v>
      </c>
      <c r="Q12" s="677">
        <f>SUMIF($E$25:$E$280,F12,$AN$25:$AN$280)</f>
        <v>0</v>
      </c>
      <c r="R12" s="677">
        <f>SUMIF($E$25:$E$280,F12,$AO$25:$AO$280)</f>
        <v>0</v>
      </c>
      <c r="S12" s="678">
        <f t="shared" ca="1" si="0"/>
        <v>0</v>
      </c>
      <c r="T12" s="672"/>
      <c r="U12" s="299"/>
      <c r="V12" s="276"/>
      <c r="W12" s="276"/>
      <c r="X12" s="276"/>
      <c r="Y12" s="276"/>
      <c r="Z12" s="276"/>
      <c r="AA12" s="672"/>
      <c r="AB12" s="672"/>
      <c r="AC12" s="276"/>
      <c r="AD12" s="297"/>
      <c r="AE12" s="297"/>
      <c r="AF12" s="297"/>
      <c r="AG12" s="297"/>
      <c r="AH12" s="297"/>
      <c r="AI12" s="297"/>
      <c r="AJ12" s="297"/>
      <c r="AK12" s="297"/>
      <c r="AL12" s="297"/>
      <c r="AM12" s="297"/>
      <c r="AN12" s="297"/>
      <c r="AO12" s="297"/>
      <c r="AP12" s="297"/>
      <c r="AQ12" s="673"/>
      <c r="AR12" s="276"/>
      <c r="AS12" s="276"/>
      <c r="AT12" s="290"/>
      <c r="AU12" s="290"/>
      <c r="AV12" s="674"/>
      <c r="AW12" s="674"/>
    </row>
    <row r="13" spans="1:49" s="282" customFormat="1" ht="14.4">
      <c r="A13" s="632"/>
      <c r="B13" s="632"/>
      <c r="C13" s="632"/>
      <c r="D13" s="632"/>
      <c r="E13" s="675" t="s">
        <v>401</v>
      </c>
      <c r="F13" s="679" t="s">
        <v>1087</v>
      </c>
      <c r="G13" s="677">
        <f ca="1">SUMIF($E$25:$E$281,F13,$AD$25:$AD$280)</f>
        <v>74120370</v>
      </c>
      <c r="H13" s="677">
        <f ca="1">SUMIF($E$25:$E$281,F13,$AE$25:$AE$280)</f>
        <v>74120370</v>
      </c>
      <c r="I13" s="677">
        <f>SUMIF($E$25:$E$280,F13,$AF$25:$AF$281)</f>
        <v>74120370</v>
      </c>
      <c r="J13" s="677">
        <f>SUMIF($E$25:$E$280,F13,$AG$25:$AG$280)</f>
        <v>74120370</v>
      </c>
      <c r="K13" s="677">
        <f>SUMIF($E$25:$E$280,F13,$AH$25:$AH$280)</f>
        <v>74120370</v>
      </c>
      <c r="L13" s="677">
        <f>SUMIF($E$25:$E$280,F13,$AI$25:$AI$280)</f>
        <v>74120370</v>
      </c>
      <c r="M13" s="677">
        <f>SUMIF($E$25:$E$280,F13,$AJ$25:$AJ$280)</f>
        <v>74120370</v>
      </c>
      <c r="N13" s="677">
        <f>SUMIF($E$25:$E$280,F13,$AK$25:$AK$280)</f>
        <v>0</v>
      </c>
      <c r="O13" s="677">
        <f>SUMIF($E$25:$E$280,F13,$AL$25:$AL$280)</f>
        <v>0</v>
      </c>
      <c r="P13" s="677">
        <f>SUMIF($E$25:$E$280,F13,$AM$25:$AM$280)</f>
        <v>0</v>
      </c>
      <c r="Q13" s="677">
        <f>SUMIF($E$25:$E$280,F13,$AN$25:$AN$280)</f>
        <v>0</v>
      </c>
      <c r="R13" s="677">
        <f>SUMIF($E$25:$E$280,F13,$AO$25:$AO$280)</f>
        <v>0</v>
      </c>
      <c r="S13" s="678">
        <f t="shared" ca="1" si="0"/>
        <v>518842590</v>
      </c>
      <c r="T13" s="672"/>
      <c r="U13" s="299"/>
      <c r="V13" s="276"/>
      <c r="W13" s="276"/>
      <c r="X13" s="276"/>
      <c r="Y13" s="276"/>
      <c r="Z13" s="276"/>
      <c r="AA13" s="672"/>
      <c r="AB13" s="672"/>
      <c r="AC13" s="276"/>
      <c r="AD13" s="297"/>
      <c r="AE13" s="297"/>
      <c r="AF13" s="297"/>
      <c r="AG13" s="297"/>
      <c r="AH13" s="297"/>
      <c r="AI13" s="297"/>
      <c r="AJ13" s="297"/>
      <c r="AK13" s="297"/>
      <c r="AL13" s="297"/>
      <c r="AM13" s="297"/>
      <c r="AN13" s="297"/>
      <c r="AO13" s="297"/>
      <c r="AP13" s="297"/>
      <c r="AQ13" s="673"/>
      <c r="AR13" s="276"/>
      <c r="AS13" s="276"/>
      <c r="AT13" s="290"/>
      <c r="AU13" s="290"/>
      <c r="AV13" s="674"/>
      <c r="AW13" s="674"/>
    </row>
    <row r="14" spans="1:49" s="282" customFormat="1" ht="14.4">
      <c r="A14" s="632"/>
      <c r="B14" s="632"/>
      <c r="C14" s="632"/>
      <c r="D14" s="632"/>
      <c r="E14" s="675" t="s">
        <v>1735</v>
      </c>
      <c r="F14" s="679" t="s">
        <v>1707</v>
      </c>
      <c r="G14" s="677">
        <f ca="1">SUMIF($E$25:$E$281,F14,$AD$25:$AD$280)</f>
        <v>98631187.25</v>
      </c>
      <c r="H14" s="677">
        <f ca="1">SUMIF($E$25:$E$281,F14,$AE$25:$AE$280)</f>
        <v>120681187.24999999</v>
      </c>
      <c r="I14" s="677">
        <f>SUMIF($E$25:$E$280,F14,$AF$25:$AF$281)</f>
        <v>120681187.24999999</v>
      </c>
      <c r="J14" s="677">
        <f>SUMIF($E$25:$E$280,F14,$AG$25:$AG$280)</f>
        <v>120681187.24999999</v>
      </c>
      <c r="K14" s="677">
        <f>SUMIF($E$25:$E$280,F14,$AH$25:$AH$280)</f>
        <v>120681187.24999999</v>
      </c>
      <c r="L14" s="677">
        <f>SUMIF($E$25:$E$280,F14,$AI$25:$AI$280)</f>
        <v>120681187.24999999</v>
      </c>
      <c r="M14" s="677">
        <f>SUMIF($E$25:$E$280,F14,$AJ$25:$AJ$280)</f>
        <v>113802853.91666666</v>
      </c>
      <c r="N14" s="677">
        <f>SUMIF($E$25:$E$280,F14,$AK$25:$AK$280)</f>
        <v>113802853.91666666</v>
      </c>
      <c r="O14" s="677">
        <f>SUMIF($E$25:$E$280,F14,$AL$25:$AL$280)</f>
        <v>113802853.91666666</v>
      </c>
      <c r="P14" s="677">
        <f>SUMIF($E$25:$E$280,F14,$AM$25:$AM$280)</f>
        <v>117469520.58333333</v>
      </c>
      <c r="Q14" s="677">
        <f>SUMIF($E$25:$E$280,F14,$AN$25:$AN$280)</f>
        <v>117469520.58333333</v>
      </c>
      <c r="R14" s="677">
        <f>SUMIF($E$25:$E$280,F14,$AO$25:$AO$280)</f>
        <v>117469520.58333333</v>
      </c>
      <c r="S14" s="678">
        <f t="shared" ca="1" si="0"/>
        <v>1395854246.9999998</v>
      </c>
      <c r="T14" s="672"/>
      <c r="U14" s="299"/>
      <c r="V14" s="276"/>
      <c r="W14" s="276"/>
      <c r="X14" s="276"/>
      <c r="Y14" s="276"/>
      <c r="Z14" s="276"/>
      <c r="AA14" s="672"/>
      <c r="AB14" s="672"/>
      <c r="AC14" s="276"/>
      <c r="AD14" s="297"/>
      <c r="AE14" s="297"/>
      <c r="AF14" s="297"/>
      <c r="AG14" s="297"/>
      <c r="AH14" s="297"/>
      <c r="AI14" s="297"/>
      <c r="AJ14" s="297"/>
      <c r="AK14" s="297"/>
      <c r="AL14" s="297"/>
      <c r="AM14" s="297"/>
      <c r="AN14" s="297"/>
      <c r="AO14" s="297"/>
      <c r="AP14" s="297"/>
      <c r="AQ14" s="673"/>
      <c r="AR14" s="276"/>
      <c r="AS14" s="276"/>
      <c r="AT14" s="290"/>
      <c r="AU14" s="290"/>
      <c r="AV14" s="674"/>
      <c r="AW14" s="674"/>
    </row>
    <row r="15" spans="1:49" s="282" customFormat="1" ht="14.4">
      <c r="A15" s="632"/>
      <c r="B15" s="632"/>
      <c r="C15" s="632"/>
      <c r="D15" s="632"/>
      <c r="E15" s="632"/>
      <c r="F15" s="680"/>
      <c r="G15" s="681">
        <f t="shared" ref="G15:S15" ca="1" si="1">SUBTOTAL(9,G6:G14)</f>
        <v>1168553444.1469166</v>
      </c>
      <c r="H15" s="681">
        <f t="shared" ca="1" si="1"/>
        <v>1190603444.1469166</v>
      </c>
      <c r="I15" s="681">
        <f t="shared" si="1"/>
        <v>1190603444.1469166</v>
      </c>
      <c r="J15" s="681">
        <f t="shared" si="1"/>
        <v>1209167408.1135831</v>
      </c>
      <c r="K15" s="681">
        <f t="shared" si="1"/>
        <v>1209167408.1135831</v>
      </c>
      <c r="L15" s="681">
        <f t="shared" ca="1" si="1"/>
        <v>1315053245.6969166</v>
      </c>
      <c r="M15" s="681">
        <f t="shared" si="1"/>
        <v>1308174912.3635833</v>
      </c>
      <c r="N15" s="681">
        <f t="shared" si="1"/>
        <v>1234054542.3635833</v>
      </c>
      <c r="O15" s="681">
        <f t="shared" si="1"/>
        <v>1267325713.5302501</v>
      </c>
      <c r="P15" s="681">
        <f t="shared" si="1"/>
        <v>1273559046.8635831</v>
      </c>
      <c r="Q15" s="681">
        <f t="shared" si="1"/>
        <v>1273559046.8635831</v>
      </c>
      <c r="R15" s="681">
        <f t="shared" si="1"/>
        <v>1273559046.8635831</v>
      </c>
      <c r="S15" s="682">
        <f t="shared" ca="1" si="1"/>
        <v>14913380703.212999</v>
      </c>
      <c r="T15" s="672"/>
      <c r="U15" s="299"/>
      <c r="V15" s="276"/>
      <c r="W15" s="276"/>
      <c r="X15" s="276"/>
      <c r="Y15" s="276"/>
      <c r="Z15" s="276"/>
      <c r="AA15" s="672"/>
      <c r="AB15" s="672"/>
      <c r="AC15" s="276"/>
      <c r="AD15" s="297"/>
      <c r="AE15" s="297"/>
      <c r="AF15" s="297"/>
      <c r="AG15" s="297"/>
      <c r="AH15" s="297"/>
      <c r="AI15" s="297"/>
      <c r="AJ15" s="297"/>
      <c r="AK15" s="297"/>
      <c r="AL15" s="297"/>
      <c r="AM15" s="297"/>
      <c r="AN15" s="297"/>
      <c r="AO15" s="297"/>
      <c r="AP15" s="297"/>
      <c r="AQ15" s="673"/>
      <c r="AR15" s="276"/>
      <c r="AS15" s="276"/>
      <c r="AT15" s="290"/>
      <c r="AU15" s="290"/>
      <c r="AV15" s="674"/>
      <c r="AW15" s="674"/>
    </row>
    <row r="16" spans="1:49" s="282" customFormat="1" ht="14.4">
      <c r="A16" s="632"/>
      <c r="B16" s="632"/>
      <c r="C16" s="632"/>
      <c r="D16" s="632"/>
      <c r="E16" s="632"/>
      <c r="F16" s="276"/>
      <c r="G16" s="276"/>
      <c r="H16" s="292"/>
      <c r="I16" s="290"/>
      <c r="J16" s="276"/>
      <c r="K16" s="296"/>
      <c r="L16" s="276"/>
      <c r="M16" s="276"/>
      <c r="N16" s="276"/>
      <c r="O16" s="276"/>
      <c r="P16" s="276"/>
      <c r="Q16" s="276"/>
      <c r="R16" s="276"/>
      <c r="S16" s="276"/>
      <c r="T16" s="294"/>
      <c r="U16" s="299"/>
      <c r="V16" s="276"/>
      <c r="W16" s="276"/>
      <c r="X16" s="276"/>
      <c r="Y16" s="276"/>
      <c r="Z16" s="276"/>
      <c r="AA16" s="294"/>
      <c r="AB16" s="294"/>
      <c r="AC16" s="276"/>
      <c r="AD16" s="297"/>
      <c r="AE16" s="297"/>
      <c r="AF16" s="297"/>
      <c r="AG16" s="297"/>
      <c r="AH16" s="297"/>
      <c r="AI16" s="297"/>
      <c r="AJ16" s="297"/>
      <c r="AK16" s="297"/>
      <c r="AL16" s="297"/>
      <c r="AM16" s="297"/>
      <c r="AN16" s="297"/>
      <c r="AO16" s="297"/>
      <c r="AP16" s="297"/>
      <c r="AQ16" s="298"/>
      <c r="AR16" s="276"/>
      <c r="AS16" s="276"/>
      <c r="AT16" s="290"/>
      <c r="AU16" s="290"/>
      <c r="AV16" s="491"/>
      <c r="AW16" s="491"/>
    </row>
    <row r="17" spans="1:59" s="282" customFormat="1" ht="14.4">
      <c r="A17" s="632"/>
      <c r="B17" s="632"/>
      <c r="C17" s="632"/>
      <c r="D17" s="632"/>
      <c r="E17" s="632"/>
      <c r="F17" s="671" t="s">
        <v>1736</v>
      </c>
      <c r="G17" s="671" t="s">
        <v>1717</v>
      </c>
      <c r="H17" s="671" t="s">
        <v>1718</v>
      </c>
      <c r="I17" s="671" t="s">
        <v>1719</v>
      </c>
      <c r="J17" s="671" t="s">
        <v>1720</v>
      </c>
      <c r="K17" s="671" t="s">
        <v>1721</v>
      </c>
      <c r="L17" s="671" t="s">
        <v>1722</v>
      </c>
      <c r="M17" s="671" t="s">
        <v>1723</v>
      </c>
      <c r="N17" s="671" t="s">
        <v>1724</v>
      </c>
      <c r="O17" s="671" t="s">
        <v>1725</v>
      </c>
      <c r="P17" s="671" t="s">
        <v>1726</v>
      </c>
      <c r="Q17" s="671" t="s">
        <v>1727</v>
      </c>
      <c r="R17" s="671" t="s">
        <v>1728</v>
      </c>
      <c r="S17" s="671" t="s">
        <v>1729</v>
      </c>
      <c r="T17" s="672"/>
      <c r="U17" s="299"/>
      <c r="V17" s="276"/>
      <c r="W17" s="276"/>
      <c r="X17" s="276"/>
      <c r="Y17" s="276"/>
      <c r="Z17" s="276"/>
      <c r="AA17" s="672"/>
      <c r="AB17" s="672"/>
      <c r="AC17" s="276"/>
      <c r="AD17" s="297"/>
      <c r="AE17" s="297"/>
      <c r="AF17" s="297"/>
      <c r="AG17" s="297"/>
      <c r="AH17" s="297"/>
      <c r="AI17" s="297"/>
      <c r="AJ17" s="297"/>
      <c r="AK17" s="297"/>
      <c r="AL17" s="297"/>
      <c r="AM17" s="297"/>
      <c r="AN17" s="297"/>
      <c r="AO17" s="297"/>
      <c r="AP17" s="297"/>
      <c r="AQ17" s="673"/>
      <c r="AR17" s="276"/>
      <c r="AS17" s="276"/>
      <c r="AT17" s="290"/>
      <c r="AU17" s="290"/>
      <c r="AV17" s="674"/>
      <c r="AW17" s="674"/>
    </row>
    <row r="18" spans="1:59" s="282" customFormat="1" ht="14.4">
      <c r="A18" s="632"/>
      <c r="B18" s="632"/>
      <c r="C18" s="632"/>
      <c r="D18" s="632"/>
      <c r="E18" s="632"/>
      <c r="F18" s="676" t="s">
        <v>143</v>
      </c>
      <c r="G18" s="677">
        <f>SUMIF($C$25:$C$280,F18,$AD$25:$AD$280)</f>
        <v>1068211302.6802499</v>
      </c>
      <c r="H18" s="677">
        <f>SUMIF($C$25:$C$280,F18,$AE$25:$AE$280)</f>
        <v>1090261302.6802502</v>
      </c>
      <c r="I18" s="677">
        <f>SUMIF($C$25:$C$280,F18,$AF$25:$AF$280)</f>
        <v>1090261302.6802502</v>
      </c>
      <c r="J18" s="677">
        <f>SUMIF($C$25:$C$280,F18,$AG$25:$AG$280)</f>
        <v>1090261302.6802502</v>
      </c>
      <c r="K18" s="677">
        <f>SUMIF($C$25:$C$280,F18,$AH$25:$AH$280)</f>
        <v>1090261302.6802502</v>
      </c>
      <c r="L18" s="677">
        <f>SUMIF($C$25:$C$280,F18,$AI$25:$AI$280)</f>
        <v>1090261302.6802502</v>
      </c>
      <c r="M18" s="677">
        <f>SUMIF($C$25:$C$280,F18,$AJ$25:$AJ$280)</f>
        <v>1083382969.3469167</v>
      </c>
      <c r="N18" s="677">
        <f>SUMIF($C$25:$C$280,F18,$AK$25:$AK$280)</f>
        <v>1083382969.3469167</v>
      </c>
      <c r="O18" s="677">
        <f>SUMIF($C$25:$C$280,F18,$AL$25:$AL$280)</f>
        <v>1083382969.3469167</v>
      </c>
      <c r="P18" s="677">
        <f>SUMIF($C$25:$C$280,F18,$AM$25:$AM$280)</f>
        <v>1087049636.0135834</v>
      </c>
      <c r="Q18" s="677">
        <f>SUMIF($C$25:$C$280,F18,$AN$25:$AN$280)</f>
        <v>1087049636.0135834</v>
      </c>
      <c r="R18" s="677">
        <f>SUMIF($C$25:$C$280,F18,$AO$25:$AO$280)</f>
        <v>1087049636.0135834</v>
      </c>
      <c r="S18" s="678">
        <f>SUM(G18:R18)</f>
        <v>13030815632.163002</v>
      </c>
      <c r="T18" s="672"/>
      <c r="U18" s="299"/>
      <c r="V18" s="276"/>
      <c r="W18" s="276"/>
      <c r="X18" s="276"/>
      <c r="Y18" s="276"/>
      <c r="Z18" s="276"/>
      <c r="AA18" s="672"/>
      <c r="AB18" s="672"/>
      <c r="AC18" s="276"/>
      <c r="AD18" s="297"/>
      <c r="AE18" s="297"/>
      <c r="AF18" s="297"/>
      <c r="AG18" s="297"/>
      <c r="AH18" s="297"/>
      <c r="AI18" s="297"/>
      <c r="AJ18" s="297"/>
      <c r="AK18" s="297"/>
      <c r="AL18" s="297"/>
      <c r="AM18" s="297"/>
      <c r="AN18" s="297"/>
      <c r="AO18" s="297"/>
      <c r="AP18" s="297"/>
      <c r="AQ18" s="673"/>
      <c r="AR18" s="276"/>
      <c r="AS18" s="276"/>
      <c r="AT18" s="290"/>
      <c r="AU18" s="290"/>
      <c r="AV18" s="674"/>
      <c r="AW18" s="674"/>
    </row>
    <row r="19" spans="1:59" s="282" customFormat="1" ht="14.4">
      <c r="A19" s="632"/>
      <c r="B19" s="632"/>
      <c r="C19" s="632"/>
      <c r="D19" s="632"/>
      <c r="E19" s="632"/>
      <c r="F19" s="676" t="s">
        <v>1743</v>
      </c>
      <c r="G19" s="677">
        <f>SUMIF($C$25:$C$280,F19,$AD$25:$AD$280)</f>
        <v>87453703</v>
      </c>
      <c r="H19" s="677">
        <f>SUMIF($C$25:$C$280,F19,$AE$25:$AE$280)</f>
        <v>87453703</v>
      </c>
      <c r="I19" s="677">
        <f>SUMIF($C$25:$C$280,F19,$AF$25:$AF$280)</f>
        <v>87453703</v>
      </c>
      <c r="J19" s="677">
        <f>SUMIF($C$25:$C$280,F19,$AG$25:$AG$280)</f>
        <v>87453703</v>
      </c>
      <c r="K19" s="677">
        <f>SUMIF($C$25:$C$280,F19,$AH$25:$AH$280)</f>
        <v>87453703</v>
      </c>
      <c r="L19" s="677">
        <f>SUMIF($C$25:$C$280,F19,$AI$25:$AI$280)</f>
        <v>193339540.58333331</v>
      </c>
      <c r="M19" s="677">
        <f>SUMIF($C$25:$C$280,F19,$AJ$25:$AJ$280)</f>
        <v>193339540.58333331</v>
      </c>
      <c r="N19" s="677">
        <f>SUMIF($C$25:$C$280,F19,$AK$25:$AK$280)</f>
        <v>119219170.58333333</v>
      </c>
      <c r="O19" s="677">
        <f>SUMIF($C$25:$C$280,F19,$AL$25:$AL$280)</f>
        <v>119219170.58333333</v>
      </c>
      <c r="P19" s="677">
        <f>SUMIF($C$25:$C$280,F19,$AM$25:$AM$280)</f>
        <v>119219170.58333333</v>
      </c>
      <c r="Q19" s="677">
        <f>SUMIF($C$25:$C$280,F19,$AN$25:$AN$280)</f>
        <v>119219170.58333333</v>
      </c>
      <c r="R19" s="677">
        <f>SUMIF($C$25:$C$280,F19,$AO$25:$AO$280)</f>
        <v>119219170.58333333</v>
      </c>
      <c r="S19" s="678">
        <f>SUM(G19:R19)</f>
        <v>1420043449.083333</v>
      </c>
      <c r="T19" s="672"/>
      <c r="U19" s="299"/>
      <c r="V19" s="276"/>
      <c r="W19" s="276"/>
      <c r="X19" s="276"/>
      <c r="Y19" s="276"/>
      <c r="Z19" s="276"/>
      <c r="AA19" s="672"/>
      <c r="AB19" s="672"/>
      <c r="AC19" s="276"/>
      <c r="AD19" s="297"/>
      <c r="AE19" s="297"/>
      <c r="AF19" s="297"/>
      <c r="AG19" s="297"/>
      <c r="AH19" s="297"/>
      <c r="AI19" s="297"/>
      <c r="AJ19" s="297"/>
      <c r="AK19" s="297"/>
      <c r="AL19" s="297"/>
      <c r="AM19" s="297"/>
      <c r="AN19" s="297"/>
      <c r="AO19" s="297"/>
      <c r="AP19" s="297"/>
      <c r="AQ19" s="673"/>
      <c r="AR19" s="276"/>
      <c r="AS19" s="276"/>
      <c r="AT19" s="290"/>
      <c r="AU19" s="290"/>
      <c r="AV19" s="674"/>
      <c r="AW19" s="674"/>
    </row>
    <row r="20" spans="1:59" s="282" customFormat="1" ht="14.4">
      <c r="A20" s="632"/>
      <c r="B20" s="632"/>
      <c r="C20" s="632"/>
      <c r="D20" s="632"/>
      <c r="E20" s="632"/>
      <c r="F20" s="676" t="s">
        <v>474</v>
      </c>
      <c r="G20" s="677">
        <f>SUMIF($C$25:$C$280,F20,$AD$25:$AD$280)</f>
        <v>12888438.466666667</v>
      </c>
      <c r="H20" s="677">
        <f>SUMIF($C$25:$C$280,F20,$AE$25:$AE$280)</f>
        <v>12888438.466666667</v>
      </c>
      <c r="I20" s="677">
        <f>SUMIF($C$25:$C$280,F20,$AF$25:$AF$280)</f>
        <v>12888438.466666667</v>
      </c>
      <c r="J20" s="677">
        <f>SUMIF($C$25:$C$280,F20,$AG$25:$AG$280)</f>
        <v>31452402.433333334</v>
      </c>
      <c r="K20" s="677">
        <f>SUMIF($C$25:$C$280,F20,$AH$25:$AH$280)</f>
        <v>31452402.433333334</v>
      </c>
      <c r="L20" s="677">
        <f>SUMIF($C$25:$C$280,F20,$AI$25:$AI$280)</f>
        <v>31452402.433333334</v>
      </c>
      <c r="M20" s="677">
        <f>SUMIF($C$25:$C$280,F20,$AJ$25:$AJ$280)</f>
        <v>31452402.433333334</v>
      </c>
      <c r="N20" s="677">
        <f>SUMIF($C$25:$C$280,F20,$AK$25:$AK$280)</f>
        <v>31452402.433333334</v>
      </c>
      <c r="O20" s="677">
        <f>SUMIF($C$25:$C$280,F20,$AL$25:$AL$280)</f>
        <v>64723573.600000009</v>
      </c>
      <c r="P20" s="677">
        <f>SUMIF($C$25:$C$280,F20,$AM$25:$AM$280)</f>
        <v>67290240.266666681</v>
      </c>
      <c r="Q20" s="677">
        <f>SUMIF($C$25:$C$280,F20,$AN$25:$AN$280)</f>
        <v>67290240.266666681</v>
      </c>
      <c r="R20" s="677">
        <f>SUMIF($C$25:$C$280,F20,$AO$25:$AO$280)</f>
        <v>67290240.266666681</v>
      </c>
      <c r="S20" s="678">
        <f>SUM(G20:R20)</f>
        <v>462521621.9666667</v>
      </c>
      <c r="T20" s="672"/>
      <c r="U20" s="299"/>
      <c r="V20" s="276"/>
      <c r="W20" s="276"/>
      <c r="X20" s="276"/>
      <c r="Y20" s="276"/>
      <c r="Z20" s="276"/>
      <c r="AA20" s="672"/>
      <c r="AB20" s="672"/>
      <c r="AC20" s="276"/>
      <c r="AD20" s="297"/>
      <c r="AE20" s="297"/>
      <c r="AF20" s="297"/>
      <c r="AG20" s="297"/>
      <c r="AH20" s="297"/>
      <c r="AI20" s="297"/>
      <c r="AJ20" s="297"/>
      <c r="AK20" s="297"/>
      <c r="AL20" s="297"/>
      <c r="AM20" s="297"/>
      <c r="AN20" s="297"/>
      <c r="AO20" s="297"/>
      <c r="AP20" s="297"/>
      <c r="AQ20" s="673"/>
      <c r="AR20" s="276"/>
      <c r="AS20" s="276"/>
      <c r="AT20" s="290"/>
      <c r="AU20" s="290"/>
      <c r="AV20" s="674"/>
      <c r="AW20" s="674"/>
    </row>
    <row r="21" spans="1:59" s="282" customFormat="1" ht="14.4">
      <c r="A21" s="632"/>
      <c r="B21" s="632"/>
      <c r="C21" s="632"/>
      <c r="D21" s="632"/>
      <c r="E21" s="632"/>
      <c r="F21" s="680"/>
      <c r="G21" s="683">
        <f t="shared" ref="G21:S21" si="2">SUM(G18:G20)</f>
        <v>1168553444.1469166</v>
      </c>
      <c r="H21" s="683">
        <f t="shared" si="2"/>
        <v>1190603444.1469169</v>
      </c>
      <c r="I21" s="683">
        <f t="shared" si="2"/>
        <v>1190603444.1469169</v>
      </c>
      <c r="J21" s="683">
        <f t="shared" si="2"/>
        <v>1209167408.1135836</v>
      </c>
      <c r="K21" s="683">
        <f t="shared" si="2"/>
        <v>1209167408.1135836</v>
      </c>
      <c r="L21" s="683">
        <f t="shared" si="2"/>
        <v>1315053245.6969168</v>
      </c>
      <c r="M21" s="683">
        <f t="shared" si="2"/>
        <v>1308174912.3635833</v>
      </c>
      <c r="N21" s="683">
        <f t="shared" si="2"/>
        <v>1234054542.3635833</v>
      </c>
      <c r="O21" s="683">
        <f t="shared" si="2"/>
        <v>1267325713.5302498</v>
      </c>
      <c r="P21" s="683">
        <f t="shared" si="2"/>
        <v>1273559046.8635833</v>
      </c>
      <c r="Q21" s="683">
        <f t="shared" si="2"/>
        <v>1273559046.8635833</v>
      </c>
      <c r="R21" s="683">
        <f t="shared" si="2"/>
        <v>1273559046.8635833</v>
      </c>
      <c r="S21" s="684">
        <f t="shared" si="2"/>
        <v>14913380703.213001</v>
      </c>
      <c r="T21" s="672"/>
      <c r="U21" s="299"/>
      <c r="V21" s="276"/>
      <c r="W21" s="276"/>
      <c r="X21" s="276"/>
      <c r="Y21" s="276"/>
      <c r="Z21" s="276"/>
      <c r="AA21" s="672"/>
      <c r="AB21" s="672"/>
      <c r="AC21" s="276"/>
      <c r="AD21" s="297"/>
      <c r="AE21" s="297"/>
      <c r="AF21" s="297"/>
      <c r="AG21" s="297"/>
      <c r="AH21" s="297"/>
      <c r="AI21" s="297"/>
      <c r="AJ21" s="297"/>
      <c r="AK21" s="297"/>
      <c r="AL21" s="297"/>
      <c r="AM21" s="297"/>
      <c r="AN21" s="297"/>
      <c r="AO21" s="297"/>
      <c r="AP21" s="297"/>
      <c r="AQ21" s="673"/>
      <c r="AR21" s="276"/>
      <c r="AS21" s="276"/>
      <c r="AT21" s="290"/>
      <c r="AU21" s="290"/>
      <c r="AV21" s="674"/>
      <c r="AW21" s="674"/>
    </row>
    <row r="22" spans="1:59" s="282" customFormat="1" ht="14.4" thickBot="1">
      <c r="A22" s="284"/>
      <c r="B22" s="286"/>
      <c r="C22" s="480"/>
      <c r="D22" s="285"/>
      <c r="E22" s="285"/>
      <c r="F22" s="286"/>
      <c r="G22" s="286"/>
      <c r="H22" s="287"/>
      <c r="I22" s="288"/>
      <c r="J22" s="288"/>
      <c r="K22" s="283"/>
      <c r="L22" s="288"/>
      <c r="M22" s="288"/>
      <c r="N22" s="288"/>
      <c r="O22" s="288"/>
      <c r="P22" s="288"/>
      <c r="Q22" s="288"/>
      <c r="R22" s="289"/>
      <c r="S22" s="289"/>
      <c r="T22" s="278"/>
      <c r="U22" s="285"/>
      <c r="V22" s="279"/>
      <c r="W22" s="279"/>
      <c r="X22" s="279"/>
      <c r="Y22" s="279"/>
      <c r="Z22" s="279"/>
      <c r="AA22" s="602"/>
      <c r="AB22" s="603"/>
      <c r="AC22" s="279"/>
      <c r="AD22" s="279"/>
      <c r="AE22" s="279"/>
      <c r="AF22" s="279"/>
      <c r="AG22" s="279"/>
      <c r="AH22" s="279"/>
      <c r="AI22" s="279"/>
      <c r="AJ22" s="279"/>
      <c r="AK22" s="279"/>
      <c r="AL22" s="279"/>
      <c r="AM22" s="279"/>
      <c r="AN22" s="279"/>
      <c r="AO22" s="279"/>
      <c r="AP22" s="290"/>
      <c r="AQ22" s="280"/>
      <c r="AR22" s="281"/>
      <c r="AS22" s="281"/>
      <c r="AT22" s="277"/>
      <c r="AU22" s="277"/>
      <c r="AV22" s="491"/>
      <c r="AW22" s="491"/>
    </row>
    <row r="23" spans="1:59" ht="21.75" customHeight="1">
      <c r="A23" s="848" t="s">
        <v>34</v>
      </c>
      <c r="B23" s="850" t="s">
        <v>65</v>
      </c>
      <c r="C23" s="843" t="s">
        <v>66</v>
      </c>
      <c r="D23" s="42" t="s">
        <v>67</v>
      </c>
      <c r="E23" s="843" t="s">
        <v>1704</v>
      </c>
      <c r="F23" s="42" t="s">
        <v>68</v>
      </c>
      <c r="G23" s="42" t="s">
        <v>69</v>
      </c>
      <c r="H23" s="858" t="s">
        <v>70</v>
      </c>
      <c r="I23" s="856" t="s">
        <v>71</v>
      </c>
      <c r="J23" s="42" t="s">
        <v>72</v>
      </c>
      <c r="K23" s="834" t="s">
        <v>73</v>
      </c>
      <c r="L23" s="856" t="s">
        <v>74</v>
      </c>
      <c r="M23" s="856" t="s">
        <v>75</v>
      </c>
      <c r="N23" s="834" t="s">
        <v>76</v>
      </c>
      <c r="O23" s="43" t="s">
        <v>77</v>
      </c>
      <c r="P23" s="43" t="s">
        <v>78</v>
      </c>
      <c r="Q23" s="43" t="s">
        <v>79</v>
      </c>
      <c r="R23" s="834" t="s">
        <v>80</v>
      </c>
      <c r="S23" s="834" t="s">
        <v>81</v>
      </c>
      <c r="T23" s="860" t="s">
        <v>47</v>
      </c>
      <c r="U23" s="856" t="s">
        <v>82</v>
      </c>
      <c r="V23" s="852" t="s">
        <v>83</v>
      </c>
      <c r="W23" s="852"/>
      <c r="X23" s="852"/>
      <c r="Y23" s="852"/>
      <c r="Z23" s="852"/>
      <c r="AA23" s="42" t="s">
        <v>84</v>
      </c>
      <c r="AB23" s="44" t="s">
        <v>85</v>
      </c>
      <c r="AC23" s="45" t="s">
        <v>86</v>
      </c>
      <c r="AD23" s="853" t="s">
        <v>1685</v>
      </c>
      <c r="AE23" s="854"/>
      <c r="AF23" s="854"/>
      <c r="AG23" s="854"/>
      <c r="AH23" s="854"/>
      <c r="AI23" s="854"/>
      <c r="AJ23" s="854"/>
      <c r="AK23" s="854"/>
      <c r="AL23" s="854"/>
      <c r="AM23" s="854"/>
      <c r="AN23" s="854"/>
      <c r="AO23" s="855"/>
      <c r="AP23" s="45" t="s">
        <v>84</v>
      </c>
      <c r="AQ23" s="68" t="s">
        <v>85</v>
      </c>
      <c r="AR23" s="846" t="s">
        <v>87</v>
      </c>
      <c r="AS23" s="847"/>
      <c r="AT23" s="42" t="s">
        <v>88</v>
      </c>
      <c r="AU23" s="839" t="s">
        <v>89</v>
      </c>
      <c r="AV23" s="842" t="s">
        <v>1602</v>
      </c>
      <c r="AX23" s="841" t="s">
        <v>90</v>
      </c>
      <c r="AY23" s="837"/>
      <c r="AZ23" s="836" t="s">
        <v>91</v>
      </c>
      <c r="BA23" s="837"/>
      <c r="BB23" s="836" t="s">
        <v>92</v>
      </c>
      <c r="BC23" s="837"/>
      <c r="BD23" s="836" t="s">
        <v>93</v>
      </c>
      <c r="BE23" s="837"/>
      <c r="BF23" s="836" t="s">
        <v>94</v>
      </c>
      <c r="BG23" s="838"/>
    </row>
    <row r="24" spans="1:59" ht="14.25" customHeight="1" thickBot="1">
      <c r="A24" s="849"/>
      <c r="B24" s="851"/>
      <c r="C24" s="844"/>
      <c r="D24" s="46" t="s">
        <v>34</v>
      </c>
      <c r="E24" s="844"/>
      <c r="F24" s="46" t="s">
        <v>34</v>
      </c>
      <c r="G24" s="46" t="s">
        <v>95</v>
      </c>
      <c r="H24" s="859"/>
      <c r="I24" s="857"/>
      <c r="J24" s="47" t="s">
        <v>34</v>
      </c>
      <c r="K24" s="835"/>
      <c r="L24" s="857"/>
      <c r="M24" s="857"/>
      <c r="N24" s="835"/>
      <c r="O24" s="46" t="s">
        <v>34</v>
      </c>
      <c r="P24" s="46" t="s">
        <v>34</v>
      </c>
      <c r="Q24" s="46" t="s">
        <v>34</v>
      </c>
      <c r="R24" s="835"/>
      <c r="S24" s="835"/>
      <c r="T24" s="861"/>
      <c r="U24" s="857"/>
      <c r="V24" s="48" t="s">
        <v>42</v>
      </c>
      <c r="W24" s="48" t="s">
        <v>1606</v>
      </c>
      <c r="X24" s="48" t="s">
        <v>1607</v>
      </c>
      <c r="Y24" s="48" t="s">
        <v>1608</v>
      </c>
      <c r="Z24" s="48" t="s">
        <v>1713</v>
      </c>
      <c r="AA24" s="272">
        <v>45657</v>
      </c>
      <c r="AB24" s="272">
        <v>45657</v>
      </c>
      <c r="AC24" s="49">
        <f>+A3</f>
        <v>46022</v>
      </c>
      <c r="AD24" s="50" t="s">
        <v>96</v>
      </c>
      <c r="AE24" s="50" t="s">
        <v>97</v>
      </c>
      <c r="AF24" s="50" t="s">
        <v>98</v>
      </c>
      <c r="AG24" s="50" t="s">
        <v>99</v>
      </c>
      <c r="AH24" s="50" t="s">
        <v>100</v>
      </c>
      <c r="AI24" s="50" t="s">
        <v>101</v>
      </c>
      <c r="AJ24" s="50" t="s">
        <v>102</v>
      </c>
      <c r="AK24" s="50" t="s">
        <v>103</v>
      </c>
      <c r="AL24" s="50" t="s">
        <v>104</v>
      </c>
      <c r="AM24" s="50" t="s">
        <v>105</v>
      </c>
      <c r="AN24" s="50" t="s">
        <v>106</v>
      </c>
      <c r="AO24" s="50" t="s">
        <v>107</v>
      </c>
      <c r="AP24" s="49">
        <f>A3</f>
        <v>46022</v>
      </c>
      <c r="AQ24" s="67">
        <f>+AP24</f>
        <v>46022</v>
      </c>
      <c r="AR24" s="51" t="s">
        <v>38</v>
      </c>
      <c r="AS24" s="52" t="s">
        <v>39</v>
      </c>
      <c r="AT24" s="47" t="s">
        <v>108</v>
      </c>
      <c r="AU24" s="840"/>
      <c r="AV24" s="840"/>
      <c r="AX24" s="90" t="s">
        <v>109</v>
      </c>
      <c r="AY24" s="91" t="s">
        <v>110</v>
      </c>
      <c r="AZ24" s="91" t="s">
        <v>111</v>
      </c>
      <c r="BA24" s="91" t="s">
        <v>112</v>
      </c>
      <c r="BB24" s="91" t="s">
        <v>113</v>
      </c>
      <c r="BC24" s="91" t="s">
        <v>114</v>
      </c>
      <c r="BD24" s="91" t="s">
        <v>115</v>
      </c>
      <c r="BE24" s="92" t="s">
        <v>39</v>
      </c>
      <c r="BF24" s="91" t="s">
        <v>116</v>
      </c>
      <c r="BG24" s="93" t="s">
        <v>117</v>
      </c>
    </row>
    <row r="25" spans="1:59">
      <c r="A25" s="30"/>
      <c r="B25" s="29"/>
      <c r="C25" s="25"/>
      <c r="D25" s="30"/>
      <c r="E25" s="30"/>
      <c r="F25" s="29"/>
      <c r="G25" s="29"/>
      <c r="H25" s="64"/>
      <c r="I25" s="31"/>
      <c r="J25" s="25"/>
      <c r="K25" s="25"/>
      <c r="L25" s="25"/>
      <c r="M25" s="25"/>
      <c r="N25" s="25"/>
      <c r="O25" s="25"/>
      <c r="P25" s="25"/>
      <c r="Q25" s="25"/>
      <c r="R25" s="30"/>
      <c r="S25" s="30"/>
      <c r="T25" s="56" t="s">
        <v>44</v>
      </c>
      <c r="U25" s="32" t="s">
        <v>118</v>
      </c>
      <c r="V25" s="30" t="s">
        <v>119</v>
      </c>
      <c r="W25" s="30" t="s">
        <v>120</v>
      </c>
      <c r="X25" s="30" t="s">
        <v>121</v>
      </c>
      <c r="Y25" s="30" t="s">
        <v>122</v>
      </c>
      <c r="Z25" s="30" t="s">
        <v>123</v>
      </c>
      <c r="AA25" s="32" t="s">
        <v>124</v>
      </c>
      <c r="AB25" s="32" t="s">
        <v>125</v>
      </c>
      <c r="AC25" s="32" t="s">
        <v>126</v>
      </c>
      <c r="AD25" s="32" t="s">
        <v>127</v>
      </c>
      <c r="AE25" s="32" t="s">
        <v>127</v>
      </c>
      <c r="AF25" s="32" t="s">
        <v>127</v>
      </c>
      <c r="AG25" s="32" t="s">
        <v>127</v>
      </c>
      <c r="AH25" s="32" t="s">
        <v>127</v>
      </c>
      <c r="AI25" s="32" t="s">
        <v>127</v>
      </c>
      <c r="AJ25" s="32" t="s">
        <v>127</v>
      </c>
      <c r="AK25" s="32" t="s">
        <v>127</v>
      </c>
      <c r="AL25" s="32" t="s">
        <v>127</v>
      </c>
      <c r="AM25" s="32" t="s">
        <v>127</v>
      </c>
      <c r="AN25" s="32" t="s">
        <v>127</v>
      </c>
      <c r="AO25" s="32" t="s">
        <v>127</v>
      </c>
      <c r="AP25" s="32" t="s">
        <v>124</v>
      </c>
      <c r="AQ25" s="66" t="s">
        <v>125</v>
      </c>
      <c r="AR25" s="33"/>
      <c r="AS25" s="33"/>
      <c r="AT25" s="34"/>
      <c r="AU25" s="27"/>
      <c r="AV25" s="492"/>
      <c r="AW25" s="146" t="s">
        <v>1605</v>
      </c>
    </row>
    <row r="26" spans="1:59" outlineLevel="1">
      <c r="A26" s="303">
        <v>1</v>
      </c>
      <c r="B26" s="306" t="s">
        <v>142</v>
      </c>
      <c r="C26" s="344" t="s">
        <v>143</v>
      </c>
      <c r="D26" s="305">
        <v>152</v>
      </c>
      <c r="E26" s="305" t="s">
        <v>1705</v>
      </c>
      <c r="F26" s="306" t="s">
        <v>144</v>
      </c>
      <c r="G26" s="306" t="s">
        <v>145</v>
      </c>
      <c r="H26" s="307">
        <v>41639</v>
      </c>
      <c r="I26" s="308" t="s">
        <v>129</v>
      </c>
      <c r="J26" s="309">
        <v>111</v>
      </c>
      <c r="K26" s="309" t="s">
        <v>139</v>
      </c>
      <c r="L26" s="310" t="s">
        <v>140</v>
      </c>
      <c r="M26" s="310" t="s">
        <v>141</v>
      </c>
      <c r="N26" s="310">
        <v>2013</v>
      </c>
      <c r="O26" s="310"/>
      <c r="P26" s="310"/>
      <c r="Q26" s="310"/>
      <c r="R26" s="360">
        <v>1</v>
      </c>
      <c r="S26" s="360"/>
      <c r="T26" s="312">
        <v>71701319438.259995</v>
      </c>
      <c r="U26" s="313">
        <f t="shared" ref="U26:U38" si="3">+T26/V26</f>
        <v>298755497.65941662</v>
      </c>
      <c r="V26" s="314">
        <v>240</v>
      </c>
      <c r="W26" s="315">
        <v>133</v>
      </c>
      <c r="X26" s="314">
        <f t="shared" ref="X26:X30" si="4">+AC26/U26</f>
        <v>12</v>
      </c>
      <c r="Y26" s="476">
        <f t="shared" ref="Y26:Y30" si="5">+W26+X26</f>
        <v>145</v>
      </c>
      <c r="Z26" s="317">
        <f t="shared" ref="Z26:Z30" si="6">+V26-Y26</f>
        <v>95</v>
      </c>
      <c r="AA26" s="417">
        <v>39734481188.7024</v>
      </c>
      <c r="AB26" s="318">
        <v>31966838249.557598</v>
      </c>
      <c r="AC26" s="318">
        <f t="shared" ref="AC26:AC38" si="7">SUM(AD26:AO26)</f>
        <v>3585065971.9129996</v>
      </c>
      <c r="AD26" s="318">
        <v>298755497.65941662</v>
      </c>
      <c r="AE26" s="318">
        <v>298755497.65941662</v>
      </c>
      <c r="AF26" s="318">
        <v>298755497.65941662</v>
      </c>
      <c r="AG26" s="318">
        <v>298755497.65941662</v>
      </c>
      <c r="AH26" s="318">
        <v>298755497.65941662</v>
      </c>
      <c r="AI26" s="318">
        <v>298755497.65941662</v>
      </c>
      <c r="AJ26" s="318">
        <v>298755497.65941662</v>
      </c>
      <c r="AK26" s="318">
        <v>298755497.65941662</v>
      </c>
      <c r="AL26" s="318">
        <v>298755497.65941662</v>
      </c>
      <c r="AM26" s="318">
        <v>298755497.65941662</v>
      </c>
      <c r="AN26" s="318">
        <v>298755497.65941662</v>
      </c>
      <c r="AO26" s="318">
        <v>298755497.65941662</v>
      </c>
      <c r="AP26" s="318">
        <f t="shared" ref="AP26:AP30" si="8">+AA26+AC26</f>
        <v>43319547160.615402</v>
      </c>
      <c r="AQ26" s="319">
        <f t="shared" ref="AQ26:AQ30" si="9">IF(AS26=$AS$24,((T26-AP26)*0),T26-AP26)</f>
        <v>28381772277.644592</v>
      </c>
      <c r="AR26" s="320"/>
      <c r="AS26" s="320"/>
      <c r="AT26" s="321"/>
      <c r="AU26" s="322"/>
      <c r="AV26" s="146" t="s">
        <v>1236</v>
      </c>
      <c r="AW26" s="146">
        <f>IFERROR(VLOOKUP(G26,'[70]Detail Deprec_202508'!$D$33:$I$357,6,FALSE),0)</f>
        <v>298755497.66000003</v>
      </c>
      <c r="AX26" s="146">
        <f t="shared" ref="AX26:AX53" si="10">AW26-AK26</f>
        <v>5.8341026306152344E-4</v>
      </c>
    </row>
    <row r="27" spans="1:59" outlineLevel="1">
      <c r="A27" s="303">
        <v>2</v>
      </c>
      <c r="B27" s="306" t="s">
        <v>142</v>
      </c>
      <c r="C27" s="344" t="s">
        <v>143</v>
      </c>
      <c r="D27" s="305">
        <v>152</v>
      </c>
      <c r="E27" s="305" t="s">
        <v>1706</v>
      </c>
      <c r="F27" s="306" t="s">
        <v>146</v>
      </c>
      <c r="G27" s="306" t="s">
        <v>147</v>
      </c>
      <c r="H27" s="307">
        <v>42398</v>
      </c>
      <c r="I27" s="308" t="s">
        <v>129</v>
      </c>
      <c r="J27" s="309">
        <v>84</v>
      </c>
      <c r="K27" s="309" t="s">
        <v>148</v>
      </c>
      <c r="L27" s="310" t="s">
        <v>140</v>
      </c>
      <c r="M27" s="310" t="s">
        <v>149</v>
      </c>
      <c r="N27" s="310">
        <v>2016</v>
      </c>
      <c r="O27" s="310"/>
      <c r="P27" s="310"/>
      <c r="Q27" s="310"/>
      <c r="R27" s="360">
        <v>1</v>
      </c>
      <c r="S27" s="360"/>
      <c r="T27" s="312">
        <v>2061766435</v>
      </c>
      <c r="U27" s="313">
        <f t="shared" si="3"/>
        <v>8590693.479166666</v>
      </c>
      <c r="V27" s="314">
        <v>240</v>
      </c>
      <c r="W27" s="315">
        <v>108.00000000000001</v>
      </c>
      <c r="X27" s="314">
        <f t="shared" si="4"/>
        <v>12.000000000000002</v>
      </c>
      <c r="Y27" s="316">
        <f t="shared" si="5"/>
        <v>120.00000000000001</v>
      </c>
      <c r="Z27" s="317">
        <f t="shared" si="6"/>
        <v>119.99999999999999</v>
      </c>
      <c r="AA27" s="318">
        <v>927794895.75000012</v>
      </c>
      <c r="AB27" s="318">
        <v>1133971539.25</v>
      </c>
      <c r="AC27" s="318">
        <f t="shared" si="7"/>
        <v>103088321.75000001</v>
      </c>
      <c r="AD27" s="318">
        <v>8590693.479166666</v>
      </c>
      <c r="AE27" s="318">
        <v>8590693.479166666</v>
      </c>
      <c r="AF27" s="318">
        <v>8590693.479166666</v>
      </c>
      <c r="AG27" s="318">
        <v>8590693.479166666</v>
      </c>
      <c r="AH27" s="318">
        <v>8590693.479166666</v>
      </c>
      <c r="AI27" s="318">
        <v>8590693.479166666</v>
      </c>
      <c r="AJ27" s="318">
        <v>8590693.479166666</v>
      </c>
      <c r="AK27" s="318">
        <v>8590693.479166666</v>
      </c>
      <c r="AL27" s="318">
        <v>8590693.479166666</v>
      </c>
      <c r="AM27" s="318">
        <v>8590693.479166666</v>
      </c>
      <c r="AN27" s="318">
        <v>8590693.479166666</v>
      </c>
      <c r="AO27" s="318">
        <v>8590693.479166666</v>
      </c>
      <c r="AP27" s="318">
        <f t="shared" si="8"/>
        <v>1030883217.5000001</v>
      </c>
      <c r="AQ27" s="319">
        <f t="shared" si="9"/>
        <v>1030883217.4999999</v>
      </c>
      <c r="AR27" s="320"/>
      <c r="AS27" s="320"/>
      <c r="AT27" s="321"/>
      <c r="AU27" s="322"/>
      <c r="AV27" s="146" t="s">
        <v>1236</v>
      </c>
      <c r="AW27" s="146">
        <f>IFERROR(VLOOKUP(G27,'[70]Detail Deprec_202508'!$D$33:$I$357,6,FALSE),0)</f>
        <v>8590693.4800000004</v>
      </c>
      <c r="AX27" s="146">
        <f t="shared" si="10"/>
        <v>8.3333440124988556E-4</v>
      </c>
    </row>
    <row r="28" spans="1:59" outlineLevel="1">
      <c r="A28" s="303">
        <v>3</v>
      </c>
      <c r="B28" s="306" t="s">
        <v>142</v>
      </c>
      <c r="C28" s="344" t="s">
        <v>143</v>
      </c>
      <c r="D28" s="305">
        <v>152</v>
      </c>
      <c r="E28" s="305" t="s">
        <v>1706</v>
      </c>
      <c r="F28" s="306" t="s">
        <v>150</v>
      </c>
      <c r="G28" s="306" t="s">
        <v>151</v>
      </c>
      <c r="H28" s="307">
        <v>42387</v>
      </c>
      <c r="I28" s="308" t="s">
        <v>129</v>
      </c>
      <c r="J28" s="477" t="s">
        <v>152</v>
      </c>
      <c r="K28" s="309" t="s">
        <v>153</v>
      </c>
      <c r="L28" s="310" t="s">
        <v>140</v>
      </c>
      <c r="M28" s="310" t="s">
        <v>149</v>
      </c>
      <c r="N28" s="310">
        <v>2016</v>
      </c>
      <c r="O28" s="310"/>
      <c r="P28" s="310"/>
      <c r="Q28" s="310"/>
      <c r="R28" s="360">
        <v>1</v>
      </c>
      <c r="S28" s="360"/>
      <c r="T28" s="312">
        <v>5000000000</v>
      </c>
      <c r="U28" s="313">
        <f t="shared" si="3"/>
        <v>20833333.333333332</v>
      </c>
      <c r="V28" s="314">
        <v>240</v>
      </c>
      <c r="W28" s="315">
        <v>108.00000000000001</v>
      </c>
      <c r="X28" s="314">
        <f t="shared" si="4"/>
        <v>12.000000000000002</v>
      </c>
      <c r="Y28" s="316">
        <f t="shared" si="5"/>
        <v>120.00000000000001</v>
      </c>
      <c r="Z28" s="317">
        <f t="shared" si="6"/>
        <v>119.99999999999999</v>
      </c>
      <c r="AA28" s="318">
        <v>2250000000.0000005</v>
      </c>
      <c r="AB28" s="318">
        <v>2749999999.9999995</v>
      </c>
      <c r="AC28" s="318">
        <f t="shared" si="7"/>
        <v>250000000.00000003</v>
      </c>
      <c r="AD28" s="318">
        <v>20833333.333333332</v>
      </c>
      <c r="AE28" s="318">
        <v>20833333.333333332</v>
      </c>
      <c r="AF28" s="318">
        <v>20833333.333333332</v>
      </c>
      <c r="AG28" s="318">
        <v>20833333.333333332</v>
      </c>
      <c r="AH28" s="318">
        <v>20833333.333333332</v>
      </c>
      <c r="AI28" s="318">
        <v>20833333.333333332</v>
      </c>
      <c r="AJ28" s="318">
        <v>20833333.333333332</v>
      </c>
      <c r="AK28" s="318">
        <v>20833333.333333332</v>
      </c>
      <c r="AL28" s="318">
        <v>20833333.333333332</v>
      </c>
      <c r="AM28" s="318">
        <v>20833333.333333332</v>
      </c>
      <c r="AN28" s="318">
        <v>20833333.333333332</v>
      </c>
      <c r="AO28" s="318">
        <v>20833333.333333332</v>
      </c>
      <c r="AP28" s="318">
        <f t="shared" si="8"/>
        <v>2500000000.0000005</v>
      </c>
      <c r="AQ28" s="319">
        <f t="shared" si="9"/>
        <v>2499999999.9999995</v>
      </c>
      <c r="AR28" s="320"/>
      <c r="AS28" s="320"/>
      <c r="AT28" s="321"/>
      <c r="AU28" s="322"/>
      <c r="AV28" s="146" t="s">
        <v>1236</v>
      </c>
      <c r="AW28" s="146">
        <f>IFERROR(VLOOKUP(G28,'[70]Detail Deprec_202508'!$D$33:$I$357,6,FALSE),0)</f>
        <v>20833333.329999998</v>
      </c>
      <c r="AX28" s="146">
        <f t="shared" si="10"/>
        <v>-3.3333338797092438E-3</v>
      </c>
    </row>
    <row r="29" spans="1:59" outlineLevel="1">
      <c r="A29" s="303">
        <v>4</v>
      </c>
      <c r="B29" s="306" t="s">
        <v>142</v>
      </c>
      <c r="C29" s="344" t="s">
        <v>143</v>
      </c>
      <c r="D29" s="305">
        <v>152</v>
      </c>
      <c r="E29" s="305" t="s">
        <v>1706</v>
      </c>
      <c r="F29" s="306" t="s">
        <v>150</v>
      </c>
      <c r="G29" s="306" t="s">
        <v>154</v>
      </c>
      <c r="H29" s="307">
        <v>42387</v>
      </c>
      <c r="I29" s="308" t="s">
        <v>129</v>
      </c>
      <c r="J29" s="477" t="s">
        <v>152</v>
      </c>
      <c r="K29" s="309" t="s">
        <v>155</v>
      </c>
      <c r="L29" s="310" t="s">
        <v>140</v>
      </c>
      <c r="M29" s="310" t="s">
        <v>149</v>
      </c>
      <c r="N29" s="310">
        <v>2016</v>
      </c>
      <c r="O29" s="310"/>
      <c r="P29" s="310"/>
      <c r="Q29" s="310"/>
      <c r="R29" s="360">
        <v>1</v>
      </c>
      <c r="S29" s="360"/>
      <c r="T29" s="312">
        <v>44455000000</v>
      </c>
      <c r="U29" s="313">
        <f t="shared" si="3"/>
        <v>185229166.66666666</v>
      </c>
      <c r="V29" s="314">
        <v>240</v>
      </c>
      <c r="W29" s="315">
        <v>108.00000000000003</v>
      </c>
      <c r="X29" s="314">
        <f t="shared" si="4"/>
        <v>12.000000000000004</v>
      </c>
      <c r="Y29" s="316">
        <f t="shared" si="5"/>
        <v>120.00000000000003</v>
      </c>
      <c r="Z29" s="317">
        <f t="shared" si="6"/>
        <v>119.99999999999997</v>
      </c>
      <c r="AA29" s="318">
        <v>20004750000.000004</v>
      </c>
      <c r="AB29" s="318">
        <v>24450249999.999996</v>
      </c>
      <c r="AC29" s="318">
        <f t="shared" si="7"/>
        <v>2222750000.0000005</v>
      </c>
      <c r="AD29" s="318">
        <v>185229166.66666666</v>
      </c>
      <c r="AE29" s="318">
        <v>185229166.66666666</v>
      </c>
      <c r="AF29" s="318">
        <v>185229166.66666666</v>
      </c>
      <c r="AG29" s="318">
        <v>185229166.66666666</v>
      </c>
      <c r="AH29" s="318">
        <v>185229166.66666666</v>
      </c>
      <c r="AI29" s="318">
        <v>185229166.66666666</v>
      </c>
      <c r="AJ29" s="318">
        <v>185229166.66666666</v>
      </c>
      <c r="AK29" s="318">
        <v>185229166.66666666</v>
      </c>
      <c r="AL29" s="318">
        <v>185229166.66666666</v>
      </c>
      <c r="AM29" s="318">
        <v>185229166.66666666</v>
      </c>
      <c r="AN29" s="318">
        <v>185229166.66666666</v>
      </c>
      <c r="AO29" s="318">
        <v>185229166.66666666</v>
      </c>
      <c r="AP29" s="318">
        <f t="shared" si="8"/>
        <v>22227500000.000004</v>
      </c>
      <c r="AQ29" s="319">
        <f t="shared" si="9"/>
        <v>22227499999.999996</v>
      </c>
      <c r="AR29" s="320"/>
      <c r="AS29" s="320"/>
      <c r="AT29" s="321"/>
      <c r="AU29" s="322"/>
      <c r="AV29" s="146" t="s">
        <v>1236</v>
      </c>
      <c r="AW29" s="146">
        <f>IFERROR(VLOOKUP(G29,'[70]Detail Deprec_202508'!$D$33:$I$357,6,FALSE),0)</f>
        <v>185229166.66999999</v>
      </c>
      <c r="AX29" s="146">
        <f t="shared" si="10"/>
        <v>3.3333301544189453E-3</v>
      </c>
    </row>
    <row r="30" spans="1:59" outlineLevel="1">
      <c r="A30" s="303">
        <v>5</v>
      </c>
      <c r="B30" s="306" t="s">
        <v>142</v>
      </c>
      <c r="C30" s="344" t="s">
        <v>143</v>
      </c>
      <c r="D30" s="305">
        <v>152</v>
      </c>
      <c r="E30" s="305" t="s">
        <v>1706</v>
      </c>
      <c r="F30" s="306" t="s">
        <v>150</v>
      </c>
      <c r="G30" s="306" t="s">
        <v>156</v>
      </c>
      <c r="H30" s="307">
        <v>42387</v>
      </c>
      <c r="I30" s="308" t="s">
        <v>129</v>
      </c>
      <c r="J30" s="477" t="s">
        <v>152</v>
      </c>
      <c r="K30" s="309" t="s">
        <v>157</v>
      </c>
      <c r="L30" s="310" t="s">
        <v>140</v>
      </c>
      <c r="M30" s="310" t="s">
        <v>149</v>
      </c>
      <c r="N30" s="310">
        <v>2016</v>
      </c>
      <c r="O30" s="310"/>
      <c r="P30" s="310"/>
      <c r="Q30" s="310"/>
      <c r="R30" s="360">
        <v>1</v>
      </c>
      <c r="S30" s="360"/>
      <c r="T30" s="312">
        <v>49455000000</v>
      </c>
      <c r="U30" s="313">
        <f t="shared" si="3"/>
        <v>206062500</v>
      </c>
      <c r="V30" s="314">
        <v>240</v>
      </c>
      <c r="W30" s="315">
        <v>108</v>
      </c>
      <c r="X30" s="314">
        <f t="shared" si="4"/>
        <v>12</v>
      </c>
      <c r="Y30" s="316">
        <f t="shared" si="5"/>
        <v>120</v>
      </c>
      <c r="Z30" s="317">
        <f t="shared" si="6"/>
        <v>120</v>
      </c>
      <c r="AA30" s="318">
        <v>22254750000</v>
      </c>
      <c r="AB30" s="318">
        <v>27200250000</v>
      </c>
      <c r="AC30" s="318">
        <f t="shared" si="7"/>
        <v>2472750000</v>
      </c>
      <c r="AD30" s="318">
        <v>206062500</v>
      </c>
      <c r="AE30" s="318">
        <v>206062500</v>
      </c>
      <c r="AF30" s="318">
        <v>206062500</v>
      </c>
      <c r="AG30" s="318">
        <v>206062500</v>
      </c>
      <c r="AH30" s="318">
        <v>206062500</v>
      </c>
      <c r="AI30" s="318">
        <v>206062500</v>
      </c>
      <c r="AJ30" s="318">
        <v>206062500</v>
      </c>
      <c r="AK30" s="318">
        <v>206062500</v>
      </c>
      <c r="AL30" s="318">
        <v>206062500</v>
      </c>
      <c r="AM30" s="318">
        <v>206062500</v>
      </c>
      <c r="AN30" s="318">
        <v>206062500</v>
      </c>
      <c r="AO30" s="318">
        <v>206062500</v>
      </c>
      <c r="AP30" s="318">
        <f t="shared" si="8"/>
        <v>24727500000</v>
      </c>
      <c r="AQ30" s="319">
        <f t="shared" si="9"/>
        <v>24727500000</v>
      </c>
      <c r="AR30" s="320"/>
      <c r="AS30" s="320"/>
      <c r="AT30" s="321"/>
      <c r="AU30" s="322"/>
      <c r="AV30" s="146" t="s">
        <v>1236</v>
      </c>
      <c r="AW30" s="146">
        <f>IFERROR(VLOOKUP(G30,'[70]Detail Deprec_202508'!$D$33:$I$357,6,FALSE),0)</f>
        <v>206062500</v>
      </c>
      <c r="AX30" s="146">
        <f t="shared" si="10"/>
        <v>0</v>
      </c>
    </row>
    <row r="31" spans="1:59" outlineLevel="1">
      <c r="A31" s="303">
        <v>6</v>
      </c>
      <c r="B31" s="306" t="s">
        <v>142</v>
      </c>
      <c r="C31" s="344" t="s">
        <v>143</v>
      </c>
      <c r="D31" s="305">
        <v>152</v>
      </c>
      <c r="E31" s="305" t="s">
        <v>1706</v>
      </c>
      <c r="F31" s="306" t="s">
        <v>150</v>
      </c>
      <c r="G31" s="306" t="s">
        <v>158</v>
      </c>
      <c r="H31" s="307">
        <v>42387</v>
      </c>
      <c r="I31" s="308" t="s">
        <v>129</v>
      </c>
      <c r="J31" s="477" t="s">
        <v>152</v>
      </c>
      <c r="K31" s="309" t="s">
        <v>159</v>
      </c>
      <c r="L31" s="310" t="s">
        <v>140</v>
      </c>
      <c r="M31" s="310" t="s">
        <v>149</v>
      </c>
      <c r="N31" s="310">
        <v>2016</v>
      </c>
      <c r="O31" s="310"/>
      <c r="P31" s="310"/>
      <c r="Q31" s="310"/>
      <c r="R31" s="360">
        <v>1</v>
      </c>
      <c r="S31" s="360"/>
      <c r="T31" s="312">
        <v>35325000000</v>
      </c>
      <c r="U31" s="313">
        <f t="shared" si="3"/>
        <v>147187500</v>
      </c>
      <c r="V31" s="314">
        <v>240</v>
      </c>
      <c r="W31" s="315">
        <v>108</v>
      </c>
      <c r="X31" s="314">
        <f t="shared" ref="X31:X38" si="11">+AC31/U31</f>
        <v>12</v>
      </c>
      <c r="Y31" s="316">
        <f t="shared" ref="Y31:Y38" si="12">+W31+X31</f>
        <v>120</v>
      </c>
      <c r="Z31" s="317">
        <f t="shared" ref="Z31:Z38" si="13">+V31-Y31</f>
        <v>120</v>
      </c>
      <c r="AA31" s="318">
        <v>15896250000</v>
      </c>
      <c r="AB31" s="318">
        <v>19428750000</v>
      </c>
      <c r="AC31" s="318">
        <f t="shared" si="7"/>
        <v>1766250000</v>
      </c>
      <c r="AD31" s="318">
        <v>147187500</v>
      </c>
      <c r="AE31" s="318">
        <v>147187500</v>
      </c>
      <c r="AF31" s="318">
        <v>147187500</v>
      </c>
      <c r="AG31" s="318">
        <v>147187500</v>
      </c>
      <c r="AH31" s="318">
        <v>147187500</v>
      </c>
      <c r="AI31" s="318">
        <v>147187500</v>
      </c>
      <c r="AJ31" s="318">
        <v>147187500</v>
      </c>
      <c r="AK31" s="318">
        <v>147187500</v>
      </c>
      <c r="AL31" s="318">
        <v>147187500</v>
      </c>
      <c r="AM31" s="318">
        <v>147187500</v>
      </c>
      <c r="AN31" s="318">
        <v>147187500</v>
      </c>
      <c r="AO31" s="318">
        <v>147187500</v>
      </c>
      <c r="AP31" s="318">
        <f t="shared" ref="AP31:AP38" si="14">+AA31+AC31</f>
        <v>17662500000</v>
      </c>
      <c r="AQ31" s="319">
        <f t="shared" ref="AQ31:AQ38" si="15">IF(AS31=$AS$24,((T31-AP31)*0),T31-AP31)</f>
        <v>17662500000</v>
      </c>
      <c r="AR31" s="320"/>
      <c r="AS31" s="320"/>
      <c r="AT31" s="321"/>
      <c r="AU31" s="322"/>
      <c r="AV31" s="146" t="s">
        <v>1236</v>
      </c>
      <c r="AW31" s="146">
        <f>IFERROR(VLOOKUP(G31,'[70]Detail Deprec_202508'!$D$33:$I$357,6,FALSE),0)</f>
        <v>147187500</v>
      </c>
      <c r="AX31" s="146">
        <f t="shared" si="10"/>
        <v>0</v>
      </c>
    </row>
    <row r="32" spans="1:59" outlineLevel="1">
      <c r="A32" s="303">
        <v>7</v>
      </c>
      <c r="B32" s="306" t="s">
        <v>142</v>
      </c>
      <c r="C32" s="344" t="s">
        <v>143</v>
      </c>
      <c r="D32" s="305">
        <v>152</v>
      </c>
      <c r="E32" s="305" t="s">
        <v>1706</v>
      </c>
      <c r="F32" s="306" t="s">
        <v>150</v>
      </c>
      <c r="G32" s="306" t="s">
        <v>160</v>
      </c>
      <c r="H32" s="307">
        <v>42387</v>
      </c>
      <c r="I32" s="308" t="s">
        <v>129</v>
      </c>
      <c r="J32" s="477" t="s">
        <v>152</v>
      </c>
      <c r="K32" s="309" t="s">
        <v>161</v>
      </c>
      <c r="L32" s="310" t="s">
        <v>140</v>
      </c>
      <c r="M32" s="310" t="s">
        <v>149</v>
      </c>
      <c r="N32" s="310">
        <v>2016</v>
      </c>
      <c r="O32" s="310"/>
      <c r="P32" s="310"/>
      <c r="Q32" s="310"/>
      <c r="R32" s="360">
        <v>1</v>
      </c>
      <c r="S32" s="478">
        <v>271320</v>
      </c>
      <c r="T32" s="312">
        <v>3375220800</v>
      </c>
      <c r="U32" s="313">
        <f t="shared" si="3"/>
        <v>14063420</v>
      </c>
      <c r="V32" s="314">
        <v>240</v>
      </c>
      <c r="W32" s="315">
        <v>108</v>
      </c>
      <c r="X32" s="314">
        <f t="shared" si="11"/>
        <v>12</v>
      </c>
      <c r="Y32" s="316">
        <f t="shared" si="12"/>
        <v>120</v>
      </c>
      <c r="Z32" s="317">
        <f t="shared" si="13"/>
        <v>120</v>
      </c>
      <c r="AA32" s="318">
        <v>1518849360</v>
      </c>
      <c r="AB32" s="318">
        <v>1856371440</v>
      </c>
      <c r="AC32" s="318">
        <f t="shared" si="7"/>
        <v>168761040</v>
      </c>
      <c r="AD32" s="318">
        <v>14063420</v>
      </c>
      <c r="AE32" s="318">
        <v>14063420</v>
      </c>
      <c r="AF32" s="318">
        <v>14063420</v>
      </c>
      <c r="AG32" s="318">
        <v>14063420</v>
      </c>
      <c r="AH32" s="318">
        <v>14063420</v>
      </c>
      <c r="AI32" s="318">
        <v>14063420</v>
      </c>
      <c r="AJ32" s="318">
        <v>14063420</v>
      </c>
      <c r="AK32" s="318">
        <v>14063420</v>
      </c>
      <c r="AL32" s="318">
        <v>14063420</v>
      </c>
      <c r="AM32" s="318">
        <v>14063420</v>
      </c>
      <c r="AN32" s="318">
        <v>14063420</v>
      </c>
      <c r="AO32" s="318">
        <v>14063420</v>
      </c>
      <c r="AP32" s="318">
        <f t="shared" si="14"/>
        <v>1687610400</v>
      </c>
      <c r="AQ32" s="319">
        <f t="shared" si="15"/>
        <v>1687610400</v>
      </c>
      <c r="AR32" s="320"/>
      <c r="AS32" s="320"/>
      <c r="AT32" s="321"/>
      <c r="AU32" s="322"/>
      <c r="AV32" s="146" t="s">
        <v>1236</v>
      </c>
      <c r="AW32" s="146">
        <f>IFERROR(VLOOKUP(G32,'[70]Detail Deprec_202508'!$D$33:$I$357,6,FALSE),0)</f>
        <v>14063420</v>
      </c>
      <c r="AX32" s="146">
        <f t="shared" si="10"/>
        <v>0</v>
      </c>
    </row>
    <row r="33" spans="1:50" outlineLevel="1">
      <c r="A33" s="303">
        <v>8</v>
      </c>
      <c r="B33" s="306" t="s">
        <v>142</v>
      </c>
      <c r="C33" s="344" t="s">
        <v>143</v>
      </c>
      <c r="D33" s="305">
        <v>152</v>
      </c>
      <c r="E33" s="305" t="s">
        <v>1706</v>
      </c>
      <c r="F33" s="306" t="s">
        <v>162</v>
      </c>
      <c r="G33" s="306" t="s">
        <v>163</v>
      </c>
      <c r="H33" s="307">
        <v>42387</v>
      </c>
      <c r="I33" s="308" t="s">
        <v>129</v>
      </c>
      <c r="J33" s="477" t="s">
        <v>152</v>
      </c>
      <c r="K33" s="309" t="s">
        <v>161</v>
      </c>
      <c r="L33" s="310" t="s">
        <v>140</v>
      </c>
      <c r="M33" s="310" t="s">
        <v>149</v>
      </c>
      <c r="N33" s="310">
        <v>2016</v>
      </c>
      <c r="O33" s="310"/>
      <c r="P33" s="310"/>
      <c r="Q33" s="310"/>
      <c r="R33" s="360">
        <v>1</v>
      </c>
      <c r="S33" s="478">
        <v>271320</v>
      </c>
      <c r="T33" s="312">
        <v>3549950880</v>
      </c>
      <c r="U33" s="313">
        <f t="shared" si="3"/>
        <v>14791462</v>
      </c>
      <c r="V33" s="314">
        <v>240</v>
      </c>
      <c r="W33" s="315">
        <v>108</v>
      </c>
      <c r="X33" s="314">
        <f t="shared" si="11"/>
        <v>12</v>
      </c>
      <c r="Y33" s="316">
        <f t="shared" si="12"/>
        <v>120</v>
      </c>
      <c r="Z33" s="317">
        <f t="shared" si="13"/>
        <v>120</v>
      </c>
      <c r="AA33" s="318">
        <v>1597477896</v>
      </c>
      <c r="AB33" s="318">
        <v>1952472984</v>
      </c>
      <c r="AC33" s="318">
        <f t="shared" si="7"/>
        <v>177497544</v>
      </c>
      <c r="AD33" s="318">
        <v>14791462</v>
      </c>
      <c r="AE33" s="318">
        <v>14791462</v>
      </c>
      <c r="AF33" s="318">
        <v>14791462</v>
      </c>
      <c r="AG33" s="318">
        <v>14791462</v>
      </c>
      <c r="AH33" s="318">
        <v>14791462</v>
      </c>
      <c r="AI33" s="318">
        <v>14791462</v>
      </c>
      <c r="AJ33" s="318">
        <v>14791462</v>
      </c>
      <c r="AK33" s="318">
        <v>14791462</v>
      </c>
      <c r="AL33" s="318">
        <v>14791462</v>
      </c>
      <c r="AM33" s="318">
        <v>14791462</v>
      </c>
      <c r="AN33" s="318">
        <v>14791462</v>
      </c>
      <c r="AO33" s="318">
        <v>14791462</v>
      </c>
      <c r="AP33" s="318">
        <f t="shared" si="14"/>
        <v>1774975440</v>
      </c>
      <c r="AQ33" s="319">
        <f t="shared" si="15"/>
        <v>1774975440</v>
      </c>
      <c r="AR33" s="320"/>
      <c r="AS33" s="320"/>
      <c r="AT33" s="321"/>
      <c r="AU33" s="322"/>
      <c r="AV33" s="146" t="s">
        <v>1236</v>
      </c>
      <c r="AW33" s="146">
        <f>IFERROR(VLOOKUP(G33,'[70]Detail Deprec_202508'!$D$33:$I$357,6,FALSE),0)</f>
        <v>14791462</v>
      </c>
      <c r="AX33" s="146">
        <f t="shared" si="10"/>
        <v>0</v>
      </c>
    </row>
    <row r="34" spans="1:50" outlineLevel="1">
      <c r="A34" s="303">
        <v>9</v>
      </c>
      <c r="B34" s="306" t="s">
        <v>142</v>
      </c>
      <c r="C34" s="344" t="s">
        <v>143</v>
      </c>
      <c r="D34" s="305">
        <v>152</v>
      </c>
      <c r="E34" s="305" t="s">
        <v>1706</v>
      </c>
      <c r="F34" s="306" t="s">
        <v>162</v>
      </c>
      <c r="G34" s="306" t="s">
        <v>164</v>
      </c>
      <c r="H34" s="307">
        <v>42387</v>
      </c>
      <c r="I34" s="308" t="s">
        <v>129</v>
      </c>
      <c r="J34" s="477" t="s">
        <v>152</v>
      </c>
      <c r="K34" s="309" t="s">
        <v>165</v>
      </c>
      <c r="L34" s="310" t="s">
        <v>140</v>
      </c>
      <c r="M34" s="310" t="s">
        <v>149</v>
      </c>
      <c r="N34" s="310">
        <v>2016</v>
      </c>
      <c r="O34" s="310"/>
      <c r="P34" s="310"/>
      <c r="Q34" s="310"/>
      <c r="R34" s="360">
        <v>1</v>
      </c>
      <c r="S34" s="478">
        <v>193800</v>
      </c>
      <c r="T34" s="312">
        <v>2612617800</v>
      </c>
      <c r="U34" s="313">
        <f t="shared" si="3"/>
        <v>10885907.5</v>
      </c>
      <c r="V34" s="314">
        <v>240</v>
      </c>
      <c r="W34" s="315">
        <v>108</v>
      </c>
      <c r="X34" s="314">
        <f t="shared" si="11"/>
        <v>12</v>
      </c>
      <c r="Y34" s="316">
        <f t="shared" si="12"/>
        <v>120</v>
      </c>
      <c r="Z34" s="317">
        <f t="shared" si="13"/>
        <v>120</v>
      </c>
      <c r="AA34" s="318">
        <v>1175678010</v>
      </c>
      <c r="AB34" s="318">
        <v>1436939790</v>
      </c>
      <c r="AC34" s="318">
        <f t="shared" si="7"/>
        <v>130630890</v>
      </c>
      <c r="AD34" s="318">
        <v>10885907.5</v>
      </c>
      <c r="AE34" s="318">
        <v>10885907.5</v>
      </c>
      <c r="AF34" s="318">
        <v>10885907.5</v>
      </c>
      <c r="AG34" s="318">
        <v>10885907.5</v>
      </c>
      <c r="AH34" s="318">
        <v>10885907.5</v>
      </c>
      <c r="AI34" s="318">
        <v>10885907.5</v>
      </c>
      <c r="AJ34" s="318">
        <v>10885907.5</v>
      </c>
      <c r="AK34" s="318">
        <v>10885907.5</v>
      </c>
      <c r="AL34" s="318">
        <v>10885907.5</v>
      </c>
      <c r="AM34" s="318">
        <v>10885907.5</v>
      </c>
      <c r="AN34" s="318">
        <v>10885907.5</v>
      </c>
      <c r="AO34" s="318">
        <v>10885907.5</v>
      </c>
      <c r="AP34" s="318">
        <f t="shared" si="14"/>
        <v>1306308900</v>
      </c>
      <c r="AQ34" s="319">
        <f t="shared" si="15"/>
        <v>1306308900</v>
      </c>
      <c r="AR34" s="320"/>
      <c r="AS34" s="320"/>
      <c r="AT34" s="321"/>
      <c r="AU34" s="322"/>
      <c r="AV34" s="146" t="s">
        <v>1236</v>
      </c>
      <c r="AW34" s="146">
        <f>IFERROR(VLOOKUP(G34,'[70]Detail Deprec_202508'!$D$33:$I$357,6,FALSE),0)</f>
        <v>10885907.5</v>
      </c>
      <c r="AX34" s="146">
        <f t="shared" si="10"/>
        <v>0</v>
      </c>
    </row>
    <row r="35" spans="1:50" outlineLevel="1">
      <c r="A35" s="303">
        <v>10</v>
      </c>
      <c r="B35" s="306" t="s">
        <v>142</v>
      </c>
      <c r="C35" s="344" t="s">
        <v>143</v>
      </c>
      <c r="D35" s="305">
        <v>152</v>
      </c>
      <c r="E35" s="305" t="s">
        <v>1706</v>
      </c>
      <c r="F35" s="306" t="s">
        <v>162</v>
      </c>
      <c r="G35" s="306" t="s">
        <v>166</v>
      </c>
      <c r="H35" s="307">
        <v>42387</v>
      </c>
      <c r="I35" s="308" t="s">
        <v>129</v>
      </c>
      <c r="J35" s="477" t="s">
        <v>152</v>
      </c>
      <c r="K35" s="309" t="s">
        <v>167</v>
      </c>
      <c r="L35" s="310" t="s">
        <v>140</v>
      </c>
      <c r="M35" s="310" t="s">
        <v>149</v>
      </c>
      <c r="N35" s="310">
        <v>2016</v>
      </c>
      <c r="O35" s="310"/>
      <c r="P35" s="310"/>
      <c r="Q35" s="310"/>
      <c r="R35" s="360">
        <v>1</v>
      </c>
      <c r="S35" s="478"/>
      <c r="T35" s="312">
        <v>7065000000</v>
      </c>
      <c r="U35" s="313">
        <f t="shared" si="3"/>
        <v>29437500</v>
      </c>
      <c r="V35" s="314">
        <v>240</v>
      </c>
      <c r="W35" s="315">
        <v>108</v>
      </c>
      <c r="X35" s="314">
        <f t="shared" si="11"/>
        <v>12</v>
      </c>
      <c r="Y35" s="316">
        <f t="shared" si="12"/>
        <v>120</v>
      </c>
      <c r="Z35" s="317">
        <f t="shared" si="13"/>
        <v>120</v>
      </c>
      <c r="AA35" s="318">
        <v>3179250000</v>
      </c>
      <c r="AB35" s="318">
        <v>3885750000</v>
      </c>
      <c r="AC35" s="318">
        <f t="shared" si="7"/>
        <v>353250000</v>
      </c>
      <c r="AD35" s="318">
        <v>29437500</v>
      </c>
      <c r="AE35" s="318">
        <v>29437500</v>
      </c>
      <c r="AF35" s="318">
        <v>29437500</v>
      </c>
      <c r="AG35" s="318">
        <v>29437500</v>
      </c>
      <c r="AH35" s="318">
        <v>29437500</v>
      </c>
      <c r="AI35" s="318">
        <v>29437500</v>
      </c>
      <c r="AJ35" s="318">
        <v>29437500</v>
      </c>
      <c r="AK35" s="318">
        <v>29437500</v>
      </c>
      <c r="AL35" s="318">
        <v>29437500</v>
      </c>
      <c r="AM35" s="318">
        <v>29437500</v>
      </c>
      <c r="AN35" s="318">
        <v>29437500</v>
      </c>
      <c r="AO35" s="318">
        <v>29437500</v>
      </c>
      <c r="AP35" s="318">
        <f t="shared" si="14"/>
        <v>3532500000</v>
      </c>
      <c r="AQ35" s="319">
        <f t="shared" si="15"/>
        <v>3532500000</v>
      </c>
      <c r="AR35" s="320"/>
      <c r="AS35" s="320"/>
      <c r="AT35" s="321"/>
      <c r="AU35" s="322"/>
      <c r="AV35" s="146" t="s">
        <v>1236</v>
      </c>
      <c r="AW35" s="146">
        <f>IFERROR(VLOOKUP(G35,'[70]Detail Deprec_202508'!$D$33:$I$357,6,FALSE),0)</f>
        <v>29437500</v>
      </c>
      <c r="AX35" s="146">
        <f t="shared" si="10"/>
        <v>0</v>
      </c>
    </row>
    <row r="36" spans="1:50" outlineLevel="1">
      <c r="A36" s="303">
        <v>11</v>
      </c>
      <c r="B36" s="306" t="s">
        <v>142</v>
      </c>
      <c r="C36" s="344" t="s">
        <v>143</v>
      </c>
      <c r="D36" s="305">
        <v>152</v>
      </c>
      <c r="E36" s="305" t="s">
        <v>1706</v>
      </c>
      <c r="F36" s="306" t="s">
        <v>162</v>
      </c>
      <c r="G36" s="306" t="s">
        <v>168</v>
      </c>
      <c r="H36" s="307">
        <v>42387</v>
      </c>
      <c r="I36" s="308" t="s">
        <v>129</v>
      </c>
      <c r="J36" s="477" t="s">
        <v>152</v>
      </c>
      <c r="K36" s="309" t="s">
        <v>167</v>
      </c>
      <c r="L36" s="310" t="s">
        <v>140</v>
      </c>
      <c r="M36" s="310" t="s">
        <v>149</v>
      </c>
      <c r="N36" s="310">
        <v>2016</v>
      </c>
      <c r="O36" s="310"/>
      <c r="P36" s="310"/>
      <c r="Q36" s="310"/>
      <c r="R36" s="360">
        <v>1</v>
      </c>
      <c r="S36" s="478">
        <v>38760</v>
      </c>
      <c r="T36" s="312">
        <v>534694200</v>
      </c>
      <c r="U36" s="313">
        <f t="shared" si="3"/>
        <v>2227892.5</v>
      </c>
      <c r="V36" s="314">
        <v>240</v>
      </c>
      <c r="W36" s="315">
        <v>108</v>
      </c>
      <c r="X36" s="314">
        <f t="shared" si="11"/>
        <v>12</v>
      </c>
      <c r="Y36" s="316">
        <f t="shared" si="12"/>
        <v>120</v>
      </c>
      <c r="Z36" s="317">
        <f t="shared" si="13"/>
        <v>120</v>
      </c>
      <c r="AA36" s="318">
        <v>240612390</v>
      </c>
      <c r="AB36" s="318">
        <v>294081810</v>
      </c>
      <c r="AC36" s="318">
        <f t="shared" si="7"/>
        <v>26734710</v>
      </c>
      <c r="AD36" s="318">
        <v>2227892.5</v>
      </c>
      <c r="AE36" s="318">
        <v>2227892.5</v>
      </c>
      <c r="AF36" s="318">
        <v>2227892.5</v>
      </c>
      <c r="AG36" s="318">
        <v>2227892.5</v>
      </c>
      <c r="AH36" s="318">
        <v>2227892.5</v>
      </c>
      <c r="AI36" s="318">
        <v>2227892.5</v>
      </c>
      <c r="AJ36" s="318">
        <v>2227892.5</v>
      </c>
      <c r="AK36" s="318">
        <v>2227892.5</v>
      </c>
      <c r="AL36" s="318">
        <v>2227892.5</v>
      </c>
      <c r="AM36" s="318">
        <v>2227892.5</v>
      </c>
      <c r="AN36" s="318">
        <v>2227892.5</v>
      </c>
      <c r="AO36" s="318">
        <v>2227892.5</v>
      </c>
      <c r="AP36" s="318">
        <f t="shared" si="14"/>
        <v>267347100</v>
      </c>
      <c r="AQ36" s="319">
        <f t="shared" si="15"/>
        <v>267347100</v>
      </c>
      <c r="AR36" s="320"/>
      <c r="AS36" s="320"/>
      <c r="AT36" s="321"/>
      <c r="AU36" s="322"/>
      <c r="AV36" s="146" t="s">
        <v>1236</v>
      </c>
      <c r="AW36" s="146">
        <f>IFERROR(VLOOKUP(G36,'[70]Detail Deprec_202508'!$D$33:$I$357,6,FALSE),0)</f>
        <v>2227892.5</v>
      </c>
      <c r="AX36" s="146">
        <f t="shared" si="10"/>
        <v>0</v>
      </c>
    </row>
    <row r="37" spans="1:50" outlineLevel="1">
      <c r="A37" s="303">
        <v>12</v>
      </c>
      <c r="B37" s="306" t="s">
        <v>142</v>
      </c>
      <c r="C37" s="344" t="s">
        <v>143</v>
      </c>
      <c r="D37" s="305">
        <v>152</v>
      </c>
      <c r="E37" s="305" t="s">
        <v>1706</v>
      </c>
      <c r="F37" s="306" t="s">
        <v>162</v>
      </c>
      <c r="G37" s="306" t="s">
        <v>169</v>
      </c>
      <c r="H37" s="307">
        <v>42387</v>
      </c>
      <c r="I37" s="308" t="s">
        <v>129</v>
      </c>
      <c r="J37" s="477" t="s">
        <v>152</v>
      </c>
      <c r="K37" s="309" t="s">
        <v>170</v>
      </c>
      <c r="L37" s="310" t="s">
        <v>140</v>
      </c>
      <c r="M37" s="310" t="s">
        <v>149</v>
      </c>
      <c r="N37" s="310">
        <v>2016</v>
      </c>
      <c r="O37" s="310"/>
      <c r="P37" s="310"/>
      <c r="Q37" s="310"/>
      <c r="R37" s="360">
        <v>1</v>
      </c>
      <c r="S37" s="478"/>
      <c r="T37" s="312">
        <v>1338483845</v>
      </c>
      <c r="U37" s="313">
        <f t="shared" si="3"/>
        <v>5577016.020833333</v>
      </c>
      <c r="V37" s="314">
        <v>240</v>
      </c>
      <c r="W37" s="315">
        <v>108.00000000000001</v>
      </c>
      <c r="X37" s="314">
        <f t="shared" si="11"/>
        <v>12.000000000000002</v>
      </c>
      <c r="Y37" s="316">
        <f t="shared" si="12"/>
        <v>120.00000000000001</v>
      </c>
      <c r="Z37" s="317">
        <f t="shared" si="13"/>
        <v>119.99999999999999</v>
      </c>
      <c r="AA37" s="318">
        <v>602317730.25000012</v>
      </c>
      <c r="AB37" s="318">
        <v>736166114.74999988</v>
      </c>
      <c r="AC37" s="318">
        <f t="shared" si="7"/>
        <v>66924192.250000007</v>
      </c>
      <c r="AD37" s="318">
        <v>5577016.020833333</v>
      </c>
      <c r="AE37" s="318">
        <v>5577016.020833333</v>
      </c>
      <c r="AF37" s="318">
        <v>5577016.020833333</v>
      </c>
      <c r="AG37" s="318">
        <v>5577016.020833333</v>
      </c>
      <c r="AH37" s="318">
        <v>5577016.020833333</v>
      </c>
      <c r="AI37" s="318">
        <v>5577016.020833333</v>
      </c>
      <c r="AJ37" s="318">
        <v>5577016.020833333</v>
      </c>
      <c r="AK37" s="318">
        <v>5577016.020833333</v>
      </c>
      <c r="AL37" s="318">
        <v>5577016.020833333</v>
      </c>
      <c r="AM37" s="318">
        <v>5577016.020833333</v>
      </c>
      <c r="AN37" s="318">
        <v>5577016.020833333</v>
      </c>
      <c r="AO37" s="318">
        <v>5577016.020833333</v>
      </c>
      <c r="AP37" s="318">
        <f t="shared" si="14"/>
        <v>669241922.50000012</v>
      </c>
      <c r="AQ37" s="319">
        <f t="shared" si="15"/>
        <v>669241922.49999988</v>
      </c>
      <c r="AR37" s="320"/>
      <c r="AS37" s="320"/>
      <c r="AT37" s="321"/>
      <c r="AU37" s="322"/>
      <c r="AV37" s="146" t="s">
        <v>1236</v>
      </c>
      <c r="AW37" s="146">
        <f>IFERROR(VLOOKUP(G37,'[70]Detail Deprec_202508'!$D$33:$I$357,6,FALSE),0)</f>
        <v>5577016.0199999996</v>
      </c>
      <c r="AX37" s="146">
        <f t="shared" si="10"/>
        <v>-8.3333346992731094E-4</v>
      </c>
    </row>
    <row r="38" spans="1:50" outlineLevel="1">
      <c r="A38" s="303">
        <v>13</v>
      </c>
      <c r="B38" s="459" t="s">
        <v>142</v>
      </c>
      <c r="C38" s="482" t="s">
        <v>143</v>
      </c>
      <c r="D38" s="458">
        <v>152</v>
      </c>
      <c r="E38" s="305" t="s">
        <v>1706</v>
      </c>
      <c r="F38" s="459" t="s">
        <v>172</v>
      </c>
      <c r="G38" s="459" t="s">
        <v>173</v>
      </c>
      <c r="H38" s="460">
        <v>43830</v>
      </c>
      <c r="I38" s="461" t="s">
        <v>129</v>
      </c>
      <c r="J38" s="462" t="s">
        <v>174</v>
      </c>
      <c r="K38" s="462" t="s">
        <v>175</v>
      </c>
      <c r="L38" s="463" t="s">
        <v>176</v>
      </c>
      <c r="M38" s="463" t="s">
        <v>177</v>
      </c>
      <c r="N38" s="463">
        <v>2019</v>
      </c>
      <c r="O38" s="463"/>
      <c r="P38" s="464"/>
      <c r="Q38" s="464"/>
      <c r="R38" s="465">
        <v>1</v>
      </c>
      <c r="S38" s="465"/>
      <c r="T38" s="466">
        <v>177294305</v>
      </c>
      <c r="U38" s="467">
        <f t="shared" si="3"/>
        <v>738726.27083333337</v>
      </c>
      <c r="V38" s="468">
        <v>240</v>
      </c>
      <c r="W38" s="315">
        <v>60.999999999999986</v>
      </c>
      <c r="X38" s="468">
        <f t="shared" si="11"/>
        <v>11.999999999999996</v>
      </c>
      <c r="Y38" s="469">
        <f t="shared" si="12"/>
        <v>72.999999999999986</v>
      </c>
      <c r="Z38" s="470">
        <f t="shared" si="13"/>
        <v>167</v>
      </c>
      <c r="AA38" s="471">
        <v>45062302.520833328</v>
      </c>
      <c r="AB38" s="471">
        <v>132232002.47916667</v>
      </c>
      <c r="AC38" s="471">
        <f t="shared" si="7"/>
        <v>8864715.2499999981</v>
      </c>
      <c r="AD38" s="471">
        <v>738726.27083333337</v>
      </c>
      <c r="AE38" s="471">
        <v>738726.27083333337</v>
      </c>
      <c r="AF38" s="471">
        <v>738726.27083333337</v>
      </c>
      <c r="AG38" s="471">
        <v>738726.27083333337</v>
      </c>
      <c r="AH38" s="471">
        <v>738726.27083333337</v>
      </c>
      <c r="AI38" s="471">
        <v>738726.27083333337</v>
      </c>
      <c r="AJ38" s="471">
        <v>738726.27083333337</v>
      </c>
      <c r="AK38" s="471">
        <v>738726.27083333337</v>
      </c>
      <c r="AL38" s="471">
        <v>738726.27083333337</v>
      </c>
      <c r="AM38" s="471">
        <v>738726.27083333337</v>
      </c>
      <c r="AN38" s="471">
        <v>738726.27083333337</v>
      </c>
      <c r="AO38" s="471">
        <v>738726.27083333337</v>
      </c>
      <c r="AP38" s="471">
        <f t="shared" si="14"/>
        <v>53927017.770833328</v>
      </c>
      <c r="AQ38" s="472">
        <f t="shared" si="15"/>
        <v>123367287.22916667</v>
      </c>
      <c r="AR38" s="473"/>
      <c r="AS38" s="473"/>
      <c r="AT38" s="474"/>
      <c r="AU38" s="475"/>
      <c r="AV38" s="146" t="s">
        <v>1236</v>
      </c>
      <c r="AW38" s="146">
        <f>IFERROR(VLOOKUP(G38,'[70]Detail Deprec_202508'!$D$33:$I$357,6,FALSE),0)</f>
        <v>738726.27</v>
      </c>
      <c r="AX38" s="146">
        <f t="shared" si="10"/>
        <v>-8.3333335351198912E-4</v>
      </c>
    </row>
    <row r="39" spans="1:50" outlineLevel="1">
      <c r="A39" s="324">
        <v>14</v>
      </c>
      <c r="B39" s="306" t="s">
        <v>142</v>
      </c>
      <c r="C39" s="309" t="s">
        <v>143</v>
      </c>
      <c r="D39" s="304">
        <v>153</v>
      </c>
      <c r="E39" s="304" t="s">
        <v>1705</v>
      </c>
      <c r="F39" s="306" t="s">
        <v>178</v>
      </c>
      <c r="G39" s="306" t="s">
        <v>179</v>
      </c>
      <c r="H39" s="325">
        <v>41639</v>
      </c>
      <c r="I39" s="326" t="s">
        <v>9</v>
      </c>
      <c r="J39" s="309">
        <v>2005</v>
      </c>
      <c r="K39" s="309" t="s">
        <v>180</v>
      </c>
      <c r="L39" s="309" t="s">
        <v>181</v>
      </c>
      <c r="M39" s="309" t="s">
        <v>182</v>
      </c>
      <c r="N39" s="309">
        <v>2013</v>
      </c>
      <c r="O39" s="309"/>
      <c r="P39" s="309"/>
      <c r="Q39" s="309"/>
      <c r="R39" s="304">
        <v>1</v>
      </c>
      <c r="S39" s="337">
        <v>4082</v>
      </c>
      <c r="T39" s="327">
        <v>48890114</v>
      </c>
      <c r="U39" s="327">
        <f t="shared" ref="U39:U54" si="16">+T39/V39</f>
        <v>814835.23333333328</v>
      </c>
      <c r="V39" s="328">
        <v>60</v>
      </c>
      <c r="W39" s="329">
        <v>59.999999999999986</v>
      </c>
      <c r="X39" s="328">
        <f t="shared" ref="X39:X54" si="17">+AC39/U39</f>
        <v>0</v>
      </c>
      <c r="Y39" s="336">
        <f t="shared" ref="Y39:Y54" si="18">+W39+X39</f>
        <v>59.999999999999986</v>
      </c>
      <c r="Z39" s="330">
        <f t="shared" ref="Z39:Z54" si="19">+V39-Y39</f>
        <v>0</v>
      </c>
      <c r="AA39" s="331">
        <v>48890113.999999985</v>
      </c>
      <c r="AB39" s="331">
        <v>1.4901161193847656E-8</v>
      </c>
      <c r="AC39" s="331">
        <f t="shared" ref="AC39:AC61" si="20">SUM(AD39:AL39)</f>
        <v>0</v>
      </c>
      <c r="AD39" s="331"/>
      <c r="AE39" s="331"/>
      <c r="AF39" s="331"/>
      <c r="AG39" s="331"/>
      <c r="AH39" s="331"/>
      <c r="AI39" s="331"/>
      <c r="AJ39" s="331"/>
      <c r="AK39" s="331"/>
      <c r="AL39" s="331"/>
      <c r="AM39" s="331"/>
      <c r="AN39" s="331"/>
      <c r="AO39" s="331"/>
      <c r="AP39" s="331">
        <f t="shared" ref="AP39:AP54" si="21">+AA39+AC39</f>
        <v>48890113.999999985</v>
      </c>
      <c r="AQ39" s="332">
        <f t="shared" ref="AQ39:AQ54" si="22">IF(AS39=$AS$24,((T39-AP39)*0),T39-AP39)</f>
        <v>1.4901161193847656E-8</v>
      </c>
      <c r="AR39" s="333"/>
      <c r="AS39" s="333"/>
      <c r="AT39" s="321"/>
      <c r="AU39" s="334"/>
      <c r="AV39" s="146" t="s">
        <v>1236</v>
      </c>
      <c r="AW39" s="146">
        <f>IFERROR(VLOOKUP(G39,'[70]Detail Deprec_202508'!$D$33:$I$357,6,FALSE),0)</f>
        <v>0</v>
      </c>
      <c r="AX39" s="146">
        <f t="shared" si="10"/>
        <v>0</v>
      </c>
    </row>
    <row r="40" spans="1:50" outlineLevel="1">
      <c r="A40" s="324">
        <f t="shared" ref="A40:A103" si="23">+A39+1</f>
        <v>15</v>
      </c>
      <c r="B40" s="306" t="s">
        <v>142</v>
      </c>
      <c r="C40" s="309" t="s">
        <v>143</v>
      </c>
      <c r="D40" s="304">
        <v>153</v>
      </c>
      <c r="E40" s="304" t="s">
        <v>1705</v>
      </c>
      <c r="F40" s="306" t="s">
        <v>183</v>
      </c>
      <c r="G40" s="306" t="s">
        <v>184</v>
      </c>
      <c r="H40" s="325">
        <v>41639</v>
      </c>
      <c r="I40" s="326" t="s">
        <v>9</v>
      </c>
      <c r="J40" s="309">
        <v>2007</v>
      </c>
      <c r="K40" s="309" t="s">
        <v>185</v>
      </c>
      <c r="L40" s="309" t="s">
        <v>181</v>
      </c>
      <c r="M40" s="309" t="s">
        <v>182</v>
      </c>
      <c r="N40" s="309">
        <v>2013</v>
      </c>
      <c r="O40" s="309"/>
      <c r="P40" s="309"/>
      <c r="Q40" s="309"/>
      <c r="R40" s="304">
        <v>1</v>
      </c>
      <c r="S40" s="337">
        <v>40583.96</v>
      </c>
      <c r="T40" s="327">
        <v>486074088.92000002</v>
      </c>
      <c r="U40" s="327">
        <f t="shared" si="16"/>
        <v>8101234.8153333338</v>
      </c>
      <c r="V40" s="328">
        <v>60</v>
      </c>
      <c r="W40" s="329">
        <v>60.000000000000014</v>
      </c>
      <c r="X40" s="328">
        <f t="shared" si="17"/>
        <v>0</v>
      </c>
      <c r="Y40" s="336">
        <f t="shared" si="18"/>
        <v>60.000000000000014</v>
      </c>
      <c r="Z40" s="330">
        <f t="shared" si="19"/>
        <v>0</v>
      </c>
      <c r="AA40" s="331">
        <v>486074088.92000014</v>
      </c>
      <c r="AB40" s="331">
        <v>-1.1920928955078125E-7</v>
      </c>
      <c r="AC40" s="331">
        <f t="shared" si="20"/>
        <v>0</v>
      </c>
      <c r="AD40" s="331"/>
      <c r="AE40" s="331"/>
      <c r="AF40" s="331"/>
      <c r="AG40" s="331"/>
      <c r="AH40" s="331"/>
      <c r="AI40" s="331"/>
      <c r="AJ40" s="331"/>
      <c r="AK40" s="331"/>
      <c r="AL40" s="331"/>
      <c r="AM40" s="331"/>
      <c r="AN40" s="331"/>
      <c r="AO40" s="331"/>
      <c r="AP40" s="331">
        <f t="shared" si="21"/>
        <v>486074088.92000014</v>
      </c>
      <c r="AQ40" s="332">
        <f t="shared" si="22"/>
        <v>-1.1920928955078125E-7</v>
      </c>
      <c r="AR40" s="333"/>
      <c r="AS40" s="333"/>
      <c r="AT40" s="321"/>
      <c r="AU40" s="334"/>
      <c r="AV40" s="146" t="s">
        <v>1236</v>
      </c>
      <c r="AW40" s="146">
        <f>IFERROR(VLOOKUP(G40,'[70]Detail Deprec_202508'!$D$33:$I$357,6,FALSE),0)</f>
        <v>0</v>
      </c>
      <c r="AX40" s="146">
        <f t="shared" si="10"/>
        <v>0</v>
      </c>
    </row>
    <row r="41" spans="1:50" outlineLevel="1">
      <c r="A41" s="324">
        <f t="shared" si="23"/>
        <v>16</v>
      </c>
      <c r="B41" s="306" t="s">
        <v>142</v>
      </c>
      <c r="C41" s="309" t="s">
        <v>143</v>
      </c>
      <c r="D41" s="304">
        <v>153</v>
      </c>
      <c r="E41" s="304" t="s">
        <v>1705</v>
      </c>
      <c r="F41" s="306" t="s">
        <v>186</v>
      </c>
      <c r="G41" s="306" t="s">
        <v>187</v>
      </c>
      <c r="H41" s="325">
        <v>41639</v>
      </c>
      <c r="I41" s="326" t="s">
        <v>9</v>
      </c>
      <c r="J41" s="309">
        <v>2008</v>
      </c>
      <c r="K41" s="309" t="s">
        <v>188</v>
      </c>
      <c r="L41" s="309" t="s">
        <v>181</v>
      </c>
      <c r="M41" s="309" t="s">
        <v>182</v>
      </c>
      <c r="N41" s="309">
        <v>2013</v>
      </c>
      <c r="O41" s="309"/>
      <c r="P41" s="309"/>
      <c r="Q41" s="309"/>
      <c r="R41" s="304">
        <v>1</v>
      </c>
      <c r="S41" s="337">
        <v>4246</v>
      </c>
      <c r="T41" s="327">
        <v>50854342</v>
      </c>
      <c r="U41" s="327">
        <f t="shared" si="16"/>
        <v>847572.3666666667</v>
      </c>
      <c r="V41" s="328">
        <v>60</v>
      </c>
      <c r="W41" s="329">
        <v>60.000000000000021</v>
      </c>
      <c r="X41" s="328">
        <f t="shared" si="17"/>
        <v>0</v>
      </c>
      <c r="Y41" s="336">
        <f t="shared" si="18"/>
        <v>60.000000000000021</v>
      </c>
      <c r="Z41" s="330">
        <f t="shared" si="19"/>
        <v>0</v>
      </c>
      <c r="AA41" s="331">
        <v>50854342.000000022</v>
      </c>
      <c r="AB41" s="331">
        <v>-2.2351741790771484E-8</v>
      </c>
      <c r="AC41" s="331">
        <f t="shared" si="20"/>
        <v>0</v>
      </c>
      <c r="AD41" s="331"/>
      <c r="AE41" s="331"/>
      <c r="AF41" s="331"/>
      <c r="AG41" s="331"/>
      <c r="AH41" s="331"/>
      <c r="AI41" s="331"/>
      <c r="AJ41" s="331"/>
      <c r="AK41" s="331"/>
      <c r="AL41" s="331"/>
      <c r="AM41" s="331"/>
      <c r="AN41" s="331"/>
      <c r="AO41" s="331"/>
      <c r="AP41" s="331">
        <f t="shared" si="21"/>
        <v>50854342.000000022</v>
      </c>
      <c r="AQ41" s="332">
        <f t="shared" si="22"/>
        <v>-2.2351741790771484E-8</v>
      </c>
      <c r="AR41" s="333"/>
      <c r="AS41" s="333"/>
      <c r="AT41" s="321"/>
      <c r="AU41" s="334"/>
      <c r="AV41" s="146" t="s">
        <v>1236</v>
      </c>
      <c r="AW41" s="146">
        <f>IFERROR(VLOOKUP(G41,'[70]Detail Deprec_202508'!$D$33:$I$357,6,FALSE),0)</f>
        <v>0</v>
      </c>
      <c r="AX41" s="146">
        <f t="shared" si="10"/>
        <v>0</v>
      </c>
    </row>
    <row r="42" spans="1:50" outlineLevel="1">
      <c r="A42" s="324">
        <f t="shared" si="23"/>
        <v>17</v>
      </c>
      <c r="B42" s="306" t="s">
        <v>142</v>
      </c>
      <c r="C42" s="309" t="s">
        <v>143</v>
      </c>
      <c r="D42" s="304">
        <v>153</v>
      </c>
      <c r="E42" s="304" t="s">
        <v>1705</v>
      </c>
      <c r="F42" s="306" t="s">
        <v>189</v>
      </c>
      <c r="G42" s="306" t="s">
        <v>190</v>
      </c>
      <c r="H42" s="325">
        <v>41639</v>
      </c>
      <c r="I42" s="326" t="s">
        <v>9</v>
      </c>
      <c r="J42" s="309">
        <v>2011</v>
      </c>
      <c r="K42" s="309" t="s">
        <v>180</v>
      </c>
      <c r="L42" s="309" t="s">
        <v>181</v>
      </c>
      <c r="M42" s="309" t="s">
        <v>182</v>
      </c>
      <c r="N42" s="309">
        <v>2013</v>
      </c>
      <c r="O42" s="309"/>
      <c r="P42" s="309"/>
      <c r="Q42" s="309"/>
      <c r="R42" s="304">
        <v>1</v>
      </c>
      <c r="S42" s="337">
        <v>519</v>
      </c>
      <c r="T42" s="327">
        <v>6216063</v>
      </c>
      <c r="U42" s="327">
        <f t="shared" si="16"/>
        <v>103601.05</v>
      </c>
      <c r="V42" s="328">
        <v>60</v>
      </c>
      <c r="W42" s="329">
        <v>60.000000000000014</v>
      </c>
      <c r="X42" s="328">
        <f t="shared" si="17"/>
        <v>0</v>
      </c>
      <c r="Y42" s="336">
        <f t="shared" si="18"/>
        <v>60.000000000000014</v>
      </c>
      <c r="Z42" s="330">
        <f t="shared" si="19"/>
        <v>0</v>
      </c>
      <c r="AA42" s="331">
        <v>6216063.0000000019</v>
      </c>
      <c r="AB42" s="331">
        <v>-1.862645149230957E-9</v>
      </c>
      <c r="AC42" s="331">
        <f t="shared" si="20"/>
        <v>0</v>
      </c>
      <c r="AD42" s="331"/>
      <c r="AE42" s="331"/>
      <c r="AF42" s="331"/>
      <c r="AG42" s="331"/>
      <c r="AH42" s="331"/>
      <c r="AI42" s="331"/>
      <c r="AJ42" s="331"/>
      <c r="AK42" s="331"/>
      <c r="AL42" s="331"/>
      <c r="AM42" s="331"/>
      <c r="AN42" s="331"/>
      <c r="AO42" s="331"/>
      <c r="AP42" s="331">
        <f t="shared" si="21"/>
        <v>6216063.0000000019</v>
      </c>
      <c r="AQ42" s="332">
        <f t="shared" si="22"/>
        <v>-1.862645149230957E-9</v>
      </c>
      <c r="AR42" s="333"/>
      <c r="AS42" s="333"/>
      <c r="AT42" s="321"/>
      <c r="AU42" s="334"/>
      <c r="AV42" s="146" t="s">
        <v>1236</v>
      </c>
      <c r="AW42" s="146">
        <f>IFERROR(VLOOKUP(G42,'[70]Detail Deprec_202508'!$D$33:$I$357,6,FALSE),0)</f>
        <v>0</v>
      </c>
      <c r="AX42" s="146">
        <f t="shared" si="10"/>
        <v>0</v>
      </c>
    </row>
    <row r="43" spans="1:50" outlineLevel="1">
      <c r="A43" s="324">
        <f t="shared" si="23"/>
        <v>18</v>
      </c>
      <c r="B43" s="306" t="s">
        <v>142</v>
      </c>
      <c r="C43" s="309" t="s">
        <v>143</v>
      </c>
      <c r="D43" s="304">
        <v>153</v>
      </c>
      <c r="E43" s="304" t="s">
        <v>1705</v>
      </c>
      <c r="F43" s="306" t="s">
        <v>192</v>
      </c>
      <c r="G43" s="306" t="s">
        <v>193</v>
      </c>
      <c r="H43" s="325">
        <v>41759</v>
      </c>
      <c r="I43" s="326" t="s">
        <v>9</v>
      </c>
      <c r="J43" s="309">
        <v>64</v>
      </c>
      <c r="K43" s="309" t="s">
        <v>194</v>
      </c>
      <c r="L43" s="309" t="s">
        <v>195</v>
      </c>
      <c r="M43" s="309"/>
      <c r="N43" s="309">
        <v>2014</v>
      </c>
      <c r="O43" s="309"/>
      <c r="P43" s="309"/>
      <c r="Q43" s="309"/>
      <c r="R43" s="304">
        <v>1</v>
      </c>
      <c r="S43" s="337"/>
      <c r="T43" s="327">
        <v>156382893</v>
      </c>
      <c r="U43" s="327">
        <f t="shared" si="16"/>
        <v>2606381.5499999998</v>
      </c>
      <c r="V43" s="328">
        <v>60</v>
      </c>
      <c r="W43" s="329">
        <v>60.000000000000007</v>
      </c>
      <c r="X43" s="328">
        <f t="shared" si="17"/>
        <v>0</v>
      </c>
      <c r="Y43" s="336">
        <f t="shared" si="18"/>
        <v>60.000000000000007</v>
      </c>
      <c r="Z43" s="330">
        <f t="shared" si="19"/>
        <v>0</v>
      </c>
      <c r="AA43" s="331">
        <v>156382893</v>
      </c>
      <c r="AB43" s="331">
        <v>0</v>
      </c>
      <c r="AC43" s="331">
        <f t="shared" si="20"/>
        <v>0</v>
      </c>
      <c r="AD43" s="331"/>
      <c r="AE43" s="331"/>
      <c r="AF43" s="331"/>
      <c r="AG43" s="331"/>
      <c r="AH43" s="331"/>
      <c r="AI43" s="331"/>
      <c r="AJ43" s="331"/>
      <c r="AK43" s="331"/>
      <c r="AL43" s="331"/>
      <c r="AM43" s="331"/>
      <c r="AN43" s="331"/>
      <c r="AO43" s="331"/>
      <c r="AP43" s="331">
        <f t="shared" si="21"/>
        <v>156382893</v>
      </c>
      <c r="AQ43" s="332">
        <f t="shared" si="22"/>
        <v>0</v>
      </c>
      <c r="AR43" s="333"/>
      <c r="AS43" s="333"/>
      <c r="AT43" s="321"/>
      <c r="AU43" s="334"/>
      <c r="AV43" s="146" t="s">
        <v>1236</v>
      </c>
      <c r="AW43" s="146">
        <f>IFERROR(VLOOKUP(G43,'[70]Detail Deprec_202508'!$D$33:$I$357,6,FALSE),0)</f>
        <v>0</v>
      </c>
      <c r="AX43" s="146">
        <f t="shared" si="10"/>
        <v>0</v>
      </c>
    </row>
    <row r="44" spans="1:50" outlineLevel="1">
      <c r="A44" s="324">
        <f t="shared" si="23"/>
        <v>19</v>
      </c>
      <c r="B44" s="306" t="s">
        <v>197</v>
      </c>
      <c r="C44" s="344" t="s">
        <v>143</v>
      </c>
      <c r="D44" s="304">
        <v>153</v>
      </c>
      <c r="E44" s="304" t="s">
        <v>1087</v>
      </c>
      <c r="F44" s="306" t="s">
        <v>198</v>
      </c>
      <c r="G44" s="306" t="s">
        <v>199</v>
      </c>
      <c r="H44" s="325">
        <v>42366</v>
      </c>
      <c r="I44" s="326" t="s">
        <v>9</v>
      </c>
      <c r="J44" s="340" t="s">
        <v>200</v>
      </c>
      <c r="K44" s="309" t="s">
        <v>201</v>
      </c>
      <c r="L44" s="309" t="s">
        <v>191</v>
      </c>
      <c r="M44" s="309"/>
      <c r="N44" s="309">
        <v>2015</v>
      </c>
      <c r="O44" s="309"/>
      <c r="P44" s="309"/>
      <c r="Q44" s="309"/>
      <c r="R44" s="304">
        <v>1</v>
      </c>
      <c r="S44" s="337">
        <v>26310</v>
      </c>
      <c r="T44" s="338">
        <v>364130400</v>
      </c>
      <c r="U44" s="327">
        <f t="shared" si="16"/>
        <v>6068840</v>
      </c>
      <c r="V44" s="328">
        <v>60</v>
      </c>
      <c r="W44" s="329">
        <v>60</v>
      </c>
      <c r="X44" s="328">
        <f t="shared" si="17"/>
        <v>0</v>
      </c>
      <c r="Y44" s="330">
        <f t="shared" si="18"/>
        <v>60</v>
      </c>
      <c r="Z44" s="330">
        <f t="shared" si="19"/>
        <v>0</v>
      </c>
      <c r="AA44" s="331">
        <v>364130400</v>
      </c>
      <c r="AB44" s="331">
        <v>0</v>
      </c>
      <c r="AC44" s="331">
        <f t="shared" si="20"/>
        <v>0</v>
      </c>
      <c r="AD44" s="331"/>
      <c r="AE44" s="331"/>
      <c r="AF44" s="331"/>
      <c r="AG44" s="331"/>
      <c r="AH44" s="331"/>
      <c r="AI44" s="331"/>
      <c r="AJ44" s="331"/>
      <c r="AK44" s="331"/>
      <c r="AL44" s="331"/>
      <c r="AM44" s="331"/>
      <c r="AN44" s="331"/>
      <c r="AO44" s="331"/>
      <c r="AP44" s="331">
        <f t="shared" si="21"/>
        <v>364130400</v>
      </c>
      <c r="AQ44" s="332">
        <f t="shared" si="22"/>
        <v>0</v>
      </c>
      <c r="AR44" s="333"/>
      <c r="AS44" s="333"/>
      <c r="AT44" s="321"/>
      <c r="AU44" s="334"/>
      <c r="AV44" s="146" t="s">
        <v>1236</v>
      </c>
      <c r="AW44" s="146">
        <f>IFERROR(VLOOKUP(G44,'[70]Detail Deprec_202508'!$D$33:$I$357,6,FALSE),0)</f>
        <v>0</v>
      </c>
      <c r="AX44" s="146">
        <f t="shared" si="10"/>
        <v>0</v>
      </c>
    </row>
    <row r="45" spans="1:50" outlineLevel="1">
      <c r="A45" s="324">
        <f t="shared" si="23"/>
        <v>20</v>
      </c>
      <c r="B45" s="306" t="s">
        <v>142</v>
      </c>
      <c r="C45" s="344" t="s">
        <v>143</v>
      </c>
      <c r="D45" s="304">
        <v>153</v>
      </c>
      <c r="E45" s="304" t="s">
        <v>1705</v>
      </c>
      <c r="F45" s="306" t="s">
        <v>202</v>
      </c>
      <c r="G45" s="306" t="s">
        <v>203</v>
      </c>
      <c r="H45" s="325">
        <v>42366</v>
      </c>
      <c r="I45" s="326" t="s">
        <v>9</v>
      </c>
      <c r="J45" s="340" t="s">
        <v>204</v>
      </c>
      <c r="K45" s="309" t="s">
        <v>205</v>
      </c>
      <c r="L45" s="309" t="s">
        <v>196</v>
      </c>
      <c r="M45" s="309" t="s">
        <v>206</v>
      </c>
      <c r="N45" s="309">
        <v>2015</v>
      </c>
      <c r="O45" s="309"/>
      <c r="P45" s="309"/>
      <c r="Q45" s="309"/>
      <c r="R45" s="304">
        <v>1</v>
      </c>
      <c r="S45" s="337"/>
      <c r="T45" s="338">
        <v>227000000</v>
      </c>
      <c r="U45" s="327">
        <f t="shared" si="16"/>
        <v>3783333.3333333335</v>
      </c>
      <c r="V45" s="328">
        <v>60</v>
      </c>
      <c r="W45" s="329">
        <v>60.000000000000007</v>
      </c>
      <c r="X45" s="328">
        <f t="shared" si="17"/>
        <v>0</v>
      </c>
      <c r="Y45" s="330">
        <f t="shared" si="18"/>
        <v>60.000000000000007</v>
      </c>
      <c r="Z45" s="330">
        <f t="shared" si="19"/>
        <v>0</v>
      </c>
      <c r="AA45" s="331">
        <v>227000000.00000003</v>
      </c>
      <c r="AB45" s="331">
        <v>-2.9802322387695313E-8</v>
      </c>
      <c r="AC45" s="331">
        <f t="shared" si="20"/>
        <v>0</v>
      </c>
      <c r="AD45" s="331"/>
      <c r="AE45" s="331"/>
      <c r="AF45" s="331"/>
      <c r="AG45" s="331"/>
      <c r="AH45" s="331"/>
      <c r="AI45" s="331"/>
      <c r="AJ45" s="331"/>
      <c r="AK45" s="331"/>
      <c r="AL45" s="331"/>
      <c r="AM45" s="331"/>
      <c r="AN45" s="331"/>
      <c r="AO45" s="331"/>
      <c r="AP45" s="331">
        <f t="shared" si="21"/>
        <v>227000000.00000003</v>
      </c>
      <c r="AQ45" s="332">
        <f t="shared" si="22"/>
        <v>-2.9802322387695313E-8</v>
      </c>
      <c r="AR45" s="333"/>
      <c r="AS45" s="333"/>
      <c r="AT45" s="321"/>
      <c r="AU45" s="334"/>
      <c r="AV45" s="146" t="s">
        <v>1236</v>
      </c>
      <c r="AW45" s="146">
        <f>IFERROR(VLOOKUP(G45,'[70]Detail Deprec_202508'!$D$33:$I$357,6,FALSE),0)</f>
        <v>0</v>
      </c>
      <c r="AX45" s="146">
        <f t="shared" si="10"/>
        <v>0</v>
      </c>
    </row>
    <row r="46" spans="1:50" outlineLevel="1">
      <c r="A46" s="324">
        <f t="shared" si="23"/>
        <v>21</v>
      </c>
      <c r="B46" s="306" t="s">
        <v>142</v>
      </c>
      <c r="C46" s="344" t="s">
        <v>143</v>
      </c>
      <c r="D46" s="304">
        <v>153</v>
      </c>
      <c r="E46" s="304" t="s">
        <v>1706</v>
      </c>
      <c r="F46" s="306" t="s">
        <v>207</v>
      </c>
      <c r="G46" s="306" t="s">
        <v>208</v>
      </c>
      <c r="H46" s="325">
        <v>42397</v>
      </c>
      <c r="I46" s="326" t="s">
        <v>9</v>
      </c>
      <c r="J46" s="340" t="s">
        <v>209</v>
      </c>
      <c r="K46" s="309" t="s">
        <v>210</v>
      </c>
      <c r="L46" s="309" t="s">
        <v>191</v>
      </c>
      <c r="M46" s="309" t="s">
        <v>211</v>
      </c>
      <c r="N46" s="309">
        <v>2016</v>
      </c>
      <c r="O46" s="309"/>
      <c r="P46" s="309"/>
      <c r="Q46" s="309"/>
      <c r="R46" s="304">
        <v>1</v>
      </c>
      <c r="S46" s="337"/>
      <c r="T46" s="327">
        <v>745885600</v>
      </c>
      <c r="U46" s="327">
        <f t="shared" si="16"/>
        <v>12431426.666666666</v>
      </c>
      <c r="V46" s="328">
        <v>60</v>
      </c>
      <c r="W46" s="329">
        <v>60</v>
      </c>
      <c r="X46" s="328">
        <f t="shared" si="17"/>
        <v>0</v>
      </c>
      <c r="Y46" s="330">
        <f t="shared" si="18"/>
        <v>60</v>
      </c>
      <c r="Z46" s="330">
        <f t="shared" si="19"/>
        <v>0</v>
      </c>
      <c r="AA46" s="331">
        <v>745885600</v>
      </c>
      <c r="AB46" s="331">
        <v>0</v>
      </c>
      <c r="AC46" s="331">
        <f t="shared" si="20"/>
        <v>0</v>
      </c>
      <c r="AD46" s="331"/>
      <c r="AE46" s="331"/>
      <c r="AF46" s="331"/>
      <c r="AG46" s="331"/>
      <c r="AH46" s="331"/>
      <c r="AI46" s="331"/>
      <c r="AJ46" s="331"/>
      <c r="AK46" s="331"/>
      <c r="AL46" s="331"/>
      <c r="AM46" s="331"/>
      <c r="AN46" s="331"/>
      <c r="AO46" s="331"/>
      <c r="AP46" s="331">
        <f t="shared" si="21"/>
        <v>745885600</v>
      </c>
      <c r="AQ46" s="332">
        <f t="shared" si="22"/>
        <v>0</v>
      </c>
      <c r="AR46" s="333"/>
      <c r="AS46" s="333"/>
      <c r="AT46" s="321"/>
      <c r="AU46" s="334"/>
      <c r="AV46" s="146" t="s">
        <v>1236</v>
      </c>
      <c r="AW46" s="146">
        <f>IFERROR(VLOOKUP(G46,'[70]Detail Deprec_202508'!$D$33:$I$357,6,FALSE),0)</f>
        <v>0</v>
      </c>
      <c r="AX46" s="146">
        <f t="shared" si="10"/>
        <v>0</v>
      </c>
    </row>
    <row r="47" spans="1:50" outlineLevel="1">
      <c r="A47" s="324">
        <f t="shared" si="23"/>
        <v>22</v>
      </c>
      <c r="B47" s="306" t="s">
        <v>142</v>
      </c>
      <c r="C47" s="344" t="s">
        <v>143</v>
      </c>
      <c r="D47" s="304">
        <v>153</v>
      </c>
      <c r="E47" s="304" t="s">
        <v>1707</v>
      </c>
      <c r="F47" s="306" t="s">
        <v>212</v>
      </c>
      <c r="G47" s="306" t="s">
        <v>213</v>
      </c>
      <c r="H47" s="325">
        <v>42429</v>
      </c>
      <c r="I47" s="326" t="s">
        <v>9</v>
      </c>
      <c r="J47" s="340" t="s">
        <v>214</v>
      </c>
      <c r="K47" s="309" t="s">
        <v>215</v>
      </c>
      <c r="L47" s="309" t="s">
        <v>191</v>
      </c>
      <c r="M47" s="309" t="s">
        <v>216</v>
      </c>
      <c r="N47" s="309">
        <v>2016</v>
      </c>
      <c r="O47" s="309"/>
      <c r="P47" s="309"/>
      <c r="Q47" s="309"/>
      <c r="R47" s="304">
        <v>1</v>
      </c>
      <c r="S47" s="337"/>
      <c r="T47" s="327">
        <v>45560000</v>
      </c>
      <c r="U47" s="327">
        <f t="shared" si="16"/>
        <v>759333.33333333337</v>
      </c>
      <c r="V47" s="328">
        <v>60</v>
      </c>
      <c r="W47" s="329">
        <v>59.999999999999986</v>
      </c>
      <c r="X47" s="328">
        <f t="shared" si="17"/>
        <v>0</v>
      </c>
      <c r="Y47" s="330">
        <f t="shared" si="18"/>
        <v>59.999999999999986</v>
      </c>
      <c r="Z47" s="330">
        <f t="shared" si="19"/>
        <v>0</v>
      </c>
      <c r="AA47" s="331">
        <v>45559999.999999993</v>
      </c>
      <c r="AB47" s="331">
        <v>7.4505805969238281E-9</v>
      </c>
      <c r="AC47" s="331">
        <f t="shared" si="20"/>
        <v>0</v>
      </c>
      <c r="AD47" s="331"/>
      <c r="AE47" s="331"/>
      <c r="AF47" s="331"/>
      <c r="AG47" s="331"/>
      <c r="AH47" s="331"/>
      <c r="AI47" s="331"/>
      <c r="AJ47" s="331"/>
      <c r="AK47" s="331"/>
      <c r="AL47" s="331"/>
      <c r="AM47" s="331"/>
      <c r="AN47" s="331"/>
      <c r="AO47" s="331"/>
      <c r="AP47" s="331">
        <f t="shared" si="21"/>
        <v>45559999.999999993</v>
      </c>
      <c r="AQ47" s="332">
        <f t="shared" si="22"/>
        <v>7.4505805969238281E-9</v>
      </c>
      <c r="AR47" s="333"/>
      <c r="AS47" s="333"/>
      <c r="AT47" s="321"/>
      <c r="AU47" s="334"/>
      <c r="AV47" s="146" t="s">
        <v>1236</v>
      </c>
      <c r="AW47" s="146">
        <f>IFERROR(VLOOKUP(G47,'[70]Detail Deprec_202508'!$D$33:$I$357,6,FALSE),0)</f>
        <v>0</v>
      </c>
      <c r="AX47" s="146">
        <f t="shared" si="10"/>
        <v>0</v>
      </c>
    </row>
    <row r="48" spans="1:50" outlineLevel="1">
      <c r="A48" s="324">
        <f t="shared" si="23"/>
        <v>23</v>
      </c>
      <c r="B48" s="306" t="s">
        <v>142</v>
      </c>
      <c r="C48" s="344" t="s">
        <v>143</v>
      </c>
      <c r="D48" s="304">
        <v>153</v>
      </c>
      <c r="E48" s="304" t="s">
        <v>1706</v>
      </c>
      <c r="F48" s="306" t="s">
        <v>217</v>
      </c>
      <c r="G48" s="306" t="s">
        <v>218</v>
      </c>
      <c r="H48" s="325">
        <v>42489</v>
      </c>
      <c r="I48" s="326" t="s">
        <v>9</v>
      </c>
      <c r="J48" s="340" t="s">
        <v>219</v>
      </c>
      <c r="K48" s="309" t="s">
        <v>220</v>
      </c>
      <c r="L48" s="309" t="s">
        <v>181</v>
      </c>
      <c r="M48" s="309" t="s">
        <v>221</v>
      </c>
      <c r="N48" s="309">
        <v>2016</v>
      </c>
      <c r="O48" s="309"/>
      <c r="P48" s="309"/>
      <c r="Q48" s="309"/>
      <c r="R48" s="304">
        <v>1</v>
      </c>
      <c r="S48" s="337">
        <v>66652.350000000006</v>
      </c>
      <c r="T48" s="327">
        <v>884876598.60000002</v>
      </c>
      <c r="U48" s="327">
        <f t="shared" si="16"/>
        <v>14747943.310000001</v>
      </c>
      <c r="V48" s="328">
        <v>60</v>
      </c>
      <c r="W48" s="329">
        <v>60</v>
      </c>
      <c r="X48" s="328">
        <f t="shared" si="17"/>
        <v>0</v>
      </c>
      <c r="Y48" s="330">
        <f t="shared" si="18"/>
        <v>60</v>
      </c>
      <c r="Z48" s="330">
        <f t="shared" si="19"/>
        <v>0</v>
      </c>
      <c r="AA48" s="331">
        <v>884876598.60000002</v>
      </c>
      <c r="AB48" s="331">
        <v>0</v>
      </c>
      <c r="AC48" s="331">
        <f t="shared" si="20"/>
        <v>0</v>
      </c>
      <c r="AD48" s="331"/>
      <c r="AE48" s="331"/>
      <c r="AF48" s="331"/>
      <c r="AG48" s="331"/>
      <c r="AH48" s="331"/>
      <c r="AI48" s="331"/>
      <c r="AJ48" s="331"/>
      <c r="AK48" s="331"/>
      <c r="AL48" s="331"/>
      <c r="AM48" s="331"/>
      <c r="AN48" s="331"/>
      <c r="AO48" s="331"/>
      <c r="AP48" s="331">
        <f t="shared" si="21"/>
        <v>884876598.60000002</v>
      </c>
      <c r="AQ48" s="332">
        <f t="shared" si="22"/>
        <v>0</v>
      </c>
      <c r="AR48" s="333"/>
      <c r="AS48" s="333"/>
      <c r="AT48" s="321"/>
      <c r="AU48" s="334"/>
      <c r="AV48" s="146" t="s">
        <v>1236</v>
      </c>
      <c r="AW48" s="146">
        <f>IFERROR(VLOOKUP(G48,'[70]Detail Deprec_202508'!$D$33:$I$357,6,FALSE),0)</f>
        <v>0</v>
      </c>
      <c r="AX48" s="146">
        <f t="shared" si="10"/>
        <v>0</v>
      </c>
    </row>
    <row r="49" spans="1:50" outlineLevel="1">
      <c r="A49" s="324">
        <f t="shared" si="23"/>
        <v>24</v>
      </c>
      <c r="B49" s="306" t="s">
        <v>142</v>
      </c>
      <c r="C49" s="344" t="s">
        <v>143</v>
      </c>
      <c r="D49" s="304">
        <v>153</v>
      </c>
      <c r="E49" s="304" t="s">
        <v>1707</v>
      </c>
      <c r="F49" s="306" t="s">
        <v>222</v>
      </c>
      <c r="G49" s="306" t="s">
        <v>223</v>
      </c>
      <c r="H49" s="325">
        <v>42489</v>
      </c>
      <c r="I49" s="326" t="s">
        <v>9</v>
      </c>
      <c r="J49" s="340" t="s">
        <v>219</v>
      </c>
      <c r="K49" s="309" t="s">
        <v>224</v>
      </c>
      <c r="L49" s="309" t="s">
        <v>181</v>
      </c>
      <c r="M49" s="309"/>
      <c r="N49" s="309">
        <v>2016</v>
      </c>
      <c r="O49" s="309"/>
      <c r="P49" s="309"/>
      <c r="Q49" s="309"/>
      <c r="R49" s="304">
        <v>1</v>
      </c>
      <c r="S49" s="337"/>
      <c r="T49" s="327">
        <v>303068283</v>
      </c>
      <c r="U49" s="327">
        <f t="shared" si="16"/>
        <v>5051138.05</v>
      </c>
      <c r="V49" s="328">
        <v>60</v>
      </c>
      <c r="W49" s="329">
        <v>59.999999999999993</v>
      </c>
      <c r="X49" s="328">
        <f t="shared" si="17"/>
        <v>0</v>
      </c>
      <c r="Y49" s="330">
        <f t="shared" si="18"/>
        <v>59.999999999999993</v>
      </c>
      <c r="Z49" s="330">
        <f t="shared" si="19"/>
        <v>0</v>
      </c>
      <c r="AA49" s="331">
        <v>303068282.99999994</v>
      </c>
      <c r="AB49" s="331">
        <v>5.9604644775390625E-8</v>
      </c>
      <c r="AC49" s="331">
        <f t="shared" si="20"/>
        <v>0</v>
      </c>
      <c r="AD49" s="331"/>
      <c r="AE49" s="331"/>
      <c r="AF49" s="331"/>
      <c r="AG49" s="331"/>
      <c r="AH49" s="331"/>
      <c r="AI49" s="331"/>
      <c r="AJ49" s="331"/>
      <c r="AK49" s="331"/>
      <c r="AL49" s="331"/>
      <c r="AM49" s="331"/>
      <c r="AN49" s="331"/>
      <c r="AO49" s="331"/>
      <c r="AP49" s="331">
        <f t="shared" si="21"/>
        <v>303068282.99999994</v>
      </c>
      <c r="AQ49" s="332">
        <f t="shared" si="22"/>
        <v>5.9604644775390625E-8</v>
      </c>
      <c r="AR49" s="333"/>
      <c r="AS49" s="333"/>
      <c r="AT49" s="321"/>
      <c r="AU49" s="334"/>
      <c r="AV49" s="146" t="s">
        <v>1236</v>
      </c>
      <c r="AW49" s="146">
        <f>IFERROR(VLOOKUP(G49,'[70]Detail Deprec_202508'!$D$33:$I$357,6,FALSE),0)</f>
        <v>0</v>
      </c>
      <c r="AX49" s="146">
        <f t="shared" si="10"/>
        <v>0</v>
      </c>
    </row>
    <row r="50" spans="1:50" outlineLevel="1">
      <c r="A50" s="324">
        <f t="shared" si="23"/>
        <v>25</v>
      </c>
      <c r="B50" s="306" t="s">
        <v>142</v>
      </c>
      <c r="C50" s="344" t="s">
        <v>143</v>
      </c>
      <c r="D50" s="304">
        <v>153</v>
      </c>
      <c r="E50" s="304" t="s">
        <v>1706</v>
      </c>
      <c r="F50" s="306" t="s">
        <v>225</v>
      </c>
      <c r="G50" s="306" t="s">
        <v>226</v>
      </c>
      <c r="H50" s="325">
        <v>42719</v>
      </c>
      <c r="I50" s="326" t="s">
        <v>9</v>
      </c>
      <c r="J50" s="340" t="s">
        <v>227</v>
      </c>
      <c r="K50" s="309" t="s">
        <v>228</v>
      </c>
      <c r="L50" s="309" t="s">
        <v>181</v>
      </c>
      <c r="M50" s="309"/>
      <c r="N50" s="309">
        <v>2016</v>
      </c>
      <c r="O50" s="309"/>
      <c r="P50" s="309"/>
      <c r="Q50" s="309"/>
      <c r="R50" s="304">
        <v>1</v>
      </c>
      <c r="S50" s="337">
        <v>4947.09</v>
      </c>
      <c r="T50" s="327">
        <v>67097381.670000002</v>
      </c>
      <c r="U50" s="327">
        <f t="shared" si="16"/>
        <v>1118289.6945</v>
      </c>
      <c r="V50" s="328">
        <v>60</v>
      </c>
      <c r="W50" s="329">
        <v>59.999999999999986</v>
      </c>
      <c r="X50" s="328">
        <f t="shared" si="17"/>
        <v>0</v>
      </c>
      <c r="Y50" s="330">
        <f t="shared" si="18"/>
        <v>59.999999999999986</v>
      </c>
      <c r="Z50" s="330">
        <f t="shared" si="19"/>
        <v>0</v>
      </c>
      <c r="AA50" s="331">
        <v>67097381.669999987</v>
      </c>
      <c r="AB50" s="331">
        <v>1.4901161193847656E-8</v>
      </c>
      <c r="AC50" s="331">
        <f t="shared" si="20"/>
        <v>0</v>
      </c>
      <c r="AD50" s="331"/>
      <c r="AE50" s="331"/>
      <c r="AF50" s="331"/>
      <c r="AG50" s="331"/>
      <c r="AH50" s="331"/>
      <c r="AI50" s="331"/>
      <c r="AJ50" s="331"/>
      <c r="AK50" s="331"/>
      <c r="AL50" s="331"/>
      <c r="AM50" s="331"/>
      <c r="AN50" s="331"/>
      <c r="AO50" s="331"/>
      <c r="AP50" s="331">
        <f t="shared" si="21"/>
        <v>67097381.669999987</v>
      </c>
      <c r="AQ50" s="332">
        <f t="shared" si="22"/>
        <v>1.4901161193847656E-8</v>
      </c>
      <c r="AR50" s="333"/>
      <c r="AS50" s="333"/>
      <c r="AT50" s="321"/>
      <c r="AU50" s="334"/>
      <c r="AV50" s="146" t="s">
        <v>1236</v>
      </c>
      <c r="AW50" s="146">
        <f>IFERROR(VLOOKUP(G50,'[70]Detail Deprec_202508'!$D$33:$I$357,6,FALSE),0)</f>
        <v>0</v>
      </c>
      <c r="AX50" s="146">
        <f t="shared" si="10"/>
        <v>0</v>
      </c>
    </row>
    <row r="51" spans="1:50" outlineLevel="1">
      <c r="A51" s="324">
        <f t="shared" si="23"/>
        <v>26</v>
      </c>
      <c r="B51" s="306" t="s">
        <v>142</v>
      </c>
      <c r="C51" s="344" t="s">
        <v>143</v>
      </c>
      <c r="D51" s="304">
        <v>153</v>
      </c>
      <c r="E51" s="304" t="s">
        <v>1706</v>
      </c>
      <c r="F51" s="306" t="s">
        <v>229</v>
      </c>
      <c r="G51" s="306" t="s">
        <v>230</v>
      </c>
      <c r="H51" s="325">
        <v>42719</v>
      </c>
      <c r="I51" s="326" t="s">
        <v>9</v>
      </c>
      <c r="J51" s="340" t="s">
        <v>227</v>
      </c>
      <c r="K51" s="309" t="s">
        <v>231</v>
      </c>
      <c r="L51" s="309" t="s">
        <v>181</v>
      </c>
      <c r="M51" s="309"/>
      <c r="N51" s="309">
        <v>2016</v>
      </c>
      <c r="O51" s="309"/>
      <c r="P51" s="309"/>
      <c r="Q51" s="309"/>
      <c r="R51" s="304">
        <v>1</v>
      </c>
      <c r="S51" s="337"/>
      <c r="T51" s="327">
        <v>36326195</v>
      </c>
      <c r="U51" s="327">
        <f t="shared" si="16"/>
        <v>605436.58333333337</v>
      </c>
      <c r="V51" s="328">
        <v>60</v>
      </c>
      <c r="W51" s="329">
        <v>59.999999999999993</v>
      </c>
      <c r="X51" s="328">
        <f t="shared" si="17"/>
        <v>0</v>
      </c>
      <c r="Y51" s="330">
        <f t="shared" si="18"/>
        <v>59.999999999999993</v>
      </c>
      <c r="Z51" s="330">
        <f t="shared" si="19"/>
        <v>0</v>
      </c>
      <c r="AA51" s="331">
        <v>36326195</v>
      </c>
      <c r="AB51" s="331">
        <v>0</v>
      </c>
      <c r="AC51" s="331">
        <f t="shared" si="20"/>
        <v>0</v>
      </c>
      <c r="AD51" s="331"/>
      <c r="AE51" s="331"/>
      <c r="AF51" s="331"/>
      <c r="AG51" s="331"/>
      <c r="AH51" s="331"/>
      <c r="AI51" s="331"/>
      <c r="AJ51" s="331"/>
      <c r="AK51" s="331"/>
      <c r="AL51" s="331"/>
      <c r="AM51" s="331"/>
      <c r="AN51" s="331"/>
      <c r="AO51" s="331"/>
      <c r="AP51" s="331">
        <f t="shared" si="21"/>
        <v>36326195</v>
      </c>
      <c r="AQ51" s="332">
        <f t="shared" si="22"/>
        <v>0</v>
      </c>
      <c r="AR51" s="333"/>
      <c r="AS51" s="333"/>
      <c r="AT51" s="321"/>
      <c r="AU51" s="334"/>
      <c r="AV51" s="146" t="s">
        <v>1236</v>
      </c>
      <c r="AW51" s="146">
        <f>IFERROR(VLOOKUP(G51,'[70]Detail Deprec_202508'!$D$33:$I$357,6,FALSE),0)</f>
        <v>0</v>
      </c>
      <c r="AX51" s="146">
        <f t="shared" si="10"/>
        <v>0</v>
      </c>
    </row>
    <row r="52" spans="1:50" outlineLevel="1">
      <c r="A52" s="324">
        <f t="shared" si="23"/>
        <v>27</v>
      </c>
      <c r="B52" s="306" t="s">
        <v>142</v>
      </c>
      <c r="C52" s="344" t="s">
        <v>143</v>
      </c>
      <c r="D52" s="304">
        <v>153</v>
      </c>
      <c r="E52" s="304" t="s">
        <v>1707</v>
      </c>
      <c r="F52" s="306" t="s">
        <v>232</v>
      </c>
      <c r="G52" s="306" t="s">
        <v>233</v>
      </c>
      <c r="H52" s="325">
        <v>42733</v>
      </c>
      <c r="I52" s="326" t="s">
        <v>9</v>
      </c>
      <c r="J52" s="340">
        <v>18</v>
      </c>
      <c r="K52" s="309" t="s">
        <v>234</v>
      </c>
      <c r="L52" s="309" t="s">
        <v>181</v>
      </c>
      <c r="M52" s="309"/>
      <c r="N52" s="309">
        <v>2016</v>
      </c>
      <c r="O52" s="309"/>
      <c r="P52" s="309"/>
      <c r="Q52" s="309"/>
      <c r="R52" s="304">
        <v>1</v>
      </c>
      <c r="S52" s="337"/>
      <c r="T52" s="327">
        <v>92140414</v>
      </c>
      <c r="U52" s="327">
        <f t="shared" si="16"/>
        <v>1535673.5666666667</v>
      </c>
      <c r="V52" s="328">
        <v>60</v>
      </c>
      <c r="W52" s="329">
        <v>60</v>
      </c>
      <c r="X52" s="328">
        <f t="shared" si="17"/>
        <v>0</v>
      </c>
      <c r="Y52" s="330">
        <f t="shared" si="18"/>
        <v>60</v>
      </c>
      <c r="Z52" s="330">
        <f t="shared" si="19"/>
        <v>0</v>
      </c>
      <c r="AA52" s="331">
        <v>92140414</v>
      </c>
      <c r="AB52" s="331">
        <v>0</v>
      </c>
      <c r="AC52" s="331">
        <f t="shared" si="20"/>
        <v>0</v>
      </c>
      <c r="AD52" s="331"/>
      <c r="AE52" s="331"/>
      <c r="AF52" s="331"/>
      <c r="AG52" s="331"/>
      <c r="AH52" s="331"/>
      <c r="AI52" s="331"/>
      <c r="AJ52" s="331"/>
      <c r="AK52" s="331"/>
      <c r="AL52" s="331"/>
      <c r="AM52" s="331"/>
      <c r="AN52" s="331"/>
      <c r="AO52" s="331"/>
      <c r="AP52" s="331">
        <f t="shared" si="21"/>
        <v>92140414</v>
      </c>
      <c r="AQ52" s="332">
        <f t="shared" si="22"/>
        <v>0</v>
      </c>
      <c r="AR52" s="333"/>
      <c r="AS52" s="333"/>
      <c r="AT52" s="321"/>
      <c r="AU52" s="334"/>
      <c r="AV52" s="146" t="s">
        <v>1236</v>
      </c>
      <c r="AW52" s="146">
        <f>IFERROR(VLOOKUP(G52,'[70]Detail Deprec_202508'!$D$33:$I$357,6,FALSE),0)</f>
        <v>0</v>
      </c>
      <c r="AX52" s="146">
        <f t="shared" si="10"/>
        <v>0</v>
      </c>
    </row>
    <row r="53" spans="1:50" outlineLevel="1">
      <c r="A53" s="324">
        <f t="shared" si="23"/>
        <v>28</v>
      </c>
      <c r="B53" s="306" t="s">
        <v>142</v>
      </c>
      <c r="C53" s="344" t="s">
        <v>143</v>
      </c>
      <c r="D53" s="304">
        <v>153</v>
      </c>
      <c r="E53" s="304" t="s">
        <v>1705</v>
      </c>
      <c r="F53" s="306" t="s">
        <v>236</v>
      </c>
      <c r="G53" s="306" t="s">
        <v>237</v>
      </c>
      <c r="H53" s="325">
        <v>42885</v>
      </c>
      <c r="I53" s="326" t="s">
        <v>9</v>
      </c>
      <c r="J53" s="340">
        <v>15</v>
      </c>
      <c r="K53" s="309" t="s">
        <v>238</v>
      </c>
      <c r="L53" s="309" t="s">
        <v>235</v>
      </c>
      <c r="M53" s="309"/>
      <c r="N53" s="309">
        <v>2017</v>
      </c>
      <c r="O53" s="309"/>
      <c r="P53" s="309"/>
      <c r="Q53" s="309"/>
      <c r="R53" s="304">
        <v>1</v>
      </c>
      <c r="S53" s="337"/>
      <c r="T53" s="327">
        <v>80000000</v>
      </c>
      <c r="U53" s="327">
        <f t="shared" si="16"/>
        <v>1333333.3333333333</v>
      </c>
      <c r="V53" s="328">
        <v>60</v>
      </c>
      <c r="W53" s="329">
        <v>60</v>
      </c>
      <c r="X53" s="328">
        <f t="shared" si="17"/>
        <v>0</v>
      </c>
      <c r="Y53" s="330">
        <f t="shared" si="18"/>
        <v>60</v>
      </c>
      <c r="Z53" s="330">
        <f t="shared" si="19"/>
        <v>0</v>
      </c>
      <c r="AA53" s="331">
        <v>80000000</v>
      </c>
      <c r="AB53" s="331">
        <v>0</v>
      </c>
      <c r="AC53" s="331">
        <f t="shared" si="20"/>
        <v>0</v>
      </c>
      <c r="AD53" s="331"/>
      <c r="AE53" s="331"/>
      <c r="AF53" s="331"/>
      <c r="AG53" s="331"/>
      <c r="AH53" s="331"/>
      <c r="AI53" s="331"/>
      <c r="AJ53" s="331"/>
      <c r="AK53" s="331"/>
      <c r="AL53" s="331"/>
      <c r="AM53" s="331"/>
      <c r="AN53" s="331"/>
      <c r="AO53" s="331"/>
      <c r="AP53" s="331">
        <f t="shared" si="21"/>
        <v>80000000</v>
      </c>
      <c r="AQ53" s="332">
        <f t="shared" si="22"/>
        <v>0</v>
      </c>
      <c r="AR53" s="333"/>
      <c r="AS53" s="333"/>
      <c r="AT53" s="321"/>
      <c r="AU53" s="334"/>
      <c r="AV53" s="146" t="s">
        <v>1236</v>
      </c>
      <c r="AW53" s="146">
        <f>IFERROR(VLOOKUP(G53,'[70]Detail Deprec_202508'!$D$33:$I$357,6,FALSE),0)</f>
        <v>0</v>
      </c>
      <c r="AX53" s="146">
        <f t="shared" si="10"/>
        <v>0</v>
      </c>
    </row>
    <row r="54" spans="1:50" outlineLevel="1">
      <c r="A54" s="324">
        <f t="shared" si="23"/>
        <v>29</v>
      </c>
      <c r="B54" s="341" t="s">
        <v>142</v>
      </c>
      <c r="C54" s="344" t="s">
        <v>143</v>
      </c>
      <c r="D54" s="304">
        <v>153</v>
      </c>
      <c r="E54" s="304" t="s">
        <v>1708</v>
      </c>
      <c r="F54" s="306" t="s">
        <v>239</v>
      </c>
      <c r="G54" s="341" t="s">
        <v>240</v>
      </c>
      <c r="H54" s="342">
        <v>43006</v>
      </c>
      <c r="I54" s="326" t="s">
        <v>9</v>
      </c>
      <c r="J54" s="343" t="s">
        <v>152</v>
      </c>
      <c r="K54" s="309" t="s">
        <v>241</v>
      </c>
      <c r="L54" s="344" t="s">
        <v>191</v>
      </c>
      <c r="M54" s="344"/>
      <c r="N54" s="344">
        <v>2017</v>
      </c>
      <c r="O54" s="344"/>
      <c r="P54" s="344"/>
      <c r="Q54" s="344"/>
      <c r="R54" s="339">
        <v>1</v>
      </c>
      <c r="S54" s="348"/>
      <c r="T54" s="349">
        <v>94507530</v>
      </c>
      <c r="U54" s="349">
        <f t="shared" si="16"/>
        <v>1575125.5</v>
      </c>
      <c r="V54" s="350">
        <v>60</v>
      </c>
      <c r="W54" s="329">
        <v>60</v>
      </c>
      <c r="X54" s="328">
        <f t="shared" si="17"/>
        <v>0</v>
      </c>
      <c r="Y54" s="336">
        <f t="shared" si="18"/>
        <v>60</v>
      </c>
      <c r="Z54" s="330">
        <f t="shared" si="19"/>
        <v>0</v>
      </c>
      <c r="AA54" s="331">
        <v>94507530</v>
      </c>
      <c r="AB54" s="331">
        <v>0</v>
      </c>
      <c r="AC54" s="331">
        <f t="shared" si="20"/>
        <v>0</v>
      </c>
      <c r="AD54" s="331"/>
      <c r="AE54" s="331"/>
      <c r="AF54" s="331"/>
      <c r="AG54" s="331"/>
      <c r="AH54" s="331"/>
      <c r="AI54" s="331"/>
      <c r="AJ54" s="331"/>
      <c r="AK54" s="331"/>
      <c r="AL54" s="331"/>
      <c r="AM54" s="331"/>
      <c r="AN54" s="331"/>
      <c r="AO54" s="331"/>
      <c r="AP54" s="331">
        <f t="shared" si="21"/>
        <v>94507530</v>
      </c>
      <c r="AQ54" s="332">
        <f t="shared" si="22"/>
        <v>0</v>
      </c>
      <c r="AR54" s="333"/>
      <c r="AS54" s="345"/>
      <c r="AT54" s="346"/>
      <c r="AU54" s="347"/>
      <c r="AV54" s="146" t="s">
        <v>1236</v>
      </c>
      <c r="AW54" s="146">
        <f>IFERROR(VLOOKUP(G54,'[70]Detail Deprec_202508'!$D$33:$I$357,6,FALSE),0)</f>
        <v>0</v>
      </c>
      <c r="AX54" s="146">
        <f t="shared" ref="AX54:AX64" si="24">AW54-AK54</f>
        <v>0</v>
      </c>
    </row>
    <row r="55" spans="1:50" outlineLevel="1">
      <c r="A55" s="324">
        <f t="shared" si="23"/>
        <v>30</v>
      </c>
      <c r="B55" s="355" t="s">
        <v>142</v>
      </c>
      <c r="C55" s="344" t="s">
        <v>143</v>
      </c>
      <c r="D55" s="304">
        <v>153</v>
      </c>
      <c r="E55" s="304" t="s">
        <v>1705</v>
      </c>
      <c r="F55" s="306" t="s">
        <v>243</v>
      </c>
      <c r="G55" s="336" t="s">
        <v>244</v>
      </c>
      <c r="H55" s="342">
        <v>43097</v>
      </c>
      <c r="I55" s="326" t="s">
        <v>9</v>
      </c>
      <c r="J55" s="351">
        <v>25</v>
      </c>
      <c r="K55" s="336" t="s">
        <v>245</v>
      </c>
      <c r="L55" s="336" t="s">
        <v>191</v>
      </c>
      <c r="M55" s="336"/>
      <c r="N55" s="351">
        <v>2017</v>
      </c>
      <c r="O55" s="351"/>
      <c r="P55" s="351"/>
      <c r="Q55" s="352"/>
      <c r="R55" s="335">
        <v>1</v>
      </c>
      <c r="S55" s="353"/>
      <c r="T55" s="354">
        <v>76595000</v>
      </c>
      <c r="U55" s="327">
        <f t="shared" ref="U55:U63" si="25">+T55/V55</f>
        <v>1276583.3333333333</v>
      </c>
      <c r="V55" s="355">
        <v>60</v>
      </c>
      <c r="W55" s="329">
        <v>60.000000000000007</v>
      </c>
      <c r="X55" s="328">
        <f t="shared" ref="X55:X63" si="26">+AC55/U55</f>
        <v>0</v>
      </c>
      <c r="Y55" s="328">
        <f t="shared" ref="Y55:Y63" si="27">+W55+X55</f>
        <v>60.000000000000007</v>
      </c>
      <c r="Z55" s="330">
        <f t="shared" ref="Z55:Z63" si="28">+V55-Y55</f>
        <v>0</v>
      </c>
      <c r="AA55" s="331">
        <v>76595000</v>
      </c>
      <c r="AB55" s="331">
        <v>0</v>
      </c>
      <c r="AC55" s="331">
        <f t="shared" si="20"/>
        <v>0</v>
      </c>
      <c r="AD55" s="331"/>
      <c r="AE55" s="331"/>
      <c r="AF55" s="331"/>
      <c r="AG55" s="331"/>
      <c r="AH55" s="331"/>
      <c r="AI55" s="331"/>
      <c r="AJ55" s="331"/>
      <c r="AK55" s="331"/>
      <c r="AL55" s="331"/>
      <c r="AM55" s="331"/>
      <c r="AN55" s="331"/>
      <c r="AO55" s="331"/>
      <c r="AP55" s="331">
        <f t="shared" ref="AP55:AP63" si="29">+AA55+AC55</f>
        <v>76595000</v>
      </c>
      <c r="AQ55" s="332">
        <f t="shared" ref="AQ55:AQ63" si="30">IF(AS55=$AS$24,((T55-AP55)*0),T55-AP55)</f>
        <v>0</v>
      </c>
      <c r="AR55" s="333"/>
      <c r="AS55" s="345"/>
      <c r="AT55" s="356"/>
      <c r="AU55" s="347"/>
      <c r="AV55" s="146" t="s">
        <v>1236</v>
      </c>
      <c r="AW55" s="146">
        <f>IFERROR(VLOOKUP(G55,'[70]Detail Deprec_202508'!$D$33:$I$357,6,FALSE),0)</f>
        <v>0</v>
      </c>
      <c r="AX55" s="146">
        <f t="shared" si="24"/>
        <v>0</v>
      </c>
    </row>
    <row r="56" spans="1:50" outlineLevel="1">
      <c r="A56" s="324">
        <f t="shared" si="23"/>
        <v>31</v>
      </c>
      <c r="B56" s="355" t="s">
        <v>142</v>
      </c>
      <c r="C56" s="344" t="s">
        <v>143</v>
      </c>
      <c r="D56" s="304">
        <v>153</v>
      </c>
      <c r="E56" s="304" t="s">
        <v>1706</v>
      </c>
      <c r="F56" s="306" t="s">
        <v>246</v>
      </c>
      <c r="G56" s="336" t="s">
        <v>247</v>
      </c>
      <c r="H56" s="342">
        <v>43220</v>
      </c>
      <c r="I56" s="326" t="s">
        <v>9</v>
      </c>
      <c r="J56" s="351"/>
      <c r="K56" s="336" t="s">
        <v>248</v>
      </c>
      <c r="L56" s="336" t="s">
        <v>181</v>
      </c>
      <c r="M56" s="336"/>
      <c r="N56" s="351">
        <v>2018</v>
      </c>
      <c r="O56" s="351"/>
      <c r="P56" s="351"/>
      <c r="Q56" s="352"/>
      <c r="R56" s="335">
        <v>1</v>
      </c>
      <c r="S56" s="353"/>
      <c r="T56" s="354">
        <v>214296550</v>
      </c>
      <c r="U56" s="327">
        <f t="shared" si="25"/>
        <v>3571609.1666666665</v>
      </c>
      <c r="V56" s="355">
        <v>60</v>
      </c>
      <c r="W56" s="329">
        <v>60</v>
      </c>
      <c r="X56" s="328">
        <f t="shared" si="26"/>
        <v>0</v>
      </c>
      <c r="Y56" s="328">
        <f t="shared" si="27"/>
        <v>60</v>
      </c>
      <c r="Z56" s="330">
        <f t="shared" si="28"/>
        <v>0</v>
      </c>
      <c r="AA56" s="331">
        <v>214296550</v>
      </c>
      <c r="AB56" s="331">
        <v>0</v>
      </c>
      <c r="AC56" s="331">
        <f t="shared" si="20"/>
        <v>0</v>
      </c>
      <c r="AD56" s="331"/>
      <c r="AE56" s="331"/>
      <c r="AF56" s="331"/>
      <c r="AG56" s="331"/>
      <c r="AH56" s="331"/>
      <c r="AI56" s="331"/>
      <c r="AJ56" s="331"/>
      <c r="AK56" s="331"/>
      <c r="AL56" s="331"/>
      <c r="AM56" s="331"/>
      <c r="AN56" s="331"/>
      <c r="AO56" s="331"/>
      <c r="AP56" s="331">
        <f t="shared" si="29"/>
        <v>214296550</v>
      </c>
      <c r="AQ56" s="332">
        <f t="shared" si="30"/>
        <v>0</v>
      </c>
      <c r="AR56" s="333"/>
      <c r="AS56" s="345"/>
      <c r="AT56" s="356"/>
      <c r="AU56" s="347"/>
      <c r="AV56" s="146" t="s">
        <v>1236</v>
      </c>
      <c r="AX56">
        <f t="shared" si="24"/>
        <v>0</v>
      </c>
    </row>
    <row r="57" spans="1:50" outlineLevel="1">
      <c r="A57" s="324">
        <f t="shared" si="23"/>
        <v>32</v>
      </c>
      <c r="B57" s="355" t="s">
        <v>142</v>
      </c>
      <c r="C57" s="344" t="s">
        <v>143</v>
      </c>
      <c r="D57" s="304">
        <v>153</v>
      </c>
      <c r="E57" s="304" t="s">
        <v>1707</v>
      </c>
      <c r="F57" s="306" t="s">
        <v>249</v>
      </c>
      <c r="G57" s="336" t="s">
        <v>250</v>
      </c>
      <c r="H57" s="342">
        <v>43403</v>
      </c>
      <c r="I57" s="326" t="s">
        <v>9</v>
      </c>
      <c r="J57" s="351" t="s">
        <v>251</v>
      </c>
      <c r="K57" s="336" t="s">
        <v>252</v>
      </c>
      <c r="L57" s="336" t="s">
        <v>191</v>
      </c>
      <c r="M57" s="336"/>
      <c r="N57" s="351">
        <v>2018</v>
      </c>
      <c r="O57" s="351"/>
      <c r="P57" s="351"/>
      <c r="Q57" s="352"/>
      <c r="R57" s="335">
        <v>1</v>
      </c>
      <c r="S57" s="353"/>
      <c r="T57" s="354">
        <v>195741000</v>
      </c>
      <c r="U57" s="327">
        <f t="shared" si="25"/>
        <v>3262350</v>
      </c>
      <c r="V57" s="355">
        <v>60</v>
      </c>
      <c r="W57" s="329">
        <v>60</v>
      </c>
      <c r="X57" s="328">
        <f t="shared" si="26"/>
        <v>0</v>
      </c>
      <c r="Y57" s="328">
        <f t="shared" si="27"/>
        <v>60</v>
      </c>
      <c r="Z57" s="330">
        <f t="shared" si="28"/>
        <v>0</v>
      </c>
      <c r="AA57" s="331">
        <v>195741000</v>
      </c>
      <c r="AB57" s="331">
        <v>0</v>
      </c>
      <c r="AC57" s="331">
        <f t="shared" si="20"/>
        <v>0</v>
      </c>
      <c r="AD57" s="331"/>
      <c r="AE57" s="331"/>
      <c r="AF57" s="331"/>
      <c r="AG57" s="331"/>
      <c r="AH57" s="331"/>
      <c r="AI57" s="331"/>
      <c r="AJ57" s="331"/>
      <c r="AK57" s="331"/>
      <c r="AL57" s="331"/>
      <c r="AM57" s="331"/>
      <c r="AN57" s="331"/>
      <c r="AO57" s="331"/>
      <c r="AP57" s="331">
        <f t="shared" si="29"/>
        <v>195741000</v>
      </c>
      <c r="AQ57" s="332">
        <f t="shared" si="30"/>
        <v>0</v>
      </c>
      <c r="AR57" s="333"/>
      <c r="AS57" s="345"/>
      <c r="AT57" s="356"/>
      <c r="AU57" s="347"/>
      <c r="AV57" s="146" t="s">
        <v>1236</v>
      </c>
      <c r="AW57" s="146">
        <f>IFERROR(VLOOKUP(G57,'[70]Detail Deprec_202508'!$D$33:$I$357,6,FALSE),0)</f>
        <v>0</v>
      </c>
      <c r="AX57" s="146">
        <f t="shared" si="24"/>
        <v>0</v>
      </c>
    </row>
    <row r="58" spans="1:50" outlineLevel="1">
      <c r="A58" s="324">
        <f t="shared" si="23"/>
        <v>33</v>
      </c>
      <c r="B58" s="355" t="s">
        <v>142</v>
      </c>
      <c r="C58" s="344" t="s">
        <v>143</v>
      </c>
      <c r="D58" s="304">
        <v>153</v>
      </c>
      <c r="E58" s="304" t="s">
        <v>1708</v>
      </c>
      <c r="F58" s="306" t="s">
        <v>253</v>
      </c>
      <c r="G58" s="336" t="s">
        <v>254</v>
      </c>
      <c r="H58" s="342">
        <v>43570</v>
      </c>
      <c r="I58" s="326" t="s">
        <v>9</v>
      </c>
      <c r="J58" s="351" t="s">
        <v>255</v>
      </c>
      <c r="K58" s="336" t="s">
        <v>256</v>
      </c>
      <c r="L58" s="336" t="s">
        <v>191</v>
      </c>
      <c r="M58" s="336"/>
      <c r="N58" s="351">
        <v>2019</v>
      </c>
      <c r="O58" s="351"/>
      <c r="P58" s="351"/>
      <c r="Q58" s="352"/>
      <c r="R58" s="335">
        <v>1</v>
      </c>
      <c r="S58" s="353"/>
      <c r="T58" s="354">
        <v>109550000</v>
      </c>
      <c r="U58" s="327">
        <f t="shared" si="25"/>
        <v>1825833.3333333333</v>
      </c>
      <c r="V58" s="355">
        <v>60</v>
      </c>
      <c r="W58" s="329">
        <v>60</v>
      </c>
      <c r="X58" s="328">
        <f t="shared" si="26"/>
        <v>0</v>
      </c>
      <c r="Y58" s="336">
        <f t="shared" si="27"/>
        <v>60</v>
      </c>
      <c r="Z58" s="330">
        <f t="shared" si="28"/>
        <v>0</v>
      </c>
      <c r="AA58" s="331">
        <v>109550000</v>
      </c>
      <c r="AB58" s="331">
        <v>0</v>
      </c>
      <c r="AC58" s="331">
        <f t="shared" si="20"/>
        <v>0</v>
      </c>
      <c r="AD58" s="331"/>
      <c r="AE58" s="331"/>
      <c r="AF58" s="331"/>
      <c r="AG58" s="331"/>
      <c r="AH58" s="331"/>
      <c r="AI58" s="331"/>
      <c r="AJ58" s="331"/>
      <c r="AK58" s="331"/>
      <c r="AL58" s="331"/>
      <c r="AM58" s="331"/>
      <c r="AN58" s="331"/>
      <c r="AO58" s="331"/>
      <c r="AP58" s="331">
        <f t="shared" si="29"/>
        <v>109550000</v>
      </c>
      <c r="AQ58" s="332">
        <f t="shared" si="30"/>
        <v>0</v>
      </c>
      <c r="AR58" s="333"/>
      <c r="AS58" s="345"/>
      <c r="AT58" s="356"/>
      <c r="AU58" s="347"/>
      <c r="AV58" s="146" t="s">
        <v>1236</v>
      </c>
      <c r="AW58" s="146">
        <f>IFERROR(VLOOKUP(G58,'[70]Detail Deprec_202508'!$D$33:$I$357,6,FALSE),0)</f>
        <v>0</v>
      </c>
      <c r="AX58" s="146">
        <f t="shared" si="24"/>
        <v>0</v>
      </c>
    </row>
    <row r="59" spans="1:50" outlineLevel="1">
      <c r="A59" s="324">
        <f t="shared" si="23"/>
        <v>34</v>
      </c>
      <c r="B59" s="355" t="s">
        <v>142</v>
      </c>
      <c r="C59" s="425" t="s">
        <v>143</v>
      </c>
      <c r="D59" s="304">
        <v>153</v>
      </c>
      <c r="E59" s="304" t="s">
        <v>1709</v>
      </c>
      <c r="F59" s="336" t="s">
        <v>257</v>
      </c>
      <c r="G59" s="336" t="s">
        <v>258</v>
      </c>
      <c r="H59" s="342">
        <v>43827</v>
      </c>
      <c r="I59" s="326" t="s">
        <v>9</v>
      </c>
      <c r="J59" s="351" t="s">
        <v>259</v>
      </c>
      <c r="K59" s="336" t="s">
        <v>260</v>
      </c>
      <c r="L59" s="336" t="s">
        <v>191</v>
      </c>
      <c r="M59" s="336"/>
      <c r="N59" s="351">
        <v>2019</v>
      </c>
      <c r="O59" s="351"/>
      <c r="P59" s="351"/>
      <c r="Q59" s="352"/>
      <c r="R59" s="335">
        <v>1</v>
      </c>
      <c r="S59" s="353"/>
      <c r="T59" s="354">
        <v>103960000</v>
      </c>
      <c r="U59" s="327">
        <f t="shared" si="25"/>
        <v>1732666.6666666667</v>
      </c>
      <c r="V59" s="355">
        <v>60</v>
      </c>
      <c r="W59" s="329">
        <v>59.999999999999993</v>
      </c>
      <c r="X59" s="328">
        <f t="shared" si="26"/>
        <v>0</v>
      </c>
      <c r="Y59" s="336">
        <f t="shared" si="27"/>
        <v>59.999999999999993</v>
      </c>
      <c r="Z59" s="330">
        <f t="shared" si="28"/>
        <v>0</v>
      </c>
      <c r="AA59" s="331">
        <v>103960000</v>
      </c>
      <c r="AB59" s="331">
        <v>0</v>
      </c>
      <c r="AC59" s="331">
        <f t="shared" si="20"/>
        <v>0</v>
      </c>
      <c r="AD59" s="331"/>
      <c r="AE59" s="331"/>
      <c r="AF59" s="331"/>
      <c r="AG59" s="331"/>
      <c r="AH59" s="331"/>
      <c r="AI59" s="331"/>
      <c r="AJ59" s="331"/>
      <c r="AK59" s="331"/>
      <c r="AL59" s="331"/>
      <c r="AM59" s="331"/>
      <c r="AN59" s="331"/>
      <c r="AO59" s="331"/>
      <c r="AP59" s="331">
        <f t="shared" si="29"/>
        <v>103960000</v>
      </c>
      <c r="AQ59" s="332">
        <f t="shared" si="30"/>
        <v>0</v>
      </c>
      <c r="AR59" s="333"/>
      <c r="AS59" s="345"/>
      <c r="AT59" s="356"/>
      <c r="AU59" s="347"/>
      <c r="AV59" s="146" t="s">
        <v>1236</v>
      </c>
      <c r="AW59" s="146">
        <f>IFERROR(VLOOKUP(G59,'[70]Detail Deprec_202508'!$D$33:$I$357,6,FALSE),0)</f>
        <v>0</v>
      </c>
      <c r="AX59" s="146">
        <f t="shared" si="24"/>
        <v>0</v>
      </c>
    </row>
    <row r="60" spans="1:50" outlineLevel="1">
      <c r="A60" s="324">
        <f t="shared" si="23"/>
        <v>35</v>
      </c>
      <c r="B60" s="355" t="s">
        <v>142</v>
      </c>
      <c r="C60" s="425" t="s">
        <v>143</v>
      </c>
      <c r="D60" s="304">
        <v>153</v>
      </c>
      <c r="E60" s="304" t="s">
        <v>1705</v>
      </c>
      <c r="F60" s="336" t="s">
        <v>262</v>
      </c>
      <c r="G60" s="336" t="s">
        <v>263</v>
      </c>
      <c r="H60" s="342">
        <v>44560</v>
      </c>
      <c r="I60" s="326" t="s">
        <v>9</v>
      </c>
      <c r="J60" s="351" t="s">
        <v>264</v>
      </c>
      <c r="K60" s="336" t="s">
        <v>265</v>
      </c>
      <c r="L60" s="336" t="s">
        <v>235</v>
      </c>
      <c r="M60" s="336"/>
      <c r="N60" s="351">
        <v>2021</v>
      </c>
      <c r="O60" s="351"/>
      <c r="P60" s="351"/>
      <c r="Q60" s="351"/>
      <c r="R60" s="335">
        <v>1</v>
      </c>
      <c r="S60" s="353"/>
      <c r="T60" s="354">
        <v>120000000</v>
      </c>
      <c r="U60" s="327">
        <f t="shared" si="25"/>
        <v>3333333.3333333335</v>
      </c>
      <c r="V60" s="355">
        <v>36</v>
      </c>
      <c r="W60" s="329">
        <v>36</v>
      </c>
      <c r="X60" s="328">
        <f t="shared" si="26"/>
        <v>0</v>
      </c>
      <c r="Y60" s="336">
        <f t="shared" si="27"/>
        <v>36</v>
      </c>
      <c r="Z60" s="330">
        <f t="shared" si="28"/>
        <v>0</v>
      </c>
      <c r="AA60" s="331">
        <v>120000000</v>
      </c>
      <c r="AB60" s="331">
        <v>0</v>
      </c>
      <c r="AC60" s="331">
        <f t="shared" si="20"/>
        <v>0</v>
      </c>
      <c r="AD60" s="331"/>
      <c r="AE60" s="331"/>
      <c r="AF60" s="331"/>
      <c r="AG60" s="331"/>
      <c r="AH60" s="331"/>
      <c r="AI60" s="331"/>
      <c r="AJ60" s="331"/>
      <c r="AK60" s="331"/>
      <c r="AL60" s="331"/>
      <c r="AM60" s="331"/>
      <c r="AN60" s="331"/>
      <c r="AO60" s="331"/>
      <c r="AP60" s="331">
        <f t="shared" si="29"/>
        <v>120000000</v>
      </c>
      <c r="AQ60" s="332">
        <f t="shared" si="30"/>
        <v>0</v>
      </c>
      <c r="AR60" s="333"/>
      <c r="AS60" s="345"/>
      <c r="AT60" s="356"/>
      <c r="AU60" s="357"/>
      <c r="AV60" s="146" t="s">
        <v>1236</v>
      </c>
      <c r="AW60" s="146">
        <f>IFERROR(VLOOKUP(G60,'[70]Detail Deprec_202508'!$D$33:$I$357,6,FALSE),0)</f>
        <v>0</v>
      </c>
      <c r="AX60" s="146">
        <f t="shared" si="24"/>
        <v>0</v>
      </c>
    </row>
    <row r="61" spans="1:50" outlineLevel="1">
      <c r="A61" s="324">
        <f t="shared" si="23"/>
        <v>36</v>
      </c>
      <c r="B61" s="355" t="s">
        <v>142</v>
      </c>
      <c r="C61" s="425" t="s">
        <v>143</v>
      </c>
      <c r="D61" s="304">
        <v>153</v>
      </c>
      <c r="E61" s="304" t="s">
        <v>1706</v>
      </c>
      <c r="F61" s="336" t="s">
        <v>266</v>
      </c>
      <c r="G61" s="336" t="s">
        <v>267</v>
      </c>
      <c r="H61" s="342">
        <v>44560</v>
      </c>
      <c r="I61" s="326" t="s">
        <v>9</v>
      </c>
      <c r="J61" s="351" t="s">
        <v>268</v>
      </c>
      <c r="K61" s="336" t="s">
        <v>269</v>
      </c>
      <c r="L61" s="336" t="s">
        <v>235</v>
      </c>
      <c r="M61" s="336"/>
      <c r="N61" s="351">
        <v>2021</v>
      </c>
      <c r="O61" s="351"/>
      <c r="P61" s="351"/>
      <c r="Q61" s="351"/>
      <c r="R61" s="335">
        <v>1</v>
      </c>
      <c r="S61" s="353"/>
      <c r="T61" s="354">
        <v>122900000</v>
      </c>
      <c r="U61" s="327">
        <f t="shared" si="25"/>
        <v>3413888.888888889</v>
      </c>
      <c r="V61" s="355">
        <v>36</v>
      </c>
      <c r="W61" s="329">
        <v>36</v>
      </c>
      <c r="X61" s="328">
        <f t="shared" si="26"/>
        <v>0</v>
      </c>
      <c r="Y61" s="336">
        <f t="shared" si="27"/>
        <v>36</v>
      </c>
      <c r="Z61" s="330">
        <f t="shared" si="28"/>
        <v>0</v>
      </c>
      <c r="AA61" s="331">
        <v>122899999.99999999</v>
      </c>
      <c r="AB61" s="331">
        <v>1.4901161193847656E-8</v>
      </c>
      <c r="AC61" s="331">
        <f t="shared" si="20"/>
        <v>0</v>
      </c>
      <c r="AD61" s="331"/>
      <c r="AE61" s="331"/>
      <c r="AF61" s="331"/>
      <c r="AG61" s="331"/>
      <c r="AH61" s="331"/>
      <c r="AI61" s="331"/>
      <c r="AJ61" s="331"/>
      <c r="AK61" s="331"/>
      <c r="AL61" s="331"/>
      <c r="AM61" s="331"/>
      <c r="AN61" s="331"/>
      <c r="AO61" s="331"/>
      <c r="AP61" s="331">
        <f t="shared" si="29"/>
        <v>122899999.99999999</v>
      </c>
      <c r="AQ61" s="332">
        <f t="shared" si="30"/>
        <v>1.4901161193847656E-8</v>
      </c>
      <c r="AR61" s="333"/>
      <c r="AS61" s="345"/>
      <c r="AT61" s="356"/>
      <c r="AU61" s="357"/>
      <c r="AV61" s="146" t="s">
        <v>1236</v>
      </c>
      <c r="AW61" s="146">
        <f>IFERROR(VLOOKUP(G61,'[70]Detail Deprec_202508'!$D$33:$I$357,6,FALSE),0)</f>
        <v>0</v>
      </c>
      <c r="AX61" s="146">
        <f t="shared" si="24"/>
        <v>0</v>
      </c>
    </row>
    <row r="62" spans="1:50" outlineLevel="1">
      <c r="A62" s="324">
        <f t="shared" si="23"/>
        <v>37</v>
      </c>
      <c r="B62" s="355" t="s">
        <v>142</v>
      </c>
      <c r="C62" s="425" t="s">
        <v>143</v>
      </c>
      <c r="D62" s="304">
        <v>153</v>
      </c>
      <c r="E62" s="304" t="s">
        <v>1707</v>
      </c>
      <c r="F62" s="336" t="s">
        <v>278</v>
      </c>
      <c r="G62" s="336" t="s">
        <v>279</v>
      </c>
      <c r="H62" s="342">
        <v>44865</v>
      </c>
      <c r="I62" s="326" t="s">
        <v>9</v>
      </c>
      <c r="J62" s="351" t="s">
        <v>280</v>
      </c>
      <c r="K62" s="336" t="s">
        <v>281</v>
      </c>
      <c r="L62" s="336" t="s">
        <v>135</v>
      </c>
      <c r="M62" s="336"/>
      <c r="N62" s="351">
        <v>2022</v>
      </c>
      <c r="O62" s="351"/>
      <c r="P62" s="351"/>
      <c r="Q62" s="351"/>
      <c r="R62" s="335">
        <v>1</v>
      </c>
      <c r="S62" s="353"/>
      <c r="T62" s="354">
        <v>62500000</v>
      </c>
      <c r="U62" s="327">
        <f t="shared" si="25"/>
        <v>1041666.6666666666</v>
      </c>
      <c r="V62" s="355">
        <v>60</v>
      </c>
      <c r="W62" s="329">
        <v>26.999999999999996</v>
      </c>
      <c r="X62" s="328">
        <f t="shared" si="26"/>
        <v>11.999999999999998</v>
      </c>
      <c r="Y62" s="336">
        <f t="shared" si="27"/>
        <v>38.999999999999993</v>
      </c>
      <c r="Z62" s="330">
        <f t="shared" si="28"/>
        <v>21.000000000000007</v>
      </c>
      <c r="AA62" s="331">
        <v>28124999.999999996</v>
      </c>
      <c r="AB62" s="331">
        <v>34375000</v>
      </c>
      <c r="AC62" s="331">
        <f>SUM(AD62:AO62)</f>
        <v>12499999.999999998</v>
      </c>
      <c r="AD62" s="331">
        <v>1041666.6666666666</v>
      </c>
      <c r="AE62" s="331">
        <v>1041666.6666666666</v>
      </c>
      <c r="AF62" s="331">
        <v>1041666.6666666666</v>
      </c>
      <c r="AG62" s="331">
        <v>1041666.6666666666</v>
      </c>
      <c r="AH62" s="331">
        <v>1041666.6666666666</v>
      </c>
      <c r="AI62" s="331">
        <v>1041666.6666666666</v>
      </c>
      <c r="AJ62" s="331">
        <v>1041666.6666666666</v>
      </c>
      <c r="AK62" s="331">
        <v>1041666.6666666666</v>
      </c>
      <c r="AL62" s="331">
        <v>1041666.6666666666</v>
      </c>
      <c r="AM62" s="331">
        <v>1041666.6666666666</v>
      </c>
      <c r="AN62" s="331">
        <v>1041666.6666666666</v>
      </c>
      <c r="AO62" s="331">
        <v>1041666.6666666666</v>
      </c>
      <c r="AP62" s="331">
        <f t="shared" si="29"/>
        <v>40624999.999999993</v>
      </c>
      <c r="AQ62" s="332">
        <f t="shared" si="30"/>
        <v>21875000.000000007</v>
      </c>
      <c r="AR62" s="333"/>
      <c r="AS62" s="345"/>
      <c r="AT62" s="356"/>
      <c r="AU62" s="357"/>
      <c r="AV62" s="146" t="s">
        <v>1236</v>
      </c>
      <c r="AW62" s="146">
        <f>IFERROR(VLOOKUP(G62,'[70]Detail Deprec_202508'!$D$33:$I$357,6,FALSE),0)</f>
        <v>1041666.67</v>
      </c>
      <c r="AX62" s="146">
        <f t="shared" si="24"/>
        <v>3.3333334140479565E-3</v>
      </c>
    </row>
    <row r="63" spans="1:50" outlineLevel="1">
      <c r="A63" s="324">
        <f t="shared" si="23"/>
        <v>38</v>
      </c>
      <c r="B63" s="355" t="s">
        <v>142</v>
      </c>
      <c r="C63" s="425" t="s">
        <v>143</v>
      </c>
      <c r="D63" s="304">
        <v>153</v>
      </c>
      <c r="E63" s="304" t="s">
        <v>1707</v>
      </c>
      <c r="F63" s="336" t="s">
        <v>278</v>
      </c>
      <c r="G63" s="336" t="s">
        <v>282</v>
      </c>
      <c r="H63" s="342">
        <v>44865</v>
      </c>
      <c r="I63" s="326" t="s">
        <v>9</v>
      </c>
      <c r="J63" s="351" t="s">
        <v>280</v>
      </c>
      <c r="K63" s="336" t="s">
        <v>281</v>
      </c>
      <c r="L63" s="336" t="s">
        <v>135</v>
      </c>
      <c r="M63" s="336"/>
      <c r="N63" s="351">
        <v>2022</v>
      </c>
      <c r="O63" s="351"/>
      <c r="P63" s="351"/>
      <c r="Q63" s="351"/>
      <c r="R63" s="335">
        <v>1</v>
      </c>
      <c r="S63" s="353"/>
      <c r="T63" s="354">
        <v>62500000</v>
      </c>
      <c r="U63" s="327">
        <f t="shared" si="25"/>
        <v>1041666.6666666666</v>
      </c>
      <c r="V63" s="355">
        <v>60</v>
      </c>
      <c r="W63" s="329">
        <v>26.999999999999996</v>
      </c>
      <c r="X63" s="328">
        <f t="shared" si="26"/>
        <v>11.999999999999998</v>
      </c>
      <c r="Y63" s="336">
        <f t="shared" si="27"/>
        <v>38.999999999999993</v>
      </c>
      <c r="Z63" s="330">
        <f t="shared" si="28"/>
        <v>21.000000000000007</v>
      </c>
      <c r="AA63" s="331">
        <v>28124999.999999996</v>
      </c>
      <c r="AB63" s="331">
        <v>34375000</v>
      </c>
      <c r="AC63" s="331">
        <f>SUM(AD63:AO63)</f>
        <v>12499999.999999998</v>
      </c>
      <c r="AD63" s="331">
        <v>1041666.6666666666</v>
      </c>
      <c r="AE63" s="331">
        <v>1041666.6666666666</v>
      </c>
      <c r="AF63" s="331">
        <v>1041666.6666666666</v>
      </c>
      <c r="AG63" s="331">
        <v>1041666.6666666666</v>
      </c>
      <c r="AH63" s="331">
        <v>1041666.6666666666</v>
      </c>
      <c r="AI63" s="331">
        <v>1041666.6666666666</v>
      </c>
      <c r="AJ63" s="331">
        <v>1041666.6666666666</v>
      </c>
      <c r="AK63" s="331">
        <v>1041666.6666666666</v>
      </c>
      <c r="AL63" s="331">
        <v>1041666.6666666666</v>
      </c>
      <c r="AM63" s="331">
        <v>1041666.6666666666</v>
      </c>
      <c r="AN63" s="331">
        <v>1041666.6666666666</v>
      </c>
      <c r="AO63" s="331">
        <v>1041666.6666666666</v>
      </c>
      <c r="AP63" s="331">
        <f t="shared" si="29"/>
        <v>40624999.999999993</v>
      </c>
      <c r="AQ63" s="332">
        <f t="shared" si="30"/>
        <v>21875000.000000007</v>
      </c>
      <c r="AR63" s="333"/>
      <c r="AS63" s="345"/>
      <c r="AT63" s="356"/>
      <c r="AU63" s="357"/>
      <c r="AV63" s="146" t="s">
        <v>1236</v>
      </c>
      <c r="AW63" s="146">
        <f>IFERROR(VLOOKUP(G63,'[70]Detail Deprec_202508'!$D$33:$I$357,6,FALSE),0)</f>
        <v>1041666.67</v>
      </c>
      <c r="AX63" s="146">
        <f t="shared" si="24"/>
        <v>3.3333334140479565E-3</v>
      </c>
    </row>
    <row r="64" spans="1:50" outlineLevel="1">
      <c r="A64" s="324">
        <f t="shared" si="23"/>
        <v>39</v>
      </c>
      <c r="B64" s="306" t="s">
        <v>142</v>
      </c>
      <c r="C64" s="309" t="s">
        <v>143</v>
      </c>
      <c r="D64" s="304">
        <v>154</v>
      </c>
      <c r="E64" s="304" t="s">
        <v>1707</v>
      </c>
      <c r="F64" s="306" t="s">
        <v>293</v>
      </c>
      <c r="G64" s="306" t="s">
        <v>294</v>
      </c>
      <c r="H64" s="325">
        <v>36980</v>
      </c>
      <c r="I64" s="326" t="s">
        <v>284</v>
      </c>
      <c r="J64" s="309"/>
      <c r="K64" s="351" t="s">
        <v>295</v>
      </c>
      <c r="L64" s="309"/>
      <c r="M64" s="351" t="s">
        <v>296</v>
      </c>
      <c r="N64" s="309">
        <v>2001</v>
      </c>
      <c r="O64" s="309"/>
      <c r="P64" s="309"/>
      <c r="Q64" s="309"/>
      <c r="R64" s="304">
        <v>1</v>
      </c>
      <c r="S64" s="304"/>
      <c r="T64" s="358">
        <v>10000000</v>
      </c>
      <c r="U64" s="327">
        <f t="shared" ref="U64" si="31">+T64/V64</f>
        <v>166666.66666666666</v>
      </c>
      <c r="V64" s="328">
        <v>60</v>
      </c>
      <c r="W64" s="329">
        <v>60</v>
      </c>
      <c r="X64" s="328">
        <f t="shared" ref="X64" si="32">+AC64/U64</f>
        <v>0</v>
      </c>
      <c r="Y64" s="336">
        <f t="shared" ref="Y64" si="33">+W64+X64</f>
        <v>60</v>
      </c>
      <c r="Z64" s="330">
        <f t="shared" ref="Z64" si="34">+V64-Y64</f>
        <v>0</v>
      </c>
      <c r="AA64" s="331">
        <v>10000000</v>
      </c>
      <c r="AB64" s="331">
        <v>0</v>
      </c>
      <c r="AC64" s="331">
        <f t="shared" ref="AC64" si="35">SUM(AD64:AL64)</f>
        <v>0</v>
      </c>
      <c r="AD64" s="331"/>
      <c r="AE64" s="331"/>
      <c r="AF64" s="331"/>
      <c r="AG64" s="331"/>
      <c r="AH64" s="331"/>
      <c r="AI64" s="331"/>
      <c r="AJ64" s="331"/>
      <c r="AK64" s="331"/>
      <c r="AL64" s="331"/>
      <c r="AM64" s="331"/>
      <c r="AN64" s="331"/>
      <c r="AO64" s="331"/>
      <c r="AP64" s="331">
        <f t="shared" ref="AP64" si="36">+AA64+AC64</f>
        <v>10000000</v>
      </c>
      <c r="AQ64" s="332">
        <f t="shared" ref="AQ64" si="37">IF(AS64=$AS$24,((T64-AP64)*0),T64-AP64)</f>
        <v>0</v>
      </c>
      <c r="AR64" s="333"/>
      <c r="AS64" s="333"/>
      <c r="AT64" s="321"/>
      <c r="AU64" s="334"/>
      <c r="AV64" s="146" t="s">
        <v>1236</v>
      </c>
      <c r="AW64" s="146">
        <f>IFERROR(VLOOKUP(G64,'[70]Detail Deprec_202508'!$D$33:$I$357,6,FALSE),0)</f>
        <v>0</v>
      </c>
      <c r="AX64" s="146">
        <f t="shared" si="24"/>
        <v>0</v>
      </c>
    </row>
    <row r="65" spans="1:50" outlineLevel="1">
      <c r="A65" s="324">
        <f t="shared" si="23"/>
        <v>40</v>
      </c>
      <c r="B65" s="336" t="s">
        <v>142</v>
      </c>
      <c r="C65" s="309" t="s">
        <v>143</v>
      </c>
      <c r="D65" s="335">
        <v>154</v>
      </c>
      <c r="E65" s="335" t="s">
        <v>1705</v>
      </c>
      <c r="F65" s="306" t="s">
        <v>301</v>
      </c>
      <c r="G65" s="306" t="s">
        <v>302</v>
      </c>
      <c r="H65" s="368">
        <v>41726</v>
      </c>
      <c r="I65" s="326" t="s">
        <v>284</v>
      </c>
      <c r="J65" s="351">
        <v>25</v>
      </c>
      <c r="K65" s="351" t="s">
        <v>303</v>
      </c>
      <c r="L65" s="351" t="s">
        <v>304</v>
      </c>
      <c r="M65" s="351"/>
      <c r="N65" s="351">
        <v>2014</v>
      </c>
      <c r="O65" s="351"/>
      <c r="P65" s="351"/>
      <c r="Q65" s="352"/>
      <c r="R65" s="335">
        <v>1</v>
      </c>
      <c r="S65" s="361">
        <v>61170</v>
      </c>
      <c r="T65" s="354">
        <v>711651780</v>
      </c>
      <c r="U65" s="327">
        <f t="shared" ref="U65:U72" si="38">+T65/V65</f>
        <v>11860863</v>
      </c>
      <c r="V65" s="336">
        <v>60</v>
      </c>
      <c r="W65" s="329">
        <v>60</v>
      </c>
      <c r="X65" s="328">
        <f t="shared" ref="X65:X72" si="39">+AC65/U65</f>
        <v>0</v>
      </c>
      <c r="Y65" s="328">
        <f t="shared" ref="Y65:Y72" si="40">+W65+X65</f>
        <v>60</v>
      </c>
      <c r="Z65" s="330">
        <f t="shared" ref="Z65:Z72" si="41">+V65-Y65</f>
        <v>0</v>
      </c>
      <c r="AA65" s="331">
        <v>711651780</v>
      </c>
      <c r="AB65" s="331">
        <v>0</v>
      </c>
      <c r="AC65" s="331">
        <f t="shared" ref="AC65:AC73" si="42">SUM(AD65:AL65)</f>
        <v>0</v>
      </c>
      <c r="AD65" s="331"/>
      <c r="AE65" s="331"/>
      <c r="AF65" s="331"/>
      <c r="AG65" s="331"/>
      <c r="AH65" s="331"/>
      <c r="AI65" s="331"/>
      <c r="AJ65" s="331"/>
      <c r="AK65" s="331"/>
      <c r="AL65" s="331"/>
      <c r="AM65" s="331"/>
      <c r="AN65" s="331"/>
      <c r="AO65" s="331"/>
      <c r="AP65" s="331">
        <f t="shared" ref="AP65:AP72" si="43">+AA65+AC65</f>
        <v>711651780</v>
      </c>
      <c r="AQ65" s="332">
        <f t="shared" ref="AQ65:AQ72" si="44">IF(AS65=$AS$24,((T65-AP65)*0),T65-AP65)</f>
        <v>0</v>
      </c>
      <c r="AR65" s="333"/>
      <c r="AS65" s="333"/>
      <c r="AT65" s="365"/>
      <c r="AU65" s="334"/>
      <c r="AV65" s="146" t="s">
        <v>1236</v>
      </c>
      <c r="AW65" s="146">
        <f>IFERROR(VLOOKUP(G65,'[70]Detail Deprec_202508'!$D$33:$I$357,6,FALSE),0)</f>
        <v>0</v>
      </c>
      <c r="AX65" s="146">
        <f t="shared" ref="AX65:AX71" si="45">AW65-AK65</f>
        <v>0</v>
      </c>
    </row>
    <row r="66" spans="1:50" outlineLevel="1">
      <c r="A66" s="324">
        <f t="shared" si="23"/>
        <v>41</v>
      </c>
      <c r="B66" s="336" t="s">
        <v>142</v>
      </c>
      <c r="C66" s="309" t="s">
        <v>143</v>
      </c>
      <c r="D66" s="335">
        <v>154</v>
      </c>
      <c r="E66" s="335" t="s">
        <v>1707</v>
      </c>
      <c r="F66" s="306" t="s">
        <v>305</v>
      </c>
      <c r="G66" s="306" t="s">
        <v>306</v>
      </c>
      <c r="H66" s="368">
        <v>41759</v>
      </c>
      <c r="I66" s="326" t="s">
        <v>284</v>
      </c>
      <c r="J66" s="351">
        <v>115</v>
      </c>
      <c r="K66" s="351" t="s">
        <v>307</v>
      </c>
      <c r="L66" s="351" t="s">
        <v>308</v>
      </c>
      <c r="M66" s="351"/>
      <c r="N66" s="351">
        <v>2014</v>
      </c>
      <c r="O66" s="351"/>
      <c r="P66" s="351"/>
      <c r="Q66" s="352"/>
      <c r="R66" s="335">
        <v>1</v>
      </c>
      <c r="S66" s="361">
        <v>21840</v>
      </c>
      <c r="T66" s="354">
        <v>249063360</v>
      </c>
      <c r="U66" s="327">
        <f t="shared" si="38"/>
        <v>4151056</v>
      </c>
      <c r="V66" s="336">
        <v>60</v>
      </c>
      <c r="W66" s="329">
        <v>60</v>
      </c>
      <c r="X66" s="328">
        <f t="shared" si="39"/>
        <v>0</v>
      </c>
      <c r="Y66" s="328">
        <f t="shared" si="40"/>
        <v>60</v>
      </c>
      <c r="Z66" s="330">
        <f t="shared" si="41"/>
        <v>0</v>
      </c>
      <c r="AA66" s="331">
        <v>249063360</v>
      </c>
      <c r="AB66" s="331">
        <v>0</v>
      </c>
      <c r="AC66" s="331">
        <f t="shared" si="42"/>
        <v>0</v>
      </c>
      <c r="AD66" s="331"/>
      <c r="AE66" s="331"/>
      <c r="AF66" s="331"/>
      <c r="AG66" s="331"/>
      <c r="AH66" s="331"/>
      <c r="AI66" s="331"/>
      <c r="AJ66" s="331"/>
      <c r="AK66" s="331"/>
      <c r="AL66" s="331"/>
      <c r="AM66" s="331"/>
      <c r="AN66" s="331"/>
      <c r="AO66" s="331"/>
      <c r="AP66" s="331">
        <f t="shared" si="43"/>
        <v>249063360</v>
      </c>
      <c r="AQ66" s="332">
        <f t="shared" si="44"/>
        <v>0</v>
      </c>
      <c r="AR66" s="333"/>
      <c r="AS66" s="333"/>
      <c r="AT66" s="365"/>
      <c r="AU66" s="334"/>
      <c r="AV66" s="146" t="s">
        <v>1236</v>
      </c>
      <c r="AW66" s="146">
        <f>IFERROR(VLOOKUP(G66,'[70]Detail Deprec_202508'!$D$33:$I$357,6,FALSE),0)</f>
        <v>0</v>
      </c>
      <c r="AX66" s="146">
        <f t="shared" si="45"/>
        <v>0</v>
      </c>
    </row>
    <row r="67" spans="1:50" outlineLevel="1">
      <c r="A67" s="324">
        <f t="shared" si="23"/>
        <v>42</v>
      </c>
      <c r="B67" s="336" t="s">
        <v>142</v>
      </c>
      <c r="C67" s="309" t="s">
        <v>143</v>
      </c>
      <c r="D67" s="335">
        <v>154</v>
      </c>
      <c r="E67" s="335" t="s">
        <v>1707</v>
      </c>
      <c r="F67" s="306" t="s">
        <v>309</v>
      </c>
      <c r="G67" s="306" t="s">
        <v>310</v>
      </c>
      <c r="H67" s="368">
        <v>41764</v>
      </c>
      <c r="I67" s="326" t="s">
        <v>284</v>
      </c>
      <c r="J67" s="351">
        <v>7</v>
      </c>
      <c r="K67" s="351" t="s">
        <v>311</v>
      </c>
      <c r="L67" s="351" t="s">
        <v>312</v>
      </c>
      <c r="M67" s="351"/>
      <c r="N67" s="351">
        <v>2014</v>
      </c>
      <c r="O67" s="351"/>
      <c r="P67" s="351"/>
      <c r="Q67" s="352"/>
      <c r="R67" s="335">
        <v>1</v>
      </c>
      <c r="S67" s="361"/>
      <c r="T67" s="354">
        <v>66224000</v>
      </c>
      <c r="U67" s="327">
        <f t="shared" si="38"/>
        <v>1103733.3333333333</v>
      </c>
      <c r="V67" s="336">
        <v>60</v>
      </c>
      <c r="W67" s="329">
        <v>60.000000000000007</v>
      </c>
      <c r="X67" s="328">
        <f t="shared" si="39"/>
        <v>0</v>
      </c>
      <c r="Y67" s="328">
        <f t="shared" si="40"/>
        <v>60.000000000000007</v>
      </c>
      <c r="Z67" s="330">
        <f t="shared" si="41"/>
        <v>0</v>
      </c>
      <c r="AA67" s="331">
        <v>66224000</v>
      </c>
      <c r="AB67" s="331">
        <v>0</v>
      </c>
      <c r="AC67" s="331">
        <f t="shared" si="42"/>
        <v>0</v>
      </c>
      <c r="AD67" s="331"/>
      <c r="AE67" s="331"/>
      <c r="AF67" s="331"/>
      <c r="AG67" s="331"/>
      <c r="AH67" s="331"/>
      <c r="AI67" s="331"/>
      <c r="AJ67" s="331"/>
      <c r="AK67" s="331"/>
      <c r="AL67" s="331"/>
      <c r="AM67" s="331"/>
      <c r="AN67" s="331"/>
      <c r="AO67" s="331"/>
      <c r="AP67" s="331">
        <f t="shared" si="43"/>
        <v>66224000</v>
      </c>
      <c r="AQ67" s="332">
        <f t="shared" si="44"/>
        <v>0</v>
      </c>
      <c r="AR67" s="333"/>
      <c r="AS67" s="333"/>
      <c r="AT67" s="365"/>
      <c r="AU67" s="334"/>
      <c r="AV67" s="146" t="s">
        <v>1236</v>
      </c>
      <c r="AW67" s="146">
        <f>IFERROR(VLOOKUP(G67,'[70]Detail Deprec_202508'!$D$33:$I$357,6,FALSE),0)</f>
        <v>0</v>
      </c>
      <c r="AX67" s="146">
        <f t="shared" si="45"/>
        <v>0</v>
      </c>
    </row>
    <row r="68" spans="1:50" outlineLevel="1">
      <c r="A68" s="324">
        <f t="shared" si="23"/>
        <v>43</v>
      </c>
      <c r="B68" s="336" t="s">
        <v>142</v>
      </c>
      <c r="C68" s="309" t="s">
        <v>143</v>
      </c>
      <c r="D68" s="335">
        <v>154</v>
      </c>
      <c r="E68" s="335" t="s">
        <v>1707</v>
      </c>
      <c r="F68" s="306" t="s">
        <v>313</v>
      </c>
      <c r="G68" s="306" t="s">
        <v>314</v>
      </c>
      <c r="H68" s="368">
        <v>41789</v>
      </c>
      <c r="I68" s="326" t="s">
        <v>284</v>
      </c>
      <c r="J68" s="351">
        <v>112</v>
      </c>
      <c r="K68" s="351" t="s">
        <v>307</v>
      </c>
      <c r="L68" s="351" t="s">
        <v>304</v>
      </c>
      <c r="M68" s="351"/>
      <c r="N68" s="351">
        <v>2014</v>
      </c>
      <c r="O68" s="351"/>
      <c r="P68" s="351"/>
      <c r="Q68" s="352"/>
      <c r="R68" s="335">
        <v>1</v>
      </c>
      <c r="S68" s="361">
        <v>99500</v>
      </c>
      <c r="T68" s="354">
        <v>1117783000</v>
      </c>
      <c r="U68" s="327">
        <f t="shared" si="38"/>
        <v>18629716.666666668</v>
      </c>
      <c r="V68" s="336">
        <v>60</v>
      </c>
      <c r="W68" s="329">
        <v>59.999999999999993</v>
      </c>
      <c r="X68" s="328">
        <f t="shared" si="39"/>
        <v>0</v>
      </c>
      <c r="Y68" s="328">
        <f t="shared" si="40"/>
        <v>59.999999999999993</v>
      </c>
      <c r="Z68" s="330">
        <f t="shared" si="41"/>
        <v>0</v>
      </c>
      <c r="AA68" s="331">
        <v>1117783000</v>
      </c>
      <c r="AB68" s="331">
        <v>0</v>
      </c>
      <c r="AC68" s="331">
        <f t="shared" si="42"/>
        <v>0</v>
      </c>
      <c r="AD68" s="331"/>
      <c r="AE68" s="331"/>
      <c r="AF68" s="331"/>
      <c r="AG68" s="331"/>
      <c r="AH68" s="331"/>
      <c r="AI68" s="331"/>
      <c r="AJ68" s="331"/>
      <c r="AK68" s="331"/>
      <c r="AL68" s="331"/>
      <c r="AM68" s="331"/>
      <c r="AN68" s="331"/>
      <c r="AO68" s="331"/>
      <c r="AP68" s="331">
        <f t="shared" si="43"/>
        <v>1117783000</v>
      </c>
      <c r="AQ68" s="332">
        <f t="shared" si="44"/>
        <v>0</v>
      </c>
      <c r="AR68" s="333"/>
      <c r="AS68" s="333"/>
      <c r="AT68" s="365"/>
      <c r="AU68" s="334"/>
      <c r="AV68" s="146" t="s">
        <v>1236</v>
      </c>
      <c r="AW68" s="146">
        <f>IFERROR(VLOOKUP(G68,'[70]Detail Deprec_202508'!$D$33:$I$357,6,FALSE),0)</f>
        <v>0</v>
      </c>
      <c r="AX68" s="146">
        <f t="shared" si="45"/>
        <v>0</v>
      </c>
    </row>
    <row r="69" spans="1:50" outlineLevel="1">
      <c r="A69" s="324">
        <f t="shared" si="23"/>
        <v>44</v>
      </c>
      <c r="B69" s="336" t="s">
        <v>142</v>
      </c>
      <c r="C69" s="309" t="s">
        <v>143</v>
      </c>
      <c r="D69" s="335">
        <v>154</v>
      </c>
      <c r="E69" s="335" t="s">
        <v>1707</v>
      </c>
      <c r="F69" s="306" t="s">
        <v>315</v>
      </c>
      <c r="G69" s="306" t="s">
        <v>316</v>
      </c>
      <c r="H69" s="368">
        <v>41820</v>
      </c>
      <c r="I69" s="326" t="s">
        <v>284</v>
      </c>
      <c r="J69" s="351">
        <v>2008</v>
      </c>
      <c r="K69" s="351" t="s">
        <v>307</v>
      </c>
      <c r="L69" s="351"/>
      <c r="M69" s="351" t="s">
        <v>308</v>
      </c>
      <c r="N69" s="351">
        <v>2014</v>
      </c>
      <c r="O69" s="351"/>
      <c r="P69" s="351"/>
      <c r="Q69" s="352"/>
      <c r="R69" s="335">
        <v>1</v>
      </c>
      <c r="S69" s="361">
        <v>31716</v>
      </c>
      <c r="T69" s="354">
        <v>368254476</v>
      </c>
      <c r="U69" s="327">
        <f t="shared" si="38"/>
        <v>6137574.5999999996</v>
      </c>
      <c r="V69" s="336">
        <v>60</v>
      </c>
      <c r="W69" s="329">
        <v>60.000000000000007</v>
      </c>
      <c r="X69" s="328">
        <f t="shared" si="39"/>
        <v>0</v>
      </c>
      <c r="Y69" s="328">
        <f t="shared" si="40"/>
        <v>60.000000000000007</v>
      </c>
      <c r="Z69" s="330">
        <f t="shared" si="41"/>
        <v>0</v>
      </c>
      <c r="AA69" s="331">
        <v>368254476</v>
      </c>
      <c r="AB69" s="331">
        <v>0</v>
      </c>
      <c r="AC69" s="331">
        <f t="shared" si="42"/>
        <v>0</v>
      </c>
      <c r="AD69" s="331"/>
      <c r="AE69" s="331"/>
      <c r="AF69" s="331"/>
      <c r="AG69" s="331"/>
      <c r="AH69" s="331"/>
      <c r="AI69" s="331"/>
      <c r="AJ69" s="331"/>
      <c r="AK69" s="331"/>
      <c r="AL69" s="331"/>
      <c r="AM69" s="331"/>
      <c r="AN69" s="331"/>
      <c r="AO69" s="331"/>
      <c r="AP69" s="331">
        <f t="shared" si="43"/>
        <v>368254476</v>
      </c>
      <c r="AQ69" s="332">
        <f t="shared" si="44"/>
        <v>0</v>
      </c>
      <c r="AR69" s="333"/>
      <c r="AS69" s="333"/>
      <c r="AT69" s="365"/>
      <c r="AU69" s="334"/>
      <c r="AV69" s="146" t="s">
        <v>1236</v>
      </c>
      <c r="AW69" s="146">
        <f>IFERROR(VLOOKUP(G69,'[70]Detail Deprec_202508'!$D$33:$I$357,6,FALSE),0)</f>
        <v>0</v>
      </c>
      <c r="AX69" s="146">
        <f t="shared" si="45"/>
        <v>0</v>
      </c>
    </row>
    <row r="70" spans="1:50" outlineLevel="1">
      <c r="A70" s="324">
        <f t="shared" si="23"/>
        <v>45</v>
      </c>
      <c r="B70" s="336" t="s">
        <v>142</v>
      </c>
      <c r="C70" s="309" t="s">
        <v>143</v>
      </c>
      <c r="D70" s="335">
        <v>154</v>
      </c>
      <c r="E70" s="335" t="s">
        <v>1707</v>
      </c>
      <c r="F70" s="336" t="s">
        <v>317</v>
      </c>
      <c r="G70" s="336" t="s">
        <v>318</v>
      </c>
      <c r="H70" s="368">
        <v>41828</v>
      </c>
      <c r="I70" s="326" t="s">
        <v>284</v>
      </c>
      <c r="J70" s="351">
        <v>8</v>
      </c>
      <c r="K70" s="351" t="s">
        <v>307</v>
      </c>
      <c r="L70" s="336" t="s">
        <v>319</v>
      </c>
      <c r="M70" s="336"/>
      <c r="N70" s="351">
        <v>2014</v>
      </c>
      <c r="O70" s="351"/>
      <c r="P70" s="351"/>
      <c r="Q70" s="352"/>
      <c r="R70" s="335">
        <v>1</v>
      </c>
      <c r="S70" s="369">
        <v>209350</v>
      </c>
      <c r="T70" s="354">
        <v>2505710150</v>
      </c>
      <c r="U70" s="327">
        <f t="shared" si="38"/>
        <v>41761835.833333336</v>
      </c>
      <c r="V70" s="336">
        <v>60</v>
      </c>
      <c r="W70" s="329">
        <v>59.999999999999993</v>
      </c>
      <c r="X70" s="328">
        <f t="shared" si="39"/>
        <v>0</v>
      </c>
      <c r="Y70" s="328">
        <f t="shared" si="40"/>
        <v>59.999999999999993</v>
      </c>
      <c r="Z70" s="330">
        <f t="shared" si="41"/>
        <v>0</v>
      </c>
      <c r="AA70" s="331">
        <v>2505710150</v>
      </c>
      <c r="AB70" s="331">
        <v>0</v>
      </c>
      <c r="AC70" s="331">
        <f t="shared" si="42"/>
        <v>0</v>
      </c>
      <c r="AD70" s="331"/>
      <c r="AE70" s="331"/>
      <c r="AF70" s="331"/>
      <c r="AG70" s="331"/>
      <c r="AH70" s="331"/>
      <c r="AI70" s="331"/>
      <c r="AJ70" s="331"/>
      <c r="AK70" s="331"/>
      <c r="AL70" s="331"/>
      <c r="AM70" s="331"/>
      <c r="AN70" s="331"/>
      <c r="AO70" s="331"/>
      <c r="AP70" s="331">
        <f t="shared" si="43"/>
        <v>2505710150</v>
      </c>
      <c r="AQ70" s="332">
        <f t="shared" si="44"/>
        <v>0</v>
      </c>
      <c r="AR70" s="333"/>
      <c r="AS70" s="333"/>
      <c r="AT70" s="365"/>
      <c r="AU70" s="334"/>
      <c r="AV70" s="146" t="s">
        <v>1236</v>
      </c>
      <c r="AW70" s="146">
        <f>IFERROR(VLOOKUP(G70,'[70]Detail Deprec_202508'!$D$33:$I$357,6,FALSE),0)</f>
        <v>0</v>
      </c>
      <c r="AX70" s="146">
        <f t="shared" si="45"/>
        <v>0</v>
      </c>
    </row>
    <row r="71" spans="1:50" outlineLevel="1">
      <c r="A71" s="324">
        <f t="shared" si="23"/>
        <v>46</v>
      </c>
      <c r="B71" s="336" t="s">
        <v>142</v>
      </c>
      <c r="C71" s="309" t="s">
        <v>143</v>
      </c>
      <c r="D71" s="335">
        <v>154</v>
      </c>
      <c r="E71" s="335" t="s">
        <v>1707</v>
      </c>
      <c r="F71" s="336" t="s">
        <v>320</v>
      </c>
      <c r="G71" s="336" t="s">
        <v>321</v>
      </c>
      <c r="H71" s="368">
        <v>41866</v>
      </c>
      <c r="I71" s="326" t="s">
        <v>284</v>
      </c>
      <c r="J71" s="351"/>
      <c r="K71" s="351" t="s">
        <v>322</v>
      </c>
      <c r="L71" s="336" t="s">
        <v>323</v>
      </c>
      <c r="M71" s="336"/>
      <c r="N71" s="351">
        <v>2014</v>
      </c>
      <c r="O71" s="351"/>
      <c r="P71" s="351"/>
      <c r="Q71" s="352"/>
      <c r="R71" s="335">
        <v>1</v>
      </c>
      <c r="S71" s="366"/>
      <c r="T71" s="354">
        <v>41472000</v>
      </c>
      <c r="U71" s="327">
        <f t="shared" si="38"/>
        <v>691200</v>
      </c>
      <c r="V71" s="336">
        <v>60</v>
      </c>
      <c r="W71" s="329">
        <v>60</v>
      </c>
      <c r="X71" s="328">
        <f t="shared" si="39"/>
        <v>0</v>
      </c>
      <c r="Y71" s="328">
        <f t="shared" si="40"/>
        <v>60</v>
      </c>
      <c r="Z71" s="330">
        <f t="shared" si="41"/>
        <v>0</v>
      </c>
      <c r="AA71" s="331">
        <v>41472000</v>
      </c>
      <c r="AB71" s="331">
        <v>0</v>
      </c>
      <c r="AC71" s="331">
        <f t="shared" si="42"/>
        <v>0</v>
      </c>
      <c r="AD71" s="331"/>
      <c r="AE71" s="331"/>
      <c r="AF71" s="331"/>
      <c r="AG71" s="331"/>
      <c r="AH71" s="331"/>
      <c r="AI71" s="331"/>
      <c r="AJ71" s="331"/>
      <c r="AK71" s="331"/>
      <c r="AL71" s="331"/>
      <c r="AM71" s="331"/>
      <c r="AN71" s="331"/>
      <c r="AO71" s="331"/>
      <c r="AP71" s="331">
        <f t="shared" si="43"/>
        <v>41472000</v>
      </c>
      <c r="AQ71" s="332">
        <f t="shared" si="44"/>
        <v>0</v>
      </c>
      <c r="AR71" s="333"/>
      <c r="AS71" s="333"/>
      <c r="AT71" s="365"/>
      <c r="AU71" s="334"/>
      <c r="AV71" s="146" t="s">
        <v>1236</v>
      </c>
      <c r="AW71" s="146">
        <f>IFERROR(VLOOKUP(G71,'[70]Detail Deprec_202508'!$D$33:$I$357,6,FALSE),0)</f>
        <v>0</v>
      </c>
      <c r="AX71" s="146">
        <f t="shared" si="45"/>
        <v>0</v>
      </c>
    </row>
    <row r="72" spans="1:50" outlineLevel="1">
      <c r="A72" s="324">
        <f t="shared" si="23"/>
        <v>47</v>
      </c>
      <c r="B72" s="336" t="s">
        <v>142</v>
      </c>
      <c r="C72" s="309" t="s">
        <v>143</v>
      </c>
      <c r="D72" s="335">
        <v>154</v>
      </c>
      <c r="E72" s="335" t="s">
        <v>1707</v>
      </c>
      <c r="F72" s="336" t="s">
        <v>324</v>
      </c>
      <c r="G72" s="336" t="s">
        <v>325</v>
      </c>
      <c r="H72" s="368">
        <v>41879</v>
      </c>
      <c r="I72" s="326" t="s">
        <v>284</v>
      </c>
      <c r="J72" s="351"/>
      <c r="K72" s="351" t="s">
        <v>307</v>
      </c>
      <c r="L72" s="336" t="s">
        <v>196</v>
      </c>
      <c r="M72" s="336"/>
      <c r="N72" s="351">
        <v>2014</v>
      </c>
      <c r="O72" s="351"/>
      <c r="P72" s="351"/>
      <c r="Q72" s="352"/>
      <c r="R72" s="335">
        <v>1</v>
      </c>
      <c r="S72" s="361">
        <v>20895</v>
      </c>
      <c r="T72" s="354">
        <v>242193945</v>
      </c>
      <c r="U72" s="327">
        <f t="shared" si="38"/>
        <v>4036565.75</v>
      </c>
      <c r="V72" s="336">
        <v>60</v>
      </c>
      <c r="W72" s="329">
        <v>60</v>
      </c>
      <c r="X72" s="328">
        <f t="shared" si="39"/>
        <v>0</v>
      </c>
      <c r="Y72" s="328">
        <f t="shared" si="40"/>
        <v>60</v>
      </c>
      <c r="Z72" s="330">
        <f t="shared" si="41"/>
        <v>0</v>
      </c>
      <c r="AA72" s="331">
        <v>242193945</v>
      </c>
      <c r="AB72" s="331">
        <v>0</v>
      </c>
      <c r="AC72" s="331">
        <f t="shared" si="42"/>
        <v>0</v>
      </c>
      <c r="AD72" s="331"/>
      <c r="AE72" s="331"/>
      <c r="AF72" s="331"/>
      <c r="AG72" s="331"/>
      <c r="AH72" s="331"/>
      <c r="AI72" s="331"/>
      <c r="AJ72" s="331"/>
      <c r="AK72" s="331"/>
      <c r="AL72" s="331"/>
      <c r="AM72" s="331"/>
      <c r="AN72" s="331"/>
      <c r="AO72" s="331"/>
      <c r="AP72" s="331">
        <f t="shared" si="43"/>
        <v>242193945</v>
      </c>
      <c r="AQ72" s="332">
        <f t="shared" si="44"/>
        <v>0</v>
      </c>
      <c r="AR72" s="333"/>
      <c r="AS72" s="333"/>
      <c r="AT72" s="365"/>
      <c r="AU72" s="334"/>
      <c r="AV72" s="146" t="s">
        <v>1236</v>
      </c>
      <c r="AW72" s="146">
        <f>IFERROR(VLOOKUP(G72,'[70]Detail Deprec_202508'!$D$33:$I$357,6,FALSE),0)</f>
        <v>0</v>
      </c>
      <c r="AX72" s="146">
        <f t="shared" ref="AX72:AX85" si="46">AW72-AK72</f>
        <v>0</v>
      </c>
    </row>
    <row r="73" spans="1:50" outlineLevel="1">
      <c r="A73" s="324">
        <f t="shared" si="23"/>
        <v>48</v>
      </c>
      <c r="B73" s="336" t="s">
        <v>142</v>
      </c>
      <c r="C73" s="309" t="s">
        <v>143</v>
      </c>
      <c r="D73" s="335">
        <v>154</v>
      </c>
      <c r="E73" s="335" t="s">
        <v>1707</v>
      </c>
      <c r="F73" s="336" t="s">
        <v>326</v>
      </c>
      <c r="G73" s="336" t="s">
        <v>327</v>
      </c>
      <c r="H73" s="368">
        <v>41911</v>
      </c>
      <c r="I73" s="326" t="s">
        <v>284</v>
      </c>
      <c r="J73" s="351">
        <v>17</v>
      </c>
      <c r="K73" s="351" t="s">
        <v>307</v>
      </c>
      <c r="L73" s="336" t="s">
        <v>308</v>
      </c>
      <c r="M73" s="336"/>
      <c r="N73" s="351">
        <v>2014</v>
      </c>
      <c r="O73" s="351"/>
      <c r="P73" s="351"/>
      <c r="Q73" s="352"/>
      <c r="R73" s="335">
        <v>1</v>
      </c>
      <c r="S73" s="366"/>
      <c r="T73" s="354">
        <v>259871343</v>
      </c>
      <c r="U73" s="327">
        <f t="shared" ref="U73:U83" si="47">+T73/V73</f>
        <v>4331189.05</v>
      </c>
      <c r="V73" s="336">
        <v>60</v>
      </c>
      <c r="W73" s="329">
        <v>59.999999999999986</v>
      </c>
      <c r="X73" s="328">
        <f t="shared" ref="X73:X83" si="48">+AC73/U73</f>
        <v>0</v>
      </c>
      <c r="Y73" s="328">
        <f t="shared" ref="Y73:Y83" si="49">+W73+X73</f>
        <v>59.999999999999986</v>
      </c>
      <c r="Z73" s="330">
        <f t="shared" ref="Z73" si="50">+V73-Y73</f>
        <v>0</v>
      </c>
      <c r="AA73" s="331">
        <v>259871342.99999994</v>
      </c>
      <c r="AB73" s="331">
        <v>5.9604644775390625E-8</v>
      </c>
      <c r="AC73" s="331">
        <f t="shared" si="42"/>
        <v>0</v>
      </c>
      <c r="AD73" s="331"/>
      <c r="AE73" s="331"/>
      <c r="AF73" s="331"/>
      <c r="AG73" s="331"/>
      <c r="AH73" s="331"/>
      <c r="AI73" s="331"/>
      <c r="AJ73" s="331"/>
      <c r="AK73" s="331"/>
      <c r="AL73" s="331"/>
      <c r="AM73" s="331"/>
      <c r="AN73" s="331"/>
      <c r="AO73" s="331"/>
      <c r="AP73" s="331">
        <f t="shared" ref="AP73:AP83" si="51">+AA73+AC73</f>
        <v>259871342.99999994</v>
      </c>
      <c r="AQ73" s="332">
        <f t="shared" ref="AQ73:AQ83" si="52">IF(AS73=$AS$24,((T73-AP73)*0),T73-AP73)</f>
        <v>5.9604644775390625E-8</v>
      </c>
      <c r="AR73" s="333"/>
      <c r="AS73" s="333"/>
      <c r="AT73" s="554"/>
      <c r="AU73" s="334"/>
      <c r="AV73" s="146" t="s">
        <v>1236</v>
      </c>
      <c r="AW73" s="146">
        <f>IFERROR(VLOOKUP(G73,'[70]Detail Deprec_202508'!$D$33:$I$357,6,FALSE),0)</f>
        <v>0</v>
      </c>
      <c r="AX73" s="146">
        <f t="shared" si="46"/>
        <v>0</v>
      </c>
    </row>
    <row r="74" spans="1:50" outlineLevel="1">
      <c r="A74" s="324">
        <f t="shared" si="23"/>
        <v>49</v>
      </c>
      <c r="B74" s="336" t="s">
        <v>142</v>
      </c>
      <c r="C74" s="344" t="s">
        <v>143</v>
      </c>
      <c r="D74" s="335">
        <v>154</v>
      </c>
      <c r="E74" s="335" t="s">
        <v>1707</v>
      </c>
      <c r="F74" s="336" t="s">
        <v>328</v>
      </c>
      <c r="G74" s="336" t="s">
        <v>329</v>
      </c>
      <c r="H74" s="368">
        <v>42143</v>
      </c>
      <c r="I74" s="326" t="s">
        <v>284</v>
      </c>
      <c r="J74" s="351">
        <v>5</v>
      </c>
      <c r="K74" s="351" t="s">
        <v>330</v>
      </c>
      <c r="L74" s="336" t="s">
        <v>331</v>
      </c>
      <c r="M74" s="336"/>
      <c r="N74" s="351">
        <v>2015</v>
      </c>
      <c r="O74" s="351"/>
      <c r="P74" s="351"/>
      <c r="Q74" s="352"/>
      <c r="R74" s="335">
        <v>381</v>
      </c>
      <c r="S74" s="366"/>
      <c r="T74" s="370">
        <v>344590000</v>
      </c>
      <c r="U74" s="327">
        <f t="shared" si="47"/>
        <v>5743166.666666667</v>
      </c>
      <c r="V74" s="336">
        <v>60</v>
      </c>
      <c r="W74" s="329">
        <v>60</v>
      </c>
      <c r="X74" s="328">
        <f t="shared" si="48"/>
        <v>0</v>
      </c>
      <c r="Y74" s="328">
        <f t="shared" si="49"/>
        <v>60</v>
      </c>
      <c r="Z74" s="330">
        <f t="shared" ref="Z74:Z77" si="53">+V74-Y74</f>
        <v>0</v>
      </c>
      <c r="AA74" s="331">
        <v>344590000</v>
      </c>
      <c r="AB74" s="331">
        <v>0</v>
      </c>
      <c r="AC74" s="331">
        <f t="shared" ref="AC74:AC96" si="54">SUM(AD74:AL74)</f>
        <v>0</v>
      </c>
      <c r="AD74" s="331"/>
      <c r="AE74" s="331"/>
      <c r="AF74" s="331"/>
      <c r="AG74" s="331"/>
      <c r="AH74" s="331"/>
      <c r="AI74" s="331"/>
      <c r="AJ74" s="331"/>
      <c r="AK74" s="331"/>
      <c r="AL74" s="331"/>
      <c r="AM74" s="331"/>
      <c r="AN74" s="331"/>
      <c r="AO74" s="331"/>
      <c r="AP74" s="331">
        <f t="shared" si="51"/>
        <v>344590000</v>
      </c>
      <c r="AQ74" s="332">
        <f t="shared" si="52"/>
        <v>0</v>
      </c>
      <c r="AR74" s="333"/>
      <c r="AS74" s="333"/>
      <c r="AT74" s="365"/>
      <c r="AU74" s="334"/>
      <c r="AV74" s="146" t="s">
        <v>1236</v>
      </c>
      <c r="AW74" s="146">
        <f>IFERROR(VLOOKUP(G74,'[70]Detail Deprec_202508'!$D$33:$I$357,6,FALSE),0)</f>
        <v>0</v>
      </c>
      <c r="AX74" s="146">
        <f t="shared" si="46"/>
        <v>0</v>
      </c>
    </row>
    <row r="75" spans="1:50" outlineLevel="1">
      <c r="A75" s="324">
        <f t="shared" si="23"/>
        <v>50</v>
      </c>
      <c r="B75" s="336" t="s">
        <v>142</v>
      </c>
      <c r="C75" s="344" t="s">
        <v>143</v>
      </c>
      <c r="D75" s="335">
        <v>154</v>
      </c>
      <c r="E75" s="335" t="s">
        <v>1087</v>
      </c>
      <c r="F75" s="351" t="s">
        <v>333</v>
      </c>
      <c r="G75" s="351" t="s">
        <v>334</v>
      </c>
      <c r="H75" s="368">
        <v>42338</v>
      </c>
      <c r="I75" s="326" t="s">
        <v>284</v>
      </c>
      <c r="J75" s="362" t="s">
        <v>171</v>
      </c>
      <c r="K75" t="s">
        <v>335</v>
      </c>
      <c r="L75" s="309" t="s">
        <v>336</v>
      </c>
      <c r="M75" s="351" t="s">
        <v>337</v>
      </c>
      <c r="N75" s="309">
        <v>2015</v>
      </c>
      <c r="O75" s="309"/>
      <c r="P75" s="351"/>
      <c r="Q75" s="309"/>
      <c r="R75" s="304">
        <v>1</v>
      </c>
      <c r="S75" s="369"/>
      <c r="T75" s="370">
        <v>17300000</v>
      </c>
      <c r="U75" s="327">
        <f t="shared" si="47"/>
        <v>288333.33333333331</v>
      </c>
      <c r="V75" s="336">
        <v>60</v>
      </c>
      <c r="W75" s="329">
        <v>60.000000000000007</v>
      </c>
      <c r="X75" s="328">
        <f t="shared" si="48"/>
        <v>0</v>
      </c>
      <c r="Y75" s="328">
        <f t="shared" si="49"/>
        <v>60.000000000000007</v>
      </c>
      <c r="Z75" s="330">
        <f t="shared" si="53"/>
        <v>0</v>
      </c>
      <c r="AA75" s="331">
        <v>17300000</v>
      </c>
      <c r="AB75" s="331">
        <v>0</v>
      </c>
      <c r="AC75" s="331">
        <f t="shared" si="54"/>
        <v>0</v>
      </c>
      <c r="AD75" s="331"/>
      <c r="AE75" s="331"/>
      <c r="AF75" s="331"/>
      <c r="AG75" s="331"/>
      <c r="AH75" s="331"/>
      <c r="AI75" s="331"/>
      <c r="AJ75" s="331"/>
      <c r="AK75" s="331"/>
      <c r="AL75" s="331"/>
      <c r="AM75" s="331"/>
      <c r="AN75" s="331"/>
      <c r="AO75" s="331"/>
      <c r="AP75" s="331">
        <f t="shared" si="51"/>
        <v>17300000</v>
      </c>
      <c r="AQ75" s="332">
        <f t="shared" si="52"/>
        <v>0</v>
      </c>
      <c r="AR75" s="333"/>
      <c r="AS75" s="333"/>
      <c r="AT75" s="365"/>
      <c r="AU75" s="334"/>
      <c r="AV75" s="146" t="s">
        <v>1236</v>
      </c>
      <c r="AW75" s="146">
        <f>IFERROR(VLOOKUP(G75,'[70]Detail Deprec_202508'!$D$33:$I$357,6,FALSE),0)</f>
        <v>0</v>
      </c>
      <c r="AX75" s="146">
        <f t="shared" si="46"/>
        <v>0</v>
      </c>
    </row>
    <row r="76" spans="1:50" outlineLevel="1">
      <c r="A76" s="324">
        <f t="shared" si="23"/>
        <v>51</v>
      </c>
      <c r="B76" s="336" t="s">
        <v>142</v>
      </c>
      <c r="C76" s="344" t="s">
        <v>143</v>
      </c>
      <c r="D76" s="335">
        <v>154</v>
      </c>
      <c r="E76" s="335" t="s">
        <v>1087</v>
      </c>
      <c r="F76" s="351" t="s">
        <v>338</v>
      </c>
      <c r="G76" s="351" t="s">
        <v>339</v>
      </c>
      <c r="H76" s="368">
        <v>42338</v>
      </c>
      <c r="I76" s="326" t="s">
        <v>284</v>
      </c>
      <c r="J76" s="362" t="s">
        <v>171</v>
      </c>
      <c r="K76" s="351" t="s">
        <v>340</v>
      </c>
      <c r="L76" s="309" t="s">
        <v>341</v>
      </c>
      <c r="M76" s="351" t="s">
        <v>337</v>
      </c>
      <c r="N76" s="309">
        <v>2015</v>
      </c>
      <c r="O76" s="309"/>
      <c r="P76" s="351"/>
      <c r="Q76" s="309"/>
      <c r="R76" s="304">
        <v>1</v>
      </c>
      <c r="S76" s="369"/>
      <c r="T76" s="370">
        <v>41500000</v>
      </c>
      <c r="U76" s="327">
        <f t="shared" si="47"/>
        <v>691666.66666666663</v>
      </c>
      <c r="V76" s="336">
        <v>60</v>
      </c>
      <c r="W76" s="329">
        <v>60</v>
      </c>
      <c r="X76" s="328">
        <f t="shared" si="48"/>
        <v>0</v>
      </c>
      <c r="Y76" s="328">
        <f t="shared" si="49"/>
        <v>60</v>
      </c>
      <c r="Z76" s="330">
        <f t="shared" si="53"/>
        <v>0</v>
      </c>
      <c r="AA76" s="331">
        <v>41500000</v>
      </c>
      <c r="AB76" s="331">
        <v>0</v>
      </c>
      <c r="AC76" s="331">
        <f t="shared" si="54"/>
        <v>0</v>
      </c>
      <c r="AD76" s="331"/>
      <c r="AE76" s="331"/>
      <c r="AF76" s="331"/>
      <c r="AG76" s="331"/>
      <c r="AH76" s="331"/>
      <c r="AI76" s="331"/>
      <c r="AJ76" s="331"/>
      <c r="AK76" s="331"/>
      <c r="AL76" s="331"/>
      <c r="AM76" s="331"/>
      <c r="AN76" s="331"/>
      <c r="AO76" s="331"/>
      <c r="AP76" s="331">
        <f t="shared" si="51"/>
        <v>41500000</v>
      </c>
      <c r="AQ76" s="332">
        <f t="shared" si="52"/>
        <v>0</v>
      </c>
      <c r="AR76" s="333"/>
      <c r="AS76" s="333"/>
      <c r="AT76" s="365"/>
      <c r="AU76" s="334"/>
      <c r="AV76" s="146" t="s">
        <v>1236</v>
      </c>
      <c r="AW76" s="146">
        <f>IFERROR(VLOOKUP(G76,'[70]Detail Deprec_202508'!$D$33:$I$357,6,FALSE),0)</f>
        <v>0</v>
      </c>
      <c r="AX76" s="146">
        <f t="shared" si="46"/>
        <v>0</v>
      </c>
    </row>
    <row r="77" spans="1:50" outlineLevel="1">
      <c r="A77" s="324">
        <f t="shared" si="23"/>
        <v>52</v>
      </c>
      <c r="B77" s="336" t="s">
        <v>142</v>
      </c>
      <c r="C77" s="344" t="s">
        <v>143</v>
      </c>
      <c r="D77" s="335">
        <v>154</v>
      </c>
      <c r="E77" s="335" t="s">
        <v>1705</v>
      </c>
      <c r="F77" s="351" t="s">
        <v>342</v>
      </c>
      <c r="G77" s="351" t="s">
        <v>343</v>
      </c>
      <c r="H77" s="368">
        <v>42338</v>
      </c>
      <c r="I77" s="326" t="s">
        <v>284</v>
      </c>
      <c r="J77" s="362" t="s">
        <v>171</v>
      </c>
      <c r="K77" s="351" t="s">
        <v>344</v>
      </c>
      <c r="L77" s="309"/>
      <c r="M77" s="351"/>
      <c r="N77" s="309">
        <v>2015</v>
      </c>
      <c r="O77" s="309"/>
      <c r="P77" s="351"/>
      <c r="Q77" s="309"/>
      <c r="R77" s="304">
        <v>1</v>
      </c>
      <c r="S77" s="369"/>
      <c r="T77" s="370">
        <v>23100000</v>
      </c>
      <c r="U77" s="327">
        <f t="shared" si="47"/>
        <v>385000</v>
      </c>
      <c r="V77" s="336">
        <v>60</v>
      </c>
      <c r="W77" s="329">
        <v>60</v>
      </c>
      <c r="X77" s="328">
        <f t="shared" si="48"/>
        <v>0</v>
      </c>
      <c r="Y77" s="328">
        <f t="shared" si="49"/>
        <v>60</v>
      </c>
      <c r="Z77" s="330">
        <f t="shared" si="53"/>
        <v>0</v>
      </c>
      <c r="AA77" s="331">
        <v>23100000</v>
      </c>
      <c r="AB77" s="331">
        <v>0</v>
      </c>
      <c r="AC77" s="331">
        <f t="shared" si="54"/>
        <v>0</v>
      </c>
      <c r="AD77" s="331"/>
      <c r="AE77" s="331"/>
      <c r="AF77" s="331"/>
      <c r="AG77" s="331"/>
      <c r="AH77" s="331"/>
      <c r="AI77" s="331"/>
      <c r="AJ77" s="331"/>
      <c r="AK77" s="331"/>
      <c r="AL77" s="331"/>
      <c r="AM77" s="331"/>
      <c r="AN77" s="331"/>
      <c r="AO77" s="331"/>
      <c r="AP77" s="331">
        <f t="shared" si="51"/>
        <v>23100000</v>
      </c>
      <c r="AQ77" s="332">
        <f t="shared" si="52"/>
        <v>0</v>
      </c>
      <c r="AR77" s="333"/>
      <c r="AS77" s="333"/>
      <c r="AT77" s="365"/>
      <c r="AU77" s="334"/>
      <c r="AV77" s="146" t="s">
        <v>1236</v>
      </c>
      <c r="AW77" s="146">
        <f>IFERROR(VLOOKUP(G77,'[70]Detail Deprec_202508'!$D$33:$I$357,6,FALSE),0)</f>
        <v>0</v>
      </c>
      <c r="AX77" s="146">
        <f t="shared" si="46"/>
        <v>0</v>
      </c>
    </row>
    <row r="78" spans="1:50" outlineLevel="1">
      <c r="A78" s="324">
        <f t="shared" si="23"/>
        <v>53</v>
      </c>
      <c r="B78" s="336" t="s">
        <v>142</v>
      </c>
      <c r="C78" s="344" t="s">
        <v>143</v>
      </c>
      <c r="D78" s="335">
        <v>154</v>
      </c>
      <c r="E78" s="335" t="s">
        <v>1707</v>
      </c>
      <c r="F78" s="351" t="s">
        <v>347</v>
      </c>
      <c r="G78" s="351" t="s">
        <v>348</v>
      </c>
      <c r="H78" s="368">
        <v>42398</v>
      </c>
      <c r="I78" s="326" t="s">
        <v>284</v>
      </c>
      <c r="J78" s="362" t="s">
        <v>349</v>
      </c>
      <c r="K78" s="351" t="s">
        <v>330</v>
      </c>
      <c r="L78" s="309" t="s">
        <v>350</v>
      </c>
      <c r="M78" s="351"/>
      <c r="N78" s="309">
        <v>2016</v>
      </c>
      <c r="O78" s="309"/>
      <c r="P78" s="351"/>
      <c r="Q78" s="309"/>
      <c r="R78" s="304">
        <v>1</v>
      </c>
      <c r="S78" s="369"/>
      <c r="T78" s="371">
        <v>202500000</v>
      </c>
      <c r="U78" s="327">
        <f t="shared" si="47"/>
        <v>3375000</v>
      </c>
      <c r="V78" s="336">
        <v>60</v>
      </c>
      <c r="W78" s="329">
        <v>60</v>
      </c>
      <c r="X78" s="328">
        <f t="shared" si="48"/>
        <v>0</v>
      </c>
      <c r="Y78" s="328">
        <f t="shared" si="49"/>
        <v>60</v>
      </c>
      <c r="Z78" s="330">
        <f t="shared" ref="Z78:Z91" si="55">+V78-Y78</f>
        <v>0</v>
      </c>
      <c r="AA78" s="331">
        <v>202500000</v>
      </c>
      <c r="AB78" s="331">
        <v>0</v>
      </c>
      <c r="AC78" s="331">
        <f t="shared" si="54"/>
        <v>0</v>
      </c>
      <c r="AD78" s="331"/>
      <c r="AE78" s="331"/>
      <c r="AF78" s="331"/>
      <c r="AG78" s="331"/>
      <c r="AH78" s="331"/>
      <c r="AI78" s="331"/>
      <c r="AJ78" s="331"/>
      <c r="AK78" s="331"/>
      <c r="AL78" s="331"/>
      <c r="AM78" s="331"/>
      <c r="AN78" s="331"/>
      <c r="AO78" s="331"/>
      <c r="AP78" s="331">
        <f t="shared" si="51"/>
        <v>202500000</v>
      </c>
      <c r="AQ78" s="332">
        <f t="shared" si="52"/>
        <v>0</v>
      </c>
      <c r="AR78" s="333"/>
      <c r="AS78" s="333"/>
      <c r="AT78" s="365"/>
      <c r="AU78" s="334"/>
      <c r="AV78" s="146" t="s">
        <v>1236</v>
      </c>
      <c r="AW78" s="146">
        <f>IFERROR(VLOOKUP(G78,'[70]Detail Deprec_202508'!$D$33:$I$357,6,FALSE),0)</f>
        <v>0</v>
      </c>
      <c r="AX78" s="146">
        <f t="shared" si="46"/>
        <v>0</v>
      </c>
    </row>
    <row r="79" spans="1:50" outlineLevel="1">
      <c r="A79" s="324">
        <f t="shared" si="23"/>
        <v>54</v>
      </c>
      <c r="B79" s="336" t="s">
        <v>142</v>
      </c>
      <c r="C79" s="344" t="s">
        <v>143</v>
      </c>
      <c r="D79" s="335">
        <v>154</v>
      </c>
      <c r="E79" s="335" t="s">
        <v>1707</v>
      </c>
      <c r="F79" s="351" t="s">
        <v>351</v>
      </c>
      <c r="G79" s="351" t="s">
        <v>352</v>
      </c>
      <c r="H79" s="368">
        <v>42398</v>
      </c>
      <c r="I79" s="326" t="s">
        <v>284</v>
      </c>
      <c r="J79" s="362" t="s">
        <v>349</v>
      </c>
      <c r="K79" s="351" t="s">
        <v>330</v>
      </c>
      <c r="L79" s="309" t="s">
        <v>350</v>
      </c>
      <c r="M79" s="351"/>
      <c r="N79" s="309">
        <v>2016</v>
      </c>
      <c r="O79" s="309"/>
      <c r="P79" s="351"/>
      <c r="Q79" s="309"/>
      <c r="R79" s="304">
        <v>1</v>
      </c>
      <c r="S79" s="369"/>
      <c r="T79" s="371">
        <v>179250000</v>
      </c>
      <c r="U79" s="327">
        <f t="shared" si="47"/>
        <v>2987500</v>
      </c>
      <c r="V79" s="336">
        <v>60</v>
      </c>
      <c r="W79" s="329">
        <v>60</v>
      </c>
      <c r="X79" s="328">
        <f t="shared" si="48"/>
        <v>0</v>
      </c>
      <c r="Y79" s="328">
        <f t="shared" si="49"/>
        <v>60</v>
      </c>
      <c r="Z79" s="330">
        <f t="shared" si="55"/>
        <v>0</v>
      </c>
      <c r="AA79" s="331">
        <v>179250000</v>
      </c>
      <c r="AB79" s="331">
        <v>0</v>
      </c>
      <c r="AC79" s="331">
        <f t="shared" si="54"/>
        <v>0</v>
      </c>
      <c r="AD79" s="331"/>
      <c r="AE79" s="331"/>
      <c r="AF79" s="331"/>
      <c r="AG79" s="331"/>
      <c r="AH79" s="331"/>
      <c r="AI79" s="331"/>
      <c r="AJ79" s="331"/>
      <c r="AK79" s="331"/>
      <c r="AL79" s="331"/>
      <c r="AM79" s="331"/>
      <c r="AN79" s="331"/>
      <c r="AO79" s="331"/>
      <c r="AP79" s="331">
        <f t="shared" si="51"/>
        <v>179250000</v>
      </c>
      <c r="AQ79" s="332">
        <f t="shared" si="52"/>
        <v>0</v>
      </c>
      <c r="AR79" s="333"/>
      <c r="AS79" s="333"/>
      <c r="AT79" s="365"/>
      <c r="AU79" s="334"/>
      <c r="AV79" s="146" t="s">
        <v>1236</v>
      </c>
      <c r="AW79" s="146">
        <f>IFERROR(VLOOKUP(G79,'[70]Detail Deprec_202508'!$D$33:$I$357,6,FALSE),0)</f>
        <v>0</v>
      </c>
      <c r="AX79" s="146">
        <f t="shared" si="46"/>
        <v>0</v>
      </c>
    </row>
    <row r="80" spans="1:50" outlineLevel="1">
      <c r="A80" s="324">
        <f t="shared" si="23"/>
        <v>55</v>
      </c>
      <c r="B80" s="306" t="s">
        <v>142</v>
      </c>
      <c r="C80" s="344" t="s">
        <v>143</v>
      </c>
      <c r="D80" s="304">
        <v>154</v>
      </c>
      <c r="E80" s="335" t="s">
        <v>1707</v>
      </c>
      <c r="F80" s="351" t="s">
        <v>353</v>
      </c>
      <c r="G80" s="351" t="s">
        <v>354</v>
      </c>
      <c r="H80" s="325">
        <v>42612</v>
      </c>
      <c r="I80" s="326" t="s">
        <v>284</v>
      </c>
      <c r="J80" s="340" t="s">
        <v>204</v>
      </c>
      <c r="K80" s="351" t="s">
        <v>355</v>
      </c>
      <c r="L80" s="363" t="s">
        <v>331</v>
      </c>
      <c r="M80" s="367"/>
      <c r="N80" s="351">
        <v>2016</v>
      </c>
      <c r="O80" s="351"/>
      <c r="P80" s="351"/>
      <c r="Q80" s="351"/>
      <c r="R80" s="304">
        <v>50</v>
      </c>
      <c r="S80" s="361"/>
      <c r="T80" s="364">
        <v>82500000</v>
      </c>
      <c r="U80" s="327">
        <f t="shared" si="47"/>
        <v>1375000</v>
      </c>
      <c r="V80" s="328">
        <v>60</v>
      </c>
      <c r="W80" s="329">
        <v>60</v>
      </c>
      <c r="X80" s="328">
        <f t="shared" si="48"/>
        <v>0</v>
      </c>
      <c r="Y80" s="328">
        <f t="shared" si="49"/>
        <v>60</v>
      </c>
      <c r="Z80" s="330">
        <f t="shared" si="55"/>
        <v>0</v>
      </c>
      <c r="AA80" s="331">
        <v>82500000</v>
      </c>
      <c r="AB80" s="331">
        <v>0</v>
      </c>
      <c r="AC80" s="331">
        <f t="shared" si="54"/>
        <v>0</v>
      </c>
      <c r="AD80" s="331"/>
      <c r="AE80" s="331"/>
      <c r="AF80" s="331"/>
      <c r="AG80" s="331"/>
      <c r="AH80" s="331"/>
      <c r="AI80" s="331"/>
      <c r="AJ80" s="331"/>
      <c r="AK80" s="331"/>
      <c r="AL80" s="331"/>
      <c r="AM80" s="331"/>
      <c r="AN80" s="331"/>
      <c r="AO80" s="331"/>
      <c r="AP80" s="331">
        <f t="shared" si="51"/>
        <v>82500000</v>
      </c>
      <c r="AQ80" s="332">
        <f t="shared" si="52"/>
        <v>0</v>
      </c>
      <c r="AR80" s="333"/>
      <c r="AS80" s="333"/>
      <c r="AT80" s="365"/>
      <c r="AU80" s="334"/>
      <c r="AV80" s="146" t="s">
        <v>1236</v>
      </c>
      <c r="AW80" s="146">
        <f>IFERROR(VLOOKUP(G80,'[70]Detail Deprec_202508'!$D$33:$I$357,6,FALSE),0)</f>
        <v>0</v>
      </c>
      <c r="AX80" s="146">
        <f t="shared" si="46"/>
        <v>0</v>
      </c>
    </row>
    <row r="81" spans="1:50" outlineLevel="1">
      <c r="A81" s="324">
        <f t="shared" si="23"/>
        <v>56</v>
      </c>
      <c r="B81" s="306" t="s">
        <v>142</v>
      </c>
      <c r="C81" s="344" t="s">
        <v>143</v>
      </c>
      <c r="D81" s="304">
        <v>154</v>
      </c>
      <c r="E81" s="335" t="s">
        <v>1707</v>
      </c>
      <c r="F81" s="351" t="s">
        <v>356</v>
      </c>
      <c r="G81" s="351" t="s">
        <v>357</v>
      </c>
      <c r="H81" s="325">
        <v>42613</v>
      </c>
      <c r="I81" s="326" t="s">
        <v>284</v>
      </c>
      <c r="J81" s="340" t="s">
        <v>358</v>
      </c>
      <c r="K81" s="351" t="s">
        <v>330</v>
      </c>
      <c r="L81" s="363" t="s">
        <v>331</v>
      </c>
      <c r="M81" s="367"/>
      <c r="N81" s="351">
        <v>2016</v>
      </c>
      <c r="O81" s="351"/>
      <c r="P81" s="351"/>
      <c r="Q81" s="351"/>
      <c r="R81" s="304">
        <v>230</v>
      </c>
      <c r="S81" s="361"/>
      <c r="T81" s="364">
        <v>173355000</v>
      </c>
      <c r="U81" s="327">
        <f t="shared" si="47"/>
        <v>2889250</v>
      </c>
      <c r="V81" s="328">
        <v>60</v>
      </c>
      <c r="W81" s="329">
        <v>60</v>
      </c>
      <c r="X81" s="328">
        <f t="shared" si="48"/>
        <v>0</v>
      </c>
      <c r="Y81" s="328">
        <f t="shared" si="49"/>
        <v>60</v>
      </c>
      <c r="Z81" s="330">
        <f t="shared" si="55"/>
        <v>0</v>
      </c>
      <c r="AA81" s="331">
        <v>173355000</v>
      </c>
      <c r="AB81" s="331">
        <v>0</v>
      </c>
      <c r="AC81" s="331">
        <f t="shared" si="54"/>
        <v>0</v>
      </c>
      <c r="AD81" s="331"/>
      <c r="AE81" s="331"/>
      <c r="AF81" s="331"/>
      <c r="AG81" s="331"/>
      <c r="AH81" s="331"/>
      <c r="AI81" s="331"/>
      <c r="AJ81" s="331"/>
      <c r="AK81" s="331"/>
      <c r="AL81" s="331"/>
      <c r="AM81" s="331"/>
      <c r="AN81" s="331"/>
      <c r="AO81" s="331"/>
      <c r="AP81" s="331">
        <f t="shared" si="51"/>
        <v>173355000</v>
      </c>
      <c r="AQ81" s="332">
        <f t="shared" si="52"/>
        <v>0</v>
      </c>
      <c r="AR81" s="333"/>
      <c r="AS81" s="333"/>
      <c r="AT81" s="365"/>
      <c r="AU81" s="334"/>
      <c r="AV81" s="146" t="s">
        <v>1236</v>
      </c>
      <c r="AW81" s="146">
        <f>IFERROR(VLOOKUP(G81,'[70]Detail Deprec_202508'!$D$33:$I$357,6,FALSE),0)</f>
        <v>0</v>
      </c>
      <c r="AX81" s="146">
        <f t="shared" si="46"/>
        <v>0</v>
      </c>
    </row>
    <row r="82" spans="1:50" outlineLevel="1">
      <c r="A82" s="324">
        <f t="shared" si="23"/>
        <v>57</v>
      </c>
      <c r="B82" s="306" t="s">
        <v>142</v>
      </c>
      <c r="C82" s="344" t="s">
        <v>143</v>
      </c>
      <c r="D82" s="304">
        <v>154</v>
      </c>
      <c r="E82" s="335" t="s">
        <v>1707</v>
      </c>
      <c r="F82" s="351" t="s">
        <v>359</v>
      </c>
      <c r="G82" s="306" t="s">
        <v>360</v>
      </c>
      <c r="H82" s="325">
        <v>42733</v>
      </c>
      <c r="I82" s="326" t="s">
        <v>284</v>
      </c>
      <c r="J82" s="340">
        <v>18</v>
      </c>
      <c r="K82" s="351" t="s">
        <v>361</v>
      </c>
      <c r="L82" s="363" t="s">
        <v>331</v>
      </c>
      <c r="M82" s="372"/>
      <c r="N82" s="351">
        <v>2016</v>
      </c>
      <c r="O82" s="351"/>
      <c r="P82" s="351"/>
      <c r="Q82" s="351"/>
      <c r="R82" s="304">
        <v>1</v>
      </c>
      <c r="S82" s="361"/>
      <c r="T82" s="364">
        <v>29600000</v>
      </c>
      <c r="U82" s="327">
        <f t="shared" si="47"/>
        <v>493333.33333333331</v>
      </c>
      <c r="V82" s="328">
        <v>60</v>
      </c>
      <c r="W82" s="329">
        <v>59.999999999999993</v>
      </c>
      <c r="X82" s="328">
        <f t="shared" si="48"/>
        <v>0</v>
      </c>
      <c r="Y82" s="328">
        <f t="shared" si="49"/>
        <v>59.999999999999993</v>
      </c>
      <c r="Z82" s="330">
        <f t="shared" si="55"/>
        <v>0</v>
      </c>
      <c r="AA82" s="331">
        <v>29599999.999999996</v>
      </c>
      <c r="AB82" s="331">
        <v>3.7252902984619141E-9</v>
      </c>
      <c r="AC82" s="331">
        <f t="shared" si="54"/>
        <v>0</v>
      </c>
      <c r="AD82" s="331"/>
      <c r="AE82" s="331"/>
      <c r="AF82" s="331"/>
      <c r="AG82" s="331"/>
      <c r="AH82" s="331"/>
      <c r="AI82" s="331"/>
      <c r="AJ82" s="331"/>
      <c r="AK82" s="331"/>
      <c r="AL82" s="331"/>
      <c r="AM82" s="331"/>
      <c r="AN82" s="331"/>
      <c r="AO82" s="331"/>
      <c r="AP82" s="331">
        <f t="shared" si="51"/>
        <v>29599999.999999996</v>
      </c>
      <c r="AQ82" s="332">
        <f t="shared" si="52"/>
        <v>3.7252902984619141E-9</v>
      </c>
      <c r="AR82" s="333"/>
      <c r="AS82" s="333"/>
      <c r="AT82" s="365"/>
      <c r="AU82" s="334"/>
      <c r="AV82" s="146" t="s">
        <v>1236</v>
      </c>
      <c r="AW82" s="146">
        <f>IFERROR(VLOOKUP(G82,'[70]Detail Deprec_202508'!$D$33:$I$357,6,FALSE),0)</f>
        <v>0</v>
      </c>
      <c r="AX82" s="146">
        <f t="shared" si="46"/>
        <v>0</v>
      </c>
    </row>
    <row r="83" spans="1:50" outlineLevel="1">
      <c r="A83" s="324">
        <f t="shared" si="23"/>
        <v>58</v>
      </c>
      <c r="B83" s="306" t="s">
        <v>142</v>
      </c>
      <c r="C83" s="344" t="s">
        <v>143</v>
      </c>
      <c r="D83" s="304">
        <v>154</v>
      </c>
      <c r="E83" s="335" t="s">
        <v>1707</v>
      </c>
      <c r="F83" s="306" t="s">
        <v>363</v>
      </c>
      <c r="G83" s="306" t="s">
        <v>364</v>
      </c>
      <c r="H83" s="325">
        <v>42860</v>
      </c>
      <c r="I83" s="326" t="s">
        <v>284</v>
      </c>
      <c r="J83" s="340" t="s">
        <v>292</v>
      </c>
      <c r="K83" s="351" t="s">
        <v>365</v>
      </c>
      <c r="L83" s="363" t="s">
        <v>331</v>
      </c>
      <c r="M83" s="372"/>
      <c r="N83" s="351">
        <v>2017</v>
      </c>
      <c r="O83" s="351"/>
      <c r="P83" s="351"/>
      <c r="Q83" s="351"/>
      <c r="R83" s="304">
        <v>1</v>
      </c>
      <c r="S83" s="361"/>
      <c r="T83" s="364">
        <v>72000000</v>
      </c>
      <c r="U83" s="327">
        <f t="shared" si="47"/>
        <v>1200000</v>
      </c>
      <c r="V83" s="328">
        <v>60</v>
      </c>
      <c r="W83" s="329">
        <v>60</v>
      </c>
      <c r="X83" s="328">
        <f t="shared" si="48"/>
        <v>0</v>
      </c>
      <c r="Y83" s="328">
        <f t="shared" si="49"/>
        <v>60</v>
      </c>
      <c r="Z83" s="330">
        <f t="shared" si="55"/>
        <v>0</v>
      </c>
      <c r="AA83" s="331">
        <v>72000000</v>
      </c>
      <c r="AB83" s="331">
        <v>0</v>
      </c>
      <c r="AC83" s="331">
        <f t="shared" si="54"/>
        <v>0</v>
      </c>
      <c r="AD83" s="331"/>
      <c r="AE83" s="331"/>
      <c r="AF83" s="331"/>
      <c r="AG83" s="331"/>
      <c r="AH83" s="331"/>
      <c r="AI83" s="331"/>
      <c r="AJ83" s="331"/>
      <c r="AK83" s="331"/>
      <c r="AL83" s="331"/>
      <c r="AM83" s="331"/>
      <c r="AN83" s="331"/>
      <c r="AO83" s="331"/>
      <c r="AP83" s="331">
        <f t="shared" si="51"/>
        <v>72000000</v>
      </c>
      <c r="AQ83" s="332">
        <f t="shared" si="52"/>
        <v>0</v>
      </c>
      <c r="AR83" s="333"/>
      <c r="AS83" s="333"/>
      <c r="AT83" s="365"/>
      <c r="AU83" s="334"/>
      <c r="AV83" s="146" t="s">
        <v>1236</v>
      </c>
      <c r="AW83" s="146">
        <f>IFERROR(VLOOKUP(G83,'[70]Detail Deprec_202508'!$D$33:$I$357,6,FALSE),0)</f>
        <v>0</v>
      </c>
      <c r="AX83" s="146">
        <f t="shared" si="46"/>
        <v>0</v>
      </c>
    </row>
    <row r="84" spans="1:50" outlineLevel="1">
      <c r="A84" s="324">
        <f t="shared" si="23"/>
        <v>59</v>
      </c>
      <c r="B84" s="306" t="s">
        <v>142</v>
      </c>
      <c r="C84" s="344" t="s">
        <v>143</v>
      </c>
      <c r="D84" s="304">
        <v>154</v>
      </c>
      <c r="E84" s="304" t="s">
        <v>1705</v>
      </c>
      <c r="F84" s="306" t="s">
        <v>366</v>
      </c>
      <c r="G84" s="306" t="s">
        <v>367</v>
      </c>
      <c r="H84" s="325">
        <v>42885</v>
      </c>
      <c r="I84" s="326" t="s">
        <v>284</v>
      </c>
      <c r="J84" s="340" t="s">
        <v>368</v>
      </c>
      <c r="K84" s="351" t="s">
        <v>369</v>
      </c>
      <c r="L84" s="363" t="s">
        <v>235</v>
      </c>
      <c r="M84" s="372"/>
      <c r="N84" s="351">
        <v>2017</v>
      </c>
      <c r="O84" s="351"/>
      <c r="P84" s="351"/>
      <c r="Q84" s="351"/>
      <c r="R84" s="304">
        <v>1</v>
      </c>
      <c r="S84" s="361"/>
      <c r="T84" s="364">
        <v>180000000</v>
      </c>
      <c r="U84" s="327">
        <f t="shared" ref="U84:U98" si="56">+T84/V84</f>
        <v>3000000</v>
      </c>
      <c r="V84" s="328">
        <v>60</v>
      </c>
      <c r="W84" s="329">
        <v>60</v>
      </c>
      <c r="X84" s="328">
        <f t="shared" ref="X84:X98" si="57">+AC84/U84</f>
        <v>0</v>
      </c>
      <c r="Y84" s="328">
        <f t="shared" ref="Y84:Y98" si="58">+W84+X84</f>
        <v>60</v>
      </c>
      <c r="Z84" s="330">
        <f t="shared" si="55"/>
        <v>0</v>
      </c>
      <c r="AA84" s="331">
        <v>180000000</v>
      </c>
      <c r="AB84" s="331">
        <v>0</v>
      </c>
      <c r="AC84" s="331">
        <f t="shared" si="54"/>
        <v>0</v>
      </c>
      <c r="AD84" s="331"/>
      <c r="AE84" s="331"/>
      <c r="AF84" s="331"/>
      <c r="AG84" s="331"/>
      <c r="AH84" s="331"/>
      <c r="AI84" s="331"/>
      <c r="AJ84" s="331"/>
      <c r="AK84" s="331"/>
      <c r="AL84" s="331"/>
      <c r="AM84" s="331"/>
      <c r="AN84" s="331"/>
      <c r="AO84" s="331"/>
      <c r="AP84" s="331">
        <f t="shared" ref="AP84:AP98" si="59">+AA84+AC84</f>
        <v>180000000</v>
      </c>
      <c r="AQ84" s="332">
        <f t="shared" ref="AQ84:AQ98" si="60">IF(AS84=$AS$24,((T84-AP84)*0),T84-AP84)</f>
        <v>0</v>
      </c>
      <c r="AR84" s="333"/>
      <c r="AS84" s="333"/>
      <c r="AT84" s="365"/>
      <c r="AU84" s="334"/>
      <c r="AV84" s="146" t="s">
        <v>1236</v>
      </c>
      <c r="AW84" s="146">
        <f>IFERROR(VLOOKUP(G84,'[70]Detail Deprec_202508'!$D$33:$I$357,6,FALSE),0)</f>
        <v>0</v>
      </c>
      <c r="AX84" s="146">
        <f t="shared" si="46"/>
        <v>0</v>
      </c>
    </row>
    <row r="85" spans="1:50" outlineLevel="1">
      <c r="A85" s="324">
        <f t="shared" si="23"/>
        <v>60</v>
      </c>
      <c r="B85" s="306" t="s">
        <v>142</v>
      </c>
      <c r="C85" s="344" t="s">
        <v>143</v>
      </c>
      <c r="D85" s="304">
        <v>154</v>
      </c>
      <c r="E85" s="304" t="s">
        <v>1707</v>
      </c>
      <c r="F85" s="306" t="s">
        <v>370</v>
      </c>
      <c r="G85" s="306" t="s">
        <v>371</v>
      </c>
      <c r="H85" s="325">
        <v>42908</v>
      </c>
      <c r="I85" s="326" t="s">
        <v>284</v>
      </c>
      <c r="J85" s="340">
        <v>19</v>
      </c>
      <c r="K85" s="351" t="s">
        <v>365</v>
      </c>
      <c r="L85" s="363" t="s">
        <v>331</v>
      </c>
      <c r="M85" s="372"/>
      <c r="N85" s="351">
        <v>2017</v>
      </c>
      <c r="O85" s="351"/>
      <c r="P85" s="351"/>
      <c r="Q85" s="351"/>
      <c r="R85" s="304">
        <v>393</v>
      </c>
      <c r="S85" s="361"/>
      <c r="T85" s="364">
        <v>417780000</v>
      </c>
      <c r="U85" s="327">
        <f t="shared" si="56"/>
        <v>6963000</v>
      </c>
      <c r="V85" s="328">
        <v>60</v>
      </c>
      <c r="W85" s="329">
        <v>60</v>
      </c>
      <c r="X85" s="328">
        <f t="shared" si="57"/>
        <v>0</v>
      </c>
      <c r="Y85" s="328">
        <f t="shared" si="58"/>
        <v>60</v>
      </c>
      <c r="Z85" s="330">
        <f t="shared" si="55"/>
        <v>0</v>
      </c>
      <c r="AA85" s="331">
        <v>417780000</v>
      </c>
      <c r="AB85" s="331">
        <v>0</v>
      </c>
      <c r="AC85" s="331">
        <f t="shared" si="54"/>
        <v>0</v>
      </c>
      <c r="AD85" s="331"/>
      <c r="AE85" s="331"/>
      <c r="AF85" s="331"/>
      <c r="AG85" s="331"/>
      <c r="AH85" s="331"/>
      <c r="AI85" s="331"/>
      <c r="AJ85" s="331"/>
      <c r="AK85" s="331"/>
      <c r="AL85" s="331"/>
      <c r="AM85" s="331"/>
      <c r="AN85" s="331"/>
      <c r="AO85" s="331"/>
      <c r="AP85" s="331">
        <f t="shared" si="59"/>
        <v>417780000</v>
      </c>
      <c r="AQ85" s="332">
        <f t="shared" si="60"/>
        <v>0</v>
      </c>
      <c r="AR85" s="333"/>
      <c r="AS85" s="333"/>
      <c r="AT85" s="365"/>
      <c r="AU85" s="334"/>
      <c r="AV85" s="146" t="s">
        <v>1236</v>
      </c>
      <c r="AW85" s="146">
        <f>IFERROR(VLOOKUP(G85,'[70]Detail Deprec_202508'!$D$33:$I$357,6,FALSE),0)</f>
        <v>0</v>
      </c>
      <c r="AX85" s="146">
        <f t="shared" si="46"/>
        <v>0</v>
      </c>
    </row>
    <row r="86" spans="1:50" outlineLevel="1">
      <c r="A86" s="324">
        <f t="shared" si="23"/>
        <v>61</v>
      </c>
      <c r="B86" s="336" t="s">
        <v>142</v>
      </c>
      <c r="C86" s="344" t="s">
        <v>143</v>
      </c>
      <c r="D86" s="335">
        <v>154</v>
      </c>
      <c r="E86" s="335" t="s">
        <v>1707</v>
      </c>
      <c r="F86" s="336" t="s">
        <v>372</v>
      </c>
      <c r="G86" s="336" t="s">
        <v>373</v>
      </c>
      <c r="H86" s="368">
        <v>43097</v>
      </c>
      <c r="I86" s="326" t="s">
        <v>284</v>
      </c>
      <c r="J86" s="351">
        <v>23</v>
      </c>
      <c r="K86" s="351" t="s">
        <v>361</v>
      </c>
      <c r="L86" s="363" t="s">
        <v>331</v>
      </c>
      <c r="M86" s="336"/>
      <c r="N86" s="351">
        <v>2017</v>
      </c>
      <c r="O86" s="351"/>
      <c r="P86" s="351"/>
      <c r="Q86" s="352"/>
      <c r="R86" s="335">
        <v>454</v>
      </c>
      <c r="S86" s="366"/>
      <c r="T86" s="354">
        <v>588744000</v>
      </c>
      <c r="U86" s="327">
        <f t="shared" si="56"/>
        <v>9812400</v>
      </c>
      <c r="V86" s="336">
        <v>60</v>
      </c>
      <c r="W86" s="329">
        <v>60</v>
      </c>
      <c r="X86" s="328">
        <f t="shared" si="57"/>
        <v>0</v>
      </c>
      <c r="Y86" s="328">
        <f t="shared" si="58"/>
        <v>60</v>
      </c>
      <c r="Z86" s="330">
        <f t="shared" si="55"/>
        <v>0</v>
      </c>
      <c r="AA86" s="331">
        <v>588744000</v>
      </c>
      <c r="AB86" s="331">
        <v>0</v>
      </c>
      <c r="AC86" s="331">
        <f t="shared" si="54"/>
        <v>0</v>
      </c>
      <c r="AD86" s="331"/>
      <c r="AE86" s="331"/>
      <c r="AF86" s="331"/>
      <c r="AG86" s="331"/>
      <c r="AH86" s="331"/>
      <c r="AI86" s="331"/>
      <c r="AJ86" s="331"/>
      <c r="AK86" s="331"/>
      <c r="AL86" s="331"/>
      <c r="AM86" s="331"/>
      <c r="AN86" s="331"/>
      <c r="AO86" s="331"/>
      <c r="AP86" s="331">
        <f t="shared" si="59"/>
        <v>588744000</v>
      </c>
      <c r="AQ86" s="332">
        <f t="shared" si="60"/>
        <v>0</v>
      </c>
      <c r="AR86" s="333"/>
      <c r="AS86" s="333"/>
      <c r="AT86" s="365"/>
      <c r="AU86" s="334"/>
      <c r="AV86" s="146" t="s">
        <v>1236</v>
      </c>
      <c r="AW86" s="146">
        <f>IFERROR(VLOOKUP(G86,'[70]Detail Deprec_202508'!$D$33:$I$357,6,FALSE),0)</f>
        <v>0</v>
      </c>
      <c r="AX86" s="146">
        <f t="shared" ref="AX86:AX99" si="61">AW86-AK86</f>
        <v>0</v>
      </c>
    </row>
    <row r="87" spans="1:50" outlineLevel="1">
      <c r="A87" s="324">
        <f t="shared" si="23"/>
        <v>62</v>
      </c>
      <c r="B87" s="336" t="s">
        <v>142</v>
      </c>
      <c r="C87" s="344" t="s">
        <v>143</v>
      </c>
      <c r="D87" s="335">
        <v>154</v>
      </c>
      <c r="E87" s="335" t="s">
        <v>1707</v>
      </c>
      <c r="F87" s="336" t="s">
        <v>374</v>
      </c>
      <c r="G87" s="336" t="s">
        <v>375</v>
      </c>
      <c r="H87" s="368">
        <v>43158</v>
      </c>
      <c r="I87" s="326" t="s">
        <v>284</v>
      </c>
      <c r="J87" s="351" t="s">
        <v>376</v>
      </c>
      <c r="K87" s="351" t="s">
        <v>365</v>
      </c>
      <c r="L87" s="363" t="s">
        <v>331</v>
      </c>
      <c r="M87" s="336"/>
      <c r="N87" s="351">
        <v>2018</v>
      </c>
      <c r="O87" s="351"/>
      <c r="P87" s="351"/>
      <c r="Q87" s="352"/>
      <c r="R87" s="335">
        <v>848</v>
      </c>
      <c r="S87" s="366"/>
      <c r="T87" s="354">
        <v>865600000</v>
      </c>
      <c r="U87" s="327">
        <f t="shared" si="56"/>
        <v>14426666.666666666</v>
      </c>
      <c r="V87" s="336">
        <v>60</v>
      </c>
      <c r="W87" s="329">
        <v>60</v>
      </c>
      <c r="X87" s="328">
        <f t="shared" si="57"/>
        <v>0</v>
      </c>
      <c r="Y87" s="328">
        <f t="shared" si="58"/>
        <v>60</v>
      </c>
      <c r="Z87" s="330">
        <f t="shared" si="55"/>
        <v>0</v>
      </c>
      <c r="AA87" s="331">
        <v>865600000</v>
      </c>
      <c r="AB87" s="331">
        <v>0</v>
      </c>
      <c r="AC87" s="331">
        <f t="shared" si="54"/>
        <v>0</v>
      </c>
      <c r="AD87" s="331"/>
      <c r="AE87" s="331"/>
      <c r="AF87" s="331"/>
      <c r="AG87" s="331"/>
      <c r="AH87" s="331"/>
      <c r="AI87" s="331"/>
      <c r="AJ87" s="331"/>
      <c r="AK87" s="331"/>
      <c r="AL87" s="331"/>
      <c r="AM87" s="331"/>
      <c r="AN87" s="331"/>
      <c r="AO87" s="331"/>
      <c r="AP87" s="331">
        <f t="shared" si="59"/>
        <v>865600000</v>
      </c>
      <c r="AQ87" s="332">
        <f t="shared" si="60"/>
        <v>0</v>
      </c>
      <c r="AR87" s="333"/>
      <c r="AS87" s="333"/>
      <c r="AT87" s="365"/>
      <c r="AU87" s="334" t="s">
        <v>377</v>
      </c>
      <c r="AV87" s="146" t="s">
        <v>1236</v>
      </c>
      <c r="AW87" s="146">
        <f>IFERROR(VLOOKUP(G87,'[70]Detail Deprec_202508'!$D$33:$I$357,6,FALSE),0)</f>
        <v>0</v>
      </c>
      <c r="AX87" s="146">
        <f t="shared" si="61"/>
        <v>0</v>
      </c>
    </row>
    <row r="88" spans="1:50" outlineLevel="1">
      <c r="A88" s="324">
        <f t="shared" si="23"/>
        <v>63</v>
      </c>
      <c r="B88" s="355" t="s">
        <v>142</v>
      </c>
      <c r="C88" s="351" t="s">
        <v>143</v>
      </c>
      <c r="D88" s="335">
        <v>154</v>
      </c>
      <c r="E88" s="335" t="s">
        <v>1707</v>
      </c>
      <c r="F88" s="336" t="s">
        <v>381</v>
      </c>
      <c r="G88" s="336" t="s">
        <v>382</v>
      </c>
      <c r="H88" s="373">
        <v>43220</v>
      </c>
      <c r="I88" s="326" t="s">
        <v>284</v>
      </c>
      <c r="J88" s="351"/>
      <c r="K88" s="351" t="s">
        <v>379</v>
      </c>
      <c r="L88" s="363" t="s">
        <v>380</v>
      </c>
      <c r="M88" s="336"/>
      <c r="N88" s="351">
        <v>2018</v>
      </c>
      <c r="O88" s="351"/>
      <c r="P88" s="351"/>
      <c r="Q88" s="352"/>
      <c r="R88" s="335">
        <v>1</v>
      </c>
      <c r="S88" s="353"/>
      <c r="T88" s="374">
        <v>29500000</v>
      </c>
      <c r="U88" s="327">
        <f t="shared" si="56"/>
        <v>819444.4444444445</v>
      </c>
      <c r="V88" s="336">
        <v>36</v>
      </c>
      <c r="W88" s="329">
        <v>35.999999999999993</v>
      </c>
      <c r="X88" s="328">
        <f t="shared" si="57"/>
        <v>0</v>
      </c>
      <c r="Y88" s="328">
        <f t="shared" si="58"/>
        <v>35.999999999999993</v>
      </c>
      <c r="Z88" s="330">
        <f t="shared" si="55"/>
        <v>0</v>
      </c>
      <c r="AA88" s="331">
        <v>29499999.999999996</v>
      </c>
      <c r="AB88" s="331">
        <v>3.7252902984619141E-9</v>
      </c>
      <c r="AC88" s="331">
        <f t="shared" si="54"/>
        <v>0</v>
      </c>
      <c r="AD88" s="331"/>
      <c r="AE88" s="331"/>
      <c r="AF88" s="331"/>
      <c r="AG88" s="331"/>
      <c r="AH88" s="331"/>
      <c r="AI88" s="331"/>
      <c r="AJ88" s="331"/>
      <c r="AK88" s="331"/>
      <c r="AL88" s="331"/>
      <c r="AM88" s="331"/>
      <c r="AN88" s="331"/>
      <c r="AO88" s="331"/>
      <c r="AP88" s="331">
        <f t="shared" si="59"/>
        <v>29499999.999999996</v>
      </c>
      <c r="AQ88" s="332">
        <f t="shared" si="60"/>
        <v>3.7252902984619141E-9</v>
      </c>
      <c r="AR88" s="333"/>
      <c r="AS88" s="345"/>
      <c r="AT88" s="356"/>
      <c r="AU88" s="347"/>
      <c r="AV88" s="146" t="s">
        <v>1236</v>
      </c>
      <c r="AW88" s="146">
        <f>IFERROR(VLOOKUP(G88,'[70]Detail Deprec_202508'!$D$33:$I$357,6,FALSE),0)</f>
        <v>0</v>
      </c>
      <c r="AX88" s="146">
        <f t="shared" si="61"/>
        <v>0</v>
      </c>
    </row>
    <row r="89" spans="1:50" outlineLevel="1">
      <c r="A89" s="324">
        <f t="shared" si="23"/>
        <v>64</v>
      </c>
      <c r="B89" s="355" t="s">
        <v>142</v>
      </c>
      <c r="C89" s="351" t="s">
        <v>143</v>
      </c>
      <c r="D89" s="335">
        <v>154</v>
      </c>
      <c r="E89" s="335" t="s">
        <v>1707</v>
      </c>
      <c r="F89" s="336" t="s">
        <v>383</v>
      </c>
      <c r="G89" s="336" t="s">
        <v>384</v>
      </c>
      <c r="H89" s="373">
        <v>43220</v>
      </c>
      <c r="I89" s="326" t="s">
        <v>284</v>
      </c>
      <c r="J89" s="351"/>
      <c r="K89" s="351" t="s">
        <v>379</v>
      </c>
      <c r="L89" s="363" t="s">
        <v>380</v>
      </c>
      <c r="M89" s="336"/>
      <c r="N89" s="351">
        <v>2018</v>
      </c>
      <c r="O89" s="351"/>
      <c r="P89" s="351"/>
      <c r="Q89" s="352"/>
      <c r="R89" s="335">
        <v>1</v>
      </c>
      <c r="S89" s="353"/>
      <c r="T89" s="374">
        <v>29500000</v>
      </c>
      <c r="U89" s="327">
        <f t="shared" si="56"/>
        <v>819444.4444444445</v>
      </c>
      <c r="V89" s="336">
        <v>36</v>
      </c>
      <c r="W89" s="329">
        <v>35.999999999999993</v>
      </c>
      <c r="X89" s="328">
        <f t="shared" si="57"/>
        <v>0</v>
      </c>
      <c r="Y89" s="328">
        <f t="shared" si="58"/>
        <v>35.999999999999993</v>
      </c>
      <c r="Z89" s="330">
        <f t="shared" si="55"/>
        <v>0</v>
      </c>
      <c r="AA89" s="331">
        <v>29499999.999999996</v>
      </c>
      <c r="AB89" s="331">
        <v>3.7252902984619141E-9</v>
      </c>
      <c r="AC89" s="331">
        <f t="shared" si="54"/>
        <v>0</v>
      </c>
      <c r="AD89" s="331"/>
      <c r="AE89" s="331"/>
      <c r="AF89" s="331"/>
      <c r="AG89" s="331"/>
      <c r="AH89" s="331"/>
      <c r="AI89" s="331"/>
      <c r="AJ89" s="331"/>
      <c r="AK89" s="331"/>
      <c r="AL89" s="331"/>
      <c r="AM89" s="331"/>
      <c r="AN89" s="331"/>
      <c r="AO89" s="331"/>
      <c r="AP89" s="331">
        <f t="shared" si="59"/>
        <v>29499999.999999996</v>
      </c>
      <c r="AQ89" s="332">
        <f t="shared" si="60"/>
        <v>3.7252902984619141E-9</v>
      </c>
      <c r="AR89" s="333"/>
      <c r="AS89" s="345"/>
      <c r="AT89" s="356"/>
      <c r="AU89" s="347"/>
      <c r="AV89" s="146" t="s">
        <v>1236</v>
      </c>
      <c r="AW89" s="146">
        <f>IFERROR(VLOOKUP(G89,'[70]Detail Deprec_202508'!$D$33:$I$357,6,FALSE),0)</f>
        <v>0</v>
      </c>
      <c r="AX89" s="146">
        <f t="shared" si="61"/>
        <v>0</v>
      </c>
    </row>
    <row r="90" spans="1:50" outlineLevel="1">
      <c r="A90" s="324">
        <f t="shared" si="23"/>
        <v>65</v>
      </c>
      <c r="B90" s="355" t="s">
        <v>142</v>
      </c>
      <c r="C90" s="351" t="s">
        <v>143</v>
      </c>
      <c r="D90" s="335">
        <v>154</v>
      </c>
      <c r="E90" s="335" t="s">
        <v>1707</v>
      </c>
      <c r="F90" s="336" t="s">
        <v>385</v>
      </c>
      <c r="G90" s="336" t="s">
        <v>386</v>
      </c>
      <c r="H90" s="373">
        <v>43220</v>
      </c>
      <c r="I90" s="326" t="s">
        <v>284</v>
      </c>
      <c r="J90" s="351"/>
      <c r="K90" s="351" t="s">
        <v>379</v>
      </c>
      <c r="L90" s="363" t="s">
        <v>380</v>
      </c>
      <c r="M90" s="336"/>
      <c r="N90" s="351">
        <v>2018</v>
      </c>
      <c r="O90" s="351"/>
      <c r="P90" s="351"/>
      <c r="Q90" s="352"/>
      <c r="R90" s="335">
        <v>1</v>
      </c>
      <c r="S90" s="353"/>
      <c r="T90" s="374">
        <v>29500000</v>
      </c>
      <c r="U90" s="327">
        <f t="shared" si="56"/>
        <v>819444.4444444445</v>
      </c>
      <c r="V90" s="336">
        <v>36</v>
      </c>
      <c r="W90" s="329">
        <v>35.999999999999993</v>
      </c>
      <c r="X90" s="328">
        <f t="shared" si="57"/>
        <v>0</v>
      </c>
      <c r="Y90" s="328">
        <f t="shared" si="58"/>
        <v>35.999999999999993</v>
      </c>
      <c r="Z90" s="330">
        <f t="shared" si="55"/>
        <v>0</v>
      </c>
      <c r="AA90" s="331">
        <v>29499999.999999996</v>
      </c>
      <c r="AB90" s="331">
        <v>3.7252902984619141E-9</v>
      </c>
      <c r="AC90" s="331">
        <f t="shared" si="54"/>
        <v>0</v>
      </c>
      <c r="AD90" s="331"/>
      <c r="AE90" s="331"/>
      <c r="AF90" s="331"/>
      <c r="AG90" s="331"/>
      <c r="AH90" s="331"/>
      <c r="AI90" s="331"/>
      <c r="AJ90" s="331"/>
      <c r="AK90" s="331"/>
      <c r="AL90" s="331"/>
      <c r="AM90" s="331"/>
      <c r="AN90" s="331"/>
      <c r="AO90" s="331"/>
      <c r="AP90" s="331">
        <f t="shared" si="59"/>
        <v>29499999.999999996</v>
      </c>
      <c r="AQ90" s="332">
        <f t="shared" si="60"/>
        <v>3.7252902984619141E-9</v>
      </c>
      <c r="AR90" s="333"/>
      <c r="AS90" s="345"/>
      <c r="AT90" s="356"/>
      <c r="AU90" s="347"/>
      <c r="AV90" s="146" t="s">
        <v>1236</v>
      </c>
      <c r="AW90" s="146">
        <f>IFERROR(VLOOKUP(G90,'[70]Detail Deprec_202508'!$D$33:$I$357,6,FALSE),0)</f>
        <v>0</v>
      </c>
      <c r="AX90" s="146">
        <f t="shared" si="61"/>
        <v>0</v>
      </c>
    </row>
    <row r="91" spans="1:50" outlineLevel="1">
      <c r="A91" s="324">
        <f t="shared" si="23"/>
        <v>66</v>
      </c>
      <c r="B91" s="355" t="s">
        <v>142</v>
      </c>
      <c r="C91" s="351" t="s">
        <v>143</v>
      </c>
      <c r="D91" s="335">
        <v>154</v>
      </c>
      <c r="E91" s="335" t="s">
        <v>1707</v>
      </c>
      <c r="F91" s="336" t="s">
        <v>387</v>
      </c>
      <c r="G91" s="336" t="s">
        <v>388</v>
      </c>
      <c r="H91" s="373">
        <v>43220</v>
      </c>
      <c r="I91" s="326" t="s">
        <v>284</v>
      </c>
      <c r="J91" s="351"/>
      <c r="K91" s="351" t="s">
        <v>379</v>
      </c>
      <c r="L91" s="363" t="s">
        <v>380</v>
      </c>
      <c r="M91" s="336"/>
      <c r="N91" s="351">
        <v>2018</v>
      </c>
      <c r="O91" s="351"/>
      <c r="P91" s="351"/>
      <c r="Q91" s="352"/>
      <c r="R91" s="335">
        <v>1</v>
      </c>
      <c r="S91" s="353"/>
      <c r="T91" s="374">
        <v>29500000</v>
      </c>
      <c r="U91" s="327">
        <f t="shared" si="56"/>
        <v>819444.4444444445</v>
      </c>
      <c r="V91" s="336">
        <v>36</v>
      </c>
      <c r="W91" s="329">
        <v>35.999999999999993</v>
      </c>
      <c r="X91" s="328">
        <f t="shared" si="57"/>
        <v>0</v>
      </c>
      <c r="Y91" s="328">
        <f t="shared" si="58"/>
        <v>35.999999999999993</v>
      </c>
      <c r="Z91" s="330">
        <f t="shared" si="55"/>
        <v>0</v>
      </c>
      <c r="AA91" s="331">
        <v>29499999.999999996</v>
      </c>
      <c r="AB91" s="331">
        <v>3.7252902984619141E-9</v>
      </c>
      <c r="AC91" s="331">
        <f t="shared" si="54"/>
        <v>0</v>
      </c>
      <c r="AD91" s="331"/>
      <c r="AE91" s="331"/>
      <c r="AF91" s="331"/>
      <c r="AG91" s="331"/>
      <c r="AH91" s="331"/>
      <c r="AI91" s="331"/>
      <c r="AJ91" s="331"/>
      <c r="AK91" s="331"/>
      <c r="AL91" s="331"/>
      <c r="AM91" s="331"/>
      <c r="AN91" s="331"/>
      <c r="AO91" s="331"/>
      <c r="AP91" s="331">
        <f t="shared" si="59"/>
        <v>29499999.999999996</v>
      </c>
      <c r="AQ91" s="332">
        <f t="shared" si="60"/>
        <v>3.7252902984619141E-9</v>
      </c>
      <c r="AR91" s="333"/>
      <c r="AS91" s="345"/>
      <c r="AT91" s="356"/>
      <c r="AU91" s="347"/>
      <c r="AV91" s="146" t="s">
        <v>1236</v>
      </c>
      <c r="AW91" s="146">
        <f>IFERROR(VLOOKUP(G91,'[70]Detail Deprec_202508'!$D$33:$I$357,6,FALSE),0)</f>
        <v>0</v>
      </c>
      <c r="AX91" s="146">
        <f t="shared" si="61"/>
        <v>0</v>
      </c>
    </row>
    <row r="92" spans="1:50" outlineLevel="1">
      <c r="A92" s="324">
        <f t="shared" si="23"/>
        <v>67</v>
      </c>
      <c r="B92" s="355" t="s">
        <v>142</v>
      </c>
      <c r="C92" s="344" t="s">
        <v>143</v>
      </c>
      <c r="D92" s="335">
        <v>154</v>
      </c>
      <c r="E92" s="335" t="s">
        <v>1707</v>
      </c>
      <c r="F92" s="336" t="s">
        <v>389</v>
      </c>
      <c r="G92" s="336" t="s">
        <v>390</v>
      </c>
      <c r="H92" s="373">
        <v>43343</v>
      </c>
      <c r="I92" s="326" t="s">
        <v>284</v>
      </c>
      <c r="J92" s="351" t="s">
        <v>391</v>
      </c>
      <c r="K92" s="351" t="s">
        <v>365</v>
      </c>
      <c r="L92" s="363" t="s">
        <v>331</v>
      </c>
      <c r="M92" s="336"/>
      <c r="N92" s="351">
        <v>2018</v>
      </c>
      <c r="O92" s="351"/>
      <c r="P92" s="351"/>
      <c r="Q92" s="352"/>
      <c r="R92" s="335">
        <v>701</v>
      </c>
      <c r="S92" s="353"/>
      <c r="T92" s="374">
        <v>847200000</v>
      </c>
      <c r="U92" s="327">
        <f t="shared" si="56"/>
        <v>14120000</v>
      </c>
      <c r="V92" s="336">
        <v>60</v>
      </c>
      <c r="W92" s="329">
        <v>60</v>
      </c>
      <c r="X92" s="328">
        <f t="shared" si="57"/>
        <v>0</v>
      </c>
      <c r="Y92" s="328">
        <f t="shared" si="58"/>
        <v>60</v>
      </c>
      <c r="Z92" s="330">
        <f t="shared" ref="Z92:Z96" si="62">+V92-Y92</f>
        <v>0</v>
      </c>
      <c r="AA92" s="331">
        <v>847200000</v>
      </c>
      <c r="AB92" s="331">
        <v>0</v>
      </c>
      <c r="AC92" s="331">
        <f t="shared" si="54"/>
        <v>0</v>
      </c>
      <c r="AD92" s="331"/>
      <c r="AE92" s="331"/>
      <c r="AF92" s="331"/>
      <c r="AG92" s="331"/>
      <c r="AH92" s="331"/>
      <c r="AI92" s="331"/>
      <c r="AJ92" s="331"/>
      <c r="AK92" s="331"/>
      <c r="AL92" s="331"/>
      <c r="AM92" s="331"/>
      <c r="AN92" s="331"/>
      <c r="AO92" s="331"/>
      <c r="AP92" s="331">
        <f t="shared" si="59"/>
        <v>847200000</v>
      </c>
      <c r="AQ92" s="332">
        <f t="shared" si="60"/>
        <v>0</v>
      </c>
      <c r="AR92" s="333"/>
      <c r="AS92" s="345"/>
      <c r="AT92" s="356"/>
      <c r="AU92" s="347"/>
      <c r="AV92" s="146" t="s">
        <v>1236</v>
      </c>
      <c r="AW92" s="146">
        <f>IFERROR(VLOOKUP(G92,'[70]Detail Deprec_202508'!$D$33:$I$357,6,FALSE),0)</f>
        <v>0</v>
      </c>
      <c r="AX92" s="146">
        <f t="shared" si="61"/>
        <v>0</v>
      </c>
    </row>
    <row r="93" spans="1:50" outlineLevel="1">
      <c r="A93" s="324">
        <f t="shared" si="23"/>
        <v>68</v>
      </c>
      <c r="B93" s="355" t="s">
        <v>142</v>
      </c>
      <c r="C93" s="344" t="s">
        <v>143</v>
      </c>
      <c r="D93" s="335">
        <v>154</v>
      </c>
      <c r="E93" s="335" t="s">
        <v>1707</v>
      </c>
      <c r="F93" s="336" t="s">
        <v>392</v>
      </c>
      <c r="G93" s="336" t="s">
        <v>393</v>
      </c>
      <c r="H93" s="373">
        <v>43343</v>
      </c>
      <c r="I93" s="326" t="s">
        <v>284</v>
      </c>
      <c r="J93" s="351" t="s">
        <v>394</v>
      </c>
      <c r="K93" s="351" t="s">
        <v>365</v>
      </c>
      <c r="L93" s="363" t="s">
        <v>331</v>
      </c>
      <c r="M93" s="336"/>
      <c r="N93" s="351">
        <v>2018</v>
      </c>
      <c r="O93" s="351"/>
      <c r="P93" s="351"/>
      <c r="Q93" s="352"/>
      <c r="R93" s="335">
        <v>255</v>
      </c>
      <c r="S93" s="353"/>
      <c r="T93" s="374">
        <v>636750000</v>
      </c>
      <c r="U93" s="327">
        <f t="shared" si="56"/>
        <v>10612500</v>
      </c>
      <c r="V93" s="336">
        <v>60</v>
      </c>
      <c r="W93" s="329">
        <v>60</v>
      </c>
      <c r="X93" s="328">
        <f t="shared" si="57"/>
        <v>0</v>
      </c>
      <c r="Y93" s="328">
        <f t="shared" si="58"/>
        <v>60</v>
      </c>
      <c r="Z93" s="330">
        <f t="shared" si="62"/>
        <v>0</v>
      </c>
      <c r="AA93" s="331">
        <v>636750000</v>
      </c>
      <c r="AB93" s="331">
        <v>0</v>
      </c>
      <c r="AC93" s="331">
        <f t="shared" si="54"/>
        <v>0</v>
      </c>
      <c r="AD93" s="331"/>
      <c r="AE93" s="331"/>
      <c r="AF93" s="331"/>
      <c r="AG93" s="331"/>
      <c r="AH93" s="331"/>
      <c r="AI93" s="331"/>
      <c r="AJ93" s="331"/>
      <c r="AK93" s="331"/>
      <c r="AL93" s="331"/>
      <c r="AM93" s="331"/>
      <c r="AN93" s="331"/>
      <c r="AO93" s="331"/>
      <c r="AP93" s="331">
        <f t="shared" si="59"/>
        <v>636750000</v>
      </c>
      <c r="AQ93" s="332">
        <f t="shared" si="60"/>
        <v>0</v>
      </c>
      <c r="AR93" s="333"/>
      <c r="AS93" s="345"/>
      <c r="AT93" s="356"/>
      <c r="AU93" s="347"/>
      <c r="AV93" s="146" t="s">
        <v>1236</v>
      </c>
      <c r="AW93" s="146">
        <f>IFERROR(VLOOKUP(G93,'[70]Detail Deprec_202508'!$D$33:$I$357,6,FALSE),0)</f>
        <v>0</v>
      </c>
      <c r="AX93" s="146">
        <f t="shared" si="61"/>
        <v>0</v>
      </c>
    </row>
    <row r="94" spans="1:50" outlineLevel="1">
      <c r="A94" s="324">
        <f t="shared" si="23"/>
        <v>69</v>
      </c>
      <c r="B94" s="355" t="s">
        <v>197</v>
      </c>
      <c r="C94" s="344" t="s">
        <v>143</v>
      </c>
      <c r="D94" s="335">
        <v>154</v>
      </c>
      <c r="E94" s="335" t="s">
        <v>1087</v>
      </c>
      <c r="F94" s="336" t="s">
        <v>396</v>
      </c>
      <c r="G94" s="336" t="s">
        <v>397</v>
      </c>
      <c r="H94" s="373">
        <v>43370</v>
      </c>
      <c r="I94" s="326" t="s">
        <v>284</v>
      </c>
      <c r="J94" s="351" t="s">
        <v>398</v>
      </c>
      <c r="K94" s="351" t="s">
        <v>399</v>
      </c>
      <c r="L94" s="363" t="s">
        <v>400</v>
      </c>
      <c r="M94" s="336" t="s">
        <v>401</v>
      </c>
      <c r="N94" s="351">
        <v>2018</v>
      </c>
      <c r="O94" s="351"/>
      <c r="P94" s="351"/>
      <c r="Q94" s="352"/>
      <c r="R94" s="335">
        <v>1</v>
      </c>
      <c r="S94" s="353"/>
      <c r="T94" s="374">
        <v>70726150</v>
      </c>
      <c r="U94" s="327">
        <f t="shared" si="56"/>
        <v>1178769.1666666667</v>
      </c>
      <c r="V94" s="336">
        <v>60</v>
      </c>
      <c r="W94" s="329">
        <v>59.999999999999993</v>
      </c>
      <c r="X94" s="328">
        <f t="shared" si="57"/>
        <v>0</v>
      </c>
      <c r="Y94" s="328">
        <f t="shared" si="58"/>
        <v>59.999999999999993</v>
      </c>
      <c r="Z94" s="330">
        <f t="shared" si="62"/>
        <v>0</v>
      </c>
      <c r="AA94" s="331">
        <v>70726150</v>
      </c>
      <c r="AB94" s="331">
        <v>0</v>
      </c>
      <c r="AC94" s="331">
        <f t="shared" si="54"/>
        <v>0</v>
      </c>
      <c r="AD94" s="331"/>
      <c r="AE94" s="331"/>
      <c r="AF94" s="331"/>
      <c r="AG94" s="331"/>
      <c r="AH94" s="331"/>
      <c r="AI94" s="331"/>
      <c r="AJ94" s="331"/>
      <c r="AK94" s="331"/>
      <c r="AL94" s="331"/>
      <c r="AM94" s="331"/>
      <c r="AN94" s="331"/>
      <c r="AO94" s="331"/>
      <c r="AP94" s="331">
        <f t="shared" si="59"/>
        <v>70726150</v>
      </c>
      <c r="AQ94" s="332">
        <f t="shared" si="60"/>
        <v>0</v>
      </c>
      <c r="AR94" s="333"/>
      <c r="AS94" s="345"/>
      <c r="AT94" s="356"/>
      <c r="AU94" s="347"/>
      <c r="AV94" s="146" t="s">
        <v>1236</v>
      </c>
      <c r="AW94" s="146">
        <f>IFERROR(VLOOKUP(G94,'[70]Detail Deprec_202508'!$D$33:$I$357,6,FALSE),0)</f>
        <v>0</v>
      </c>
      <c r="AX94" s="146">
        <f t="shared" si="61"/>
        <v>0</v>
      </c>
    </row>
    <row r="95" spans="1:50" outlineLevel="1">
      <c r="A95" s="324">
        <f t="shared" si="23"/>
        <v>70</v>
      </c>
      <c r="B95" s="355" t="s">
        <v>197</v>
      </c>
      <c r="C95" s="344" t="s">
        <v>143</v>
      </c>
      <c r="D95" s="335">
        <v>154</v>
      </c>
      <c r="E95" s="335" t="s">
        <v>1087</v>
      </c>
      <c r="F95" s="336" t="s">
        <v>402</v>
      </c>
      <c r="G95" s="336" t="s">
        <v>403</v>
      </c>
      <c r="H95" s="373">
        <v>43370</v>
      </c>
      <c r="I95" s="326" t="s">
        <v>284</v>
      </c>
      <c r="J95" s="351" t="s">
        <v>398</v>
      </c>
      <c r="K95" s="351" t="s">
        <v>404</v>
      </c>
      <c r="L95" s="363" t="s">
        <v>400</v>
      </c>
      <c r="M95" s="336" t="s">
        <v>401</v>
      </c>
      <c r="N95" s="351">
        <v>2018</v>
      </c>
      <c r="O95" s="351"/>
      <c r="P95" s="351"/>
      <c r="Q95" s="352"/>
      <c r="R95" s="335">
        <v>1</v>
      </c>
      <c r="S95" s="353"/>
      <c r="T95" s="374">
        <v>32227800</v>
      </c>
      <c r="U95" s="327">
        <f t="shared" si="56"/>
        <v>537130</v>
      </c>
      <c r="V95" s="336">
        <v>60</v>
      </c>
      <c r="W95" s="329">
        <v>60</v>
      </c>
      <c r="X95" s="328">
        <f t="shared" si="57"/>
        <v>0</v>
      </c>
      <c r="Y95" s="328">
        <f t="shared" si="58"/>
        <v>60</v>
      </c>
      <c r="Z95" s="330">
        <f t="shared" si="62"/>
        <v>0</v>
      </c>
      <c r="AA95" s="331">
        <v>32227800</v>
      </c>
      <c r="AB95" s="331">
        <v>0</v>
      </c>
      <c r="AC95" s="331">
        <f t="shared" si="54"/>
        <v>0</v>
      </c>
      <c r="AD95" s="331"/>
      <c r="AE95" s="331"/>
      <c r="AF95" s="331"/>
      <c r="AG95" s="331"/>
      <c r="AH95" s="331"/>
      <c r="AI95" s="331"/>
      <c r="AJ95" s="331"/>
      <c r="AK95" s="331"/>
      <c r="AL95" s="331"/>
      <c r="AM95" s="331"/>
      <c r="AN95" s="331"/>
      <c r="AO95" s="331"/>
      <c r="AP95" s="331">
        <f t="shared" si="59"/>
        <v>32227800</v>
      </c>
      <c r="AQ95" s="332">
        <f t="shared" si="60"/>
        <v>0</v>
      </c>
      <c r="AR95" s="333"/>
      <c r="AS95" s="345"/>
      <c r="AT95" s="356"/>
      <c r="AU95" s="347"/>
      <c r="AV95" s="146" t="s">
        <v>1236</v>
      </c>
      <c r="AW95" s="146">
        <f>IFERROR(VLOOKUP(G95,'[70]Detail Deprec_202508'!$D$33:$I$357,6,FALSE),0)</f>
        <v>0</v>
      </c>
      <c r="AX95" s="146">
        <f t="shared" si="61"/>
        <v>0</v>
      </c>
    </row>
    <row r="96" spans="1:50" outlineLevel="1">
      <c r="A96" s="324">
        <f t="shared" si="23"/>
        <v>71</v>
      </c>
      <c r="B96" s="355" t="s">
        <v>197</v>
      </c>
      <c r="C96" s="344" t="s">
        <v>143</v>
      </c>
      <c r="D96" s="335">
        <v>154</v>
      </c>
      <c r="E96" s="335" t="s">
        <v>1087</v>
      </c>
      <c r="F96" s="336" t="s">
        <v>405</v>
      </c>
      <c r="G96" s="336" t="s">
        <v>406</v>
      </c>
      <c r="H96" s="373">
        <v>43370</v>
      </c>
      <c r="I96" s="326" t="s">
        <v>284</v>
      </c>
      <c r="J96" s="351" t="s">
        <v>398</v>
      </c>
      <c r="K96" s="351" t="s">
        <v>407</v>
      </c>
      <c r="L96" s="363" t="s">
        <v>400</v>
      </c>
      <c r="M96" s="336" t="s">
        <v>401</v>
      </c>
      <c r="N96" s="351">
        <v>2018</v>
      </c>
      <c r="O96" s="351"/>
      <c r="P96" s="351"/>
      <c r="Q96" s="352"/>
      <c r="R96" s="335">
        <v>1</v>
      </c>
      <c r="S96" s="353"/>
      <c r="T96" s="374">
        <v>228315940</v>
      </c>
      <c r="U96" s="327">
        <f t="shared" si="56"/>
        <v>3805265.6666666665</v>
      </c>
      <c r="V96" s="336">
        <v>60</v>
      </c>
      <c r="W96" s="329">
        <v>60</v>
      </c>
      <c r="X96" s="328">
        <f t="shared" si="57"/>
        <v>0</v>
      </c>
      <c r="Y96" s="328">
        <f t="shared" si="58"/>
        <v>60</v>
      </c>
      <c r="Z96" s="330">
        <f t="shared" si="62"/>
        <v>0</v>
      </c>
      <c r="AA96" s="331">
        <v>228315940</v>
      </c>
      <c r="AB96" s="331">
        <v>0</v>
      </c>
      <c r="AC96" s="331">
        <f t="shared" si="54"/>
        <v>0</v>
      </c>
      <c r="AD96" s="331"/>
      <c r="AE96" s="331"/>
      <c r="AF96" s="331"/>
      <c r="AG96" s="331"/>
      <c r="AH96" s="331"/>
      <c r="AI96" s="331"/>
      <c r="AJ96" s="331"/>
      <c r="AK96" s="331"/>
      <c r="AL96" s="331"/>
      <c r="AM96" s="331"/>
      <c r="AN96" s="331"/>
      <c r="AO96" s="331"/>
      <c r="AP96" s="331">
        <f t="shared" si="59"/>
        <v>228315940</v>
      </c>
      <c r="AQ96" s="332">
        <f t="shared" si="60"/>
        <v>0</v>
      </c>
      <c r="AR96" s="333"/>
      <c r="AS96" s="345"/>
      <c r="AT96" s="356"/>
      <c r="AU96" s="347"/>
      <c r="AV96" s="146" t="s">
        <v>1236</v>
      </c>
      <c r="AW96" s="146">
        <f>IFERROR(VLOOKUP(G96,'[70]Detail Deprec_202508'!$D$33:$I$357,6,FALSE),0)</f>
        <v>0</v>
      </c>
      <c r="AX96" s="146">
        <f t="shared" si="61"/>
        <v>0</v>
      </c>
    </row>
    <row r="97" spans="1:50" s="522" customFormat="1" outlineLevel="1">
      <c r="A97" s="719">
        <f t="shared" si="23"/>
        <v>72</v>
      </c>
      <c r="B97" s="609" t="s">
        <v>142</v>
      </c>
      <c r="C97" s="610" t="s">
        <v>143</v>
      </c>
      <c r="D97" s="772">
        <v>154</v>
      </c>
      <c r="E97" s="772" t="s">
        <v>1707</v>
      </c>
      <c r="F97" s="609" t="s">
        <v>408</v>
      </c>
      <c r="G97" s="609" t="s">
        <v>409</v>
      </c>
      <c r="H97" s="773">
        <v>44027</v>
      </c>
      <c r="I97" s="774" t="s">
        <v>284</v>
      </c>
      <c r="J97" s="610" t="s">
        <v>410</v>
      </c>
      <c r="K97" s="610" t="s">
        <v>411</v>
      </c>
      <c r="L97" s="775" t="s">
        <v>331</v>
      </c>
      <c r="M97" s="609"/>
      <c r="N97" s="610">
        <v>2020</v>
      </c>
      <c r="O97" s="610" t="s">
        <v>412</v>
      </c>
      <c r="P97" s="610" t="s">
        <v>413</v>
      </c>
      <c r="Q97" s="776" t="s">
        <v>414</v>
      </c>
      <c r="R97" s="772">
        <v>344</v>
      </c>
      <c r="S97" s="777"/>
      <c r="T97" s="611">
        <v>412700000</v>
      </c>
      <c r="U97" s="778">
        <f t="shared" si="56"/>
        <v>6878333.333333333</v>
      </c>
      <c r="V97" s="609">
        <v>60</v>
      </c>
      <c r="W97" s="779">
        <v>54</v>
      </c>
      <c r="X97" s="780">
        <f t="shared" si="57"/>
        <v>6</v>
      </c>
      <c r="Y97" s="781">
        <f t="shared" si="58"/>
        <v>60</v>
      </c>
      <c r="Z97" s="781">
        <f t="shared" ref="Z97:Z99" si="63">+V97-Y97</f>
        <v>0</v>
      </c>
      <c r="AA97" s="782">
        <v>371430000</v>
      </c>
      <c r="AB97" s="782">
        <v>41270000</v>
      </c>
      <c r="AC97" s="782">
        <f>SUM(AD97:AO97)</f>
        <v>41270000</v>
      </c>
      <c r="AD97" s="782">
        <v>6878333.333333333</v>
      </c>
      <c r="AE97" s="782">
        <v>6878333.333333333</v>
      </c>
      <c r="AF97" s="782">
        <v>6878333.333333333</v>
      </c>
      <c r="AG97" s="782">
        <v>6878333.333333333</v>
      </c>
      <c r="AH97" s="782">
        <v>6878333.333333333</v>
      </c>
      <c r="AI97" s="782">
        <v>6878333.333333333</v>
      </c>
      <c r="AJ97" s="782"/>
      <c r="AK97" s="782"/>
      <c r="AL97" s="782"/>
      <c r="AM97" s="782"/>
      <c r="AN97" s="782"/>
      <c r="AO97" s="782"/>
      <c r="AP97" s="782">
        <f t="shared" si="59"/>
        <v>412700000</v>
      </c>
      <c r="AQ97" s="783">
        <f t="shared" si="60"/>
        <v>0</v>
      </c>
      <c r="AR97" s="784"/>
      <c r="AS97" s="784"/>
      <c r="AT97" s="612"/>
      <c r="AU97" s="785"/>
      <c r="AV97" s="655" t="s">
        <v>1236</v>
      </c>
      <c r="AW97" s="655">
        <f>IFERROR(VLOOKUP(G97,'[70]Detail Deprec_202508'!$D$33:$I$357,6,FALSE),0)</f>
        <v>0</v>
      </c>
      <c r="AX97" s="655">
        <f t="shared" si="61"/>
        <v>0</v>
      </c>
    </row>
    <row r="98" spans="1:50" outlineLevel="1">
      <c r="A98" s="324">
        <f t="shared" si="23"/>
        <v>73</v>
      </c>
      <c r="B98" s="355" t="s">
        <v>142</v>
      </c>
      <c r="C98" s="425" t="s">
        <v>143</v>
      </c>
      <c r="D98" s="335">
        <v>154</v>
      </c>
      <c r="E98" s="335" t="s">
        <v>1707</v>
      </c>
      <c r="F98" s="336" t="s">
        <v>416</v>
      </c>
      <c r="G98" s="336" t="s">
        <v>417</v>
      </c>
      <c r="H98" s="373">
        <v>44042</v>
      </c>
      <c r="I98" s="326" t="s">
        <v>284</v>
      </c>
      <c r="J98" s="351" t="s">
        <v>418</v>
      </c>
      <c r="K98" s="351" t="s">
        <v>419</v>
      </c>
      <c r="L98" s="363" t="s">
        <v>395</v>
      </c>
      <c r="M98" s="336"/>
      <c r="N98" s="351">
        <v>2020</v>
      </c>
      <c r="O98" s="351" t="s">
        <v>415</v>
      </c>
      <c r="P98" s="351"/>
      <c r="Q98" s="376"/>
      <c r="R98" s="335">
        <v>1</v>
      </c>
      <c r="S98" s="375"/>
      <c r="T98" s="374">
        <v>35180636</v>
      </c>
      <c r="U98" s="327">
        <f t="shared" si="56"/>
        <v>586343.93333333335</v>
      </c>
      <c r="V98" s="336">
        <v>60</v>
      </c>
      <c r="W98" s="329">
        <v>60.000000000000014</v>
      </c>
      <c r="X98" s="328">
        <f t="shared" si="57"/>
        <v>0</v>
      </c>
      <c r="Y98" s="330">
        <f t="shared" si="58"/>
        <v>60.000000000000014</v>
      </c>
      <c r="Z98" s="330">
        <f t="shared" si="63"/>
        <v>0</v>
      </c>
      <c r="AA98" s="331">
        <v>35180636.000000007</v>
      </c>
      <c r="AB98" s="331">
        <v>-7.4505805969238281E-9</v>
      </c>
      <c r="AC98" s="331">
        <f t="shared" ref="AC98" si="64">SUM(AD98:AL98)</f>
        <v>0</v>
      </c>
      <c r="AD98" s="331"/>
      <c r="AE98" s="331"/>
      <c r="AF98" s="331"/>
      <c r="AG98" s="331"/>
      <c r="AH98" s="331"/>
      <c r="AI98" s="331"/>
      <c r="AJ98" s="331"/>
      <c r="AK98" s="331"/>
      <c r="AL98" s="331"/>
      <c r="AM98" s="331"/>
      <c r="AN98" s="331"/>
      <c r="AO98" s="331"/>
      <c r="AP98" s="331">
        <f t="shared" si="59"/>
        <v>35180636.000000007</v>
      </c>
      <c r="AQ98" s="332">
        <f t="shared" si="60"/>
        <v>-7.4505805969238281E-9</v>
      </c>
      <c r="AR98" s="333"/>
      <c r="AS98" s="345"/>
      <c r="AT98" s="356"/>
      <c r="AU98" s="347"/>
      <c r="AV98" s="146" t="s">
        <v>1236</v>
      </c>
      <c r="AW98" s="146">
        <f>IFERROR(VLOOKUP(G98,'[70]Detail Deprec_202508'!$D$33:$I$357,6,FALSE),0)</f>
        <v>0</v>
      </c>
      <c r="AX98" s="146">
        <f t="shared" si="61"/>
        <v>0</v>
      </c>
    </row>
    <row r="99" spans="1:50" outlineLevel="1">
      <c r="A99" s="324">
        <f t="shared" si="23"/>
        <v>74</v>
      </c>
      <c r="B99" s="355" t="s">
        <v>142</v>
      </c>
      <c r="C99" s="425" t="s">
        <v>143</v>
      </c>
      <c r="D99" s="335">
        <v>154</v>
      </c>
      <c r="E99" s="335" t="s">
        <v>1707</v>
      </c>
      <c r="F99" s="336" t="s">
        <v>420</v>
      </c>
      <c r="G99" s="336" t="s">
        <v>421</v>
      </c>
      <c r="H99" s="373">
        <v>44286</v>
      </c>
      <c r="I99" s="326" t="s">
        <v>284</v>
      </c>
      <c r="J99" s="351" t="s">
        <v>422</v>
      </c>
      <c r="K99" s="351" t="s">
        <v>423</v>
      </c>
      <c r="L99" s="363" t="s">
        <v>135</v>
      </c>
      <c r="M99" s="336"/>
      <c r="N99" s="351">
        <v>2021</v>
      </c>
      <c r="O99" s="351" t="s">
        <v>424</v>
      </c>
      <c r="P99" s="351" t="s">
        <v>425</v>
      </c>
      <c r="Q99" s="351" t="s">
        <v>426</v>
      </c>
      <c r="R99" s="335">
        <v>905</v>
      </c>
      <c r="S99" s="353"/>
      <c r="T99" s="374">
        <v>1487754320</v>
      </c>
      <c r="U99" s="327">
        <f t="shared" ref="U99:U100" si="65">+T99/V99</f>
        <v>24795905.333333332</v>
      </c>
      <c r="V99" s="336">
        <v>60</v>
      </c>
      <c r="W99" s="329">
        <v>46</v>
      </c>
      <c r="X99" s="328">
        <f t="shared" ref="X99:X100" si="66">+AC99/U99</f>
        <v>12</v>
      </c>
      <c r="Y99" s="330">
        <f t="shared" ref="Y99:Y100" si="67">+W99+X99</f>
        <v>58</v>
      </c>
      <c r="Z99" s="330">
        <f t="shared" si="63"/>
        <v>2</v>
      </c>
      <c r="AA99" s="331">
        <v>1140611645.3333335</v>
      </c>
      <c r="AB99" s="331">
        <v>347142674.66666651</v>
      </c>
      <c r="AC99" s="331">
        <f>SUM(AD99:AO99)</f>
        <v>297550864</v>
      </c>
      <c r="AD99" s="331">
        <v>24795905.333333332</v>
      </c>
      <c r="AE99" s="331">
        <v>24795905.333333332</v>
      </c>
      <c r="AF99" s="331">
        <v>24795905.333333332</v>
      </c>
      <c r="AG99" s="331">
        <v>24795905.333333332</v>
      </c>
      <c r="AH99" s="331">
        <v>24795905.333333332</v>
      </c>
      <c r="AI99" s="331">
        <v>24795905.333333332</v>
      </c>
      <c r="AJ99" s="331">
        <v>24795905.333333332</v>
      </c>
      <c r="AK99" s="331">
        <v>24795905.333333332</v>
      </c>
      <c r="AL99" s="331">
        <v>24795905.333333332</v>
      </c>
      <c r="AM99" s="331">
        <v>24795905.333333332</v>
      </c>
      <c r="AN99" s="331">
        <v>24795905.333333332</v>
      </c>
      <c r="AO99" s="331">
        <v>24795905.333333332</v>
      </c>
      <c r="AP99" s="331">
        <f t="shared" ref="AP99:AP100" si="68">+AA99+AC99</f>
        <v>1438162509.3333335</v>
      </c>
      <c r="AQ99" s="332">
        <f t="shared" ref="AQ99:AQ100" si="69">IF(AS99=$AS$24,((T99-AP99)*0),T99-AP99)</f>
        <v>49591810.666666508</v>
      </c>
      <c r="AR99" s="333"/>
      <c r="AS99" s="345"/>
      <c r="AT99" s="356"/>
      <c r="AU99" s="357">
        <v>44286</v>
      </c>
      <c r="AV99" s="146" t="s">
        <v>1236</v>
      </c>
      <c r="AW99" s="146">
        <f>IFERROR(VLOOKUP(G99,'[70]Detail Deprec_202508'!$D$33:$I$357,6,FALSE),0)</f>
        <v>24795905.329999998</v>
      </c>
      <c r="AX99" s="146">
        <f t="shared" si="61"/>
        <v>-3.3333338797092438E-3</v>
      </c>
    </row>
    <row r="100" spans="1:50" outlineLevel="1">
      <c r="A100" s="324">
        <f t="shared" si="23"/>
        <v>75</v>
      </c>
      <c r="B100" s="355" t="s">
        <v>142</v>
      </c>
      <c r="C100" s="481" t="s">
        <v>143</v>
      </c>
      <c r="D100" s="335">
        <v>154</v>
      </c>
      <c r="E100" s="633" t="s">
        <v>1707</v>
      </c>
      <c r="F100" s="336" t="s">
        <v>459</v>
      </c>
      <c r="G100" s="336" t="s">
        <v>460</v>
      </c>
      <c r="H100" s="373">
        <v>44957</v>
      </c>
      <c r="I100" s="326" t="s">
        <v>284</v>
      </c>
      <c r="J100" s="351" t="s">
        <v>461</v>
      </c>
      <c r="K100" s="351" t="s">
        <v>307</v>
      </c>
      <c r="L100" s="363" t="s">
        <v>395</v>
      </c>
      <c r="M100" s="336" t="s">
        <v>462</v>
      </c>
      <c r="N100" s="351">
        <v>2023</v>
      </c>
      <c r="O100" s="336" t="s">
        <v>463</v>
      </c>
      <c r="P100" s="336" t="s">
        <v>464</v>
      </c>
      <c r="Q100" s="336"/>
      <c r="R100" s="335">
        <v>445</v>
      </c>
      <c r="S100" s="353"/>
      <c r="T100" s="374">
        <v>929200000</v>
      </c>
      <c r="U100" s="327">
        <f t="shared" si="65"/>
        <v>15486666.666666666</v>
      </c>
      <c r="V100" s="336">
        <v>60</v>
      </c>
      <c r="W100" s="329">
        <v>23.999999999999996</v>
      </c>
      <c r="X100" s="328">
        <f t="shared" si="66"/>
        <v>11.999999999999998</v>
      </c>
      <c r="Y100" s="330">
        <f t="shared" si="67"/>
        <v>35.999999999999993</v>
      </c>
      <c r="Z100" s="330">
        <f t="shared" ref="Z100" si="70">+V100-Y100</f>
        <v>24.000000000000007</v>
      </c>
      <c r="AA100" s="331">
        <v>371679999.99999994</v>
      </c>
      <c r="AB100" s="331">
        <v>557520000</v>
      </c>
      <c r="AC100" s="331">
        <f>SUM(AD100:AO100)</f>
        <v>185839999.99999997</v>
      </c>
      <c r="AD100" s="331">
        <v>15486666.666666666</v>
      </c>
      <c r="AE100" s="331">
        <v>15486666.666666666</v>
      </c>
      <c r="AF100" s="331">
        <v>15486666.666666666</v>
      </c>
      <c r="AG100" s="331">
        <v>15486666.666666666</v>
      </c>
      <c r="AH100" s="331">
        <v>15486666.666666666</v>
      </c>
      <c r="AI100" s="331">
        <v>15486666.666666666</v>
      </c>
      <c r="AJ100" s="331">
        <v>15486666.666666666</v>
      </c>
      <c r="AK100" s="331">
        <v>15486666.666666666</v>
      </c>
      <c r="AL100" s="331">
        <v>15486666.666666666</v>
      </c>
      <c r="AM100" s="331">
        <v>15486666.666666666</v>
      </c>
      <c r="AN100" s="331">
        <v>15486666.666666666</v>
      </c>
      <c r="AO100" s="331">
        <v>15486666.666666666</v>
      </c>
      <c r="AP100" s="331">
        <f t="shared" si="68"/>
        <v>557519999.99999988</v>
      </c>
      <c r="AQ100" s="332">
        <f t="shared" si="69"/>
        <v>371680000.00000012</v>
      </c>
      <c r="AR100" s="333"/>
      <c r="AS100" s="345"/>
      <c r="AT100" s="356"/>
      <c r="AU100" s="357">
        <v>44925</v>
      </c>
      <c r="AV100" s="146" t="s">
        <v>1236</v>
      </c>
      <c r="AW100" s="146">
        <f>IFERROR(VLOOKUP(G100,'[70]Detail Deprec_202508'!$D$33:$I$357,6,FALSE),0)</f>
        <v>15486666.67</v>
      </c>
      <c r="AX100" s="146">
        <f t="shared" ref="AX100:AX101" si="71">AW100-AK100</f>
        <v>3.3333338797092438E-3</v>
      </c>
    </row>
    <row r="101" spans="1:50" s="654" customFormat="1" outlineLevel="1">
      <c r="A101" s="635">
        <f t="shared" si="23"/>
        <v>76</v>
      </c>
      <c r="B101" s="691" t="s">
        <v>142</v>
      </c>
      <c r="C101" s="813" t="s">
        <v>1743</v>
      </c>
      <c r="D101" s="638">
        <v>154</v>
      </c>
      <c r="E101" s="814" t="s">
        <v>1710</v>
      </c>
      <c r="F101" s="691" t="s">
        <v>1634</v>
      </c>
      <c r="G101" s="636" t="s">
        <v>1635</v>
      </c>
      <c r="H101" s="815">
        <v>45838</v>
      </c>
      <c r="I101" s="816" t="s">
        <v>284</v>
      </c>
      <c r="J101" s="817"/>
      <c r="K101" s="818" t="s">
        <v>1636</v>
      </c>
      <c r="L101" s="817" t="s">
        <v>1683</v>
      </c>
      <c r="M101" s="819" t="s">
        <v>1603</v>
      </c>
      <c r="N101" s="817">
        <v>2025</v>
      </c>
      <c r="O101" s="819" t="s">
        <v>1637</v>
      </c>
      <c r="P101" s="819" t="s">
        <v>1638</v>
      </c>
      <c r="Q101" s="819" t="s">
        <v>1639</v>
      </c>
      <c r="R101" s="814">
        <v>1</v>
      </c>
      <c r="S101" s="814"/>
      <c r="T101" s="820">
        <v>145223481</v>
      </c>
      <c r="U101" s="644">
        <f t="shared" ref="U101" si="72">+T101/V101</f>
        <v>4033985.5833333335</v>
      </c>
      <c r="V101" s="646">
        <v>36</v>
      </c>
      <c r="W101" s="821">
        <v>0</v>
      </c>
      <c r="X101" s="822">
        <f t="shared" ref="X101" si="73">+AC101/U101</f>
        <v>6.9999999999999991</v>
      </c>
      <c r="Y101" s="823">
        <f t="shared" ref="Y101" si="74">+W101+X101</f>
        <v>6.9999999999999991</v>
      </c>
      <c r="Z101" s="824">
        <f t="shared" ref="Z101" si="75">+V101-Y101</f>
        <v>29</v>
      </c>
      <c r="AA101" s="825"/>
      <c r="AB101" s="825"/>
      <c r="AC101" s="648">
        <f>SUM(AD101:AO101)</f>
        <v>28237899.083333332</v>
      </c>
      <c r="AD101" s="825"/>
      <c r="AE101" s="825"/>
      <c r="AF101" s="825"/>
      <c r="AG101" s="825"/>
      <c r="AH101" s="825"/>
      <c r="AI101" s="825">
        <v>4033985.5833333335</v>
      </c>
      <c r="AJ101" s="825">
        <v>4033985.5833333335</v>
      </c>
      <c r="AK101" s="825">
        <v>4033985.5833333335</v>
      </c>
      <c r="AL101" s="825">
        <v>4033985.5833333335</v>
      </c>
      <c r="AM101" s="825">
        <v>4033985.5833333335</v>
      </c>
      <c r="AN101" s="825">
        <v>4033985.5833333335</v>
      </c>
      <c r="AO101" s="825">
        <v>4033985.5833333335</v>
      </c>
      <c r="AP101" s="648">
        <f t="shared" ref="AP101" si="76">+AA101+AC101</f>
        <v>28237899.083333332</v>
      </c>
      <c r="AQ101" s="649">
        <f t="shared" ref="AQ101" si="77">IF(AS101=$AS$24,((T101-AP101)*0),T101-AP101)</f>
        <v>116985581.91666667</v>
      </c>
      <c r="AR101" s="650" t="s">
        <v>38</v>
      </c>
      <c r="AS101" s="826"/>
      <c r="AT101" s="827"/>
      <c r="AU101" s="828"/>
      <c r="AV101" s="653" t="s">
        <v>1241</v>
      </c>
      <c r="AW101" s="653">
        <f>IFERROR(VLOOKUP(G101,'[70]Detail Deprec_202508'!$D$33:$I$357,6,FALSE),0)</f>
        <v>4033985.56</v>
      </c>
      <c r="AX101" s="653">
        <f t="shared" si="71"/>
        <v>-2.3333333432674408E-2</v>
      </c>
    </row>
    <row r="102" spans="1:50" s="753" customFormat="1" ht="12.9" customHeight="1" outlineLevel="1">
      <c r="A102" s="730">
        <f t="shared" si="23"/>
        <v>77</v>
      </c>
      <c r="B102" s="731" t="s">
        <v>142</v>
      </c>
      <c r="C102" s="732" t="s">
        <v>474</v>
      </c>
      <c r="D102" s="733">
        <v>155</v>
      </c>
      <c r="E102" s="733" t="s">
        <v>1711</v>
      </c>
      <c r="F102" s="731" t="s">
        <v>475</v>
      </c>
      <c r="G102" s="731" t="s">
        <v>476</v>
      </c>
      <c r="H102" s="734">
        <v>38541</v>
      </c>
      <c r="I102" s="735" t="s">
        <v>11</v>
      </c>
      <c r="J102" s="736">
        <v>8006</v>
      </c>
      <c r="K102" s="737" t="s">
        <v>472</v>
      </c>
      <c r="L102" s="737" t="s">
        <v>473</v>
      </c>
      <c r="M102" s="737" t="s">
        <v>477</v>
      </c>
      <c r="N102" s="737">
        <v>2005</v>
      </c>
      <c r="O102" s="738" t="s">
        <v>478</v>
      </c>
      <c r="P102" s="738" t="s">
        <v>479</v>
      </c>
      <c r="Q102" s="738" t="s">
        <v>480</v>
      </c>
      <c r="R102" s="739">
        <v>1</v>
      </c>
      <c r="S102" s="740"/>
      <c r="T102" s="741">
        <v>505454546</v>
      </c>
      <c r="U102" s="741">
        <f t="shared" ref="U102:U111" si="78">+T102/V102</f>
        <v>8424242.4333333336</v>
      </c>
      <c r="V102" s="742">
        <v>60</v>
      </c>
      <c r="W102" s="743">
        <v>60</v>
      </c>
      <c r="X102" s="742">
        <f t="shared" ref="X102:X111" si="79">+AC102/U102</f>
        <v>0</v>
      </c>
      <c r="Y102" s="744">
        <f t="shared" ref="Y102:Y111" si="80">+W102+X102</f>
        <v>60</v>
      </c>
      <c r="Z102" s="745">
        <f t="shared" ref="Z102:Z105" si="81">+V102-Y102</f>
        <v>0</v>
      </c>
      <c r="AA102" s="746">
        <v>505454546</v>
      </c>
      <c r="AB102" s="746">
        <v>0</v>
      </c>
      <c r="AC102" s="746">
        <f t="shared" ref="AC102:AC114" si="82">SUM(AD102:AL102)</f>
        <v>0</v>
      </c>
      <c r="AD102" s="746"/>
      <c r="AE102" s="746"/>
      <c r="AF102" s="746"/>
      <c r="AG102" s="746"/>
      <c r="AH102" s="746"/>
      <c r="AI102" s="746"/>
      <c r="AJ102" s="746"/>
      <c r="AK102" s="746"/>
      <c r="AL102" s="746"/>
      <c r="AM102" s="746"/>
      <c r="AN102" s="746"/>
      <c r="AO102" s="746"/>
      <c r="AP102" s="746">
        <f t="shared" ref="AP102:AP111" si="83">+AA102+AC102</f>
        <v>505454546</v>
      </c>
      <c r="AQ102" s="747">
        <f t="shared" ref="AQ102:AQ111" si="84">IF(AS102=$AS$24,((T102-AP102)*0),T102-AP102)</f>
        <v>0</v>
      </c>
      <c r="AR102" s="748"/>
      <c r="AS102" s="748" t="s">
        <v>39</v>
      </c>
      <c r="AT102" s="749"/>
      <c r="AU102" s="750">
        <v>45838</v>
      </c>
      <c r="AV102" s="751" t="s">
        <v>1236</v>
      </c>
      <c r="AW102" s="751">
        <f>IFERROR(VLOOKUP(G102,'[71]Detail Deprec_202501'!$D$246:$I$393,6,FALSE),0)</f>
        <v>0</v>
      </c>
      <c r="AX102" s="752">
        <f t="shared" ref="AX102:AX112" si="85">AW102-AK102</f>
        <v>0</v>
      </c>
    </row>
    <row r="103" spans="1:50" s="753" customFormat="1" ht="12.9" customHeight="1" outlineLevel="1">
      <c r="A103" s="730">
        <f t="shared" si="23"/>
        <v>78</v>
      </c>
      <c r="B103" s="731" t="s">
        <v>142</v>
      </c>
      <c r="C103" s="732" t="s">
        <v>474</v>
      </c>
      <c r="D103" s="733">
        <v>155</v>
      </c>
      <c r="E103" s="733" t="s">
        <v>1711</v>
      </c>
      <c r="F103" s="731" t="s">
        <v>481</v>
      </c>
      <c r="G103" s="731" t="s">
        <v>482</v>
      </c>
      <c r="H103" s="734">
        <v>38541</v>
      </c>
      <c r="I103" s="735" t="s">
        <v>11</v>
      </c>
      <c r="J103" s="736">
        <v>8006</v>
      </c>
      <c r="K103" s="737" t="s">
        <v>472</v>
      </c>
      <c r="L103" s="737" t="s">
        <v>473</v>
      </c>
      <c r="M103" s="737" t="s">
        <v>483</v>
      </c>
      <c r="N103" s="737">
        <v>2005</v>
      </c>
      <c r="O103" s="738" t="s">
        <v>484</v>
      </c>
      <c r="P103" s="738" t="s">
        <v>485</v>
      </c>
      <c r="Q103" s="738" t="s">
        <v>486</v>
      </c>
      <c r="R103" s="739">
        <v>1</v>
      </c>
      <c r="S103" s="740"/>
      <c r="T103" s="741">
        <v>505454546</v>
      </c>
      <c r="U103" s="741">
        <f t="shared" si="78"/>
        <v>8424242.4333333336</v>
      </c>
      <c r="V103" s="742">
        <v>60</v>
      </c>
      <c r="W103" s="743">
        <v>60</v>
      </c>
      <c r="X103" s="742">
        <f t="shared" si="79"/>
        <v>0</v>
      </c>
      <c r="Y103" s="744">
        <f t="shared" si="80"/>
        <v>60</v>
      </c>
      <c r="Z103" s="745">
        <f t="shared" si="81"/>
        <v>0</v>
      </c>
      <c r="AA103" s="746">
        <v>505454546</v>
      </c>
      <c r="AB103" s="746">
        <v>0</v>
      </c>
      <c r="AC103" s="746">
        <f t="shared" si="82"/>
        <v>0</v>
      </c>
      <c r="AD103" s="746"/>
      <c r="AE103" s="746"/>
      <c r="AF103" s="746"/>
      <c r="AG103" s="746"/>
      <c r="AH103" s="746"/>
      <c r="AI103" s="746"/>
      <c r="AJ103" s="746"/>
      <c r="AK103" s="746"/>
      <c r="AL103" s="746"/>
      <c r="AM103" s="746"/>
      <c r="AN103" s="746"/>
      <c r="AO103" s="746"/>
      <c r="AP103" s="746">
        <f t="shared" si="83"/>
        <v>505454546</v>
      </c>
      <c r="AQ103" s="747">
        <f t="shared" si="84"/>
        <v>0</v>
      </c>
      <c r="AR103" s="748"/>
      <c r="AS103" s="748" t="s">
        <v>39</v>
      </c>
      <c r="AT103" s="749"/>
      <c r="AU103" s="750">
        <v>45838</v>
      </c>
      <c r="AV103" s="751" t="s">
        <v>1236</v>
      </c>
      <c r="AW103" s="751">
        <f>IFERROR(VLOOKUP(G103,'[71]Detail Deprec_202501'!$D$246:$I$393,6,FALSE),0)</f>
        <v>0</v>
      </c>
      <c r="AX103" s="752">
        <f t="shared" si="85"/>
        <v>0</v>
      </c>
    </row>
    <row r="104" spans="1:50" s="753" customFormat="1" ht="12.9" customHeight="1" outlineLevel="1">
      <c r="A104" s="730">
        <f t="shared" ref="A104:A167" si="86">+A103+1</f>
        <v>79</v>
      </c>
      <c r="B104" s="731" t="s">
        <v>142</v>
      </c>
      <c r="C104" s="732" t="s">
        <v>474</v>
      </c>
      <c r="D104" s="733">
        <v>155</v>
      </c>
      <c r="E104" s="733" t="s">
        <v>1711</v>
      </c>
      <c r="F104" s="731" t="s">
        <v>488</v>
      </c>
      <c r="G104" s="731" t="s">
        <v>489</v>
      </c>
      <c r="H104" s="734">
        <v>38541</v>
      </c>
      <c r="I104" s="735" t="s">
        <v>11</v>
      </c>
      <c r="J104" s="736">
        <v>8006</v>
      </c>
      <c r="K104" s="737" t="s">
        <v>472</v>
      </c>
      <c r="L104" s="737" t="s">
        <v>473</v>
      </c>
      <c r="M104" s="737" t="s">
        <v>477</v>
      </c>
      <c r="N104" s="737">
        <v>2005</v>
      </c>
      <c r="O104" s="738" t="s">
        <v>490</v>
      </c>
      <c r="P104" s="738" t="s">
        <v>491</v>
      </c>
      <c r="Q104" s="738" t="s">
        <v>492</v>
      </c>
      <c r="R104" s="739">
        <v>1</v>
      </c>
      <c r="S104" s="740"/>
      <c r="T104" s="741">
        <v>505454546</v>
      </c>
      <c r="U104" s="741">
        <f t="shared" si="78"/>
        <v>8424242.4333333336</v>
      </c>
      <c r="V104" s="742">
        <v>60</v>
      </c>
      <c r="W104" s="743">
        <v>60</v>
      </c>
      <c r="X104" s="742">
        <f t="shared" si="79"/>
        <v>0</v>
      </c>
      <c r="Y104" s="744">
        <f t="shared" si="80"/>
        <v>60</v>
      </c>
      <c r="Z104" s="745">
        <f t="shared" si="81"/>
        <v>0</v>
      </c>
      <c r="AA104" s="746">
        <v>505454546</v>
      </c>
      <c r="AB104" s="746">
        <v>0</v>
      </c>
      <c r="AC104" s="746">
        <f t="shared" si="82"/>
        <v>0</v>
      </c>
      <c r="AD104" s="746"/>
      <c r="AE104" s="746"/>
      <c r="AF104" s="746"/>
      <c r="AG104" s="746"/>
      <c r="AH104" s="746"/>
      <c r="AI104" s="746"/>
      <c r="AJ104" s="746"/>
      <c r="AK104" s="746"/>
      <c r="AL104" s="746"/>
      <c r="AM104" s="746"/>
      <c r="AN104" s="746"/>
      <c r="AO104" s="746"/>
      <c r="AP104" s="746">
        <f t="shared" si="83"/>
        <v>505454546</v>
      </c>
      <c r="AQ104" s="747">
        <f t="shared" si="84"/>
        <v>0</v>
      </c>
      <c r="AR104" s="748"/>
      <c r="AS104" s="748" t="s">
        <v>39</v>
      </c>
      <c r="AT104" s="749"/>
      <c r="AU104" s="750">
        <v>45838</v>
      </c>
      <c r="AV104" s="751" t="s">
        <v>1236</v>
      </c>
      <c r="AW104" s="751">
        <f>IFERROR(VLOOKUP(G104,'[71]Detail Deprec_202501'!$D$246:$I$393,6,FALSE),0)</f>
        <v>0</v>
      </c>
      <c r="AX104" s="752">
        <f t="shared" si="85"/>
        <v>0</v>
      </c>
    </row>
    <row r="105" spans="1:50" s="753" customFormat="1" ht="12.9" customHeight="1" outlineLevel="1">
      <c r="A105" s="730">
        <f t="shared" si="86"/>
        <v>80</v>
      </c>
      <c r="B105" s="754" t="s">
        <v>142</v>
      </c>
      <c r="C105" s="755" t="s">
        <v>474</v>
      </c>
      <c r="D105" s="733">
        <v>155</v>
      </c>
      <c r="E105" s="733" t="s">
        <v>1711</v>
      </c>
      <c r="F105" s="754" t="s">
        <v>493</v>
      </c>
      <c r="G105" s="754" t="s">
        <v>494</v>
      </c>
      <c r="H105" s="734">
        <v>38548</v>
      </c>
      <c r="I105" s="735" t="s">
        <v>11</v>
      </c>
      <c r="J105" s="736">
        <v>8013</v>
      </c>
      <c r="K105" s="737" t="s">
        <v>298</v>
      </c>
      <c r="L105" s="737" t="s">
        <v>495</v>
      </c>
      <c r="M105" s="737" t="s">
        <v>496</v>
      </c>
      <c r="N105" s="737">
        <v>2005</v>
      </c>
      <c r="O105" s="738" t="s">
        <v>497</v>
      </c>
      <c r="P105" s="737"/>
      <c r="Q105" s="737"/>
      <c r="R105" s="739">
        <v>1</v>
      </c>
      <c r="S105" s="740"/>
      <c r="T105" s="741">
        <v>105000000</v>
      </c>
      <c r="U105" s="741">
        <f t="shared" si="78"/>
        <v>1750000</v>
      </c>
      <c r="V105" s="742">
        <v>60</v>
      </c>
      <c r="W105" s="743">
        <v>60</v>
      </c>
      <c r="X105" s="742">
        <f t="shared" si="79"/>
        <v>0</v>
      </c>
      <c r="Y105" s="744">
        <f t="shared" si="80"/>
        <v>60</v>
      </c>
      <c r="Z105" s="745">
        <f t="shared" si="81"/>
        <v>0</v>
      </c>
      <c r="AA105" s="746">
        <v>105000000</v>
      </c>
      <c r="AB105" s="746">
        <v>0</v>
      </c>
      <c r="AC105" s="746">
        <f t="shared" si="82"/>
        <v>0</v>
      </c>
      <c r="AD105" s="746"/>
      <c r="AE105" s="746"/>
      <c r="AF105" s="746"/>
      <c r="AG105" s="746"/>
      <c r="AH105" s="746"/>
      <c r="AI105" s="746"/>
      <c r="AJ105" s="746"/>
      <c r="AK105" s="746"/>
      <c r="AL105" s="746"/>
      <c r="AM105" s="746"/>
      <c r="AN105" s="746"/>
      <c r="AO105" s="746"/>
      <c r="AP105" s="746">
        <f t="shared" si="83"/>
        <v>105000000</v>
      </c>
      <c r="AQ105" s="747">
        <f t="shared" si="84"/>
        <v>0</v>
      </c>
      <c r="AR105" s="748"/>
      <c r="AS105" s="748" t="s">
        <v>39</v>
      </c>
      <c r="AT105" s="749"/>
      <c r="AU105" s="750">
        <v>45838</v>
      </c>
      <c r="AV105" s="751" t="s">
        <v>1236</v>
      </c>
      <c r="AW105" s="751">
        <f>IFERROR(VLOOKUP(G105,'[71]Detail Deprec_202501'!$D$246:$I$393,6,FALSE),0)</f>
        <v>0</v>
      </c>
      <c r="AX105" s="752">
        <f t="shared" si="85"/>
        <v>0</v>
      </c>
    </row>
    <row r="106" spans="1:50" s="753" customFormat="1" ht="12.9" customHeight="1" outlineLevel="1">
      <c r="A106" s="730">
        <f t="shared" si="86"/>
        <v>81</v>
      </c>
      <c r="B106" s="731" t="s">
        <v>142</v>
      </c>
      <c r="C106" s="732" t="s">
        <v>474</v>
      </c>
      <c r="D106" s="733">
        <v>155</v>
      </c>
      <c r="E106" s="733" t="s">
        <v>1711</v>
      </c>
      <c r="F106" s="731" t="s">
        <v>498</v>
      </c>
      <c r="G106" s="731" t="s">
        <v>499</v>
      </c>
      <c r="H106" s="734">
        <v>38548</v>
      </c>
      <c r="I106" s="735" t="s">
        <v>11</v>
      </c>
      <c r="J106" s="736">
        <v>8013</v>
      </c>
      <c r="K106" s="737" t="s">
        <v>298</v>
      </c>
      <c r="L106" s="737" t="s">
        <v>495</v>
      </c>
      <c r="M106" s="737" t="s">
        <v>496</v>
      </c>
      <c r="N106" s="737">
        <v>2005</v>
      </c>
      <c r="O106" s="737" t="s">
        <v>500</v>
      </c>
      <c r="P106" s="737"/>
      <c r="Q106" s="737"/>
      <c r="R106" s="739">
        <v>1</v>
      </c>
      <c r="S106" s="740"/>
      <c r="T106" s="741">
        <v>105000000</v>
      </c>
      <c r="U106" s="741">
        <f t="shared" si="78"/>
        <v>1750000</v>
      </c>
      <c r="V106" s="742">
        <v>60</v>
      </c>
      <c r="W106" s="743">
        <v>60</v>
      </c>
      <c r="X106" s="742">
        <f t="shared" si="79"/>
        <v>0</v>
      </c>
      <c r="Y106" s="744">
        <f t="shared" si="80"/>
        <v>60</v>
      </c>
      <c r="Z106" s="745">
        <f t="shared" ref="Z106:Z111" si="87">+V106-Y106</f>
        <v>0</v>
      </c>
      <c r="AA106" s="746">
        <v>105000000</v>
      </c>
      <c r="AB106" s="746">
        <v>0</v>
      </c>
      <c r="AC106" s="746">
        <f t="shared" si="82"/>
        <v>0</v>
      </c>
      <c r="AD106" s="746"/>
      <c r="AE106" s="746"/>
      <c r="AF106" s="746"/>
      <c r="AG106" s="746"/>
      <c r="AH106" s="746"/>
      <c r="AI106" s="746"/>
      <c r="AJ106" s="746"/>
      <c r="AK106" s="746"/>
      <c r="AL106" s="746"/>
      <c r="AM106" s="746"/>
      <c r="AN106" s="746"/>
      <c r="AO106" s="746"/>
      <c r="AP106" s="746">
        <f t="shared" si="83"/>
        <v>105000000</v>
      </c>
      <c r="AQ106" s="747">
        <f t="shared" si="84"/>
        <v>0</v>
      </c>
      <c r="AR106" s="748"/>
      <c r="AS106" s="748" t="s">
        <v>39</v>
      </c>
      <c r="AT106" s="749"/>
      <c r="AU106" s="750">
        <v>45838</v>
      </c>
      <c r="AV106" s="751" t="s">
        <v>1236</v>
      </c>
      <c r="AW106" s="751">
        <f>IFERROR(VLOOKUP(G106,'[71]Detail Deprec_202501'!$D$246:$I$393,6,FALSE),0)</f>
        <v>0</v>
      </c>
      <c r="AX106" s="752">
        <f t="shared" si="85"/>
        <v>0</v>
      </c>
    </row>
    <row r="107" spans="1:50" ht="12.9" customHeight="1" outlineLevel="1">
      <c r="A107" s="324">
        <f t="shared" si="86"/>
        <v>82</v>
      </c>
      <c r="B107" s="385" t="s">
        <v>142</v>
      </c>
      <c r="C107" s="484" t="s">
        <v>474</v>
      </c>
      <c r="D107" s="382">
        <v>155</v>
      </c>
      <c r="E107" s="382" t="s">
        <v>1711</v>
      </c>
      <c r="F107" s="385" t="s">
        <v>501</v>
      </c>
      <c r="G107" s="385" t="s">
        <v>502</v>
      </c>
      <c r="H107" s="391">
        <v>38548</v>
      </c>
      <c r="I107" s="392" t="s">
        <v>11</v>
      </c>
      <c r="J107" s="386">
        <v>8013</v>
      </c>
      <c r="K107" s="379" t="s">
        <v>298</v>
      </c>
      <c r="L107" s="379" t="s">
        <v>495</v>
      </c>
      <c r="M107" s="379" t="s">
        <v>496</v>
      </c>
      <c r="N107" s="379">
        <v>2005</v>
      </c>
      <c r="O107" s="379" t="s">
        <v>503</v>
      </c>
      <c r="P107" s="379"/>
      <c r="Q107" s="379" t="s">
        <v>504</v>
      </c>
      <c r="R107" s="387">
        <v>1</v>
      </c>
      <c r="S107" s="388"/>
      <c r="T107" s="313">
        <v>105000000</v>
      </c>
      <c r="U107" s="313">
        <f t="shared" si="78"/>
        <v>1750000</v>
      </c>
      <c r="V107" s="314">
        <v>60</v>
      </c>
      <c r="W107" s="315">
        <v>60</v>
      </c>
      <c r="X107" s="314">
        <f t="shared" si="79"/>
        <v>0</v>
      </c>
      <c r="Y107" s="316">
        <f t="shared" si="80"/>
        <v>60</v>
      </c>
      <c r="Z107" s="317">
        <f t="shared" si="87"/>
        <v>0</v>
      </c>
      <c r="AA107" s="318">
        <v>105000000</v>
      </c>
      <c r="AB107" s="318">
        <v>0</v>
      </c>
      <c r="AC107" s="318">
        <f t="shared" si="82"/>
        <v>0</v>
      </c>
      <c r="AD107" s="318"/>
      <c r="AE107" s="318"/>
      <c r="AF107" s="318"/>
      <c r="AG107" s="318"/>
      <c r="AH107" s="318"/>
      <c r="AI107" s="318"/>
      <c r="AJ107" s="318"/>
      <c r="AK107" s="318"/>
      <c r="AL107" s="318"/>
      <c r="AM107" s="318"/>
      <c r="AN107" s="318"/>
      <c r="AO107" s="318"/>
      <c r="AP107" s="318">
        <f t="shared" si="83"/>
        <v>105000000</v>
      </c>
      <c r="AQ107" s="319">
        <f t="shared" si="84"/>
        <v>0</v>
      </c>
      <c r="AR107" s="320"/>
      <c r="AS107" s="320"/>
      <c r="AT107" s="384"/>
      <c r="AU107" s="322"/>
      <c r="AV107" s="146" t="s">
        <v>1236</v>
      </c>
      <c r="AW107" s="146">
        <f>IFERROR(VLOOKUP(G107,'[71]Detail Deprec_202501'!$D$246:$I$393,6,FALSE),0)</f>
        <v>0</v>
      </c>
      <c r="AX107" s="501">
        <f t="shared" si="85"/>
        <v>0</v>
      </c>
    </row>
    <row r="108" spans="1:50" s="753" customFormat="1" ht="12.9" customHeight="1" outlineLevel="1">
      <c r="A108" s="730">
        <f t="shared" si="86"/>
        <v>83</v>
      </c>
      <c r="B108" s="731" t="s">
        <v>142</v>
      </c>
      <c r="C108" s="732" t="s">
        <v>474</v>
      </c>
      <c r="D108" s="733">
        <v>155</v>
      </c>
      <c r="E108" s="733" t="s">
        <v>1711</v>
      </c>
      <c r="F108" s="731" t="s">
        <v>505</v>
      </c>
      <c r="G108" s="731" t="s">
        <v>506</v>
      </c>
      <c r="H108" s="734">
        <v>38548</v>
      </c>
      <c r="I108" s="735" t="s">
        <v>11</v>
      </c>
      <c r="J108" s="736">
        <v>8013</v>
      </c>
      <c r="K108" s="737" t="s">
        <v>298</v>
      </c>
      <c r="L108" s="737" t="s">
        <v>495</v>
      </c>
      <c r="M108" s="737" t="s">
        <v>496</v>
      </c>
      <c r="N108" s="737">
        <v>2005</v>
      </c>
      <c r="O108" s="737" t="s">
        <v>507</v>
      </c>
      <c r="P108" s="737"/>
      <c r="Q108" s="737" t="s">
        <v>508</v>
      </c>
      <c r="R108" s="739">
        <v>1</v>
      </c>
      <c r="S108" s="740"/>
      <c r="T108" s="741">
        <v>105000000</v>
      </c>
      <c r="U108" s="741">
        <f t="shared" si="78"/>
        <v>1750000</v>
      </c>
      <c r="V108" s="742">
        <v>60</v>
      </c>
      <c r="W108" s="743">
        <v>60</v>
      </c>
      <c r="X108" s="742">
        <f t="shared" si="79"/>
        <v>0</v>
      </c>
      <c r="Y108" s="744">
        <f t="shared" si="80"/>
        <v>60</v>
      </c>
      <c r="Z108" s="745">
        <f t="shared" si="87"/>
        <v>0</v>
      </c>
      <c r="AA108" s="746">
        <v>105000000</v>
      </c>
      <c r="AB108" s="746">
        <v>0</v>
      </c>
      <c r="AC108" s="746">
        <f t="shared" si="82"/>
        <v>0</v>
      </c>
      <c r="AD108" s="746"/>
      <c r="AE108" s="746"/>
      <c r="AF108" s="746"/>
      <c r="AG108" s="746"/>
      <c r="AH108" s="746"/>
      <c r="AI108" s="746"/>
      <c r="AJ108" s="746"/>
      <c r="AK108" s="746"/>
      <c r="AL108" s="746"/>
      <c r="AM108" s="746"/>
      <c r="AN108" s="746"/>
      <c r="AO108" s="746"/>
      <c r="AP108" s="746">
        <f t="shared" si="83"/>
        <v>105000000</v>
      </c>
      <c r="AQ108" s="747">
        <f t="shared" si="84"/>
        <v>0</v>
      </c>
      <c r="AR108" s="748"/>
      <c r="AS108" s="748" t="s">
        <v>39</v>
      </c>
      <c r="AT108" s="749"/>
      <c r="AU108" s="750">
        <v>45838</v>
      </c>
      <c r="AV108" s="751" t="s">
        <v>1236</v>
      </c>
      <c r="AW108" s="751">
        <f>IFERROR(VLOOKUP(G108,'[71]Detail Deprec_202501'!$D$246:$I$393,6,FALSE),0)</f>
        <v>0</v>
      </c>
      <c r="AX108" s="752">
        <f t="shared" si="85"/>
        <v>0</v>
      </c>
    </row>
    <row r="109" spans="1:50" s="753" customFormat="1" ht="12.9" customHeight="1" outlineLevel="1">
      <c r="A109" s="730">
        <f t="shared" si="86"/>
        <v>84</v>
      </c>
      <c r="B109" s="731" t="s">
        <v>142</v>
      </c>
      <c r="C109" s="732" t="s">
        <v>474</v>
      </c>
      <c r="D109" s="733">
        <v>155</v>
      </c>
      <c r="E109" s="733" t="s">
        <v>1711</v>
      </c>
      <c r="F109" s="731" t="s">
        <v>509</v>
      </c>
      <c r="G109" s="731" t="s">
        <v>510</v>
      </c>
      <c r="H109" s="734">
        <v>38548</v>
      </c>
      <c r="I109" s="735" t="s">
        <v>11</v>
      </c>
      <c r="J109" s="736">
        <v>8013</v>
      </c>
      <c r="K109" s="737" t="s">
        <v>298</v>
      </c>
      <c r="L109" s="737" t="s">
        <v>495</v>
      </c>
      <c r="M109" s="737" t="s">
        <v>496</v>
      </c>
      <c r="N109" s="737">
        <v>2005</v>
      </c>
      <c r="O109" s="737" t="s">
        <v>511</v>
      </c>
      <c r="P109" s="737"/>
      <c r="Q109" s="737" t="s">
        <v>512</v>
      </c>
      <c r="R109" s="739">
        <v>1</v>
      </c>
      <c r="S109" s="740"/>
      <c r="T109" s="741">
        <v>105000000</v>
      </c>
      <c r="U109" s="741">
        <f t="shared" si="78"/>
        <v>1750000</v>
      </c>
      <c r="V109" s="742">
        <v>60</v>
      </c>
      <c r="W109" s="743">
        <v>60</v>
      </c>
      <c r="X109" s="742">
        <f t="shared" si="79"/>
        <v>0</v>
      </c>
      <c r="Y109" s="744">
        <f t="shared" si="80"/>
        <v>60</v>
      </c>
      <c r="Z109" s="745">
        <f t="shared" si="87"/>
        <v>0</v>
      </c>
      <c r="AA109" s="746">
        <v>105000000</v>
      </c>
      <c r="AB109" s="746">
        <v>0</v>
      </c>
      <c r="AC109" s="746">
        <f t="shared" si="82"/>
        <v>0</v>
      </c>
      <c r="AD109" s="746"/>
      <c r="AE109" s="746"/>
      <c r="AF109" s="746"/>
      <c r="AG109" s="746"/>
      <c r="AH109" s="746"/>
      <c r="AI109" s="746"/>
      <c r="AJ109" s="746"/>
      <c r="AK109" s="746"/>
      <c r="AL109" s="746"/>
      <c r="AM109" s="746"/>
      <c r="AN109" s="746"/>
      <c r="AO109" s="746"/>
      <c r="AP109" s="746">
        <f t="shared" si="83"/>
        <v>105000000</v>
      </c>
      <c r="AQ109" s="747">
        <f t="shared" si="84"/>
        <v>0</v>
      </c>
      <c r="AR109" s="748"/>
      <c r="AS109" s="748" t="s">
        <v>39</v>
      </c>
      <c r="AT109" s="749"/>
      <c r="AU109" s="750">
        <v>45838</v>
      </c>
      <c r="AV109" s="751" t="s">
        <v>1236</v>
      </c>
      <c r="AW109" s="751">
        <f>IFERROR(VLOOKUP(G109,'[71]Detail Deprec_202501'!$D$246:$I$393,6,FALSE),0)</f>
        <v>0</v>
      </c>
      <c r="AX109" s="752">
        <f t="shared" si="85"/>
        <v>0</v>
      </c>
    </row>
    <row r="110" spans="1:50" s="753" customFormat="1" ht="12.9" customHeight="1" outlineLevel="1">
      <c r="A110" s="730">
        <f t="shared" si="86"/>
        <v>85</v>
      </c>
      <c r="B110" s="754" t="s">
        <v>142</v>
      </c>
      <c r="C110" s="755" t="s">
        <v>474</v>
      </c>
      <c r="D110" s="733">
        <v>155</v>
      </c>
      <c r="E110" s="733" t="s">
        <v>1711</v>
      </c>
      <c r="F110" s="754" t="s">
        <v>513</v>
      </c>
      <c r="G110" s="754" t="s">
        <v>514</v>
      </c>
      <c r="H110" s="734">
        <v>38548</v>
      </c>
      <c r="I110" s="735" t="s">
        <v>11</v>
      </c>
      <c r="J110" s="736">
        <v>8013</v>
      </c>
      <c r="K110" s="737" t="s">
        <v>298</v>
      </c>
      <c r="L110" s="737" t="s">
        <v>495</v>
      </c>
      <c r="M110" s="737" t="s">
        <v>496</v>
      </c>
      <c r="N110" s="737">
        <v>2005</v>
      </c>
      <c r="O110" s="738" t="s">
        <v>497</v>
      </c>
      <c r="P110" s="737"/>
      <c r="Q110" s="737"/>
      <c r="R110" s="739">
        <v>1</v>
      </c>
      <c r="S110" s="740"/>
      <c r="T110" s="741">
        <v>105000000</v>
      </c>
      <c r="U110" s="741">
        <f t="shared" si="78"/>
        <v>1750000</v>
      </c>
      <c r="V110" s="742">
        <v>60</v>
      </c>
      <c r="W110" s="743">
        <v>60</v>
      </c>
      <c r="X110" s="742">
        <f t="shared" si="79"/>
        <v>0</v>
      </c>
      <c r="Y110" s="744">
        <f t="shared" si="80"/>
        <v>60</v>
      </c>
      <c r="Z110" s="745">
        <f t="shared" si="87"/>
        <v>0</v>
      </c>
      <c r="AA110" s="746">
        <v>105000000</v>
      </c>
      <c r="AB110" s="746">
        <v>0</v>
      </c>
      <c r="AC110" s="746">
        <f t="shared" si="82"/>
        <v>0</v>
      </c>
      <c r="AD110" s="746"/>
      <c r="AE110" s="746"/>
      <c r="AF110" s="746"/>
      <c r="AG110" s="746"/>
      <c r="AH110" s="746"/>
      <c r="AI110" s="746"/>
      <c r="AJ110" s="746"/>
      <c r="AK110" s="746"/>
      <c r="AL110" s="746"/>
      <c r="AM110" s="746"/>
      <c r="AN110" s="746"/>
      <c r="AO110" s="746"/>
      <c r="AP110" s="746">
        <f t="shared" si="83"/>
        <v>105000000</v>
      </c>
      <c r="AQ110" s="747">
        <f t="shared" si="84"/>
        <v>0</v>
      </c>
      <c r="AR110" s="748"/>
      <c r="AS110" s="748" t="s">
        <v>39</v>
      </c>
      <c r="AT110" s="749"/>
      <c r="AU110" s="750">
        <v>45838</v>
      </c>
      <c r="AV110" s="751" t="s">
        <v>1236</v>
      </c>
      <c r="AW110" s="751">
        <f>IFERROR(VLOOKUP(G110,'[71]Detail Deprec_202501'!$D$246:$I$393,6,FALSE),0)</f>
        <v>0</v>
      </c>
      <c r="AX110" s="752">
        <f t="shared" si="85"/>
        <v>0</v>
      </c>
    </row>
    <row r="111" spans="1:50" ht="12.9" customHeight="1" outlineLevel="1">
      <c r="A111" s="324">
        <f t="shared" si="86"/>
        <v>86</v>
      </c>
      <c r="B111" s="389" t="s">
        <v>142</v>
      </c>
      <c r="C111" s="359" t="s">
        <v>474</v>
      </c>
      <c r="D111" s="382">
        <v>155</v>
      </c>
      <c r="E111" s="382" t="s">
        <v>1711</v>
      </c>
      <c r="F111" s="389" t="s">
        <v>515</v>
      </c>
      <c r="G111" s="389" t="s">
        <v>516</v>
      </c>
      <c r="H111" s="391">
        <v>38559</v>
      </c>
      <c r="I111" s="392" t="s">
        <v>11</v>
      </c>
      <c r="J111" s="386">
        <v>6077</v>
      </c>
      <c r="K111" s="379" t="s">
        <v>298</v>
      </c>
      <c r="L111" s="379"/>
      <c r="M111" s="379" t="s">
        <v>517</v>
      </c>
      <c r="N111" s="379">
        <v>2005</v>
      </c>
      <c r="O111" s="393" t="s">
        <v>518</v>
      </c>
      <c r="P111" s="379"/>
      <c r="Q111" s="379"/>
      <c r="R111" s="387">
        <v>1</v>
      </c>
      <c r="S111" s="388"/>
      <c r="T111" s="313">
        <v>24000000</v>
      </c>
      <c r="U111" s="313">
        <f t="shared" si="78"/>
        <v>400000</v>
      </c>
      <c r="V111" s="314">
        <v>60</v>
      </c>
      <c r="W111" s="315">
        <v>60</v>
      </c>
      <c r="X111" s="314">
        <f t="shared" si="79"/>
        <v>0</v>
      </c>
      <c r="Y111" s="316">
        <f t="shared" si="80"/>
        <v>60</v>
      </c>
      <c r="Z111" s="317">
        <f t="shared" si="87"/>
        <v>0</v>
      </c>
      <c r="AA111" s="318">
        <v>24000000</v>
      </c>
      <c r="AB111" s="318">
        <v>0</v>
      </c>
      <c r="AC111" s="318">
        <f t="shared" si="82"/>
        <v>0</v>
      </c>
      <c r="AD111" s="318"/>
      <c r="AE111" s="318"/>
      <c r="AF111" s="318"/>
      <c r="AG111" s="318"/>
      <c r="AH111" s="318"/>
      <c r="AI111" s="318"/>
      <c r="AJ111" s="318"/>
      <c r="AK111" s="318"/>
      <c r="AL111" s="318"/>
      <c r="AM111" s="318"/>
      <c r="AN111" s="318"/>
      <c r="AO111" s="318"/>
      <c r="AP111" s="318">
        <f t="shared" si="83"/>
        <v>24000000</v>
      </c>
      <c r="AQ111" s="319">
        <f t="shared" si="84"/>
        <v>0</v>
      </c>
      <c r="AR111" s="320"/>
      <c r="AS111" s="320"/>
      <c r="AT111" s="384"/>
      <c r="AU111" s="322"/>
      <c r="AV111" s="146" t="s">
        <v>1236</v>
      </c>
      <c r="AW111" s="146">
        <f>IFERROR(VLOOKUP(G111,'[71]Detail Deprec_202501'!$D$246:$I$393,6,FALSE),0)</f>
        <v>0</v>
      </c>
      <c r="AX111" s="501">
        <f t="shared" si="85"/>
        <v>0</v>
      </c>
    </row>
    <row r="112" spans="1:50" ht="12.9" customHeight="1" outlineLevel="1">
      <c r="A112" s="324">
        <f t="shared" si="86"/>
        <v>87</v>
      </c>
      <c r="B112" s="336" t="s">
        <v>142</v>
      </c>
      <c r="C112" s="359" t="s">
        <v>474</v>
      </c>
      <c r="D112" s="382">
        <v>155</v>
      </c>
      <c r="E112" s="382" t="s">
        <v>1711</v>
      </c>
      <c r="F112" s="389" t="s">
        <v>520</v>
      </c>
      <c r="G112" s="336" t="s">
        <v>521</v>
      </c>
      <c r="H112" s="383">
        <v>40358</v>
      </c>
      <c r="I112" s="392" t="s">
        <v>11</v>
      </c>
      <c r="J112" s="379">
        <v>5055</v>
      </c>
      <c r="K112" s="351" t="s">
        <v>522</v>
      </c>
      <c r="L112" s="351" t="s">
        <v>300</v>
      </c>
      <c r="M112" s="379" t="s">
        <v>477</v>
      </c>
      <c r="N112" s="379">
        <v>2010</v>
      </c>
      <c r="O112" s="379" t="s">
        <v>523</v>
      </c>
      <c r="P112" s="379" t="s">
        <v>524</v>
      </c>
      <c r="Q112" s="351" t="s">
        <v>525</v>
      </c>
      <c r="R112" s="377">
        <v>1</v>
      </c>
      <c r="S112" s="396"/>
      <c r="T112" s="354">
        <v>635181818</v>
      </c>
      <c r="U112" s="313">
        <f t="shared" ref="U112:U120" si="88">+T112/V112</f>
        <v>10586363.633333333</v>
      </c>
      <c r="V112" s="316">
        <v>60</v>
      </c>
      <c r="W112" s="315">
        <v>59.999999999999979</v>
      </c>
      <c r="X112" s="314">
        <f t="shared" ref="X112:X120" si="89">+AC112/U112</f>
        <v>0</v>
      </c>
      <c r="Y112" s="316">
        <f t="shared" ref="Y112:Y120" si="90">+W112+X112</f>
        <v>59.999999999999979</v>
      </c>
      <c r="Z112" s="317">
        <f t="shared" ref="Z112:Z114" si="91">+V112-Y112</f>
        <v>0</v>
      </c>
      <c r="AA112" s="318">
        <v>635181817.99999976</v>
      </c>
      <c r="AB112" s="318">
        <v>2.384185791015625E-7</v>
      </c>
      <c r="AC112" s="318">
        <f t="shared" si="82"/>
        <v>0</v>
      </c>
      <c r="AD112" s="318"/>
      <c r="AE112" s="318"/>
      <c r="AF112" s="318"/>
      <c r="AG112" s="318"/>
      <c r="AH112" s="318"/>
      <c r="AI112" s="318"/>
      <c r="AJ112" s="318"/>
      <c r="AK112" s="318"/>
      <c r="AL112" s="318"/>
      <c r="AM112" s="318"/>
      <c r="AN112" s="318"/>
      <c r="AO112" s="318"/>
      <c r="AP112" s="318">
        <f t="shared" ref="AP112:AP120" si="92">+AA112+AC112</f>
        <v>635181817.99999976</v>
      </c>
      <c r="AQ112" s="319">
        <f t="shared" ref="AQ112:AQ120" si="93">IF(AS112=$AS$24,((T112-AP112)*0),T112-AP112)</f>
        <v>2.384185791015625E-7</v>
      </c>
      <c r="AR112" s="320"/>
      <c r="AS112" s="320"/>
      <c r="AT112" s="365"/>
      <c r="AU112" s="322"/>
      <c r="AV112" s="146" t="s">
        <v>1236</v>
      </c>
      <c r="AW112" s="146">
        <f>IFERROR(VLOOKUP(G112,'[71]Detail Deprec_202501'!$D$246:$I$393,6,FALSE),0)</f>
        <v>0</v>
      </c>
      <c r="AX112" s="501">
        <f t="shared" si="85"/>
        <v>0</v>
      </c>
    </row>
    <row r="113" spans="1:50" ht="12.9" customHeight="1" outlineLevel="1">
      <c r="A113" s="324">
        <f t="shared" si="86"/>
        <v>88</v>
      </c>
      <c r="B113" s="385" t="s">
        <v>142</v>
      </c>
      <c r="C113" s="483" t="s">
        <v>474</v>
      </c>
      <c r="D113" s="382">
        <v>155</v>
      </c>
      <c r="E113" s="382" t="s">
        <v>1711</v>
      </c>
      <c r="F113" s="398" t="s">
        <v>526</v>
      </c>
      <c r="G113" s="398" t="s">
        <v>527</v>
      </c>
      <c r="H113" s="383">
        <v>41016</v>
      </c>
      <c r="I113" s="392" t="s">
        <v>11</v>
      </c>
      <c r="J113" s="379">
        <v>15</v>
      </c>
      <c r="K113" s="351" t="s">
        <v>487</v>
      </c>
      <c r="L113" s="351" t="s">
        <v>300</v>
      </c>
      <c r="M113" s="379" t="s">
        <v>477</v>
      </c>
      <c r="N113" s="379">
        <v>2012</v>
      </c>
      <c r="O113" s="399" t="s">
        <v>528</v>
      </c>
      <c r="P113" s="399" t="s">
        <v>529</v>
      </c>
      <c r="Q113" s="399" t="s">
        <v>530</v>
      </c>
      <c r="R113" s="377">
        <v>1</v>
      </c>
      <c r="S113" s="397"/>
      <c r="T113" s="354">
        <v>832727273</v>
      </c>
      <c r="U113" s="313">
        <f t="shared" si="88"/>
        <v>13878787.883333333</v>
      </c>
      <c r="V113" s="316">
        <v>60</v>
      </c>
      <c r="W113" s="315">
        <v>59.999999999999979</v>
      </c>
      <c r="X113" s="314">
        <f t="shared" si="89"/>
        <v>0</v>
      </c>
      <c r="Y113" s="314">
        <f t="shared" si="90"/>
        <v>59.999999999999979</v>
      </c>
      <c r="Z113" s="317">
        <f t="shared" si="91"/>
        <v>0</v>
      </c>
      <c r="AA113" s="318">
        <v>832727272.99999964</v>
      </c>
      <c r="AB113" s="318">
        <v>3.5762786865234375E-7</v>
      </c>
      <c r="AC113" s="318">
        <f t="shared" si="82"/>
        <v>0</v>
      </c>
      <c r="AD113" s="318"/>
      <c r="AE113" s="318"/>
      <c r="AF113" s="318"/>
      <c r="AG113" s="318"/>
      <c r="AH113" s="318"/>
      <c r="AI113" s="318"/>
      <c r="AJ113" s="318"/>
      <c r="AK113" s="318"/>
      <c r="AL113" s="318"/>
      <c r="AM113" s="318"/>
      <c r="AN113" s="318"/>
      <c r="AO113" s="318"/>
      <c r="AP113" s="318">
        <f t="shared" si="92"/>
        <v>832727272.99999964</v>
      </c>
      <c r="AQ113" s="319">
        <f t="shared" si="93"/>
        <v>3.5762786865234375E-7</v>
      </c>
      <c r="AR113" s="320"/>
      <c r="AS113" s="320"/>
      <c r="AT113" s="365"/>
      <c r="AU113" s="322"/>
      <c r="AV113" s="146" t="s">
        <v>1236</v>
      </c>
      <c r="AW113" s="146">
        <f>IFERROR(VLOOKUP(G113,'[71]Detail Deprec_202501'!$D$246:$I$393,6,FALSE),0)</f>
        <v>0</v>
      </c>
      <c r="AX113" s="501">
        <f t="shared" ref="AX113:AX126" si="94">AW113-AK113</f>
        <v>0</v>
      </c>
    </row>
    <row r="114" spans="1:50" s="753" customFormat="1" ht="12.9" customHeight="1" outlineLevel="1">
      <c r="A114" s="730">
        <f t="shared" si="86"/>
        <v>89</v>
      </c>
      <c r="B114" s="731" t="s">
        <v>142</v>
      </c>
      <c r="C114" s="756" t="s">
        <v>474</v>
      </c>
      <c r="D114" s="733">
        <v>155</v>
      </c>
      <c r="E114" s="733" t="s">
        <v>1711</v>
      </c>
      <c r="F114" s="757" t="s">
        <v>533</v>
      </c>
      <c r="G114" s="757" t="s">
        <v>534</v>
      </c>
      <c r="H114" s="758">
        <v>41045</v>
      </c>
      <c r="I114" s="735" t="s">
        <v>11</v>
      </c>
      <c r="J114" s="737">
        <v>3</v>
      </c>
      <c r="K114" s="759" t="s">
        <v>298</v>
      </c>
      <c r="L114" s="759" t="s">
        <v>531</v>
      </c>
      <c r="M114" s="737" t="s">
        <v>532</v>
      </c>
      <c r="N114" s="737">
        <v>2012</v>
      </c>
      <c r="O114" s="737" t="s">
        <v>535</v>
      </c>
      <c r="P114" s="759"/>
      <c r="Q114" s="760" t="s">
        <v>536</v>
      </c>
      <c r="R114" s="761">
        <v>1</v>
      </c>
      <c r="S114" s="762"/>
      <c r="T114" s="763">
        <v>210000000</v>
      </c>
      <c r="U114" s="741">
        <f t="shared" si="88"/>
        <v>3500000</v>
      </c>
      <c r="V114" s="744">
        <v>60</v>
      </c>
      <c r="W114" s="743">
        <v>60</v>
      </c>
      <c r="X114" s="742">
        <f t="shared" si="89"/>
        <v>0</v>
      </c>
      <c r="Y114" s="742">
        <f t="shared" si="90"/>
        <v>60</v>
      </c>
      <c r="Z114" s="745">
        <f t="shared" si="91"/>
        <v>0</v>
      </c>
      <c r="AA114" s="746">
        <v>210000000</v>
      </c>
      <c r="AB114" s="746">
        <v>0</v>
      </c>
      <c r="AC114" s="746">
        <f t="shared" si="82"/>
        <v>0</v>
      </c>
      <c r="AD114" s="746"/>
      <c r="AE114" s="746"/>
      <c r="AF114" s="746"/>
      <c r="AG114" s="746"/>
      <c r="AH114" s="746"/>
      <c r="AI114" s="746"/>
      <c r="AJ114" s="746"/>
      <c r="AK114" s="746"/>
      <c r="AL114" s="746"/>
      <c r="AM114" s="746"/>
      <c r="AN114" s="746"/>
      <c r="AO114" s="746"/>
      <c r="AP114" s="746">
        <f t="shared" si="92"/>
        <v>210000000</v>
      </c>
      <c r="AQ114" s="747">
        <f t="shared" si="93"/>
        <v>0</v>
      </c>
      <c r="AR114" s="748"/>
      <c r="AS114" s="748" t="s">
        <v>39</v>
      </c>
      <c r="AT114" s="323"/>
      <c r="AU114" s="750">
        <v>45838</v>
      </c>
      <c r="AV114" s="751" t="s">
        <v>1236</v>
      </c>
      <c r="AW114" s="751">
        <f>IFERROR(VLOOKUP(G114,'[71]Detail Deprec_202501'!$D$246:$I$393,6,FALSE),0)</f>
        <v>0</v>
      </c>
      <c r="AX114" s="752">
        <f t="shared" si="94"/>
        <v>0</v>
      </c>
    </row>
    <row r="115" spans="1:50" s="753" customFormat="1" ht="12.9" customHeight="1" outlineLevel="1">
      <c r="A115" s="730">
        <f t="shared" si="86"/>
        <v>90</v>
      </c>
      <c r="B115" s="764" t="s">
        <v>142</v>
      </c>
      <c r="C115" s="765" t="s">
        <v>143</v>
      </c>
      <c r="D115" s="733">
        <v>155</v>
      </c>
      <c r="E115" s="733" t="s">
        <v>1707</v>
      </c>
      <c r="F115" s="764" t="s">
        <v>539</v>
      </c>
      <c r="G115" s="764" t="s">
        <v>540</v>
      </c>
      <c r="H115" s="758">
        <v>41639</v>
      </c>
      <c r="I115" s="735" t="s">
        <v>11</v>
      </c>
      <c r="J115" s="737">
        <v>181</v>
      </c>
      <c r="K115" s="759" t="s">
        <v>541</v>
      </c>
      <c r="L115" s="759" t="s">
        <v>542</v>
      </c>
      <c r="M115" s="744" t="s">
        <v>470</v>
      </c>
      <c r="N115" s="737">
        <v>2013</v>
      </c>
      <c r="O115" s="737"/>
      <c r="P115" s="737" t="s">
        <v>543</v>
      </c>
      <c r="Q115" s="737" t="s">
        <v>544</v>
      </c>
      <c r="R115" s="761">
        <v>1</v>
      </c>
      <c r="S115" s="766">
        <v>30900</v>
      </c>
      <c r="T115" s="763">
        <v>347130600</v>
      </c>
      <c r="U115" s="741">
        <f t="shared" si="88"/>
        <v>5785510</v>
      </c>
      <c r="V115" s="744">
        <v>60</v>
      </c>
      <c r="W115" s="743">
        <v>60</v>
      </c>
      <c r="X115" s="742">
        <f t="shared" si="89"/>
        <v>0</v>
      </c>
      <c r="Y115" s="742">
        <f t="shared" si="90"/>
        <v>60</v>
      </c>
      <c r="Z115" s="745">
        <f t="shared" ref="Z115:Z124" si="95">+V115-Y115</f>
        <v>0</v>
      </c>
      <c r="AA115" s="746">
        <v>347130600</v>
      </c>
      <c r="AB115" s="746">
        <v>0</v>
      </c>
      <c r="AC115" s="746">
        <f t="shared" ref="AC115:AC137" si="96">SUM(AD115:AL115)</f>
        <v>0</v>
      </c>
      <c r="AD115" s="746"/>
      <c r="AE115" s="746"/>
      <c r="AF115" s="746"/>
      <c r="AG115" s="746"/>
      <c r="AH115" s="746"/>
      <c r="AI115" s="746"/>
      <c r="AJ115" s="746"/>
      <c r="AK115" s="746"/>
      <c r="AL115" s="746"/>
      <c r="AM115" s="746"/>
      <c r="AN115" s="746"/>
      <c r="AO115" s="746"/>
      <c r="AP115" s="746">
        <f t="shared" si="92"/>
        <v>347130600</v>
      </c>
      <c r="AQ115" s="747">
        <f t="shared" si="93"/>
        <v>0</v>
      </c>
      <c r="AR115" s="748"/>
      <c r="AS115" s="748" t="s">
        <v>39</v>
      </c>
      <c r="AT115" s="323"/>
      <c r="AU115" s="767">
        <v>45744</v>
      </c>
      <c r="AV115" s="751" t="s">
        <v>1236</v>
      </c>
      <c r="AW115" s="751">
        <f>IFERROR(VLOOKUP(G115,'[70]Detail Deprec_202508'!$D$33:$I$357,6,FALSE),0)</f>
        <v>0</v>
      </c>
      <c r="AX115" s="751">
        <f t="shared" si="94"/>
        <v>0</v>
      </c>
    </row>
    <row r="116" spans="1:50" s="753" customFormat="1" ht="12.9" customHeight="1" outlineLevel="1">
      <c r="A116" s="730">
        <f t="shared" si="86"/>
        <v>91</v>
      </c>
      <c r="B116" s="764" t="s">
        <v>142</v>
      </c>
      <c r="C116" s="765" t="s">
        <v>143</v>
      </c>
      <c r="D116" s="733">
        <v>155</v>
      </c>
      <c r="E116" s="733" t="s">
        <v>1707</v>
      </c>
      <c r="F116" s="764" t="s">
        <v>546</v>
      </c>
      <c r="G116" s="764" t="s">
        <v>547</v>
      </c>
      <c r="H116" s="758">
        <v>41639</v>
      </c>
      <c r="I116" s="735" t="s">
        <v>11</v>
      </c>
      <c r="J116" s="737">
        <v>181</v>
      </c>
      <c r="K116" s="759" t="s">
        <v>545</v>
      </c>
      <c r="L116" s="759" t="s">
        <v>542</v>
      </c>
      <c r="M116" s="744" t="s">
        <v>470</v>
      </c>
      <c r="N116" s="737">
        <v>2013</v>
      </c>
      <c r="O116" s="737" t="s">
        <v>401</v>
      </c>
      <c r="P116" s="737" t="s">
        <v>543</v>
      </c>
      <c r="Q116" s="737" t="s">
        <v>548</v>
      </c>
      <c r="R116" s="761">
        <v>1</v>
      </c>
      <c r="S116" s="766">
        <v>30900</v>
      </c>
      <c r="T116" s="763">
        <v>347130600</v>
      </c>
      <c r="U116" s="741">
        <f t="shared" si="88"/>
        <v>5785510</v>
      </c>
      <c r="V116" s="744">
        <v>60</v>
      </c>
      <c r="W116" s="743">
        <v>60</v>
      </c>
      <c r="X116" s="742">
        <f t="shared" si="89"/>
        <v>0</v>
      </c>
      <c r="Y116" s="742">
        <f t="shared" si="90"/>
        <v>60</v>
      </c>
      <c r="Z116" s="745">
        <f t="shared" si="95"/>
        <v>0</v>
      </c>
      <c r="AA116" s="746">
        <v>347130600</v>
      </c>
      <c r="AB116" s="746">
        <v>0</v>
      </c>
      <c r="AC116" s="746">
        <f t="shared" si="96"/>
        <v>0</v>
      </c>
      <c r="AD116" s="746"/>
      <c r="AE116" s="746"/>
      <c r="AF116" s="746"/>
      <c r="AG116" s="746"/>
      <c r="AH116" s="746"/>
      <c r="AI116" s="746"/>
      <c r="AJ116" s="746"/>
      <c r="AK116" s="746"/>
      <c r="AL116" s="746"/>
      <c r="AM116" s="746"/>
      <c r="AN116" s="746"/>
      <c r="AO116" s="746"/>
      <c r="AP116" s="746">
        <f t="shared" si="92"/>
        <v>347130600</v>
      </c>
      <c r="AQ116" s="747">
        <f t="shared" si="93"/>
        <v>0</v>
      </c>
      <c r="AR116" s="748"/>
      <c r="AS116" s="748" t="s">
        <v>39</v>
      </c>
      <c r="AT116" s="323"/>
      <c r="AU116" s="767">
        <v>45744</v>
      </c>
      <c r="AV116" s="751" t="s">
        <v>1236</v>
      </c>
      <c r="AW116" s="751">
        <f>IFERROR(VLOOKUP(G116,'[70]Detail Deprec_202508'!$D$33:$I$357,6,FALSE),0)</f>
        <v>0</v>
      </c>
      <c r="AX116" s="751">
        <f t="shared" si="94"/>
        <v>0</v>
      </c>
    </row>
    <row r="117" spans="1:50" s="753" customFormat="1" ht="12.9" customHeight="1" outlineLevel="1">
      <c r="A117" s="730">
        <f t="shared" si="86"/>
        <v>92</v>
      </c>
      <c r="B117" s="764" t="s">
        <v>142</v>
      </c>
      <c r="C117" s="765" t="s">
        <v>143</v>
      </c>
      <c r="D117" s="733">
        <v>155</v>
      </c>
      <c r="E117" s="733" t="s">
        <v>1707</v>
      </c>
      <c r="F117" s="764" t="s">
        <v>549</v>
      </c>
      <c r="G117" s="764" t="s">
        <v>550</v>
      </c>
      <c r="H117" s="758">
        <v>41639</v>
      </c>
      <c r="I117" s="735" t="s">
        <v>11</v>
      </c>
      <c r="J117" s="737">
        <v>182</v>
      </c>
      <c r="K117" s="759" t="s">
        <v>545</v>
      </c>
      <c r="L117" s="759" t="s">
        <v>542</v>
      </c>
      <c r="M117" s="744" t="s">
        <v>551</v>
      </c>
      <c r="N117" s="737">
        <v>2013</v>
      </c>
      <c r="O117" s="737"/>
      <c r="P117" s="737" t="s">
        <v>552</v>
      </c>
      <c r="Q117" s="737" t="s">
        <v>553</v>
      </c>
      <c r="R117" s="761">
        <v>1</v>
      </c>
      <c r="S117" s="766">
        <v>24700</v>
      </c>
      <c r="T117" s="763">
        <v>277479800</v>
      </c>
      <c r="U117" s="741">
        <f t="shared" si="88"/>
        <v>4624663.333333333</v>
      </c>
      <c r="V117" s="744">
        <v>60</v>
      </c>
      <c r="W117" s="743">
        <v>60.000000000000014</v>
      </c>
      <c r="X117" s="742">
        <f t="shared" si="89"/>
        <v>0</v>
      </c>
      <c r="Y117" s="742">
        <f t="shared" si="90"/>
        <v>60.000000000000014</v>
      </c>
      <c r="Z117" s="745">
        <f t="shared" si="95"/>
        <v>0</v>
      </c>
      <c r="AA117" s="746">
        <v>277479800.00000006</v>
      </c>
      <c r="AB117" s="746">
        <v>-5.9604644775390625E-8</v>
      </c>
      <c r="AC117" s="746">
        <f t="shared" si="96"/>
        <v>0</v>
      </c>
      <c r="AD117" s="746"/>
      <c r="AE117" s="746"/>
      <c r="AF117" s="746"/>
      <c r="AG117" s="746"/>
      <c r="AH117" s="746"/>
      <c r="AI117" s="746"/>
      <c r="AJ117" s="746"/>
      <c r="AK117" s="746"/>
      <c r="AL117" s="746"/>
      <c r="AM117" s="746"/>
      <c r="AN117" s="746"/>
      <c r="AO117" s="746"/>
      <c r="AP117" s="746">
        <f t="shared" si="92"/>
        <v>277479800.00000006</v>
      </c>
      <c r="AQ117" s="747">
        <f t="shared" si="93"/>
        <v>0</v>
      </c>
      <c r="AR117" s="748"/>
      <c r="AS117" s="748" t="s">
        <v>39</v>
      </c>
      <c r="AT117" s="323"/>
      <c r="AU117" s="767">
        <v>45744</v>
      </c>
      <c r="AV117" s="751" t="s">
        <v>1236</v>
      </c>
      <c r="AW117" s="751">
        <f>IFERROR(VLOOKUP(G117,'[70]Detail Deprec_202508'!$D$33:$I$357,6,FALSE),0)</f>
        <v>0</v>
      </c>
      <c r="AX117" s="751">
        <f t="shared" si="94"/>
        <v>0</v>
      </c>
    </row>
    <row r="118" spans="1:50" s="753" customFormat="1" ht="12.9" customHeight="1" outlineLevel="1">
      <c r="A118" s="730">
        <f t="shared" si="86"/>
        <v>93</v>
      </c>
      <c r="B118" s="764" t="s">
        <v>142</v>
      </c>
      <c r="C118" s="765" t="s">
        <v>143</v>
      </c>
      <c r="D118" s="733">
        <v>155</v>
      </c>
      <c r="E118" s="733" t="s">
        <v>1707</v>
      </c>
      <c r="F118" s="764" t="s">
        <v>554</v>
      </c>
      <c r="G118" s="764" t="s">
        <v>555</v>
      </c>
      <c r="H118" s="758">
        <v>41639</v>
      </c>
      <c r="I118" s="735" t="s">
        <v>11</v>
      </c>
      <c r="J118" s="737">
        <v>182</v>
      </c>
      <c r="K118" s="759" t="s">
        <v>545</v>
      </c>
      <c r="L118" s="759" t="s">
        <v>542</v>
      </c>
      <c r="M118" s="744" t="s">
        <v>551</v>
      </c>
      <c r="N118" s="737">
        <v>2013</v>
      </c>
      <c r="O118" s="737"/>
      <c r="P118" s="737" t="s">
        <v>556</v>
      </c>
      <c r="Q118" s="737" t="s">
        <v>553</v>
      </c>
      <c r="R118" s="761">
        <v>1</v>
      </c>
      <c r="S118" s="766">
        <v>24700</v>
      </c>
      <c r="T118" s="763">
        <v>277479800</v>
      </c>
      <c r="U118" s="741">
        <f t="shared" si="88"/>
        <v>4624663.333333333</v>
      </c>
      <c r="V118" s="744">
        <v>60</v>
      </c>
      <c r="W118" s="743">
        <v>60.000000000000014</v>
      </c>
      <c r="X118" s="742">
        <f t="shared" si="89"/>
        <v>0</v>
      </c>
      <c r="Y118" s="742">
        <f t="shared" si="90"/>
        <v>60.000000000000014</v>
      </c>
      <c r="Z118" s="745">
        <f t="shared" si="95"/>
        <v>0</v>
      </c>
      <c r="AA118" s="746">
        <v>277479800.00000006</v>
      </c>
      <c r="AB118" s="746">
        <v>-5.9604644775390625E-8</v>
      </c>
      <c r="AC118" s="746">
        <f t="shared" si="96"/>
        <v>0</v>
      </c>
      <c r="AD118" s="746"/>
      <c r="AE118" s="746"/>
      <c r="AF118" s="746"/>
      <c r="AG118" s="746"/>
      <c r="AH118" s="746"/>
      <c r="AI118" s="746"/>
      <c r="AJ118" s="746"/>
      <c r="AK118" s="746"/>
      <c r="AL118" s="746"/>
      <c r="AM118" s="746"/>
      <c r="AN118" s="746"/>
      <c r="AO118" s="746"/>
      <c r="AP118" s="746">
        <f t="shared" si="92"/>
        <v>277479800.00000006</v>
      </c>
      <c r="AQ118" s="747">
        <f t="shared" si="93"/>
        <v>0</v>
      </c>
      <c r="AR118" s="748"/>
      <c r="AS118" s="748" t="s">
        <v>39</v>
      </c>
      <c r="AT118" s="323"/>
      <c r="AU118" s="767">
        <v>45744</v>
      </c>
      <c r="AV118" s="751" t="s">
        <v>1236</v>
      </c>
      <c r="AW118" s="751">
        <f>IFERROR(VLOOKUP(G118,'[70]Detail Deprec_202508'!$D$33:$I$357,6,FALSE),0)</f>
        <v>0</v>
      </c>
      <c r="AX118" s="751">
        <f t="shared" si="94"/>
        <v>0</v>
      </c>
    </row>
    <row r="119" spans="1:50" ht="12.9" customHeight="1" outlineLevel="1">
      <c r="A119" s="324">
        <f t="shared" si="86"/>
        <v>94</v>
      </c>
      <c r="B119" s="336" t="s">
        <v>142</v>
      </c>
      <c r="C119" s="309" t="s">
        <v>474</v>
      </c>
      <c r="D119" s="382">
        <v>155</v>
      </c>
      <c r="E119" s="382" t="s">
        <v>1711</v>
      </c>
      <c r="F119" s="336" t="s">
        <v>559</v>
      </c>
      <c r="G119" s="336" t="s">
        <v>560</v>
      </c>
      <c r="H119" s="383">
        <v>41696</v>
      </c>
      <c r="I119" s="392" t="s">
        <v>11</v>
      </c>
      <c r="J119" s="379">
        <v>6</v>
      </c>
      <c r="K119" s="351" t="s">
        <v>561</v>
      </c>
      <c r="L119" s="351" t="s">
        <v>300</v>
      </c>
      <c r="M119" s="379" t="s">
        <v>562</v>
      </c>
      <c r="N119" s="379">
        <v>2014</v>
      </c>
      <c r="O119" s="379" t="s">
        <v>563</v>
      </c>
      <c r="P119" s="379" t="s">
        <v>564</v>
      </c>
      <c r="Q119" s="379" t="s">
        <v>565</v>
      </c>
      <c r="R119" s="377">
        <v>1</v>
      </c>
      <c r="S119" s="400"/>
      <c r="T119" s="354">
        <v>564090910</v>
      </c>
      <c r="U119" s="313">
        <f t="shared" si="88"/>
        <v>9401515.166666666</v>
      </c>
      <c r="V119" s="316">
        <v>60</v>
      </c>
      <c r="W119" s="315">
        <v>60.000000000000007</v>
      </c>
      <c r="X119" s="314">
        <f t="shared" si="89"/>
        <v>0</v>
      </c>
      <c r="Y119" s="314">
        <f t="shared" si="90"/>
        <v>60.000000000000007</v>
      </c>
      <c r="Z119" s="317">
        <f t="shared" si="95"/>
        <v>0</v>
      </c>
      <c r="AA119" s="318">
        <v>564090910</v>
      </c>
      <c r="AB119" s="318">
        <v>0</v>
      </c>
      <c r="AC119" s="318">
        <f t="shared" si="96"/>
        <v>0</v>
      </c>
      <c r="AD119" s="318"/>
      <c r="AE119" s="318"/>
      <c r="AF119" s="318"/>
      <c r="AG119" s="318"/>
      <c r="AH119" s="318"/>
      <c r="AI119" s="318"/>
      <c r="AJ119" s="318"/>
      <c r="AK119" s="318"/>
      <c r="AL119" s="318"/>
      <c r="AM119" s="318"/>
      <c r="AN119" s="318"/>
      <c r="AO119" s="318"/>
      <c r="AP119" s="318">
        <f t="shared" si="92"/>
        <v>564090910</v>
      </c>
      <c r="AQ119" s="319">
        <f t="shared" si="93"/>
        <v>0</v>
      </c>
      <c r="AR119" s="320"/>
      <c r="AS119" s="320"/>
      <c r="AT119" s="365"/>
      <c r="AU119" s="322"/>
      <c r="AV119" s="146" t="s">
        <v>1236</v>
      </c>
      <c r="AW119" s="146">
        <f>IFERROR(VLOOKUP(G119,'[71]Detail Deprec_202501'!$D$246:$I$393,6,FALSE),0)</f>
        <v>0</v>
      </c>
      <c r="AX119" s="501">
        <f t="shared" si="94"/>
        <v>0</v>
      </c>
    </row>
    <row r="120" spans="1:50" ht="12.9" customHeight="1" outlineLevel="1">
      <c r="A120" s="324">
        <f t="shared" si="86"/>
        <v>95</v>
      </c>
      <c r="B120" s="336" t="s">
        <v>142</v>
      </c>
      <c r="C120" s="359" t="s">
        <v>474</v>
      </c>
      <c r="D120" s="382">
        <v>155</v>
      </c>
      <c r="E120" s="382" t="s">
        <v>1711</v>
      </c>
      <c r="F120" s="336" t="s">
        <v>559</v>
      </c>
      <c r="G120" s="336" t="s">
        <v>566</v>
      </c>
      <c r="H120" s="383">
        <v>41708</v>
      </c>
      <c r="I120" s="392" t="s">
        <v>11</v>
      </c>
      <c r="J120" s="379">
        <v>7</v>
      </c>
      <c r="K120" s="351" t="s">
        <v>567</v>
      </c>
      <c r="L120" s="351" t="s">
        <v>568</v>
      </c>
      <c r="M120" s="379" t="s">
        <v>477</v>
      </c>
      <c r="N120" s="379">
        <v>2014</v>
      </c>
      <c r="O120" s="379" t="s">
        <v>563</v>
      </c>
      <c r="P120" s="379" t="s">
        <v>564</v>
      </c>
      <c r="Q120" s="379" t="s">
        <v>565</v>
      </c>
      <c r="R120" s="377">
        <v>1</v>
      </c>
      <c r="S120" s="400"/>
      <c r="T120" s="354">
        <v>180500000</v>
      </c>
      <c r="U120" s="313">
        <f t="shared" si="88"/>
        <v>3008333.3333333335</v>
      </c>
      <c r="V120" s="316">
        <v>60</v>
      </c>
      <c r="W120" s="315">
        <v>59.999999999999986</v>
      </c>
      <c r="X120" s="314">
        <f t="shared" si="89"/>
        <v>0</v>
      </c>
      <c r="Y120" s="314">
        <f t="shared" si="90"/>
        <v>59.999999999999986</v>
      </c>
      <c r="Z120" s="317">
        <f t="shared" si="95"/>
        <v>0</v>
      </c>
      <c r="AA120" s="318">
        <v>180499999.99999997</v>
      </c>
      <c r="AB120" s="318">
        <v>2.9802322387695313E-8</v>
      </c>
      <c r="AC120" s="318">
        <f t="shared" si="96"/>
        <v>0</v>
      </c>
      <c r="AD120" s="318"/>
      <c r="AE120" s="318"/>
      <c r="AF120" s="318"/>
      <c r="AG120" s="318"/>
      <c r="AH120" s="318"/>
      <c r="AI120" s="318"/>
      <c r="AJ120" s="318"/>
      <c r="AK120" s="318"/>
      <c r="AL120" s="318"/>
      <c r="AM120" s="318"/>
      <c r="AN120" s="318"/>
      <c r="AO120" s="318"/>
      <c r="AP120" s="318">
        <f t="shared" si="92"/>
        <v>180499999.99999997</v>
      </c>
      <c r="AQ120" s="319">
        <f t="shared" si="93"/>
        <v>2.9802322387695313E-8</v>
      </c>
      <c r="AR120" s="320"/>
      <c r="AS120" s="320"/>
      <c r="AT120" s="365"/>
      <c r="AU120" s="322"/>
      <c r="AV120" s="146" t="s">
        <v>1236</v>
      </c>
      <c r="AW120" s="146">
        <f>IFERROR(VLOOKUP(G120,'[71]Detail Deprec_202501'!$D$246:$I$393,6,FALSE),0)</f>
        <v>0</v>
      </c>
      <c r="AX120" s="501">
        <f t="shared" si="94"/>
        <v>0</v>
      </c>
    </row>
    <row r="121" spans="1:50" ht="12.9" customHeight="1" outlineLevel="1">
      <c r="A121" s="324">
        <f t="shared" si="86"/>
        <v>96</v>
      </c>
      <c r="B121" s="336" t="s">
        <v>142</v>
      </c>
      <c r="C121" s="309" t="s">
        <v>143</v>
      </c>
      <c r="D121" s="382">
        <v>155</v>
      </c>
      <c r="E121" s="382" t="s">
        <v>1707</v>
      </c>
      <c r="F121" s="336" t="s">
        <v>570</v>
      </c>
      <c r="G121" s="336" t="s">
        <v>571</v>
      </c>
      <c r="H121" s="383">
        <v>41715</v>
      </c>
      <c r="I121" s="392" t="s">
        <v>11</v>
      </c>
      <c r="J121" s="379">
        <v>26</v>
      </c>
      <c r="K121" s="351" t="s">
        <v>569</v>
      </c>
      <c r="L121" s="351" t="s">
        <v>471</v>
      </c>
      <c r="M121" s="316" t="s">
        <v>551</v>
      </c>
      <c r="N121" s="379">
        <v>2014</v>
      </c>
      <c r="O121" s="379"/>
      <c r="P121" s="379" t="s">
        <v>572</v>
      </c>
      <c r="Q121" s="379" t="s">
        <v>573</v>
      </c>
      <c r="R121" s="377">
        <v>1</v>
      </c>
      <c r="S121" s="397">
        <v>2217996</v>
      </c>
      <c r="T121" s="354">
        <v>253184243</v>
      </c>
      <c r="U121" s="313">
        <f t="shared" ref="U121:U146" si="97">+T121/V121</f>
        <v>4219737.3833333338</v>
      </c>
      <c r="V121" s="316">
        <v>60</v>
      </c>
      <c r="W121" s="315">
        <v>59.999999999999993</v>
      </c>
      <c r="X121" s="314">
        <f t="shared" ref="X121:X146" si="98">+AC121/U121</f>
        <v>0</v>
      </c>
      <c r="Y121" s="314">
        <f t="shared" ref="Y121:Y146" si="99">+W121+X121</f>
        <v>59.999999999999993</v>
      </c>
      <c r="Z121" s="317">
        <f t="shared" si="95"/>
        <v>0</v>
      </c>
      <c r="AA121" s="318">
        <v>253184243</v>
      </c>
      <c r="AB121" s="318">
        <v>0</v>
      </c>
      <c r="AC121" s="318">
        <f t="shared" si="96"/>
        <v>0</v>
      </c>
      <c r="AD121" s="318"/>
      <c r="AE121" s="318"/>
      <c r="AF121" s="318"/>
      <c r="AG121" s="318"/>
      <c r="AH121" s="318"/>
      <c r="AI121" s="318"/>
      <c r="AJ121" s="318"/>
      <c r="AK121" s="318"/>
      <c r="AL121" s="318"/>
      <c r="AM121" s="318"/>
      <c r="AN121" s="318"/>
      <c r="AO121" s="318"/>
      <c r="AP121" s="318">
        <f t="shared" ref="AP121:AP146" si="100">+AA121+AC121</f>
        <v>253184243</v>
      </c>
      <c r="AQ121" s="319">
        <f t="shared" ref="AQ121:AQ146" si="101">IF(AS121=$AS$24,((T121-AP121)*0),T121-AP121)</f>
        <v>0</v>
      </c>
      <c r="AR121" s="320"/>
      <c r="AS121" s="320"/>
      <c r="AT121" s="365"/>
      <c r="AU121" s="322"/>
      <c r="AV121" s="146" t="s">
        <v>1236</v>
      </c>
      <c r="AW121" s="146">
        <f>IFERROR(VLOOKUP(G121,'[70]Detail Deprec_202508'!$D$33:$I$357,6,FALSE),0)</f>
        <v>0</v>
      </c>
      <c r="AX121" s="146">
        <f t="shared" si="94"/>
        <v>0</v>
      </c>
    </row>
    <row r="122" spans="1:50" ht="12.9" customHeight="1" outlineLevel="1">
      <c r="A122" s="324">
        <f t="shared" si="86"/>
        <v>97</v>
      </c>
      <c r="B122" s="336" t="s">
        <v>142</v>
      </c>
      <c r="C122" s="309" t="s">
        <v>143</v>
      </c>
      <c r="D122" s="382">
        <v>155</v>
      </c>
      <c r="E122" s="382" t="s">
        <v>1707</v>
      </c>
      <c r="F122" s="336" t="s">
        <v>574</v>
      </c>
      <c r="G122" s="336" t="s">
        <v>575</v>
      </c>
      <c r="H122" s="383">
        <v>41715</v>
      </c>
      <c r="I122" s="392" t="s">
        <v>11</v>
      </c>
      <c r="J122" s="379">
        <v>26</v>
      </c>
      <c r="K122" s="351" t="s">
        <v>468</v>
      </c>
      <c r="L122" s="351" t="s">
        <v>471</v>
      </c>
      <c r="M122" s="316" t="s">
        <v>551</v>
      </c>
      <c r="N122" s="379">
        <v>2014</v>
      </c>
      <c r="O122" s="379"/>
      <c r="P122" s="379" t="s">
        <v>576</v>
      </c>
      <c r="Q122" s="379" t="s">
        <v>577</v>
      </c>
      <c r="R122" s="377">
        <v>1</v>
      </c>
      <c r="S122" s="397">
        <v>2217996</v>
      </c>
      <c r="T122" s="354">
        <v>253184243</v>
      </c>
      <c r="U122" s="313">
        <f t="shared" si="97"/>
        <v>4219737.3833333338</v>
      </c>
      <c r="V122" s="316">
        <v>60</v>
      </c>
      <c r="W122" s="315">
        <v>59.999999999999993</v>
      </c>
      <c r="X122" s="314">
        <f t="shared" si="98"/>
        <v>0</v>
      </c>
      <c r="Y122" s="314">
        <f t="shared" si="99"/>
        <v>59.999999999999993</v>
      </c>
      <c r="Z122" s="317">
        <f t="shared" si="95"/>
        <v>0</v>
      </c>
      <c r="AA122" s="318">
        <v>253184243</v>
      </c>
      <c r="AB122" s="318">
        <v>0</v>
      </c>
      <c r="AC122" s="318">
        <f t="shared" si="96"/>
        <v>0</v>
      </c>
      <c r="AD122" s="318"/>
      <c r="AE122" s="318"/>
      <c r="AF122" s="318"/>
      <c r="AG122" s="318"/>
      <c r="AH122" s="318"/>
      <c r="AI122" s="318"/>
      <c r="AJ122" s="318"/>
      <c r="AK122" s="318"/>
      <c r="AL122" s="318"/>
      <c r="AM122" s="318"/>
      <c r="AN122" s="318"/>
      <c r="AO122" s="318"/>
      <c r="AP122" s="318">
        <f t="shared" si="100"/>
        <v>253184243</v>
      </c>
      <c r="AQ122" s="319">
        <f t="shared" si="101"/>
        <v>0</v>
      </c>
      <c r="AR122" s="320"/>
      <c r="AS122" s="320"/>
      <c r="AT122" s="365"/>
      <c r="AU122" s="322"/>
      <c r="AV122" s="146" t="s">
        <v>1236</v>
      </c>
      <c r="AW122" s="146">
        <f>IFERROR(VLOOKUP(G122,'[70]Detail Deprec_202508'!$D$33:$I$357,6,FALSE),0)</f>
        <v>0</v>
      </c>
      <c r="AX122" s="146">
        <f t="shared" si="94"/>
        <v>0</v>
      </c>
    </row>
    <row r="123" spans="1:50" ht="12.9" customHeight="1" outlineLevel="1">
      <c r="A123" s="324">
        <f t="shared" si="86"/>
        <v>98</v>
      </c>
      <c r="B123" s="336" t="s">
        <v>142</v>
      </c>
      <c r="C123" s="309" t="s">
        <v>143</v>
      </c>
      <c r="D123" s="382">
        <v>155</v>
      </c>
      <c r="E123" s="382" t="s">
        <v>1707</v>
      </c>
      <c r="F123" s="336" t="s">
        <v>578</v>
      </c>
      <c r="G123" s="336" t="s">
        <v>579</v>
      </c>
      <c r="H123" s="383">
        <v>41715</v>
      </c>
      <c r="I123" s="392" t="s">
        <v>11</v>
      </c>
      <c r="J123" s="379">
        <v>26</v>
      </c>
      <c r="K123" s="351" t="s">
        <v>569</v>
      </c>
      <c r="L123" s="351" t="s">
        <v>471</v>
      </c>
      <c r="M123" s="316" t="s">
        <v>551</v>
      </c>
      <c r="N123" s="379">
        <v>2014</v>
      </c>
      <c r="O123" s="379"/>
      <c r="P123" s="379" t="s">
        <v>580</v>
      </c>
      <c r="Q123" s="379" t="s">
        <v>581</v>
      </c>
      <c r="R123" s="377">
        <v>1</v>
      </c>
      <c r="S123" s="397">
        <v>2217996</v>
      </c>
      <c r="T123" s="354">
        <v>253184243</v>
      </c>
      <c r="U123" s="313">
        <f t="shared" si="97"/>
        <v>4219737.3833333338</v>
      </c>
      <c r="V123" s="316">
        <v>60</v>
      </c>
      <c r="W123" s="315">
        <v>59.999999999999993</v>
      </c>
      <c r="X123" s="314">
        <f t="shared" si="98"/>
        <v>0</v>
      </c>
      <c r="Y123" s="314">
        <f t="shared" si="99"/>
        <v>59.999999999999993</v>
      </c>
      <c r="Z123" s="317">
        <f t="shared" si="95"/>
        <v>0</v>
      </c>
      <c r="AA123" s="318">
        <v>253184243</v>
      </c>
      <c r="AB123" s="318">
        <v>0</v>
      </c>
      <c r="AC123" s="318">
        <f t="shared" si="96"/>
        <v>0</v>
      </c>
      <c r="AD123" s="318"/>
      <c r="AE123" s="318"/>
      <c r="AF123" s="318"/>
      <c r="AG123" s="318"/>
      <c r="AH123" s="318"/>
      <c r="AI123" s="318"/>
      <c r="AJ123" s="318"/>
      <c r="AK123" s="318"/>
      <c r="AL123" s="318"/>
      <c r="AM123" s="318"/>
      <c r="AN123" s="318"/>
      <c r="AO123" s="318"/>
      <c r="AP123" s="318">
        <f t="shared" si="100"/>
        <v>253184243</v>
      </c>
      <c r="AQ123" s="319">
        <f t="shared" si="101"/>
        <v>0</v>
      </c>
      <c r="AR123" s="320"/>
      <c r="AS123" s="320"/>
      <c r="AT123" s="365"/>
      <c r="AU123" s="322"/>
      <c r="AV123" s="146" t="s">
        <v>1236</v>
      </c>
      <c r="AW123" s="146">
        <f>IFERROR(VLOOKUP(G123,'[70]Detail Deprec_202508'!$D$33:$I$357,6,FALSE),0)</f>
        <v>0</v>
      </c>
      <c r="AX123" s="146">
        <f t="shared" si="94"/>
        <v>0</v>
      </c>
    </row>
    <row r="124" spans="1:50" s="753" customFormat="1" ht="12.9" customHeight="1" outlineLevel="1">
      <c r="A124" s="730">
        <f t="shared" si="86"/>
        <v>99</v>
      </c>
      <c r="B124" s="764" t="s">
        <v>142</v>
      </c>
      <c r="C124" s="765" t="s">
        <v>143</v>
      </c>
      <c r="D124" s="733">
        <v>155</v>
      </c>
      <c r="E124" s="733" t="s">
        <v>1707</v>
      </c>
      <c r="F124" s="764" t="s">
        <v>582</v>
      </c>
      <c r="G124" s="764" t="s">
        <v>583</v>
      </c>
      <c r="H124" s="758">
        <v>41715</v>
      </c>
      <c r="I124" s="735" t="s">
        <v>11</v>
      </c>
      <c r="J124" s="737">
        <v>26</v>
      </c>
      <c r="K124" s="759" t="s">
        <v>569</v>
      </c>
      <c r="L124" s="759" t="s">
        <v>471</v>
      </c>
      <c r="M124" s="744" t="s">
        <v>551</v>
      </c>
      <c r="N124" s="737">
        <v>2014</v>
      </c>
      <c r="O124" s="737"/>
      <c r="P124" s="737" t="s">
        <v>584</v>
      </c>
      <c r="Q124" s="737" t="s">
        <v>585</v>
      </c>
      <c r="R124" s="761">
        <v>1</v>
      </c>
      <c r="S124" s="762">
        <v>2650000</v>
      </c>
      <c r="T124" s="763">
        <v>302497500</v>
      </c>
      <c r="U124" s="741">
        <f t="shared" si="97"/>
        <v>5041625</v>
      </c>
      <c r="V124" s="744">
        <v>60</v>
      </c>
      <c r="W124" s="743">
        <v>60</v>
      </c>
      <c r="X124" s="742">
        <f t="shared" si="98"/>
        <v>0</v>
      </c>
      <c r="Y124" s="742">
        <f t="shared" si="99"/>
        <v>60</v>
      </c>
      <c r="Z124" s="745">
        <f t="shared" si="95"/>
        <v>0</v>
      </c>
      <c r="AA124" s="746">
        <v>302497500</v>
      </c>
      <c r="AB124" s="746">
        <v>0</v>
      </c>
      <c r="AC124" s="746">
        <f t="shared" si="96"/>
        <v>0</v>
      </c>
      <c r="AD124" s="746"/>
      <c r="AE124" s="746"/>
      <c r="AF124" s="746"/>
      <c r="AG124" s="746"/>
      <c r="AH124" s="746"/>
      <c r="AI124" s="746"/>
      <c r="AJ124" s="746"/>
      <c r="AK124" s="746"/>
      <c r="AL124" s="746"/>
      <c r="AM124" s="746"/>
      <c r="AN124" s="746"/>
      <c r="AO124" s="746"/>
      <c r="AP124" s="746">
        <f t="shared" si="100"/>
        <v>302497500</v>
      </c>
      <c r="AQ124" s="747">
        <f t="shared" si="101"/>
        <v>0</v>
      </c>
      <c r="AR124" s="748"/>
      <c r="AS124" s="748" t="s">
        <v>39</v>
      </c>
      <c r="AT124" s="323"/>
      <c r="AU124" s="767">
        <v>45744</v>
      </c>
      <c r="AV124" s="751" t="s">
        <v>1236</v>
      </c>
      <c r="AW124" s="751">
        <f>IFERROR(VLOOKUP(G124,'[70]Detail Deprec_202508'!$D$33:$I$357,6,FALSE),0)</f>
        <v>0</v>
      </c>
      <c r="AX124" s="751">
        <f t="shared" si="94"/>
        <v>0</v>
      </c>
    </row>
    <row r="125" spans="1:50" ht="12.9" customHeight="1" outlineLevel="1">
      <c r="A125" s="324">
        <f t="shared" si="86"/>
        <v>100</v>
      </c>
      <c r="B125" s="336" t="s">
        <v>142</v>
      </c>
      <c r="C125" s="359" t="s">
        <v>474</v>
      </c>
      <c r="D125" s="382">
        <v>155</v>
      </c>
      <c r="E125" s="382" t="s">
        <v>1711</v>
      </c>
      <c r="F125" s="336" t="s">
        <v>586</v>
      </c>
      <c r="G125" s="336" t="s">
        <v>587</v>
      </c>
      <c r="H125" s="383">
        <v>41768</v>
      </c>
      <c r="I125" s="392" t="s">
        <v>11</v>
      </c>
      <c r="J125" s="379">
        <v>6</v>
      </c>
      <c r="K125" s="351" t="s">
        <v>537</v>
      </c>
      <c r="L125" s="351" t="s">
        <v>588</v>
      </c>
      <c r="M125" s="379" t="s">
        <v>589</v>
      </c>
      <c r="N125" s="379">
        <v>2014</v>
      </c>
      <c r="O125" s="379" t="s">
        <v>590</v>
      </c>
      <c r="P125" s="351" t="s">
        <v>591</v>
      </c>
      <c r="Q125" s="351" t="s">
        <v>592</v>
      </c>
      <c r="R125" s="377">
        <v>1</v>
      </c>
      <c r="S125" s="400"/>
      <c r="T125" s="354">
        <v>110400000</v>
      </c>
      <c r="U125" s="313">
        <f t="shared" si="97"/>
        <v>1840000</v>
      </c>
      <c r="V125" s="316">
        <v>60</v>
      </c>
      <c r="W125" s="315">
        <v>60</v>
      </c>
      <c r="X125" s="314">
        <f t="shared" si="98"/>
        <v>0</v>
      </c>
      <c r="Y125" s="314">
        <f t="shared" si="99"/>
        <v>60</v>
      </c>
      <c r="Z125" s="317">
        <f t="shared" ref="Z125:Z129" si="102">+V125-Y125</f>
        <v>0</v>
      </c>
      <c r="AA125" s="318">
        <v>110400000</v>
      </c>
      <c r="AB125" s="318">
        <v>0</v>
      </c>
      <c r="AC125" s="318">
        <f t="shared" si="96"/>
        <v>0</v>
      </c>
      <c r="AD125" s="318"/>
      <c r="AE125" s="318"/>
      <c r="AF125" s="318"/>
      <c r="AG125" s="318"/>
      <c r="AH125" s="318"/>
      <c r="AI125" s="318"/>
      <c r="AJ125" s="318"/>
      <c r="AK125" s="318"/>
      <c r="AL125" s="318"/>
      <c r="AM125" s="318"/>
      <c r="AN125" s="318"/>
      <c r="AO125" s="318"/>
      <c r="AP125" s="318">
        <f t="shared" si="100"/>
        <v>110400000</v>
      </c>
      <c r="AQ125" s="319">
        <f t="shared" si="101"/>
        <v>0</v>
      </c>
      <c r="AR125" s="320"/>
      <c r="AS125" s="320"/>
      <c r="AT125" s="365"/>
      <c r="AU125" s="322"/>
      <c r="AV125" s="146" t="s">
        <v>1236</v>
      </c>
      <c r="AW125" s="146">
        <f>IFERROR(VLOOKUP(G125,'[71]Detail Deprec_202501'!$D$246:$I$393,6,FALSE),0)</f>
        <v>0</v>
      </c>
      <c r="AX125" s="501">
        <f t="shared" si="94"/>
        <v>0</v>
      </c>
    </row>
    <row r="126" spans="1:50" ht="12.9" customHeight="1" outlineLevel="1">
      <c r="A126" s="324">
        <f t="shared" si="86"/>
        <v>101</v>
      </c>
      <c r="B126" s="336" t="s">
        <v>142</v>
      </c>
      <c r="C126" s="309" t="s">
        <v>143</v>
      </c>
      <c r="D126" s="382">
        <v>155</v>
      </c>
      <c r="E126" s="382" t="s">
        <v>1707</v>
      </c>
      <c r="F126" s="336" t="s">
        <v>595</v>
      </c>
      <c r="G126" s="336" t="s">
        <v>596</v>
      </c>
      <c r="H126" s="383">
        <v>41821</v>
      </c>
      <c r="I126" s="392" t="s">
        <v>11</v>
      </c>
      <c r="J126" s="379">
        <v>8</v>
      </c>
      <c r="K126" s="316" t="s">
        <v>593</v>
      </c>
      <c r="L126" s="316" t="s">
        <v>594</v>
      </c>
      <c r="M126" s="316" t="s">
        <v>551</v>
      </c>
      <c r="N126" s="379">
        <v>2014</v>
      </c>
      <c r="O126" s="379"/>
      <c r="P126" s="379">
        <v>38370</v>
      </c>
      <c r="Q126" s="379">
        <v>38370</v>
      </c>
      <c r="R126" s="377">
        <v>1</v>
      </c>
      <c r="S126" s="402">
        <v>61090</v>
      </c>
      <c r="T126" s="403">
        <v>997777472</v>
      </c>
      <c r="U126" s="313">
        <f t="shared" si="97"/>
        <v>16629624.533333333</v>
      </c>
      <c r="V126" s="404">
        <v>60</v>
      </c>
      <c r="W126" s="315">
        <v>60</v>
      </c>
      <c r="X126" s="314">
        <f t="shared" si="98"/>
        <v>0</v>
      </c>
      <c r="Y126" s="314">
        <f t="shared" si="99"/>
        <v>60</v>
      </c>
      <c r="Z126" s="317">
        <f t="shared" si="102"/>
        <v>0</v>
      </c>
      <c r="AA126" s="318">
        <v>997777472</v>
      </c>
      <c r="AB126" s="318">
        <v>0</v>
      </c>
      <c r="AC126" s="318">
        <f t="shared" si="96"/>
        <v>0</v>
      </c>
      <c r="AD126" s="318"/>
      <c r="AE126" s="318"/>
      <c r="AF126" s="318"/>
      <c r="AG126" s="318"/>
      <c r="AH126" s="318"/>
      <c r="AI126" s="318"/>
      <c r="AJ126" s="318"/>
      <c r="AK126" s="318"/>
      <c r="AL126" s="318"/>
      <c r="AM126" s="318"/>
      <c r="AN126" s="318"/>
      <c r="AO126" s="318"/>
      <c r="AP126" s="318">
        <f t="shared" si="100"/>
        <v>997777472</v>
      </c>
      <c r="AQ126" s="319">
        <f t="shared" si="101"/>
        <v>0</v>
      </c>
      <c r="AR126" s="320"/>
      <c r="AS126" s="320"/>
      <c r="AT126" s="365"/>
      <c r="AU126" s="322"/>
      <c r="AV126" s="146" t="s">
        <v>1241</v>
      </c>
      <c r="AW126" s="146">
        <f>IFERROR(VLOOKUP(G126,'[70]Detail Deprec_202508'!$D$33:$I$357,6,FALSE),0)</f>
        <v>0</v>
      </c>
      <c r="AX126" s="146">
        <f t="shared" si="94"/>
        <v>0</v>
      </c>
    </row>
    <row r="127" spans="1:50" ht="12.9" customHeight="1" outlineLevel="1">
      <c r="A127" s="324">
        <f t="shared" si="86"/>
        <v>102</v>
      </c>
      <c r="B127" s="336" t="s">
        <v>142</v>
      </c>
      <c r="C127" s="309" t="s">
        <v>143</v>
      </c>
      <c r="D127" s="382">
        <v>155</v>
      </c>
      <c r="E127" s="382" t="s">
        <v>1707</v>
      </c>
      <c r="F127" s="336" t="s">
        <v>597</v>
      </c>
      <c r="G127" s="336" t="s">
        <v>598</v>
      </c>
      <c r="H127" s="383">
        <v>41821</v>
      </c>
      <c r="I127" s="392" t="s">
        <v>11</v>
      </c>
      <c r="J127" s="379">
        <v>8</v>
      </c>
      <c r="K127" s="316" t="s">
        <v>593</v>
      </c>
      <c r="L127" s="316" t="s">
        <v>594</v>
      </c>
      <c r="M127" s="316" t="s">
        <v>551</v>
      </c>
      <c r="N127" s="379">
        <v>2014</v>
      </c>
      <c r="O127" s="379"/>
      <c r="P127" s="379">
        <v>38368</v>
      </c>
      <c r="Q127" s="379">
        <v>38368</v>
      </c>
      <c r="R127" s="377">
        <v>1</v>
      </c>
      <c r="S127" s="402">
        <v>61090</v>
      </c>
      <c r="T127" s="403">
        <v>997777472</v>
      </c>
      <c r="U127" s="313">
        <f t="shared" si="97"/>
        <v>16629624.533333333</v>
      </c>
      <c r="V127" s="404">
        <v>60</v>
      </c>
      <c r="W127" s="315">
        <v>60</v>
      </c>
      <c r="X127" s="314">
        <f t="shared" si="98"/>
        <v>0</v>
      </c>
      <c r="Y127" s="314">
        <f t="shared" si="99"/>
        <v>60</v>
      </c>
      <c r="Z127" s="317">
        <f t="shared" si="102"/>
        <v>0</v>
      </c>
      <c r="AA127" s="318">
        <v>997777472</v>
      </c>
      <c r="AB127" s="318">
        <v>0</v>
      </c>
      <c r="AC127" s="318">
        <f t="shared" si="96"/>
        <v>0</v>
      </c>
      <c r="AD127" s="318"/>
      <c r="AE127" s="318"/>
      <c r="AF127" s="318"/>
      <c r="AG127" s="318"/>
      <c r="AH127" s="318"/>
      <c r="AI127" s="318"/>
      <c r="AJ127" s="318"/>
      <c r="AK127" s="318"/>
      <c r="AL127" s="318"/>
      <c r="AM127" s="318"/>
      <c r="AN127" s="318"/>
      <c r="AO127" s="318"/>
      <c r="AP127" s="318">
        <f t="shared" si="100"/>
        <v>997777472</v>
      </c>
      <c r="AQ127" s="319">
        <f t="shared" si="101"/>
        <v>0</v>
      </c>
      <c r="AR127" s="320"/>
      <c r="AS127" s="320"/>
      <c r="AT127" s="365"/>
      <c r="AU127" s="322"/>
      <c r="AV127" s="146" t="s">
        <v>1236</v>
      </c>
      <c r="AW127" s="146">
        <f>IFERROR(VLOOKUP(G127,'[70]Detail Deprec_202508'!$D$33:$I$357,6,FALSE),0)</f>
        <v>0</v>
      </c>
      <c r="AX127" s="146">
        <f t="shared" ref="AX127:AX162" si="103">AW127-AK127</f>
        <v>0</v>
      </c>
    </row>
    <row r="128" spans="1:50" ht="12.9" customHeight="1" outlineLevel="1">
      <c r="A128" s="324">
        <f t="shared" si="86"/>
        <v>103</v>
      </c>
      <c r="B128" s="336" t="s">
        <v>142</v>
      </c>
      <c r="C128" s="359" t="s">
        <v>474</v>
      </c>
      <c r="D128" s="382">
        <v>155</v>
      </c>
      <c r="E128" s="382" t="s">
        <v>1711</v>
      </c>
      <c r="F128" s="336" t="s">
        <v>599</v>
      </c>
      <c r="G128" s="336" t="s">
        <v>600</v>
      </c>
      <c r="H128" s="383">
        <v>41911</v>
      </c>
      <c r="I128" s="392" t="s">
        <v>11</v>
      </c>
      <c r="J128" s="379">
        <v>18</v>
      </c>
      <c r="K128" s="351" t="s">
        <v>601</v>
      </c>
      <c r="L128" s="351" t="s">
        <v>300</v>
      </c>
      <c r="M128" s="379" t="s">
        <v>477</v>
      </c>
      <c r="N128" s="379">
        <v>2014</v>
      </c>
      <c r="O128" s="379" t="s">
        <v>602</v>
      </c>
      <c r="P128" s="351" t="s">
        <v>603</v>
      </c>
      <c r="Q128" s="351" t="s">
        <v>604</v>
      </c>
      <c r="R128" s="377">
        <v>1</v>
      </c>
      <c r="S128" s="400"/>
      <c r="T128" s="354">
        <v>656000000</v>
      </c>
      <c r="U128" s="313">
        <f t="shared" si="97"/>
        <v>10933333.333333334</v>
      </c>
      <c r="V128" s="404">
        <v>60</v>
      </c>
      <c r="W128" s="315">
        <v>60</v>
      </c>
      <c r="X128" s="314">
        <f t="shared" si="98"/>
        <v>0</v>
      </c>
      <c r="Y128" s="314">
        <f t="shared" si="99"/>
        <v>60</v>
      </c>
      <c r="Z128" s="317">
        <f t="shared" si="102"/>
        <v>0</v>
      </c>
      <c r="AA128" s="318">
        <v>656000000</v>
      </c>
      <c r="AB128" s="318">
        <v>0</v>
      </c>
      <c r="AC128" s="318">
        <f t="shared" si="96"/>
        <v>0</v>
      </c>
      <c r="AD128" s="318"/>
      <c r="AE128" s="318"/>
      <c r="AF128" s="318"/>
      <c r="AG128" s="318"/>
      <c r="AH128" s="318"/>
      <c r="AI128" s="318"/>
      <c r="AJ128" s="318"/>
      <c r="AK128" s="318"/>
      <c r="AL128" s="318"/>
      <c r="AM128" s="318"/>
      <c r="AN128" s="318"/>
      <c r="AO128" s="318"/>
      <c r="AP128" s="318">
        <f t="shared" si="100"/>
        <v>656000000</v>
      </c>
      <c r="AQ128" s="319">
        <f t="shared" si="101"/>
        <v>0</v>
      </c>
      <c r="AR128" s="320"/>
      <c r="AS128" s="320"/>
      <c r="AT128" s="365"/>
      <c r="AU128" s="322"/>
      <c r="AV128" s="146" t="s">
        <v>1236</v>
      </c>
      <c r="AW128" s="146">
        <f>IFERROR(VLOOKUP(G128,'[71]Detail Deprec_202501'!$D$246:$I$393,6,FALSE),0)</f>
        <v>0</v>
      </c>
      <c r="AX128" s="501">
        <f t="shared" si="103"/>
        <v>0</v>
      </c>
    </row>
    <row r="129" spans="1:50" ht="12.9" customHeight="1" outlineLevel="1">
      <c r="A129" s="324">
        <f t="shared" si="86"/>
        <v>104</v>
      </c>
      <c r="B129" s="336" t="s">
        <v>142</v>
      </c>
      <c r="C129" s="359" t="s">
        <v>474</v>
      </c>
      <c r="D129" s="382">
        <v>155</v>
      </c>
      <c r="E129" s="382" t="s">
        <v>1711</v>
      </c>
      <c r="F129" s="336" t="s">
        <v>599</v>
      </c>
      <c r="G129" s="336" t="s">
        <v>605</v>
      </c>
      <c r="H129" s="383">
        <v>41928</v>
      </c>
      <c r="I129" s="392" t="s">
        <v>11</v>
      </c>
      <c r="J129" s="379">
        <v>14</v>
      </c>
      <c r="K129" s="351" t="s">
        <v>606</v>
      </c>
      <c r="L129" s="351"/>
      <c r="M129" s="379" t="s">
        <v>477</v>
      </c>
      <c r="N129" s="379">
        <v>2014</v>
      </c>
      <c r="O129" s="379" t="s">
        <v>602</v>
      </c>
      <c r="P129" s="351"/>
      <c r="Q129" s="351">
        <v>22479</v>
      </c>
      <c r="R129" s="377">
        <v>1</v>
      </c>
      <c r="S129" s="400"/>
      <c r="T129" s="354">
        <v>186500000</v>
      </c>
      <c r="U129" s="313">
        <f t="shared" si="97"/>
        <v>3108333.3333333335</v>
      </c>
      <c r="V129" s="316">
        <v>60</v>
      </c>
      <c r="W129" s="315">
        <v>60</v>
      </c>
      <c r="X129" s="314">
        <f t="shared" si="98"/>
        <v>0</v>
      </c>
      <c r="Y129" s="314">
        <f t="shared" si="99"/>
        <v>60</v>
      </c>
      <c r="Z129" s="317">
        <f t="shared" si="102"/>
        <v>0</v>
      </c>
      <c r="AA129" s="318">
        <v>186500000</v>
      </c>
      <c r="AB129" s="318">
        <v>0</v>
      </c>
      <c r="AC129" s="318">
        <f t="shared" si="96"/>
        <v>0</v>
      </c>
      <c r="AD129" s="318"/>
      <c r="AE129" s="318"/>
      <c r="AF129" s="318"/>
      <c r="AG129" s="318"/>
      <c r="AH129" s="318"/>
      <c r="AI129" s="318"/>
      <c r="AJ129" s="318"/>
      <c r="AK129" s="318"/>
      <c r="AL129" s="318"/>
      <c r="AM129" s="318"/>
      <c r="AN129" s="318"/>
      <c r="AO129" s="318"/>
      <c r="AP129" s="318">
        <f t="shared" si="100"/>
        <v>186500000</v>
      </c>
      <c r="AQ129" s="319">
        <f t="shared" si="101"/>
        <v>0</v>
      </c>
      <c r="AR129" s="320"/>
      <c r="AS129" s="320"/>
      <c r="AT129" s="365"/>
      <c r="AU129" s="322"/>
      <c r="AV129" s="146" t="s">
        <v>1236</v>
      </c>
      <c r="AW129" s="146">
        <f>IFERROR(VLOOKUP(G129,'[71]Detail Deprec_202501'!$D$246:$I$393,6,FALSE),0)</f>
        <v>0</v>
      </c>
      <c r="AX129" s="501">
        <f t="shared" si="103"/>
        <v>0</v>
      </c>
    </row>
    <row r="130" spans="1:50" ht="12.9" customHeight="1" outlineLevel="1">
      <c r="A130" s="324">
        <f t="shared" si="86"/>
        <v>105</v>
      </c>
      <c r="B130" s="306" t="s">
        <v>142</v>
      </c>
      <c r="C130" s="344" t="s">
        <v>474</v>
      </c>
      <c r="D130" s="382">
        <v>155</v>
      </c>
      <c r="E130" s="382" t="s">
        <v>1711</v>
      </c>
      <c r="F130" s="336" t="s">
        <v>607</v>
      </c>
      <c r="G130" s="336" t="s">
        <v>608</v>
      </c>
      <c r="H130" s="383">
        <v>42051</v>
      </c>
      <c r="I130" s="392" t="s">
        <v>11</v>
      </c>
      <c r="J130" s="379">
        <v>14</v>
      </c>
      <c r="K130" s="351" t="s">
        <v>609</v>
      </c>
      <c r="L130" s="351"/>
      <c r="M130" s="379" t="s">
        <v>610</v>
      </c>
      <c r="N130" s="379">
        <v>2015</v>
      </c>
      <c r="O130" s="379" t="s">
        <v>611</v>
      </c>
      <c r="P130" s="351"/>
      <c r="Q130" s="351" t="s">
        <v>612</v>
      </c>
      <c r="R130" s="377">
        <v>1</v>
      </c>
      <c r="S130" s="400"/>
      <c r="T130" s="370">
        <v>156500000</v>
      </c>
      <c r="U130" s="313">
        <f t="shared" si="97"/>
        <v>2608333.3333333335</v>
      </c>
      <c r="V130" s="316">
        <v>60</v>
      </c>
      <c r="W130" s="315">
        <v>59.999999999999993</v>
      </c>
      <c r="X130" s="314">
        <f t="shared" si="98"/>
        <v>0</v>
      </c>
      <c r="Y130" s="314">
        <f t="shared" si="99"/>
        <v>59.999999999999993</v>
      </c>
      <c r="Z130" s="317">
        <f t="shared" ref="Z130:Z156" si="104">+V130-Y130</f>
        <v>0</v>
      </c>
      <c r="AA130" s="318">
        <v>156500000</v>
      </c>
      <c r="AB130" s="318">
        <v>0</v>
      </c>
      <c r="AC130" s="318">
        <f t="shared" si="96"/>
        <v>0</v>
      </c>
      <c r="AD130" s="318"/>
      <c r="AE130" s="318"/>
      <c r="AF130" s="318"/>
      <c r="AG130" s="318"/>
      <c r="AH130" s="318"/>
      <c r="AI130" s="318"/>
      <c r="AJ130" s="318"/>
      <c r="AK130" s="318"/>
      <c r="AL130" s="318"/>
      <c r="AM130" s="318"/>
      <c r="AN130" s="318"/>
      <c r="AO130" s="318"/>
      <c r="AP130" s="318">
        <f t="shared" si="100"/>
        <v>156500000</v>
      </c>
      <c r="AQ130" s="319">
        <f t="shared" si="101"/>
        <v>0</v>
      </c>
      <c r="AR130" s="320"/>
      <c r="AS130" s="320"/>
      <c r="AT130" s="365"/>
      <c r="AU130" s="405"/>
      <c r="AV130" s="146" t="s">
        <v>1236</v>
      </c>
      <c r="AW130" s="146">
        <f>IFERROR(VLOOKUP(G130,'[71]Detail Deprec_202501'!$D$246:$I$393,6,FALSE),0)</f>
        <v>0</v>
      </c>
      <c r="AX130" s="501">
        <f t="shared" si="103"/>
        <v>0</v>
      </c>
    </row>
    <row r="131" spans="1:50" ht="12.9" customHeight="1" outlineLevel="1">
      <c r="A131" s="324">
        <f t="shared" si="86"/>
        <v>106</v>
      </c>
      <c r="B131" s="306" t="s">
        <v>142</v>
      </c>
      <c r="C131" s="344" t="s">
        <v>474</v>
      </c>
      <c r="D131" s="382">
        <v>155</v>
      </c>
      <c r="E131" s="382" t="s">
        <v>1711</v>
      </c>
      <c r="F131" s="336" t="s">
        <v>613</v>
      </c>
      <c r="G131" s="336" t="s">
        <v>614</v>
      </c>
      <c r="H131" s="383">
        <v>42051</v>
      </c>
      <c r="I131" s="392" t="s">
        <v>11</v>
      </c>
      <c r="J131" s="379">
        <v>14</v>
      </c>
      <c r="K131" s="351" t="s">
        <v>615</v>
      </c>
      <c r="L131" s="351"/>
      <c r="M131" s="379" t="s">
        <v>610</v>
      </c>
      <c r="N131" s="379">
        <v>2015</v>
      </c>
      <c r="O131" s="379" t="s">
        <v>616</v>
      </c>
      <c r="P131" s="351"/>
      <c r="Q131" s="351" t="s">
        <v>617</v>
      </c>
      <c r="R131" s="377">
        <v>1</v>
      </c>
      <c r="S131" s="400"/>
      <c r="T131" s="370">
        <v>156500000</v>
      </c>
      <c r="U131" s="313">
        <f t="shared" si="97"/>
        <v>2608333.3333333335</v>
      </c>
      <c r="V131" s="316">
        <v>60</v>
      </c>
      <c r="W131" s="315">
        <v>59.999999999999993</v>
      </c>
      <c r="X131" s="314">
        <f t="shared" si="98"/>
        <v>0</v>
      </c>
      <c r="Y131" s="314">
        <f t="shared" si="99"/>
        <v>59.999999999999993</v>
      </c>
      <c r="Z131" s="317">
        <f t="shared" si="104"/>
        <v>0</v>
      </c>
      <c r="AA131" s="318">
        <v>156500000</v>
      </c>
      <c r="AB131" s="318">
        <v>0</v>
      </c>
      <c r="AC131" s="318">
        <f t="shared" si="96"/>
        <v>0</v>
      </c>
      <c r="AD131" s="318"/>
      <c r="AE131" s="318"/>
      <c r="AF131" s="318"/>
      <c r="AG131" s="318"/>
      <c r="AH131" s="318"/>
      <c r="AI131" s="318"/>
      <c r="AJ131" s="318"/>
      <c r="AK131" s="318"/>
      <c r="AL131" s="318"/>
      <c r="AM131" s="318"/>
      <c r="AN131" s="318"/>
      <c r="AO131" s="318"/>
      <c r="AP131" s="318">
        <f t="shared" si="100"/>
        <v>156500000</v>
      </c>
      <c r="AQ131" s="319">
        <f t="shared" si="101"/>
        <v>0</v>
      </c>
      <c r="AR131" s="320"/>
      <c r="AS131" s="320"/>
      <c r="AT131" s="365"/>
      <c r="AU131" s="405"/>
      <c r="AV131" s="146" t="s">
        <v>1236</v>
      </c>
      <c r="AW131" s="146">
        <f>IFERROR(VLOOKUP(G131,'[71]Detail Deprec_202501'!$D$246:$I$393,6,FALSE),0)</f>
        <v>0</v>
      </c>
      <c r="AX131" s="501">
        <f t="shared" si="103"/>
        <v>0</v>
      </c>
    </row>
    <row r="132" spans="1:50" ht="12.9" customHeight="1" outlineLevel="1">
      <c r="A132" s="324">
        <f t="shared" si="86"/>
        <v>107</v>
      </c>
      <c r="B132" s="306" t="s">
        <v>142</v>
      </c>
      <c r="C132" s="344" t="s">
        <v>474</v>
      </c>
      <c r="D132" s="382">
        <v>155</v>
      </c>
      <c r="E132" s="382" t="s">
        <v>1711</v>
      </c>
      <c r="F132" s="336" t="s">
        <v>607</v>
      </c>
      <c r="G132" s="336" t="s">
        <v>618</v>
      </c>
      <c r="H132" s="383">
        <v>42051</v>
      </c>
      <c r="I132" s="392" t="s">
        <v>11</v>
      </c>
      <c r="J132" s="379">
        <v>13</v>
      </c>
      <c r="K132" s="351" t="s">
        <v>619</v>
      </c>
      <c r="L132" s="351" t="s">
        <v>620</v>
      </c>
      <c r="M132" s="379" t="s">
        <v>610</v>
      </c>
      <c r="N132" s="379">
        <v>2015</v>
      </c>
      <c r="O132" s="379" t="s">
        <v>611</v>
      </c>
      <c r="P132" s="351" t="s">
        <v>621</v>
      </c>
      <c r="Q132" s="351" t="s">
        <v>612</v>
      </c>
      <c r="R132" s="377">
        <v>1</v>
      </c>
      <c r="S132" s="400"/>
      <c r="T132" s="370">
        <v>433000000</v>
      </c>
      <c r="U132" s="313">
        <f t="shared" si="97"/>
        <v>7216666.666666667</v>
      </c>
      <c r="V132" s="316">
        <v>60</v>
      </c>
      <c r="W132" s="315">
        <v>60</v>
      </c>
      <c r="X132" s="314">
        <f t="shared" si="98"/>
        <v>0</v>
      </c>
      <c r="Y132" s="314">
        <f t="shared" si="99"/>
        <v>60</v>
      </c>
      <c r="Z132" s="317">
        <f t="shared" si="104"/>
        <v>0</v>
      </c>
      <c r="AA132" s="318">
        <v>433000000</v>
      </c>
      <c r="AB132" s="318">
        <v>0</v>
      </c>
      <c r="AC132" s="318">
        <f t="shared" si="96"/>
        <v>0</v>
      </c>
      <c r="AD132" s="318"/>
      <c r="AE132" s="318"/>
      <c r="AF132" s="318"/>
      <c r="AG132" s="318"/>
      <c r="AH132" s="318"/>
      <c r="AI132" s="318"/>
      <c r="AJ132" s="318"/>
      <c r="AK132" s="318"/>
      <c r="AL132" s="318"/>
      <c r="AM132" s="318"/>
      <c r="AN132" s="318"/>
      <c r="AO132" s="318"/>
      <c r="AP132" s="318">
        <f t="shared" si="100"/>
        <v>433000000</v>
      </c>
      <c r="AQ132" s="319">
        <f t="shared" si="101"/>
        <v>0</v>
      </c>
      <c r="AR132" s="320"/>
      <c r="AS132" s="320"/>
      <c r="AT132" s="365"/>
      <c r="AU132" s="405"/>
      <c r="AV132" s="146" t="s">
        <v>1236</v>
      </c>
      <c r="AW132" s="146">
        <f>IFERROR(VLOOKUP(G132,'[71]Detail Deprec_202501'!$D$246:$I$393,6,FALSE),0)</f>
        <v>0</v>
      </c>
      <c r="AX132" s="501">
        <f t="shared" si="103"/>
        <v>0</v>
      </c>
    </row>
    <row r="133" spans="1:50" ht="12.9" customHeight="1" outlineLevel="1">
      <c r="A133" s="324">
        <f t="shared" si="86"/>
        <v>108</v>
      </c>
      <c r="B133" s="306" t="s">
        <v>142</v>
      </c>
      <c r="C133" s="344" t="s">
        <v>474</v>
      </c>
      <c r="D133" s="382">
        <v>155</v>
      </c>
      <c r="E133" s="382" t="s">
        <v>1711</v>
      </c>
      <c r="F133" s="336" t="s">
        <v>613</v>
      </c>
      <c r="G133" s="336" t="s">
        <v>622</v>
      </c>
      <c r="H133" s="383">
        <v>42051</v>
      </c>
      <c r="I133" s="392" t="s">
        <v>11</v>
      </c>
      <c r="J133" s="379">
        <v>13</v>
      </c>
      <c r="K133" s="351" t="s">
        <v>619</v>
      </c>
      <c r="L133" s="351" t="s">
        <v>620</v>
      </c>
      <c r="M133" s="379" t="s">
        <v>610</v>
      </c>
      <c r="N133" s="379">
        <v>2015</v>
      </c>
      <c r="O133" s="379" t="s">
        <v>616</v>
      </c>
      <c r="P133" s="351" t="s">
        <v>623</v>
      </c>
      <c r="Q133" s="351" t="s">
        <v>617</v>
      </c>
      <c r="R133" s="377">
        <v>1</v>
      </c>
      <c r="S133" s="400"/>
      <c r="T133" s="370">
        <v>433000000</v>
      </c>
      <c r="U133" s="313">
        <f t="shared" si="97"/>
        <v>7216666.666666667</v>
      </c>
      <c r="V133" s="316">
        <v>60</v>
      </c>
      <c r="W133" s="315">
        <v>60</v>
      </c>
      <c r="X133" s="314">
        <f t="shared" si="98"/>
        <v>0</v>
      </c>
      <c r="Y133" s="314">
        <f t="shared" si="99"/>
        <v>60</v>
      </c>
      <c r="Z133" s="317">
        <f t="shared" si="104"/>
        <v>0</v>
      </c>
      <c r="AA133" s="318">
        <v>433000000</v>
      </c>
      <c r="AB133" s="318">
        <v>0</v>
      </c>
      <c r="AC133" s="318">
        <f t="shared" si="96"/>
        <v>0</v>
      </c>
      <c r="AD133" s="318"/>
      <c r="AE133" s="318"/>
      <c r="AF133" s="318"/>
      <c r="AG133" s="318"/>
      <c r="AH133" s="318"/>
      <c r="AI133" s="318"/>
      <c r="AJ133" s="318"/>
      <c r="AK133" s="318"/>
      <c r="AL133" s="318"/>
      <c r="AM133" s="318"/>
      <c r="AN133" s="318"/>
      <c r="AO133" s="318"/>
      <c r="AP133" s="318">
        <f t="shared" si="100"/>
        <v>433000000</v>
      </c>
      <c r="AQ133" s="319">
        <f t="shared" si="101"/>
        <v>0</v>
      </c>
      <c r="AR133" s="320"/>
      <c r="AS133" s="320"/>
      <c r="AT133" s="365"/>
      <c r="AU133" s="405"/>
      <c r="AV133" s="146" t="s">
        <v>1236</v>
      </c>
      <c r="AW133" s="146">
        <f>IFERROR(VLOOKUP(G133,'[71]Detail Deprec_202501'!$D$246:$I$393,6,FALSE),0)</f>
        <v>0</v>
      </c>
      <c r="AX133" s="501">
        <f t="shared" si="103"/>
        <v>0</v>
      </c>
    </row>
    <row r="134" spans="1:50" s="753" customFormat="1" ht="12.9" customHeight="1" outlineLevel="1">
      <c r="A134" s="730">
        <f t="shared" si="86"/>
        <v>109</v>
      </c>
      <c r="B134" s="768" t="s">
        <v>142</v>
      </c>
      <c r="C134" s="765" t="s">
        <v>474</v>
      </c>
      <c r="D134" s="733">
        <v>155</v>
      </c>
      <c r="E134" s="733" t="s">
        <v>1711</v>
      </c>
      <c r="F134" s="764" t="s">
        <v>624</v>
      </c>
      <c r="G134" s="764" t="s">
        <v>625</v>
      </c>
      <c r="H134" s="758">
        <v>42109</v>
      </c>
      <c r="I134" s="735" t="s">
        <v>11</v>
      </c>
      <c r="J134" s="737">
        <v>11</v>
      </c>
      <c r="K134" s="759" t="s">
        <v>626</v>
      </c>
      <c r="L134" s="759" t="s">
        <v>588</v>
      </c>
      <c r="M134" s="737" t="s">
        <v>589</v>
      </c>
      <c r="N134" s="737">
        <v>2015</v>
      </c>
      <c r="O134" s="737" t="s">
        <v>627</v>
      </c>
      <c r="P134" s="759" t="s">
        <v>628</v>
      </c>
      <c r="Q134" s="759" t="s">
        <v>629</v>
      </c>
      <c r="R134" s="761">
        <v>1</v>
      </c>
      <c r="S134" s="766"/>
      <c r="T134" s="769">
        <v>134000000</v>
      </c>
      <c r="U134" s="741">
        <f t="shared" si="97"/>
        <v>2233333.3333333335</v>
      </c>
      <c r="V134" s="744">
        <v>60</v>
      </c>
      <c r="W134" s="743">
        <v>59.999999999999986</v>
      </c>
      <c r="X134" s="742">
        <f t="shared" si="98"/>
        <v>0</v>
      </c>
      <c r="Y134" s="742">
        <f t="shared" si="99"/>
        <v>59.999999999999986</v>
      </c>
      <c r="Z134" s="745">
        <f t="shared" si="104"/>
        <v>0</v>
      </c>
      <c r="AA134" s="746">
        <v>133999999.99999999</v>
      </c>
      <c r="AB134" s="746">
        <v>1.4901161193847656E-8</v>
      </c>
      <c r="AC134" s="746">
        <f t="shared" si="96"/>
        <v>0</v>
      </c>
      <c r="AD134" s="746"/>
      <c r="AE134" s="746"/>
      <c r="AF134" s="746"/>
      <c r="AG134" s="746"/>
      <c r="AH134" s="746"/>
      <c r="AI134" s="746"/>
      <c r="AJ134" s="746"/>
      <c r="AK134" s="746"/>
      <c r="AL134" s="746"/>
      <c r="AM134" s="746"/>
      <c r="AN134" s="746"/>
      <c r="AO134" s="746"/>
      <c r="AP134" s="746">
        <f t="shared" si="100"/>
        <v>133999999.99999999</v>
      </c>
      <c r="AQ134" s="747">
        <f t="shared" si="101"/>
        <v>0</v>
      </c>
      <c r="AR134" s="748"/>
      <c r="AS134" s="748" t="s">
        <v>39</v>
      </c>
      <c r="AT134" s="323"/>
      <c r="AU134" s="750">
        <v>45838</v>
      </c>
      <c r="AV134" s="751" t="s">
        <v>1236</v>
      </c>
      <c r="AW134" s="751">
        <f>IFERROR(VLOOKUP(G134,'[71]Detail Deprec_202501'!$D$246:$I$393,6,FALSE),0)</f>
        <v>0</v>
      </c>
      <c r="AX134" s="752">
        <f t="shared" si="103"/>
        <v>0</v>
      </c>
    </row>
    <row r="135" spans="1:50" ht="12.9" customHeight="1" outlineLevel="1">
      <c r="A135" s="324">
        <f t="shared" si="86"/>
        <v>110</v>
      </c>
      <c r="B135" s="306" t="s">
        <v>142</v>
      </c>
      <c r="C135" s="344" t="s">
        <v>474</v>
      </c>
      <c r="D135" s="382">
        <v>155</v>
      </c>
      <c r="E135" s="382" t="s">
        <v>1711</v>
      </c>
      <c r="F135" s="336" t="s">
        <v>630</v>
      </c>
      <c r="G135" s="336" t="s">
        <v>631</v>
      </c>
      <c r="H135" s="383">
        <v>42109</v>
      </c>
      <c r="I135" s="392" t="s">
        <v>11</v>
      </c>
      <c r="J135" s="379">
        <v>12</v>
      </c>
      <c r="K135" s="351" t="s">
        <v>632</v>
      </c>
      <c r="L135" s="351" t="s">
        <v>633</v>
      </c>
      <c r="M135" s="379" t="s">
        <v>610</v>
      </c>
      <c r="N135" s="379">
        <v>2015</v>
      </c>
      <c r="O135" s="379" t="s">
        <v>634</v>
      </c>
      <c r="P135" s="351" t="s">
        <v>635</v>
      </c>
      <c r="Q135" s="351" t="s">
        <v>636</v>
      </c>
      <c r="R135" s="377">
        <v>1</v>
      </c>
      <c r="S135" s="400"/>
      <c r="T135" s="407">
        <v>626000000</v>
      </c>
      <c r="U135" s="313">
        <f t="shared" si="97"/>
        <v>10433333.333333334</v>
      </c>
      <c r="V135" s="316">
        <v>60</v>
      </c>
      <c r="W135" s="315">
        <v>59.999999999999993</v>
      </c>
      <c r="X135" s="314">
        <f t="shared" si="98"/>
        <v>0</v>
      </c>
      <c r="Y135" s="314">
        <f t="shared" si="99"/>
        <v>59.999999999999993</v>
      </c>
      <c r="Z135" s="317">
        <f t="shared" si="104"/>
        <v>0</v>
      </c>
      <c r="AA135" s="318">
        <v>626000000</v>
      </c>
      <c r="AB135" s="318">
        <v>0</v>
      </c>
      <c r="AC135" s="318">
        <f t="shared" si="96"/>
        <v>0</v>
      </c>
      <c r="AD135" s="318"/>
      <c r="AE135" s="318"/>
      <c r="AF135" s="318"/>
      <c r="AG135" s="318"/>
      <c r="AH135" s="318"/>
      <c r="AI135" s="318"/>
      <c r="AJ135" s="318"/>
      <c r="AK135" s="318"/>
      <c r="AL135" s="318"/>
      <c r="AM135" s="318"/>
      <c r="AN135" s="318"/>
      <c r="AO135" s="318"/>
      <c r="AP135" s="318">
        <f t="shared" si="100"/>
        <v>626000000</v>
      </c>
      <c r="AQ135" s="319">
        <f t="shared" si="101"/>
        <v>0</v>
      </c>
      <c r="AR135" s="320"/>
      <c r="AS135" s="320"/>
      <c r="AT135" s="365"/>
      <c r="AU135" s="405"/>
      <c r="AV135" s="146" t="s">
        <v>1236</v>
      </c>
      <c r="AW135" s="146">
        <f>IFERROR(VLOOKUP(G135,'[71]Detail Deprec_202501'!$D$246:$I$393,6,FALSE),0)</f>
        <v>0</v>
      </c>
      <c r="AX135" s="501">
        <f t="shared" si="103"/>
        <v>0</v>
      </c>
    </row>
    <row r="136" spans="1:50" ht="12.9" customHeight="1" outlineLevel="1">
      <c r="A136" s="324">
        <f t="shared" si="86"/>
        <v>111</v>
      </c>
      <c r="B136" s="306" t="s">
        <v>142</v>
      </c>
      <c r="C136" s="344" t="s">
        <v>474</v>
      </c>
      <c r="D136" s="382">
        <v>155</v>
      </c>
      <c r="E136" s="382" t="s">
        <v>1711</v>
      </c>
      <c r="F136" s="336" t="s">
        <v>637</v>
      </c>
      <c r="G136" s="336" t="s">
        <v>638</v>
      </c>
      <c r="H136" s="383">
        <v>42109</v>
      </c>
      <c r="I136" s="392" t="s">
        <v>11</v>
      </c>
      <c r="J136" s="379">
        <v>12</v>
      </c>
      <c r="K136" s="351" t="s">
        <v>639</v>
      </c>
      <c r="L136" s="351" t="s">
        <v>633</v>
      </c>
      <c r="M136" s="379" t="s">
        <v>346</v>
      </c>
      <c r="N136" s="379">
        <v>2015</v>
      </c>
      <c r="O136" s="379" t="s">
        <v>640</v>
      </c>
      <c r="P136" s="351" t="s">
        <v>641</v>
      </c>
      <c r="Q136" s="351" t="s">
        <v>642</v>
      </c>
      <c r="R136" s="377">
        <v>1</v>
      </c>
      <c r="S136" s="400"/>
      <c r="T136" s="407">
        <v>626000000</v>
      </c>
      <c r="U136" s="313">
        <f t="shared" si="97"/>
        <v>10433333.333333334</v>
      </c>
      <c r="V136" s="316">
        <v>60</v>
      </c>
      <c r="W136" s="315">
        <v>59.999999999999993</v>
      </c>
      <c r="X136" s="314">
        <f t="shared" si="98"/>
        <v>0</v>
      </c>
      <c r="Y136" s="314">
        <f t="shared" si="99"/>
        <v>59.999999999999993</v>
      </c>
      <c r="Z136" s="317">
        <f t="shared" si="104"/>
        <v>0</v>
      </c>
      <c r="AA136" s="318">
        <v>626000000</v>
      </c>
      <c r="AB136" s="318">
        <v>0</v>
      </c>
      <c r="AC136" s="318">
        <f t="shared" si="96"/>
        <v>0</v>
      </c>
      <c r="AD136" s="318"/>
      <c r="AE136" s="318"/>
      <c r="AF136" s="318"/>
      <c r="AG136" s="318"/>
      <c r="AH136" s="318"/>
      <c r="AI136" s="318"/>
      <c r="AJ136" s="318"/>
      <c r="AK136" s="318"/>
      <c r="AL136" s="318"/>
      <c r="AM136" s="318"/>
      <c r="AN136" s="318"/>
      <c r="AO136" s="318"/>
      <c r="AP136" s="318">
        <f t="shared" si="100"/>
        <v>626000000</v>
      </c>
      <c r="AQ136" s="319">
        <f t="shared" si="101"/>
        <v>0</v>
      </c>
      <c r="AR136" s="320"/>
      <c r="AS136" s="320"/>
      <c r="AT136" s="365"/>
      <c r="AU136" s="405"/>
      <c r="AV136" s="146" t="s">
        <v>1236</v>
      </c>
      <c r="AW136" s="146">
        <f>IFERROR(VLOOKUP(G136,'[71]Detail Deprec_202501'!$D$246:$I$393,6,FALSE),0)</f>
        <v>0</v>
      </c>
      <c r="AX136" s="501">
        <f t="shared" si="103"/>
        <v>0</v>
      </c>
    </row>
    <row r="137" spans="1:50" ht="12.9" customHeight="1" outlineLevel="1">
      <c r="A137" s="324">
        <f t="shared" si="86"/>
        <v>112</v>
      </c>
      <c r="B137" s="306" t="s">
        <v>142</v>
      </c>
      <c r="C137" s="344" t="s">
        <v>474</v>
      </c>
      <c r="D137" s="382">
        <v>155</v>
      </c>
      <c r="E137" s="382" t="s">
        <v>1711</v>
      </c>
      <c r="F137" s="336" t="s">
        <v>643</v>
      </c>
      <c r="G137" s="336" t="s">
        <v>644</v>
      </c>
      <c r="H137" s="383">
        <v>42109</v>
      </c>
      <c r="I137" s="392" t="s">
        <v>11</v>
      </c>
      <c r="J137" s="379">
        <v>12</v>
      </c>
      <c r="K137" s="351" t="s">
        <v>639</v>
      </c>
      <c r="L137" s="351" t="s">
        <v>645</v>
      </c>
      <c r="M137" s="379" t="s">
        <v>610</v>
      </c>
      <c r="N137" s="379">
        <v>2015</v>
      </c>
      <c r="O137" s="379" t="s">
        <v>646</v>
      </c>
      <c r="P137" s="351" t="s">
        <v>647</v>
      </c>
      <c r="Q137" s="351" t="s">
        <v>648</v>
      </c>
      <c r="R137" s="377">
        <v>1</v>
      </c>
      <c r="S137" s="400"/>
      <c r="T137" s="407">
        <v>717500000</v>
      </c>
      <c r="U137" s="313">
        <f t="shared" si="97"/>
        <v>11958333.333333334</v>
      </c>
      <c r="V137" s="316">
        <v>60</v>
      </c>
      <c r="W137" s="315">
        <v>60</v>
      </c>
      <c r="X137" s="314">
        <f t="shared" si="98"/>
        <v>0</v>
      </c>
      <c r="Y137" s="314">
        <f t="shared" si="99"/>
        <v>60</v>
      </c>
      <c r="Z137" s="317">
        <f t="shared" si="104"/>
        <v>0</v>
      </c>
      <c r="AA137" s="318">
        <v>717500000</v>
      </c>
      <c r="AB137" s="318">
        <v>0</v>
      </c>
      <c r="AC137" s="318">
        <f t="shared" si="96"/>
        <v>0</v>
      </c>
      <c r="AD137" s="318"/>
      <c r="AE137" s="318"/>
      <c r="AF137" s="318"/>
      <c r="AG137" s="318"/>
      <c r="AH137" s="318"/>
      <c r="AI137" s="318"/>
      <c r="AJ137" s="318"/>
      <c r="AK137" s="318"/>
      <c r="AL137" s="318"/>
      <c r="AM137" s="318"/>
      <c r="AN137" s="318"/>
      <c r="AO137" s="318"/>
      <c r="AP137" s="318">
        <f t="shared" si="100"/>
        <v>717500000</v>
      </c>
      <c r="AQ137" s="319">
        <f t="shared" si="101"/>
        <v>0</v>
      </c>
      <c r="AR137" s="320"/>
      <c r="AS137" s="320"/>
      <c r="AT137" s="365"/>
      <c r="AU137" s="405"/>
      <c r="AV137" s="146" t="s">
        <v>1236</v>
      </c>
      <c r="AW137" s="146">
        <f>IFERROR(VLOOKUP(G137,'[71]Detail Deprec_202501'!$D$246:$I$393,6,FALSE),0)</f>
        <v>0</v>
      </c>
      <c r="AX137" s="501">
        <f t="shared" si="103"/>
        <v>0</v>
      </c>
    </row>
    <row r="138" spans="1:50" ht="12.9" customHeight="1" outlineLevel="1">
      <c r="A138" s="324">
        <f t="shared" si="86"/>
        <v>113</v>
      </c>
      <c r="B138" s="306" t="s">
        <v>142</v>
      </c>
      <c r="C138" s="344" t="s">
        <v>474</v>
      </c>
      <c r="D138" s="382">
        <v>155</v>
      </c>
      <c r="E138" s="382" t="s">
        <v>1711</v>
      </c>
      <c r="F138" s="336" t="s">
        <v>649</v>
      </c>
      <c r="G138" s="336" t="s">
        <v>650</v>
      </c>
      <c r="H138" s="383">
        <v>42195</v>
      </c>
      <c r="I138" s="392" t="s">
        <v>11</v>
      </c>
      <c r="J138" s="390" t="s">
        <v>651</v>
      </c>
      <c r="K138" s="351" t="s">
        <v>652</v>
      </c>
      <c r="L138" s="351" t="s">
        <v>300</v>
      </c>
      <c r="M138" s="379" t="s">
        <v>477</v>
      </c>
      <c r="N138" s="379">
        <v>2015</v>
      </c>
      <c r="O138" s="379" t="s">
        <v>653</v>
      </c>
      <c r="P138" s="351" t="s">
        <v>654</v>
      </c>
      <c r="Q138" s="351" t="s">
        <v>655</v>
      </c>
      <c r="R138" s="377">
        <v>1</v>
      </c>
      <c r="S138" s="408"/>
      <c r="T138" s="407">
        <f>876000000-32000000</f>
        <v>844000000</v>
      </c>
      <c r="U138" s="313">
        <f t="shared" si="97"/>
        <v>14066666.666666666</v>
      </c>
      <c r="V138" s="316">
        <v>60</v>
      </c>
      <c r="W138" s="315">
        <v>59.999999999999993</v>
      </c>
      <c r="X138" s="314">
        <f t="shared" si="98"/>
        <v>0</v>
      </c>
      <c r="Y138" s="314">
        <f t="shared" si="99"/>
        <v>59.999999999999993</v>
      </c>
      <c r="Z138" s="317">
        <f t="shared" si="104"/>
        <v>0</v>
      </c>
      <c r="AA138" s="318">
        <v>843999999.99999988</v>
      </c>
      <c r="AB138" s="318">
        <v>1.1920928955078125E-7</v>
      </c>
      <c r="AC138" s="318">
        <f t="shared" ref="AC138:AC172" si="105">SUM(AD138:AL138)</f>
        <v>0</v>
      </c>
      <c r="AD138" s="318"/>
      <c r="AE138" s="318"/>
      <c r="AF138" s="318"/>
      <c r="AG138" s="318"/>
      <c r="AH138" s="318"/>
      <c r="AI138" s="318"/>
      <c r="AJ138" s="318"/>
      <c r="AK138" s="318"/>
      <c r="AL138" s="318"/>
      <c r="AM138" s="318"/>
      <c r="AN138" s="318"/>
      <c r="AO138" s="318"/>
      <c r="AP138" s="318">
        <f t="shared" si="100"/>
        <v>843999999.99999988</v>
      </c>
      <c r="AQ138" s="319">
        <f t="shared" si="101"/>
        <v>1.1920928955078125E-7</v>
      </c>
      <c r="AR138" s="320"/>
      <c r="AS138" s="320"/>
      <c r="AT138" s="365"/>
      <c r="AU138" s="322"/>
      <c r="AV138" s="146" t="s">
        <v>1236</v>
      </c>
      <c r="AW138" s="146">
        <f>IFERROR(VLOOKUP(G138,'[71]Detail Deprec_202501'!$D$246:$I$393,6,FALSE),0)</f>
        <v>0</v>
      </c>
      <c r="AX138" s="501">
        <f t="shared" si="103"/>
        <v>0</v>
      </c>
    </row>
    <row r="139" spans="1:50" ht="12.9" customHeight="1" outlineLevel="1">
      <c r="A139" s="324">
        <f t="shared" si="86"/>
        <v>114</v>
      </c>
      <c r="B139" s="306" t="s">
        <v>142</v>
      </c>
      <c r="C139" s="344" t="s">
        <v>474</v>
      </c>
      <c r="D139" s="382">
        <v>155</v>
      </c>
      <c r="E139" s="382" t="s">
        <v>1711</v>
      </c>
      <c r="F139" s="336" t="s">
        <v>656</v>
      </c>
      <c r="G139" s="336" t="s">
        <v>657</v>
      </c>
      <c r="H139" s="383">
        <v>42195</v>
      </c>
      <c r="I139" s="392" t="s">
        <v>11</v>
      </c>
      <c r="J139" s="390" t="s">
        <v>651</v>
      </c>
      <c r="K139" s="351" t="s">
        <v>487</v>
      </c>
      <c r="L139" s="351" t="s">
        <v>300</v>
      </c>
      <c r="M139" s="379" t="s">
        <v>477</v>
      </c>
      <c r="N139" s="379">
        <v>2015</v>
      </c>
      <c r="O139" s="379" t="s">
        <v>658</v>
      </c>
      <c r="P139" s="351" t="s">
        <v>659</v>
      </c>
      <c r="Q139" s="351" t="s">
        <v>660</v>
      </c>
      <c r="R139" s="377">
        <v>1</v>
      </c>
      <c r="S139" s="408"/>
      <c r="T139" s="407">
        <f>1357000000-48000000</f>
        <v>1309000000</v>
      </c>
      <c r="U139" s="313">
        <f t="shared" si="97"/>
        <v>21816666.666666668</v>
      </c>
      <c r="V139" s="316">
        <v>60</v>
      </c>
      <c r="W139" s="316">
        <v>60</v>
      </c>
      <c r="X139" s="314">
        <f t="shared" si="98"/>
        <v>0</v>
      </c>
      <c r="Y139" s="314">
        <f t="shared" si="99"/>
        <v>60</v>
      </c>
      <c r="Z139" s="317">
        <f t="shared" si="104"/>
        <v>0</v>
      </c>
      <c r="AA139" s="318">
        <v>1309000000</v>
      </c>
      <c r="AB139" s="318">
        <v>0</v>
      </c>
      <c r="AC139" s="318">
        <f t="shared" si="105"/>
        <v>0</v>
      </c>
      <c r="AD139" s="318"/>
      <c r="AE139" s="318"/>
      <c r="AF139" s="318"/>
      <c r="AG139" s="318"/>
      <c r="AH139" s="318"/>
      <c r="AI139" s="318"/>
      <c r="AJ139" s="318"/>
      <c r="AK139" s="318"/>
      <c r="AL139" s="318"/>
      <c r="AM139" s="318"/>
      <c r="AN139" s="318"/>
      <c r="AO139" s="318"/>
      <c r="AP139" s="318">
        <f t="shared" si="100"/>
        <v>1309000000</v>
      </c>
      <c r="AQ139" s="319">
        <f t="shared" si="101"/>
        <v>0</v>
      </c>
      <c r="AR139" s="320"/>
      <c r="AS139" s="320"/>
      <c r="AT139" s="365"/>
      <c r="AU139" s="322"/>
      <c r="AV139" s="146" t="s">
        <v>1236</v>
      </c>
      <c r="AW139" s="146">
        <f>IFERROR(VLOOKUP(G139,'[71]Detail Deprec_202501'!$D$246:$I$393,6,FALSE),0)</f>
        <v>0</v>
      </c>
      <c r="AX139" s="501">
        <f t="shared" si="103"/>
        <v>0</v>
      </c>
    </row>
    <row r="140" spans="1:50" ht="12.9" customHeight="1" outlineLevel="1">
      <c r="A140" s="324">
        <f t="shared" si="86"/>
        <v>115</v>
      </c>
      <c r="B140" s="306" t="s">
        <v>142</v>
      </c>
      <c r="C140" s="344" t="s">
        <v>143</v>
      </c>
      <c r="D140" s="382">
        <v>155</v>
      </c>
      <c r="E140" s="382" t="s">
        <v>1707</v>
      </c>
      <c r="F140" s="336" t="s">
        <v>661</v>
      </c>
      <c r="G140" s="336" t="s">
        <v>662</v>
      </c>
      <c r="H140" s="383">
        <v>42199</v>
      </c>
      <c r="I140" s="392" t="s">
        <v>11</v>
      </c>
      <c r="J140" s="390" t="s">
        <v>209</v>
      </c>
      <c r="K140" s="351" t="s">
        <v>663</v>
      </c>
      <c r="L140" s="351" t="s">
        <v>469</v>
      </c>
      <c r="M140" s="316" t="s">
        <v>664</v>
      </c>
      <c r="N140" s="379">
        <v>2015</v>
      </c>
      <c r="O140" s="379"/>
      <c r="P140" s="351" t="s">
        <v>665</v>
      </c>
      <c r="Q140" s="362" t="s">
        <v>666</v>
      </c>
      <c r="R140" s="377">
        <v>1</v>
      </c>
      <c r="S140" s="408">
        <v>2550000</v>
      </c>
      <c r="T140" s="407">
        <v>277848000</v>
      </c>
      <c r="U140" s="313">
        <f t="shared" si="97"/>
        <v>4630800</v>
      </c>
      <c r="V140" s="316">
        <v>60</v>
      </c>
      <c r="W140" s="315">
        <v>60</v>
      </c>
      <c r="X140" s="314">
        <f t="shared" si="98"/>
        <v>0</v>
      </c>
      <c r="Y140" s="314">
        <f t="shared" si="99"/>
        <v>60</v>
      </c>
      <c r="Z140" s="317">
        <f t="shared" si="104"/>
        <v>0</v>
      </c>
      <c r="AA140" s="318">
        <v>277848000</v>
      </c>
      <c r="AB140" s="318">
        <v>0</v>
      </c>
      <c r="AC140" s="318">
        <f t="shared" si="105"/>
        <v>0</v>
      </c>
      <c r="AD140" s="318"/>
      <c r="AE140" s="318"/>
      <c r="AF140" s="318"/>
      <c r="AG140" s="318"/>
      <c r="AH140" s="318"/>
      <c r="AI140" s="318"/>
      <c r="AJ140" s="318"/>
      <c r="AK140" s="318"/>
      <c r="AL140" s="318"/>
      <c r="AM140" s="318"/>
      <c r="AN140" s="318"/>
      <c r="AO140" s="318"/>
      <c r="AP140" s="318">
        <f t="shared" si="100"/>
        <v>277848000</v>
      </c>
      <c r="AQ140" s="319">
        <f t="shared" si="101"/>
        <v>0</v>
      </c>
      <c r="AR140" s="320"/>
      <c r="AS140" s="320"/>
      <c r="AT140" s="365"/>
      <c r="AU140" s="322"/>
      <c r="AV140" s="146" t="s">
        <v>1236</v>
      </c>
      <c r="AW140" s="146">
        <f>IFERROR(VLOOKUP(G140,'[70]Detail Deprec_202508'!$D$33:$I$357,6,FALSE),0)</f>
        <v>0</v>
      </c>
      <c r="AX140" s="146">
        <f t="shared" si="103"/>
        <v>0</v>
      </c>
    </row>
    <row r="141" spans="1:50" ht="12.9" customHeight="1" outlineLevel="1">
      <c r="A141" s="324">
        <f t="shared" si="86"/>
        <v>116</v>
      </c>
      <c r="B141" s="306" t="s">
        <v>142</v>
      </c>
      <c r="C141" s="344" t="s">
        <v>143</v>
      </c>
      <c r="D141" s="382">
        <v>155</v>
      </c>
      <c r="E141" s="382" t="s">
        <v>1707</v>
      </c>
      <c r="F141" s="336" t="s">
        <v>667</v>
      </c>
      <c r="G141" s="336" t="s">
        <v>668</v>
      </c>
      <c r="H141" s="383">
        <v>42199</v>
      </c>
      <c r="I141" s="392" t="s">
        <v>11</v>
      </c>
      <c r="J141" s="390" t="s">
        <v>669</v>
      </c>
      <c r="K141" s="351" t="s">
        <v>663</v>
      </c>
      <c r="L141" s="351" t="s">
        <v>469</v>
      </c>
      <c r="M141" s="316" t="s">
        <v>664</v>
      </c>
      <c r="N141" s="379">
        <v>2015</v>
      </c>
      <c r="O141" s="379"/>
      <c r="P141" s="351" t="s">
        <v>670</v>
      </c>
      <c r="Q141" s="362" t="s">
        <v>671</v>
      </c>
      <c r="R141" s="377">
        <v>1</v>
      </c>
      <c r="S141" s="408">
        <v>2800000</v>
      </c>
      <c r="T141" s="407">
        <v>305088000</v>
      </c>
      <c r="U141" s="313">
        <f t="shared" si="97"/>
        <v>5084800</v>
      </c>
      <c r="V141" s="316">
        <v>60</v>
      </c>
      <c r="W141" s="315">
        <v>60</v>
      </c>
      <c r="X141" s="314">
        <f t="shared" si="98"/>
        <v>0</v>
      </c>
      <c r="Y141" s="314">
        <f t="shared" si="99"/>
        <v>60</v>
      </c>
      <c r="Z141" s="317">
        <f t="shared" si="104"/>
        <v>0</v>
      </c>
      <c r="AA141" s="318">
        <v>305088000</v>
      </c>
      <c r="AB141" s="318">
        <v>0</v>
      </c>
      <c r="AC141" s="318">
        <f t="shared" si="105"/>
        <v>0</v>
      </c>
      <c r="AD141" s="318"/>
      <c r="AE141" s="318"/>
      <c r="AF141" s="318"/>
      <c r="AG141" s="318"/>
      <c r="AH141" s="318"/>
      <c r="AI141" s="318"/>
      <c r="AJ141" s="318"/>
      <c r="AK141" s="318"/>
      <c r="AL141" s="318"/>
      <c r="AM141" s="318"/>
      <c r="AN141" s="318"/>
      <c r="AO141" s="318"/>
      <c r="AP141" s="318">
        <f t="shared" si="100"/>
        <v>305088000</v>
      </c>
      <c r="AQ141" s="319">
        <f t="shared" si="101"/>
        <v>0</v>
      </c>
      <c r="AR141" s="320"/>
      <c r="AS141" s="320"/>
      <c r="AT141" s="365"/>
      <c r="AU141" s="322"/>
      <c r="AV141" s="146" t="s">
        <v>1236</v>
      </c>
      <c r="AW141" s="146">
        <f>IFERROR(VLOOKUP(G141,'[70]Detail Deprec_202508'!$D$33:$I$357,6,FALSE),0)</f>
        <v>0</v>
      </c>
      <c r="AX141" s="146">
        <f t="shared" si="103"/>
        <v>0</v>
      </c>
    </row>
    <row r="142" spans="1:50" ht="12.9" customHeight="1" outlineLevel="1">
      <c r="A142" s="324">
        <f t="shared" si="86"/>
        <v>117</v>
      </c>
      <c r="B142" s="306" t="s">
        <v>142</v>
      </c>
      <c r="C142" s="344" t="s">
        <v>474</v>
      </c>
      <c r="D142" s="382">
        <v>155</v>
      </c>
      <c r="E142" s="382" t="s">
        <v>1711</v>
      </c>
      <c r="F142" s="336" t="s">
        <v>649</v>
      </c>
      <c r="G142" s="336" t="s">
        <v>672</v>
      </c>
      <c r="H142" s="383">
        <v>42244</v>
      </c>
      <c r="I142" s="392" t="s">
        <v>11</v>
      </c>
      <c r="J142" s="390" t="s">
        <v>673</v>
      </c>
      <c r="K142" s="351" t="s">
        <v>561</v>
      </c>
      <c r="L142" s="351" t="s">
        <v>300</v>
      </c>
      <c r="M142" s="379" t="s">
        <v>477</v>
      </c>
      <c r="N142" s="379">
        <v>2015</v>
      </c>
      <c r="O142" s="379" t="s">
        <v>653</v>
      </c>
      <c r="P142" s="409" t="s">
        <v>674</v>
      </c>
      <c r="Q142" s="362" t="s">
        <v>675</v>
      </c>
      <c r="R142" s="377">
        <v>1</v>
      </c>
      <c r="S142" s="408"/>
      <c r="T142" s="407">
        <v>189500000</v>
      </c>
      <c r="U142" s="313">
        <f t="shared" si="97"/>
        <v>3158333.3333333335</v>
      </c>
      <c r="V142" s="316">
        <v>60</v>
      </c>
      <c r="W142" s="315">
        <v>60</v>
      </c>
      <c r="X142" s="314">
        <f t="shared" si="98"/>
        <v>0</v>
      </c>
      <c r="Y142" s="314">
        <f t="shared" si="99"/>
        <v>60</v>
      </c>
      <c r="Z142" s="317">
        <f t="shared" si="104"/>
        <v>0</v>
      </c>
      <c r="AA142" s="318">
        <v>189500000</v>
      </c>
      <c r="AB142" s="318">
        <v>0</v>
      </c>
      <c r="AC142" s="318">
        <f t="shared" si="105"/>
        <v>0</v>
      </c>
      <c r="AD142" s="318"/>
      <c r="AE142" s="318"/>
      <c r="AF142" s="318"/>
      <c r="AG142" s="318"/>
      <c r="AH142" s="318"/>
      <c r="AI142" s="318"/>
      <c r="AJ142" s="318"/>
      <c r="AK142" s="318"/>
      <c r="AL142" s="318"/>
      <c r="AM142" s="318"/>
      <c r="AN142" s="318"/>
      <c r="AO142" s="318"/>
      <c r="AP142" s="318">
        <f t="shared" si="100"/>
        <v>189500000</v>
      </c>
      <c r="AQ142" s="319">
        <f t="shared" si="101"/>
        <v>0</v>
      </c>
      <c r="AR142" s="320"/>
      <c r="AS142" s="320"/>
      <c r="AT142" s="365"/>
      <c r="AU142" s="322"/>
      <c r="AV142" s="146" t="s">
        <v>1236</v>
      </c>
      <c r="AW142" s="146">
        <f>IFERROR(VLOOKUP(G142,'[71]Detail Deprec_202501'!$D$246:$I$393,6,FALSE),0)</f>
        <v>0</v>
      </c>
      <c r="AX142" s="501">
        <f t="shared" si="103"/>
        <v>0</v>
      </c>
    </row>
    <row r="143" spans="1:50" ht="12.9" customHeight="1" outlineLevel="1">
      <c r="A143" s="324">
        <f t="shared" si="86"/>
        <v>118</v>
      </c>
      <c r="B143" s="306" t="s">
        <v>142</v>
      </c>
      <c r="C143" s="344" t="s">
        <v>143</v>
      </c>
      <c r="D143" s="382">
        <v>155</v>
      </c>
      <c r="E143" s="382" t="s">
        <v>1707</v>
      </c>
      <c r="F143" s="336" t="s">
        <v>678</v>
      </c>
      <c r="G143" s="336" t="s">
        <v>679</v>
      </c>
      <c r="H143" s="383">
        <v>42276</v>
      </c>
      <c r="I143" s="392" t="s">
        <v>11</v>
      </c>
      <c r="J143" s="390" t="s">
        <v>680</v>
      </c>
      <c r="K143" s="351" t="s">
        <v>681</v>
      </c>
      <c r="L143" s="351" t="s">
        <v>469</v>
      </c>
      <c r="M143" s="316" t="s">
        <v>682</v>
      </c>
      <c r="N143" s="379">
        <v>2015</v>
      </c>
      <c r="O143" s="379"/>
      <c r="P143" s="351" t="s">
        <v>683</v>
      </c>
      <c r="Q143" s="351" t="s">
        <v>684</v>
      </c>
      <c r="R143" s="377">
        <v>1</v>
      </c>
      <c r="S143" s="408">
        <v>5400000</v>
      </c>
      <c r="T143" s="407">
        <v>588384000</v>
      </c>
      <c r="U143" s="313">
        <f t="shared" si="97"/>
        <v>9806400</v>
      </c>
      <c r="V143" s="316">
        <v>60</v>
      </c>
      <c r="W143" s="315">
        <v>60</v>
      </c>
      <c r="X143" s="314">
        <f t="shared" si="98"/>
        <v>0</v>
      </c>
      <c r="Y143" s="314">
        <f t="shared" si="99"/>
        <v>60</v>
      </c>
      <c r="Z143" s="317">
        <f t="shared" si="104"/>
        <v>0</v>
      </c>
      <c r="AA143" s="318">
        <v>588384000</v>
      </c>
      <c r="AB143" s="318">
        <v>0</v>
      </c>
      <c r="AC143" s="318">
        <f t="shared" si="105"/>
        <v>0</v>
      </c>
      <c r="AD143" s="318"/>
      <c r="AE143" s="318"/>
      <c r="AF143" s="318"/>
      <c r="AG143" s="318"/>
      <c r="AH143" s="318"/>
      <c r="AI143" s="318"/>
      <c r="AJ143" s="318"/>
      <c r="AK143" s="318"/>
      <c r="AL143" s="318"/>
      <c r="AM143" s="318"/>
      <c r="AN143" s="318"/>
      <c r="AO143" s="318"/>
      <c r="AP143" s="318">
        <f t="shared" si="100"/>
        <v>588384000</v>
      </c>
      <c r="AQ143" s="319">
        <f t="shared" si="101"/>
        <v>0</v>
      </c>
      <c r="AR143" s="320"/>
      <c r="AS143" s="320"/>
      <c r="AT143" s="365"/>
      <c r="AU143" s="322"/>
      <c r="AV143" s="146" t="s">
        <v>1236</v>
      </c>
      <c r="AW143" s="146">
        <f>IFERROR(VLOOKUP(G143,'[70]Detail Deprec_202508'!$D$33:$I$357,6,FALSE),0)</f>
        <v>0</v>
      </c>
      <c r="AX143" s="146">
        <f t="shared" si="103"/>
        <v>0</v>
      </c>
    </row>
    <row r="144" spans="1:50" ht="12.9" customHeight="1" outlineLevel="1">
      <c r="A144" s="324">
        <f t="shared" si="86"/>
        <v>119</v>
      </c>
      <c r="B144" s="306" t="s">
        <v>142</v>
      </c>
      <c r="C144" s="344" t="s">
        <v>143</v>
      </c>
      <c r="D144" s="382">
        <v>155</v>
      </c>
      <c r="E144" s="382" t="s">
        <v>1707</v>
      </c>
      <c r="F144" s="336" t="s">
        <v>685</v>
      </c>
      <c r="G144" s="336" t="s">
        <v>686</v>
      </c>
      <c r="H144" s="383">
        <v>42276</v>
      </c>
      <c r="I144" s="392" t="s">
        <v>11</v>
      </c>
      <c r="J144" s="390" t="s">
        <v>680</v>
      </c>
      <c r="K144" s="351" t="s">
        <v>687</v>
      </c>
      <c r="L144" s="351" t="s">
        <v>469</v>
      </c>
      <c r="M144" s="316" t="s">
        <v>688</v>
      </c>
      <c r="N144" s="379">
        <v>2015</v>
      </c>
      <c r="O144" s="379"/>
      <c r="P144" s="351" t="s">
        <v>689</v>
      </c>
      <c r="Q144" s="351" t="s">
        <v>690</v>
      </c>
      <c r="R144" s="377">
        <v>1</v>
      </c>
      <c r="S144" s="408">
        <v>2105000</v>
      </c>
      <c r="T144" s="407">
        <v>229360800</v>
      </c>
      <c r="U144" s="313">
        <f t="shared" si="97"/>
        <v>3822680</v>
      </c>
      <c r="V144" s="316">
        <v>60</v>
      </c>
      <c r="W144" s="315">
        <v>60</v>
      </c>
      <c r="X144" s="314">
        <f t="shared" si="98"/>
        <v>0</v>
      </c>
      <c r="Y144" s="314">
        <f t="shared" si="99"/>
        <v>60</v>
      </c>
      <c r="Z144" s="317">
        <f t="shared" si="104"/>
        <v>0</v>
      </c>
      <c r="AA144" s="318">
        <v>229360800</v>
      </c>
      <c r="AB144" s="318">
        <v>0</v>
      </c>
      <c r="AC144" s="318">
        <f t="shared" si="105"/>
        <v>0</v>
      </c>
      <c r="AD144" s="318"/>
      <c r="AE144" s="318"/>
      <c r="AF144" s="318"/>
      <c r="AG144" s="318"/>
      <c r="AH144" s="318"/>
      <c r="AI144" s="318"/>
      <c r="AJ144" s="318"/>
      <c r="AK144" s="318"/>
      <c r="AL144" s="318"/>
      <c r="AM144" s="318"/>
      <c r="AN144" s="318"/>
      <c r="AO144" s="318"/>
      <c r="AP144" s="318">
        <f t="shared" si="100"/>
        <v>229360800</v>
      </c>
      <c r="AQ144" s="319">
        <f t="shared" si="101"/>
        <v>0</v>
      </c>
      <c r="AR144" s="320"/>
      <c r="AS144" s="320"/>
      <c r="AT144" s="365"/>
      <c r="AU144" s="322"/>
      <c r="AV144" s="146" t="s">
        <v>1236</v>
      </c>
      <c r="AW144" s="146">
        <f>IFERROR(VLOOKUP(G144,'[70]Detail Deprec_202508'!$D$33:$I$357,6,FALSE),0)</f>
        <v>0</v>
      </c>
      <c r="AX144" s="146">
        <f t="shared" si="103"/>
        <v>0</v>
      </c>
    </row>
    <row r="145" spans="1:50" ht="12.9" customHeight="1" outlineLevel="1">
      <c r="A145" s="324">
        <f t="shared" si="86"/>
        <v>120</v>
      </c>
      <c r="B145" s="306" t="s">
        <v>142</v>
      </c>
      <c r="C145" s="344" t="s">
        <v>143</v>
      </c>
      <c r="D145" s="382">
        <v>155</v>
      </c>
      <c r="E145" s="382" t="s">
        <v>1707</v>
      </c>
      <c r="F145" s="336" t="s">
        <v>691</v>
      </c>
      <c r="G145" s="336" t="s">
        <v>692</v>
      </c>
      <c r="H145" s="383">
        <v>42276</v>
      </c>
      <c r="I145" s="392" t="s">
        <v>11</v>
      </c>
      <c r="J145" s="390" t="s">
        <v>680</v>
      </c>
      <c r="K145" s="351" t="s">
        <v>687</v>
      </c>
      <c r="L145" s="351" t="s">
        <v>469</v>
      </c>
      <c r="M145" s="316" t="s">
        <v>688</v>
      </c>
      <c r="N145" s="379">
        <v>2015</v>
      </c>
      <c r="O145" s="379" t="s">
        <v>557</v>
      </c>
      <c r="P145" s="351" t="s">
        <v>693</v>
      </c>
      <c r="Q145" s="351" t="s">
        <v>694</v>
      </c>
      <c r="R145" s="377">
        <v>1</v>
      </c>
      <c r="S145" s="408">
        <v>2105000</v>
      </c>
      <c r="T145" s="407">
        <v>229360800</v>
      </c>
      <c r="U145" s="313">
        <f t="shared" si="97"/>
        <v>3822680</v>
      </c>
      <c r="V145" s="316">
        <v>60</v>
      </c>
      <c r="W145" s="315">
        <v>60</v>
      </c>
      <c r="X145" s="314">
        <f t="shared" si="98"/>
        <v>0</v>
      </c>
      <c r="Y145" s="314">
        <f t="shared" si="99"/>
        <v>60</v>
      </c>
      <c r="Z145" s="317">
        <f t="shared" si="104"/>
        <v>0</v>
      </c>
      <c r="AA145" s="318">
        <v>229360800</v>
      </c>
      <c r="AB145" s="318">
        <v>0</v>
      </c>
      <c r="AC145" s="318">
        <f t="shared" si="105"/>
        <v>0</v>
      </c>
      <c r="AD145" s="318"/>
      <c r="AE145" s="318"/>
      <c r="AF145" s="318"/>
      <c r="AG145" s="318"/>
      <c r="AH145" s="318"/>
      <c r="AI145" s="318"/>
      <c r="AJ145" s="318"/>
      <c r="AK145" s="318"/>
      <c r="AL145" s="318"/>
      <c r="AM145" s="318"/>
      <c r="AN145" s="318"/>
      <c r="AO145" s="318"/>
      <c r="AP145" s="318">
        <f t="shared" si="100"/>
        <v>229360800</v>
      </c>
      <c r="AQ145" s="319">
        <f t="shared" si="101"/>
        <v>0</v>
      </c>
      <c r="AR145" s="320"/>
      <c r="AS145" s="320"/>
      <c r="AT145" s="365"/>
      <c r="AU145" s="322"/>
      <c r="AV145" s="146" t="s">
        <v>1236</v>
      </c>
      <c r="AW145" s="146">
        <f>IFERROR(VLOOKUP(G145,'[70]Detail Deprec_202508'!$D$33:$I$357,6,FALSE),0)</f>
        <v>0</v>
      </c>
      <c r="AX145" s="146">
        <f t="shared" si="103"/>
        <v>0</v>
      </c>
    </row>
    <row r="146" spans="1:50" ht="12.9" customHeight="1" outlineLevel="1">
      <c r="A146" s="324">
        <f t="shared" si="86"/>
        <v>121</v>
      </c>
      <c r="B146" s="306" t="s">
        <v>142</v>
      </c>
      <c r="C146" s="344" t="s">
        <v>143</v>
      </c>
      <c r="D146" s="382">
        <v>155</v>
      </c>
      <c r="E146" s="382" t="s">
        <v>1707</v>
      </c>
      <c r="F146" s="336" t="s">
        <v>695</v>
      </c>
      <c r="G146" s="336" t="s">
        <v>696</v>
      </c>
      <c r="H146" s="383">
        <v>42276</v>
      </c>
      <c r="I146" s="392" t="s">
        <v>11</v>
      </c>
      <c r="J146" s="390" t="s">
        <v>680</v>
      </c>
      <c r="K146" s="351" t="s">
        <v>687</v>
      </c>
      <c r="L146" s="351" t="s">
        <v>469</v>
      </c>
      <c r="M146" s="316" t="s">
        <v>688</v>
      </c>
      <c r="N146" s="379">
        <v>2015</v>
      </c>
      <c r="O146" s="379"/>
      <c r="P146" s="351" t="s">
        <v>697</v>
      </c>
      <c r="Q146" s="351" t="s">
        <v>698</v>
      </c>
      <c r="R146" s="377">
        <v>1</v>
      </c>
      <c r="S146" s="408">
        <v>2105000</v>
      </c>
      <c r="T146" s="407">
        <v>229360800</v>
      </c>
      <c r="U146" s="313">
        <f t="shared" si="97"/>
        <v>3822680</v>
      </c>
      <c r="V146" s="316">
        <v>60</v>
      </c>
      <c r="W146" s="315">
        <v>60</v>
      </c>
      <c r="X146" s="314">
        <f t="shared" si="98"/>
        <v>0</v>
      </c>
      <c r="Y146" s="314">
        <f t="shared" si="99"/>
        <v>60</v>
      </c>
      <c r="Z146" s="317">
        <f t="shared" si="104"/>
        <v>0</v>
      </c>
      <c r="AA146" s="318">
        <v>229360800</v>
      </c>
      <c r="AB146" s="318">
        <v>0</v>
      </c>
      <c r="AC146" s="318">
        <f t="shared" si="105"/>
        <v>0</v>
      </c>
      <c r="AD146" s="318"/>
      <c r="AE146" s="318"/>
      <c r="AF146" s="318"/>
      <c r="AG146" s="318"/>
      <c r="AH146" s="318"/>
      <c r="AI146" s="318"/>
      <c r="AJ146" s="318"/>
      <c r="AK146" s="318"/>
      <c r="AL146" s="318"/>
      <c r="AM146" s="318"/>
      <c r="AN146" s="318"/>
      <c r="AO146" s="318"/>
      <c r="AP146" s="318">
        <f t="shared" si="100"/>
        <v>229360800</v>
      </c>
      <c r="AQ146" s="319">
        <f t="shared" si="101"/>
        <v>0</v>
      </c>
      <c r="AR146" s="320"/>
      <c r="AS146" s="320"/>
      <c r="AT146" s="365"/>
      <c r="AU146" s="322"/>
      <c r="AV146" s="146" t="s">
        <v>1236</v>
      </c>
      <c r="AW146" s="146">
        <f>IFERROR(VLOOKUP(G146,'[70]Detail Deprec_202508'!$D$33:$I$357,6,FALSE),0)</f>
        <v>0</v>
      </c>
      <c r="AX146" s="146">
        <f t="shared" si="103"/>
        <v>0</v>
      </c>
    </row>
    <row r="147" spans="1:50" ht="12.9" customHeight="1" outlineLevel="1">
      <c r="A147" s="324">
        <f t="shared" si="86"/>
        <v>122</v>
      </c>
      <c r="B147" s="306" t="s">
        <v>142</v>
      </c>
      <c r="C147" s="344" t="s">
        <v>143</v>
      </c>
      <c r="D147" s="382">
        <v>155</v>
      </c>
      <c r="E147" s="382" t="s">
        <v>1707</v>
      </c>
      <c r="F147" s="336" t="s">
        <v>699</v>
      </c>
      <c r="G147" s="336" t="s">
        <v>700</v>
      </c>
      <c r="H147" s="383">
        <v>42276</v>
      </c>
      <c r="I147" s="392" t="s">
        <v>11</v>
      </c>
      <c r="J147" s="390" t="s">
        <v>680</v>
      </c>
      <c r="K147" s="351" t="s">
        <v>687</v>
      </c>
      <c r="L147" s="351" t="s">
        <v>469</v>
      </c>
      <c r="M147" s="316" t="s">
        <v>688</v>
      </c>
      <c r="N147" s="379">
        <v>2015</v>
      </c>
      <c r="O147" s="379"/>
      <c r="P147" s="351" t="s">
        <v>701</v>
      </c>
      <c r="Q147" s="351" t="s">
        <v>702</v>
      </c>
      <c r="R147" s="377">
        <v>1</v>
      </c>
      <c r="S147" s="408">
        <v>2105000</v>
      </c>
      <c r="T147" s="407">
        <v>229360800</v>
      </c>
      <c r="U147" s="313">
        <f t="shared" ref="U147:U172" si="106">+T147/V147</f>
        <v>3822680</v>
      </c>
      <c r="V147" s="316">
        <v>60</v>
      </c>
      <c r="W147" s="315">
        <v>60</v>
      </c>
      <c r="X147" s="314">
        <f t="shared" ref="X147:X172" si="107">+AC147/U147</f>
        <v>0</v>
      </c>
      <c r="Y147" s="314">
        <f t="shared" ref="Y147:Y172" si="108">+W147+X147</f>
        <v>60</v>
      </c>
      <c r="Z147" s="317">
        <f t="shared" si="104"/>
        <v>0</v>
      </c>
      <c r="AA147" s="318">
        <v>229360800</v>
      </c>
      <c r="AB147" s="318">
        <v>0</v>
      </c>
      <c r="AC147" s="318">
        <f t="shared" si="105"/>
        <v>0</v>
      </c>
      <c r="AD147" s="318"/>
      <c r="AE147" s="318"/>
      <c r="AF147" s="318"/>
      <c r="AG147" s="318"/>
      <c r="AH147" s="318"/>
      <c r="AI147" s="318"/>
      <c r="AJ147" s="318"/>
      <c r="AK147" s="318"/>
      <c r="AL147" s="318"/>
      <c r="AM147" s="318"/>
      <c r="AN147" s="318"/>
      <c r="AO147" s="318"/>
      <c r="AP147" s="318">
        <f t="shared" ref="AP147:AP172" si="109">+AA147+AC147</f>
        <v>229360800</v>
      </c>
      <c r="AQ147" s="319">
        <f t="shared" ref="AQ147:AQ172" si="110">IF(AS147=$AS$24,((T147-AP147)*0),T147-AP147)</f>
        <v>0</v>
      </c>
      <c r="AR147" s="320"/>
      <c r="AS147" s="320"/>
      <c r="AT147" s="365"/>
      <c r="AU147" s="322"/>
      <c r="AV147" s="146" t="s">
        <v>1236</v>
      </c>
      <c r="AW147" s="146">
        <f>IFERROR(VLOOKUP(G147,'[70]Detail Deprec_202508'!$D$33:$I$357,6,FALSE),0)</f>
        <v>0</v>
      </c>
      <c r="AX147" s="146">
        <f t="shared" si="103"/>
        <v>0</v>
      </c>
    </row>
    <row r="148" spans="1:50" ht="12.9" customHeight="1" outlineLevel="1">
      <c r="A148" s="324">
        <f t="shared" si="86"/>
        <v>123</v>
      </c>
      <c r="B148" s="306" t="s">
        <v>142</v>
      </c>
      <c r="C148" s="344" t="s">
        <v>143</v>
      </c>
      <c r="D148" s="382">
        <v>155</v>
      </c>
      <c r="E148" s="382" t="s">
        <v>1707</v>
      </c>
      <c r="F148" s="336" t="s">
        <v>703</v>
      </c>
      <c r="G148" s="336" t="s">
        <v>704</v>
      </c>
      <c r="H148" s="383">
        <v>42276</v>
      </c>
      <c r="I148" s="392" t="s">
        <v>11</v>
      </c>
      <c r="J148" s="390" t="s">
        <v>680</v>
      </c>
      <c r="K148" s="351" t="s">
        <v>687</v>
      </c>
      <c r="L148" s="351" t="s">
        <v>469</v>
      </c>
      <c r="M148" s="316" t="s">
        <v>688</v>
      </c>
      <c r="N148" s="379">
        <v>2015</v>
      </c>
      <c r="O148" s="379"/>
      <c r="P148" s="351" t="s">
        <v>705</v>
      </c>
      <c r="Q148" s="351" t="s">
        <v>706</v>
      </c>
      <c r="R148" s="377">
        <v>1</v>
      </c>
      <c r="S148" s="408">
        <v>2105000</v>
      </c>
      <c r="T148" s="407">
        <v>229360800</v>
      </c>
      <c r="U148" s="313">
        <f t="shared" si="106"/>
        <v>3822680</v>
      </c>
      <c r="V148" s="316">
        <v>60</v>
      </c>
      <c r="W148" s="315">
        <v>60</v>
      </c>
      <c r="X148" s="314">
        <f t="shared" si="107"/>
        <v>0</v>
      </c>
      <c r="Y148" s="314">
        <f t="shared" si="108"/>
        <v>60</v>
      </c>
      <c r="Z148" s="317">
        <f t="shared" si="104"/>
        <v>0</v>
      </c>
      <c r="AA148" s="318">
        <v>229360800</v>
      </c>
      <c r="AB148" s="318">
        <v>0</v>
      </c>
      <c r="AC148" s="318">
        <f t="shared" si="105"/>
        <v>0</v>
      </c>
      <c r="AD148" s="318"/>
      <c r="AE148" s="318"/>
      <c r="AF148" s="318"/>
      <c r="AG148" s="318"/>
      <c r="AH148" s="318"/>
      <c r="AI148" s="318"/>
      <c r="AJ148" s="318"/>
      <c r="AK148" s="318"/>
      <c r="AL148" s="318"/>
      <c r="AM148" s="318"/>
      <c r="AN148" s="318"/>
      <c r="AO148" s="318"/>
      <c r="AP148" s="318">
        <f t="shared" si="109"/>
        <v>229360800</v>
      </c>
      <c r="AQ148" s="319">
        <f t="shared" si="110"/>
        <v>0</v>
      </c>
      <c r="AR148" s="320"/>
      <c r="AS148" s="320"/>
      <c r="AT148" s="365"/>
      <c r="AU148" s="322"/>
      <c r="AV148" s="146" t="s">
        <v>1236</v>
      </c>
      <c r="AW148" s="146">
        <f>IFERROR(VLOOKUP(G148,'[70]Detail Deprec_202508'!$D$33:$I$357,6,FALSE),0)</f>
        <v>0</v>
      </c>
      <c r="AX148" s="146">
        <f t="shared" si="103"/>
        <v>0</v>
      </c>
    </row>
    <row r="149" spans="1:50" ht="12.9" customHeight="1" outlineLevel="1">
      <c r="A149" s="324">
        <f t="shared" si="86"/>
        <v>124</v>
      </c>
      <c r="B149" s="306" t="s">
        <v>142</v>
      </c>
      <c r="C149" s="344" t="s">
        <v>143</v>
      </c>
      <c r="D149" s="382">
        <v>155</v>
      </c>
      <c r="E149" s="382" t="s">
        <v>1707</v>
      </c>
      <c r="F149" s="336" t="s">
        <v>707</v>
      </c>
      <c r="G149" s="336" t="s">
        <v>708</v>
      </c>
      <c r="H149" s="383">
        <v>42276</v>
      </c>
      <c r="I149" s="392" t="s">
        <v>11</v>
      </c>
      <c r="J149" s="390" t="s">
        <v>680</v>
      </c>
      <c r="K149" s="351" t="s">
        <v>687</v>
      </c>
      <c r="L149" s="351" t="s">
        <v>469</v>
      </c>
      <c r="M149" s="316" t="s">
        <v>688</v>
      </c>
      <c r="N149" s="379">
        <v>2015</v>
      </c>
      <c r="O149" s="379"/>
      <c r="P149" s="351" t="s">
        <v>709</v>
      </c>
      <c r="Q149" s="351" t="s">
        <v>710</v>
      </c>
      <c r="R149" s="377">
        <v>1</v>
      </c>
      <c r="S149" s="408">
        <v>2105000</v>
      </c>
      <c r="T149" s="407">
        <v>229360800</v>
      </c>
      <c r="U149" s="313">
        <f t="shared" si="106"/>
        <v>3822680</v>
      </c>
      <c r="V149" s="316">
        <v>60</v>
      </c>
      <c r="W149" s="315">
        <v>60</v>
      </c>
      <c r="X149" s="314">
        <f t="shared" si="107"/>
        <v>0</v>
      </c>
      <c r="Y149" s="314">
        <f t="shared" si="108"/>
        <v>60</v>
      </c>
      <c r="Z149" s="317">
        <f t="shared" si="104"/>
        <v>0</v>
      </c>
      <c r="AA149" s="318">
        <v>229360800</v>
      </c>
      <c r="AB149" s="318">
        <v>0</v>
      </c>
      <c r="AC149" s="318">
        <f t="shared" si="105"/>
        <v>0</v>
      </c>
      <c r="AD149" s="318"/>
      <c r="AE149" s="318"/>
      <c r="AF149" s="318"/>
      <c r="AG149" s="318"/>
      <c r="AH149" s="318"/>
      <c r="AI149" s="318"/>
      <c r="AJ149" s="318"/>
      <c r="AK149" s="318"/>
      <c r="AL149" s="318"/>
      <c r="AM149" s="318"/>
      <c r="AN149" s="318"/>
      <c r="AO149" s="318"/>
      <c r="AP149" s="318">
        <f t="shared" si="109"/>
        <v>229360800</v>
      </c>
      <c r="AQ149" s="319">
        <f t="shared" si="110"/>
        <v>0</v>
      </c>
      <c r="AR149" s="320"/>
      <c r="AS149" s="320"/>
      <c r="AT149" s="365"/>
      <c r="AU149" s="322"/>
      <c r="AV149" s="146" t="s">
        <v>1236</v>
      </c>
      <c r="AW149" s="146">
        <f>IFERROR(VLOOKUP(G149,'[71]Detail Deprec_202501'!$D$246:$I$393,6,FALSE),0)</f>
        <v>0</v>
      </c>
      <c r="AX149" s="501">
        <f t="shared" si="103"/>
        <v>0</v>
      </c>
    </row>
    <row r="150" spans="1:50" ht="12.9" customHeight="1" outlineLevel="1">
      <c r="A150" s="324">
        <f t="shared" si="86"/>
        <v>125</v>
      </c>
      <c r="B150" s="306" t="s">
        <v>142</v>
      </c>
      <c r="C150" s="344" t="s">
        <v>143</v>
      </c>
      <c r="D150" s="382">
        <v>155</v>
      </c>
      <c r="E150" s="382" t="s">
        <v>1707</v>
      </c>
      <c r="F150" s="336" t="s">
        <v>711</v>
      </c>
      <c r="G150" s="336" t="s">
        <v>712</v>
      </c>
      <c r="H150" s="383">
        <v>42276</v>
      </c>
      <c r="I150" s="392" t="s">
        <v>11</v>
      </c>
      <c r="J150" s="390" t="s">
        <v>680</v>
      </c>
      <c r="K150" s="351" t="s">
        <v>687</v>
      </c>
      <c r="L150" s="351" t="s">
        <v>469</v>
      </c>
      <c r="M150" s="316" t="s">
        <v>688</v>
      </c>
      <c r="N150" s="379">
        <v>2015</v>
      </c>
      <c r="O150" s="379"/>
      <c r="P150" s="351" t="s">
        <v>713</v>
      </c>
      <c r="Q150" s="351" t="s">
        <v>714</v>
      </c>
      <c r="R150" s="377">
        <v>1</v>
      </c>
      <c r="S150" s="408">
        <v>2105000</v>
      </c>
      <c r="T150" s="407">
        <v>229360800</v>
      </c>
      <c r="U150" s="313">
        <f t="shared" si="106"/>
        <v>3822680</v>
      </c>
      <c r="V150" s="316">
        <v>60</v>
      </c>
      <c r="W150" s="315">
        <v>60</v>
      </c>
      <c r="X150" s="314">
        <f t="shared" si="107"/>
        <v>0</v>
      </c>
      <c r="Y150" s="314">
        <f t="shared" si="108"/>
        <v>60</v>
      </c>
      <c r="Z150" s="317">
        <f t="shared" si="104"/>
        <v>0</v>
      </c>
      <c r="AA150" s="318">
        <v>229360800</v>
      </c>
      <c r="AB150" s="318">
        <v>0</v>
      </c>
      <c r="AC150" s="318">
        <f t="shared" si="105"/>
        <v>0</v>
      </c>
      <c r="AD150" s="318"/>
      <c r="AE150" s="318"/>
      <c r="AF150" s="318"/>
      <c r="AG150" s="318"/>
      <c r="AH150" s="318"/>
      <c r="AI150" s="318"/>
      <c r="AJ150" s="318"/>
      <c r="AK150" s="318"/>
      <c r="AL150" s="318"/>
      <c r="AM150" s="318"/>
      <c r="AN150" s="318"/>
      <c r="AO150" s="318"/>
      <c r="AP150" s="318">
        <f t="shared" si="109"/>
        <v>229360800</v>
      </c>
      <c r="AQ150" s="319">
        <f t="shared" si="110"/>
        <v>0</v>
      </c>
      <c r="AR150" s="320"/>
      <c r="AS150" s="320"/>
      <c r="AT150" s="365"/>
      <c r="AU150" s="322"/>
      <c r="AV150" s="146" t="s">
        <v>1236</v>
      </c>
      <c r="AW150" s="146">
        <f>IFERROR(VLOOKUP(G150,'[70]Detail Deprec_202508'!$D$33:$I$357,6,FALSE),0)</f>
        <v>0</v>
      </c>
      <c r="AX150" s="146">
        <f t="shared" si="103"/>
        <v>0</v>
      </c>
    </row>
    <row r="151" spans="1:50" ht="12.9" customHeight="1" outlineLevel="1">
      <c r="A151" s="324">
        <f t="shared" si="86"/>
        <v>126</v>
      </c>
      <c r="B151" s="306" t="s">
        <v>142</v>
      </c>
      <c r="C151" s="344" t="s">
        <v>143</v>
      </c>
      <c r="D151" s="382">
        <v>155</v>
      </c>
      <c r="E151" s="382" t="s">
        <v>1707</v>
      </c>
      <c r="F151" s="336" t="s">
        <v>715</v>
      </c>
      <c r="G151" s="336" t="s">
        <v>716</v>
      </c>
      <c r="H151" s="383">
        <v>42276</v>
      </c>
      <c r="I151" s="392" t="s">
        <v>11</v>
      </c>
      <c r="J151" s="390" t="s">
        <v>680</v>
      </c>
      <c r="K151" s="351" t="s">
        <v>687</v>
      </c>
      <c r="L151" s="351" t="s">
        <v>469</v>
      </c>
      <c r="M151" s="316" t="s">
        <v>688</v>
      </c>
      <c r="N151" s="379">
        <v>2015</v>
      </c>
      <c r="O151" s="379"/>
      <c r="P151" s="351" t="s">
        <v>717</v>
      </c>
      <c r="Q151" s="351" t="s">
        <v>718</v>
      </c>
      <c r="R151" s="377">
        <v>1</v>
      </c>
      <c r="S151" s="408">
        <v>2105000</v>
      </c>
      <c r="T151" s="407">
        <v>229360800</v>
      </c>
      <c r="U151" s="313">
        <f t="shared" si="106"/>
        <v>3822680</v>
      </c>
      <c r="V151" s="316">
        <v>60</v>
      </c>
      <c r="W151" s="315">
        <v>60</v>
      </c>
      <c r="X151" s="314">
        <f t="shared" si="107"/>
        <v>0</v>
      </c>
      <c r="Y151" s="314">
        <f t="shared" si="108"/>
        <v>60</v>
      </c>
      <c r="Z151" s="317">
        <f t="shared" si="104"/>
        <v>0</v>
      </c>
      <c r="AA151" s="318">
        <v>229360800</v>
      </c>
      <c r="AB151" s="318">
        <v>0</v>
      </c>
      <c r="AC151" s="318">
        <f t="shared" si="105"/>
        <v>0</v>
      </c>
      <c r="AD151" s="318"/>
      <c r="AE151" s="318"/>
      <c r="AF151" s="318"/>
      <c r="AG151" s="318"/>
      <c r="AH151" s="318"/>
      <c r="AI151" s="318"/>
      <c r="AJ151" s="318"/>
      <c r="AK151" s="318"/>
      <c r="AL151" s="318"/>
      <c r="AM151" s="318"/>
      <c r="AN151" s="318"/>
      <c r="AO151" s="318"/>
      <c r="AP151" s="318">
        <f t="shared" si="109"/>
        <v>229360800</v>
      </c>
      <c r="AQ151" s="319">
        <f t="shared" si="110"/>
        <v>0</v>
      </c>
      <c r="AR151" s="320"/>
      <c r="AS151" s="320"/>
      <c r="AT151" s="365"/>
      <c r="AU151" s="322"/>
      <c r="AV151" s="146" t="s">
        <v>1236</v>
      </c>
      <c r="AW151" s="146">
        <f>IFERROR(VLOOKUP(G151,'[70]Detail Deprec_202508'!$D$33:$I$357,6,FALSE),0)</f>
        <v>0</v>
      </c>
      <c r="AX151" s="146">
        <f t="shared" si="103"/>
        <v>0</v>
      </c>
    </row>
    <row r="152" spans="1:50" ht="12.9" customHeight="1" outlineLevel="1">
      <c r="A152" s="324">
        <f t="shared" si="86"/>
        <v>127</v>
      </c>
      <c r="B152" s="306" t="s">
        <v>142</v>
      </c>
      <c r="C152" s="344" t="s">
        <v>143</v>
      </c>
      <c r="D152" s="382">
        <v>155</v>
      </c>
      <c r="E152" s="382" t="s">
        <v>1707</v>
      </c>
      <c r="F152" s="336" t="s">
        <v>719</v>
      </c>
      <c r="G152" s="336" t="s">
        <v>720</v>
      </c>
      <c r="H152" s="383">
        <v>42276</v>
      </c>
      <c r="I152" s="392" t="s">
        <v>11</v>
      </c>
      <c r="J152" s="390" t="s">
        <v>680</v>
      </c>
      <c r="K152" s="351" t="s">
        <v>687</v>
      </c>
      <c r="L152" s="351" t="s">
        <v>469</v>
      </c>
      <c r="M152" s="316" t="s">
        <v>688</v>
      </c>
      <c r="N152" s="379">
        <v>2015</v>
      </c>
      <c r="O152" s="379"/>
      <c r="P152" s="351" t="s">
        <v>721</v>
      </c>
      <c r="Q152" s="351" t="s">
        <v>722</v>
      </c>
      <c r="R152" s="377">
        <v>1</v>
      </c>
      <c r="S152" s="408">
        <v>2105000</v>
      </c>
      <c r="T152" s="407">
        <v>229360800</v>
      </c>
      <c r="U152" s="313">
        <f t="shared" si="106"/>
        <v>3822680</v>
      </c>
      <c r="V152" s="316">
        <v>60</v>
      </c>
      <c r="W152" s="315">
        <v>60</v>
      </c>
      <c r="X152" s="314">
        <f t="shared" si="107"/>
        <v>0</v>
      </c>
      <c r="Y152" s="314">
        <f t="shared" si="108"/>
        <v>60</v>
      </c>
      <c r="Z152" s="317">
        <f t="shared" si="104"/>
        <v>0</v>
      </c>
      <c r="AA152" s="318">
        <v>229360800</v>
      </c>
      <c r="AB152" s="318">
        <v>0</v>
      </c>
      <c r="AC152" s="318">
        <f t="shared" si="105"/>
        <v>0</v>
      </c>
      <c r="AD152" s="318"/>
      <c r="AE152" s="318"/>
      <c r="AF152" s="318"/>
      <c r="AG152" s="318"/>
      <c r="AH152" s="318"/>
      <c r="AI152" s="318"/>
      <c r="AJ152" s="318"/>
      <c r="AK152" s="318"/>
      <c r="AL152" s="318"/>
      <c r="AM152" s="318"/>
      <c r="AN152" s="318"/>
      <c r="AO152" s="318"/>
      <c r="AP152" s="318">
        <f t="shared" si="109"/>
        <v>229360800</v>
      </c>
      <c r="AQ152" s="319">
        <f t="shared" si="110"/>
        <v>0</v>
      </c>
      <c r="AR152" s="320"/>
      <c r="AS152" s="320"/>
      <c r="AT152" s="365"/>
      <c r="AU152" s="322"/>
      <c r="AV152" s="146" t="s">
        <v>1236</v>
      </c>
      <c r="AW152" s="146">
        <f>IFERROR(VLOOKUP(G152,'[70]Detail Deprec_202508'!$D$33:$I$357,6,FALSE),0)</f>
        <v>0</v>
      </c>
      <c r="AX152" s="146">
        <f t="shared" si="103"/>
        <v>0</v>
      </c>
    </row>
    <row r="153" spans="1:50" ht="12.9" customHeight="1" outlineLevel="1">
      <c r="A153" s="324">
        <f t="shared" si="86"/>
        <v>128</v>
      </c>
      <c r="B153" s="306" t="s">
        <v>142</v>
      </c>
      <c r="C153" s="344" t="s">
        <v>143</v>
      </c>
      <c r="D153" s="382">
        <v>155</v>
      </c>
      <c r="E153" s="382" t="s">
        <v>1707</v>
      </c>
      <c r="F153" s="336" t="s">
        <v>723</v>
      </c>
      <c r="G153" s="336" t="s">
        <v>724</v>
      </c>
      <c r="H153" s="383">
        <v>42276</v>
      </c>
      <c r="I153" s="392" t="s">
        <v>11</v>
      </c>
      <c r="J153" s="390" t="s">
        <v>680</v>
      </c>
      <c r="K153" s="351" t="s">
        <v>687</v>
      </c>
      <c r="L153" s="351" t="s">
        <v>469</v>
      </c>
      <c r="M153" s="316" t="s">
        <v>688</v>
      </c>
      <c r="N153" s="379">
        <v>2015</v>
      </c>
      <c r="O153" s="379"/>
      <c r="P153" s="351" t="s">
        <v>725</v>
      </c>
      <c r="Q153" s="351" t="s">
        <v>726</v>
      </c>
      <c r="R153" s="377">
        <v>1</v>
      </c>
      <c r="S153" s="408">
        <v>2105000</v>
      </c>
      <c r="T153" s="407">
        <v>229360800</v>
      </c>
      <c r="U153" s="313">
        <f t="shared" si="106"/>
        <v>3822680</v>
      </c>
      <c r="V153" s="316">
        <v>60</v>
      </c>
      <c r="W153" s="315">
        <v>60</v>
      </c>
      <c r="X153" s="314">
        <f t="shared" si="107"/>
        <v>0</v>
      </c>
      <c r="Y153" s="314">
        <f t="shared" si="108"/>
        <v>60</v>
      </c>
      <c r="Z153" s="317">
        <f t="shared" si="104"/>
        <v>0</v>
      </c>
      <c r="AA153" s="318">
        <v>229360800</v>
      </c>
      <c r="AB153" s="318">
        <v>0</v>
      </c>
      <c r="AC153" s="318">
        <f t="shared" si="105"/>
        <v>0</v>
      </c>
      <c r="AD153" s="318"/>
      <c r="AE153" s="318"/>
      <c r="AF153" s="318"/>
      <c r="AG153" s="318"/>
      <c r="AH153" s="318"/>
      <c r="AI153" s="318"/>
      <c r="AJ153" s="318"/>
      <c r="AK153" s="318"/>
      <c r="AL153" s="318"/>
      <c r="AM153" s="318"/>
      <c r="AN153" s="318"/>
      <c r="AO153" s="318"/>
      <c r="AP153" s="318">
        <f t="shared" si="109"/>
        <v>229360800</v>
      </c>
      <c r="AQ153" s="319">
        <f t="shared" si="110"/>
        <v>0</v>
      </c>
      <c r="AR153" s="320"/>
      <c r="AS153" s="320"/>
      <c r="AT153" s="365"/>
      <c r="AU153" s="322"/>
      <c r="AV153" s="146" t="s">
        <v>1236</v>
      </c>
      <c r="AW153" s="146">
        <f>IFERROR(VLOOKUP(G153,'[70]Detail Deprec_202508'!$D$33:$I$357,6,FALSE),0)</f>
        <v>0</v>
      </c>
      <c r="AX153" s="146">
        <f t="shared" si="103"/>
        <v>0</v>
      </c>
    </row>
    <row r="154" spans="1:50" ht="12.9" customHeight="1" outlineLevel="1">
      <c r="A154" s="324">
        <f t="shared" si="86"/>
        <v>129</v>
      </c>
      <c r="B154" s="306" t="s">
        <v>142</v>
      </c>
      <c r="C154" s="344" t="s">
        <v>143</v>
      </c>
      <c r="D154" s="382">
        <v>155</v>
      </c>
      <c r="E154" s="382" t="s">
        <v>1707</v>
      </c>
      <c r="F154" s="336" t="s">
        <v>727</v>
      </c>
      <c r="G154" s="336" t="s">
        <v>728</v>
      </c>
      <c r="H154" s="383">
        <v>42276</v>
      </c>
      <c r="I154" s="392" t="s">
        <v>11</v>
      </c>
      <c r="J154" s="390" t="s">
        <v>680</v>
      </c>
      <c r="K154" s="351" t="s">
        <v>729</v>
      </c>
      <c r="L154" s="351" t="s">
        <v>469</v>
      </c>
      <c r="M154" s="316" t="s">
        <v>470</v>
      </c>
      <c r="N154" s="379">
        <v>2015</v>
      </c>
      <c r="O154" s="379"/>
      <c r="P154" s="351" t="s">
        <v>730</v>
      </c>
      <c r="Q154" s="351" t="s">
        <v>731</v>
      </c>
      <c r="R154" s="377">
        <v>1</v>
      </c>
      <c r="S154" s="408">
        <v>2635000</v>
      </c>
      <c r="T154" s="407">
        <v>287109600</v>
      </c>
      <c r="U154" s="313">
        <f t="shared" si="106"/>
        <v>4785160</v>
      </c>
      <c r="V154" s="316">
        <v>60</v>
      </c>
      <c r="W154" s="315">
        <v>60</v>
      </c>
      <c r="X154" s="314">
        <f t="shared" si="107"/>
        <v>0</v>
      </c>
      <c r="Y154" s="314">
        <f t="shared" si="108"/>
        <v>60</v>
      </c>
      <c r="Z154" s="317">
        <f t="shared" si="104"/>
        <v>0</v>
      </c>
      <c r="AA154" s="318">
        <v>287109600</v>
      </c>
      <c r="AB154" s="318">
        <v>0</v>
      </c>
      <c r="AC154" s="318">
        <f t="shared" si="105"/>
        <v>0</v>
      </c>
      <c r="AD154" s="318"/>
      <c r="AE154" s="318"/>
      <c r="AF154" s="318"/>
      <c r="AG154" s="318"/>
      <c r="AH154" s="318"/>
      <c r="AI154" s="318"/>
      <c r="AJ154" s="318"/>
      <c r="AK154" s="318"/>
      <c r="AL154" s="318"/>
      <c r="AM154" s="318"/>
      <c r="AN154" s="318"/>
      <c r="AO154" s="318"/>
      <c r="AP154" s="318">
        <f t="shared" si="109"/>
        <v>287109600</v>
      </c>
      <c r="AQ154" s="319">
        <f t="shared" si="110"/>
        <v>0</v>
      </c>
      <c r="AR154" s="320"/>
      <c r="AS154" s="320"/>
      <c r="AT154" s="365"/>
      <c r="AU154" s="322"/>
      <c r="AV154" s="146" t="s">
        <v>1236</v>
      </c>
      <c r="AW154" s="146">
        <f>IFERROR(VLOOKUP(G154,'[70]Detail Deprec_202508'!$D$33:$I$357,6,FALSE),0)</f>
        <v>0</v>
      </c>
      <c r="AX154" s="146">
        <f t="shared" si="103"/>
        <v>0</v>
      </c>
    </row>
    <row r="155" spans="1:50" ht="12.9" customHeight="1" outlineLevel="1">
      <c r="A155" s="324">
        <f t="shared" si="86"/>
        <v>130</v>
      </c>
      <c r="B155" s="306" t="s">
        <v>142</v>
      </c>
      <c r="C155" s="344" t="s">
        <v>143</v>
      </c>
      <c r="D155" s="382">
        <v>155</v>
      </c>
      <c r="E155" s="382" t="s">
        <v>1707</v>
      </c>
      <c r="F155" s="336" t="s">
        <v>732</v>
      </c>
      <c r="G155" s="336" t="s">
        <v>733</v>
      </c>
      <c r="H155" s="383">
        <v>42276</v>
      </c>
      <c r="I155" s="392" t="s">
        <v>11</v>
      </c>
      <c r="J155" s="390" t="s">
        <v>680</v>
      </c>
      <c r="K155" s="351" t="s">
        <v>729</v>
      </c>
      <c r="L155" s="351" t="s">
        <v>469</v>
      </c>
      <c r="M155" s="316" t="s">
        <v>470</v>
      </c>
      <c r="N155" s="379">
        <v>2015</v>
      </c>
      <c r="O155" s="379"/>
      <c r="P155" s="351" t="s">
        <v>734</v>
      </c>
      <c r="Q155" s="351" t="s">
        <v>735</v>
      </c>
      <c r="R155" s="377">
        <v>1</v>
      </c>
      <c r="S155" s="408">
        <v>2635000</v>
      </c>
      <c r="T155" s="407">
        <v>287109600</v>
      </c>
      <c r="U155" s="313">
        <f t="shared" si="106"/>
        <v>4785160</v>
      </c>
      <c r="V155" s="316">
        <v>60</v>
      </c>
      <c r="W155" s="315">
        <v>60</v>
      </c>
      <c r="X155" s="314">
        <f t="shared" si="107"/>
        <v>0</v>
      </c>
      <c r="Y155" s="314">
        <f t="shared" si="108"/>
        <v>60</v>
      </c>
      <c r="Z155" s="317">
        <f t="shared" si="104"/>
        <v>0</v>
      </c>
      <c r="AA155" s="318">
        <v>287109600</v>
      </c>
      <c r="AB155" s="318">
        <v>0</v>
      </c>
      <c r="AC155" s="318">
        <f t="shared" si="105"/>
        <v>0</v>
      </c>
      <c r="AD155" s="318"/>
      <c r="AE155" s="318"/>
      <c r="AF155" s="318"/>
      <c r="AG155" s="318"/>
      <c r="AH155" s="318"/>
      <c r="AI155" s="318"/>
      <c r="AJ155" s="318"/>
      <c r="AK155" s="318"/>
      <c r="AL155" s="318"/>
      <c r="AM155" s="318"/>
      <c r="AN155" s="318"/>
      <c r="AO155" s="318"/>
      <c r="AP155" s="318">
        <f t="shared" si="109"/>
        <v>287109600</v>
      </c>
      <c r="AQ155" s="319">
        <f t="shared" si="110"/>
        <v>0</v>
      </c>
      <c r="AR155" s="320"/>
      <c r="AS155" s="320"/>
      <c r="AT155" s="365"/>
      <c r="AU155" s="322"/>
      <c r="AV155" s="146" t="s">
        <v>1236</v>
      </c>
      <c r="AW155" s="146">
        <f>IFERROR(VLOOKUP(G155,'[70]Detail Deprec_202508'!$D$33:$I$357,6,FALSE),0)</f>
        <v>0</v>
      </c>
      <c r="AX155" s="146">
        <f t="shared" si="103"/>
        <v>0</v>
      </c>
    </row>
    <row r="156" spans="1:50" ht="12.9" customHeight="1" outlineLevel="1">
      <c r="A156" s="324">
        <f t="shared" si="86"/>
        <v>131</v>
      </c>
      <c r="B156" s="306" t="s">
        <v>142</v>
      </c>
      <c r="C156" s="344" t="s">
        <v>143</v>
      </c>
      <c r="D156" s="382">
        <v>155</v>
      </c>
      <c r="E156" s="382" t="s">
        <v>1707</v>
      </c>
      <c r="F156" s="336" t="s">
        <v>736</v>
      </c>
      <c r="G156" s="336" t="s">
        <v>737</v>
      </c>
      <c r="H156" s="383">
        <v>42276</v>
      </c>
      <c r="I156" s="392" t="s">
        <v>11</v>
      </c>
      <c r="J156" s="390" t="s">
        <v>680</v>
      </c>
      <c r="K156" s="351" t="s">
        <v>729</v>
      </c>
      <c r="L156" s="351" t="s">
        <v>469</v>
      </c>
      <c r="M156" s="316" t="s">
        <v>470</v>
      </c>
      <c r="N156" s="379">
        <v>2015</v>
      </c>
      <c r="O156" s="379"/>
      <c r="P156" s="351" t="s">
        <v>738</v>
      </c>
      <c r="Q156" s="351" t="s">
        <v>739</v>
      </c>
      <c r="R156" s="377">
        <v>1</v>
      </c>
      <c r="S156" s="408">
        <v>2635000</v>
      </c>
      <c r="T156" s="407">
        <v>287109600</v>
      </c>
      <c r="U156" s="313">
        <f t="shared" si="106"/>
        <v>4785160</v>
      </c>
      <c r="V156" s="316">
        <v>60</v>
      </c>
      <c r="W156" s="315">
        <v>60</v>
      </c>
      <c r="X156" s="314">
        <f t="shared" si="107"/>
        <v>0</v>
      </c>
      <c r="Y156" s="314">
        <f t="shared" si="108"/>
        <v>60</v>
      </c>
      <c r="Z156" s="317">
        <f t="shared" si="104"/>
        <v>0</v>
      </c>
      <c r="AA156" s="318">
        <v>287109600</v>
      </c>
      <c r="AB156" s="318">
        <v>0</v>
      </c>
      <c r="AC156" s="318">
        <f t="shared" si="105"/>
        <v>0</v>
      </c>
      <c r="AD156" s="318"/>
      <c r="AE156" s="318"/>
      <c r="AF156" s="318"/>
      <c r="AG156" s="318"/>
      <c r="AH156" s="318"/>
      <c r="AI156" s="318"/>
      <c r="AJ156" s="318"/>
      <c r="AK156" s="318"/>
      <c r="AL156" s="318"/>
      <c r="AM156" s="318"/>
      <c r="AN156" s="318"/>
      <c r="AO156" s="318"/>
      <c r="AP156" s="318">
        <f t="shared" si="109"/>
        <v>287109600</v>
      </c>
      <c r="AQ156" s="319">
        <f t="shared" si="110"/>
        <v>0</v>
      </c>
      <c r="AR156" s="320"/>
      <c r="AS156" s="320"/>
      <c r="AT156" s="365"/>
      <c r="AU156" s="322"/>
      <c r="AV156" s="146" t="s">
        <v>1236</v>
      </c>
      <c r="AW156" s="146">
        <f>IFERROR(VLOOKUP(G156,'[70]Detail Deprec_202508'!$D$33:$I$357,6,FALSE),0)</f>
        <v>0</v>
      </c>
      <c r="AX156" s="146">
        <f t="shared" si="103"/>
        <v>0</v>
      </c>
    </row>
    <row r="157" spans="1:50" ht="12.9" customHeight="1" outlineLevel="1">
      <c r="A157" s="324">
        <f t="shared" si="86"/>
        <v>132</v>
      </c>
      <c r="B157" s="306" t="s">
        <v>142</v>
      </c>
      <c r="C157" s="344" t="s">
        <v>143</v>
      </c>
      <c r="D157" s="382">
        <v>155</v>
      </c>
      <c r="E157" s="382" t="s">
        <v>1707</v>
      </c>
      <c r="F157" s="336" t="s">
        <v>740</v>
      </c>
      <c r="G157" s="336" t="s">
        <v>741</v>
      </c>
      <c r="H157" s="383">
        <v>42276</v>
      </c>
      <c r="I157" s="392" t="s">
        <v>11</v>
      </c>
      <c r="J157" s="390" t="s">
        <v>680</v>
      </c>
      <c r="K157" s="351" t="s">
        <v>729</v>
      </c>
      <c r="L157" s="351" t="s">
        <v>469</v>
      </c>
      <c r="M157" s="316" t="s">
        <v>470</v>
      </c>
      <c r="N157" s="379">
        <v>2015</v>
      </c>
      <c r="O157" s="379"/>
      <c r="P157" s="351" t="s">
        <v>742</v>
      </c>
      <c r="Q157" s="351" t="s">
        <v>743</v>
      </c>
      <c r="R157" s="377">
        <v>1</v>
      </c>
      <c r="S157" s="408">
        <v>2635000</v>
      </c>
      <c r="T157" s="407">
        <v>287109600</v>
      </c>
      <c r="U157" s="313">
        <f t="shared" si="106"/>
        <v>4785160</v>
      </c>
      <c r="V157" s="316">
        <v>60</v>
      </c>
      <c r="W157" s="315">
        <v>60</v>
      </c>
      <c r="X157" s="314">
        <f t="shared" si="107"/>
        <v>0</v>
      </c>
      <c r="Y157" s="314">
        <f t="shared" si="108"/>
        <v>60</v>
      </c>
      <c r="Z157" s="317">
        <f t="shared" ref="Z157:Z162" si="111">+V157-Y157</f>
        <v>0</v>
      </c>
      <c r="AA157" s="318">
        <v>287109600</v>
      </c>
      <c r="AB157" s="318">
        <v>0</v>
      </c>
      <c r="AC157" s="318">
        <f t="shared" si="105"/>
        <v>0</v>
      </c>
      <c r="AD157" s="318"/>
      <c r="AE157" s="318"/>
      <c r="AF157" s="318"/>
      <c r="AG157" s="318"/>
      <c r="AH157" s="318"/>
      <c r="AI157" s="318"/>
      <c r="AJ157" s="318"/>
      <c r="AK157" s="318"/>
      <c r="AL157" s="318"/>
      <c r="AM157" s="318"/>
      <c r="AN157" s="318"/>
      <c r="AO157" s="318"/>
      <c r="AP157" s="318">
        <f t="shared" si="109"/>
        <v>287109600</v>
      </c>
      <c r="AQ157" s="319">
        <f t="shared" si="110"/>
        <v>0</v>
      </c>
      <c r="AR157" s="320"/>
      <c r="AS157" s="320"/>
      <c r="AT157" s="365"/>
      <c r="AU157" s="322"/>
      <c r="AV157" s="146" t="s">
        <v>1236</v>
      </c>
      <c r="AW157" s="146">
        <f>IFERROR(VLOOKUP(G157,'[70]Detail Deprec_202508'!$D$33:$I$357,6,FALSE),0)</f>
        <v>0</v>
      </c>
      <c r="AX157" s="146">
        <f t="shared" si="103"/>
        <v>0</v>
      </c>
    </row>
    <row r="158" spans="1:50" ht="12.9" customHeight="1" outlineLevel="1">
      <c r="A158" s="324">
        <f t="shared" si="86"/>
        <v>133</v>
      </c>
      <c r="B158" s="306" t="s">
        <v>142</v>
      </c>
      <c r="C158" s="344" t="s">
        <v>143</v>
      </c>
      <c r="D158" s="382">
        <v>155</v>
      </c>
      <c r="E158" s="382" t="s">
        <v>1707</v>
      </c>
      <c r="F158" s="336" t="s">
        <v>744</v>
      </c>
      <c r="G158" s="336" t="s">
        <v>745</v>
      </c>
      <c r="H158" s="383">
        <v>42276</v>
      </c>
      <c r="I158" s="392" t="s">
        <v>11</v>
      </c>
      <c r="J158" s="390" t="s">
        <v>680</v>
      </c>
      <c r="K158" s="351" t="s">
        <v>729</v>
      </c>
      <c r="L158" s="351" t="s">
        <v>469</v>
      </c>
      <c r="M158" s="316" t="s">
        <v>470</v>
      </c>
      <c r="N158" s="379">
        <v>2015</v>
      </c>
      <c r="O158" s="379"/>
      <c r="P158" s="351" t="s">
        <v>746</v>
      </c>
      <c r="Q158" s="351" t="s">
        <v>747</v>
      </c>
      <c r="R158" s="377">
        <v>1</v>
      </c>
      <c r="S158" s="408">
        <v>2635000</v>
      </c>
      <c r="T158" s="407">
        <v>287109600</v>
      </c>
      <c r="U158" s="313">
        <f t="shared" si="106"/>
        <v>4785160</v>
      </c>
      <c r="V158" s="316">
        <v>60</v>
      </c>
      <c r="W158" s="315">
        <v>60</v>
      </c>
      <c r="X158" s="314">
        <f t="shared" si="107"/>
        <v>0</v>
      </c>
      <c r="Y158" s="314">
        <f t="shared" si="108"/>
        <v>60</v>
      </c>
      <c r="Z158" s="317">
        <f t="shared" si="111"/>
        <v>0</v>
      </c>
      <c r="AA158" s="318">
        <v>287109600</v>
      </c>
      <c r="AB158" s="318">
        <v>0</v>
      </c>
      <c r="AC158" s="318">
        <f t="shared" si="105"/>
        <v>0</v>
      </c>
      <c r="AD158" s="318"/>
      <c r="AE158" s="318"/>
      <c r="AF158" s="318"/>
      <c r="AG158" s="318"/>
      <c r="AH158" s="318"/>
      <c r="AI158" s="318"/>
      <c r="AJ158" s="318"/>
      <c r="AK158" s="318"/>
      <c r="AL158" s="318"/>
      <c r="AM158" s="318"/>
      <c r="AN158" s="318"/>
      <c r="AO158" s="318"/>
      <c r="AP158" s="318">
        <f t="shared" si="109"/>
        <v>287109600</v>
      </c>
      <c r="AQ158" s="319">
        <f t="shared" si="110"/>
        <v>0</v>
      </c>
      <c r="AR158" s="320"/>
      <c r="AS158" s="320"/>
      <c r="AT158" s="365"/>
      <c r="AU158" s="322"/>
      <c r="AV158" s="146" t="s">
        <v>1236</v>
      </c>
      <c r="AW158" s="146">
        <f>IFERROR(VLOOKUP(G158,'[70]Detail Deprec_202508'!$D$33:$I$357,6,FALSE),0)</f>
        <v>0</v>
      </c>
      <c r="AX158" s="146">
        <f t="shared" si="103"/>
        <v>0</v>
      </c>
    </row>
    <row r="159" spans="1:50" ht="12.9" customHeight="1" outlineLevel="1">
      <c r="A159" s="324">
        <f t="shared" si="86"/>
        <v>134</v>
      </c>
      <c r="B159" s="306" t="s">
        <v>142</v>
      </c>
      <c r="C159" s="344" t="s">
        <v>474</v>
      </c>
      <c r="D159" s="382">
        <v>155</v>
      </c>
      <c r="E159" s="382" t="s">
        <v>1711</v>
      </c>
      <c r="F159" s="336" t="s">
        <v>750</v>
      </c>
      <c r="G159" s="336" t="s">
        <v>751</v>
      </c>
      <c r="H159" s="383">
        <v>42321</v>
      </c>
      <c r="I159" s="392" t="s">
        <v>11</v>
      </c>
      <c r="J159" s="390" t="s">
        <v>651</v>
      </c>
      <c r="K159" s="351" t="s">
        <v>298</v>
      </c>
      <c r="L159" s="351" t="s">
        <v>748</v>
      </c>
      <c r="M159" s="379" t="s">
        <v>297</v>
      </c>
      <c r="N159" s="379">
        <v>2015</v>
      </c>
      <c r="O159" s="379"/>
      <c r="P159" s="351"/>
      <c r="Q159" s="351"/>
      <c r="R159" s="377">
        <v>1</v>
      </c>
      <c r="S159" s="400"/>
      <c r="T159" s="407">
        <v>235000000</v>
      </c>
      <c r="U159" s="313">
        <f t="shared" si="106"/>
        <v>3916666.6666666665</v>
      </c>
      <c r="V159" s="316">
        <v>60</v>
      </c>
      <c r="W159" s="315">
        <v>59.999999999999993</v>
      </c>
      <c r="X159" s="314">
        <f t="shared" si="107"/>
        <v>0</v>
      </c>
      <c r="Y159" s="314">
        <f t="shared" si="108"/>
        <v>59.999999999999993</v>
      </c>
      <c r="Z159" s="317">
        <f t="shared" si="111"/>
        <v>0</v>
      </c>
      <c r="AA159" s="318">
        <v>234999999.99999997</v>
      </c>
      <c r="AB159" s="318">
        <v>2.9802322387695313E-8</v>
      </c>
      <c r="AC159" s="318">
        <f t="shared" si="105"/>
        <v>0</v>
      </c>
      <c r="AD159" s="318"/>
      <c r="AE159" s="318"/>
      <c r="AF159" s="318"/>
      <c r="AG159" s="318"/>
      <c r="AH159" s="318"/>
      <c r="AI159" s="318"/>
      <c r="AJ159" s="318"/>
      <c r="AK159" s="318"/>
      <c r="AL159" s="318"/>
      <c r="AM159" s="318"/>
      <c r="AN159" s="318"/>
      <c r="AO159" s="318"/>
      <c r="AP159" s="318">
        <f t="shared" si="109"/>
        <v>234999999.99999997</v>
      </c>
      <c r="AQ159" s="319">
        <f t="shared" si="110"/>
        <v>2.9802322387695313E-8</v>
      </c>
      <c r="AR159" s="320"/>
      <c r="AS159" s="320"/>
      <c r="AT159" s="365"/>
      <c r="AU159" s="322"/>
      <c r="AV159" s="146" t="s">
        <v>1236</v>
      </c>
      <c r="AW159" s="146">
        <f>IFERROR(VLOOKUP(G159,'[71]Detail Deprec_202501'!$D$246:$I$393,6,FALSE),0)</f>
        <v>0</v>
      </c>
      <c r="AX159" s="501">
        <f t="shared" si="103"/>
        <v>0</v>
      </c>
    </row>
    <row r="160" spans="1:50" ht="12.9" customHeight="1" outlineLevel="1">
      <c r="A160" s="324">
        <f t="shared" si="86"/>
        <v>135</v>
      </c>
      <c r="B160" s="306" t="s">
        <v>142</v>
      </c>
      <c r="C160" s="344" t="s">
        <v>474</v>
      </c>
      <c r="D160" s="382">
        <v>155</v>
      </c>
      <c r="E160" s="382" t="s">
        <v>1711</v>
      </c>
      <c r="F160" s="336" t="s">
        <v>752</v>
      </c>
      <c r="G160" s="336" t="s">
        <v>753</v>
      </c>
      <c r="H160" s="383">
        <v>42321</v>
      </c>
      <c r="I160" s="392" t="s">
        <v>11</v>
      </c>
      <c r="J160" s="390" t="s">
        <v>749</v>
      </c>
      <c r="K160" s="351" t="s">
        <v>298</v>
      </c>
      <c r="L160" s="351" t="s">
        <v>748</v>
      </c>
      <c r="M160" s="379" t="s">
        <v>297</v>
      </c>
      <c r="N160" s="379">
        <v>2015</v>
      </c>
      <c r="O160" s="379"/>
      <c r="P160" s="351"/>
      <c r="Q160" s="351"/>
      <c r="R160" s="377">
        <v>1</v>
      </c>
      <c r="S160" s="400"/>
      <c r="T160" s="407">
        <v>235000000</v>
      </c>
      <c r="U160" s="313">
        <f t="shared" si="106"/>
        <v>3916666.6666666665</v>
      </c>
      <c r="V160" s="316">
        <v>60</v>
      </c>
      <c r="W160" s="315">
        <v>59.999999999999993</v>
      </c>
      <c r="X160" s="314">
        <f t="shared" si="107"/>
        <v>0</v>
      </c>
      <c r="Y160" s="314">
        <f t="shared" si="108"/>
        <v>59.999999999999993</v>
      </c>
      <c r="Z160" s="317">
        <f t="shared" si="111"/>
        <v>0</v>
      </c>
      <c r="AA160" s="318">
        <v>234999999.99999997</v>
      </c>
      <c r="AB160" s="318">
        <v>2.9802322387695313E-8</v>
      </c>
      <c r="AC160" s="318">
        <f t="shared" si="105"/>
        <v>0</v>
      </c>
      <c r="AD160" s="318"/>
      <c r="AE160" s="318"/>
      <c r="AF160" s="318"/>
      <c r="AG160" s="318"/>
      <c r="AH160" s="318"/>
      <c r="AI160" s="318"/>
      <c r="AJ160" s="318"/>
      <c r="AK160" s="318"/>
      <c r="AL160" s="318"/>
      <c r="AM160" s="318"/>
      <c r="AN160" s="318"/>
      <c r="AO160" s="318"/>
      <c r="AP160" s="318">
        <f t="shared" si="109"/>
        <v>234999999.99999997</v>
      </c>
      <c r="AQ160" s="319">
        <f t="shared" si="110"/>
        <v>2.9802322387695313E-8</v>
      </c>
      <c r="AR160" s="320"/>
      <c r="AS160" s="320"/>
      <c r="AT160" s="365"/>
      <c r="AU160" s="322"/>
      <c r="AV160" s="146" t="s">
        <v>1236</v>
      </c>
      <c r="AW160" s="146">
        <f>IFERROR(VLOOKUP(G160,'[71]Detail Deprec_202501'!$D$246:$I$393,6,FALSE),0)</f>
        <v>0</v>
      </c>
      <c r="AX160" s="501">
        <f t="shared" si="103"/>
        <v>0</v>
      </c>
    </row>
    <row r="161" spans="1:50" ht="12.9" customHeight="1" outlineLevel="1">
      <c r="A161" s="324">
        <f t="shared" si="86"/>
        <v>136</v>
      </c>
      <c r="B161" s="306" t="s">
        <v>142</v>
      </c>
      <c r="C161" s="344" t="s">
        <v>474</v>
      </c>
      <c r="D161" s="382">
        <v>155</v>
      </c>
      <c r="E161" s="382" t="s">
        <v>1711</v>
      </c>
      <c r="F161" s="336" t="s">
        <v>754</v>
      </c>
      <c r="G161" s="336" t="s">
        <v>755</v>
      </c>
      <c r="H161" s="383">
        <v>42321</v>
      </c>
      <c r="I161" s="392" t="s">
        <v>11</v>
      </c>
      <c r="J161" s="390" t="s">
        <v>749</v>
      </c>
      <c r="K161" s="351" t="s">
        <v>298</v>
      </c>
      <c r="L161" s="351" t="s">
        <v>748</v>
      </c>
      <c r="M161" s="379" t="s">
        <v>297</v>
      </c>
      <c r="N161" s="379">
        <v>2015</v>
      </c>
      <c r="O161" s="379"/>
      <c r="P161" s="351"/>
      <c r="Q161" s="351"/>
      <c r="R161" s="377">
        <v>1</v>
      </c>
      <c r="S161" s="400"/>
      <c r="T161" s="407">
        <v>235000000</v>
      </c>
      <c r="U161" s="313">
        <f t="shared" si="106"/>
        <v>3916666.6666666665</v>
      </c>
      <c r="V161" s="316">
        <v>60</v>
      </c>
      <c r="W161" s="315">
        <v>59.999999999999993</v>
      </c>
      <c r="X161" s="314">
        <f t="shared" si="107"/>
        <v>0</v>
      </c>
      <c r="Y161" s="314">
        <f t="shared" si="108"/>
        <v>59.999999999999993</v>
      </c>
      <c r="Z161" s="317">
        <f t="shared" si="111"/>
        <v>0</v>
      </c>
      <c r="AA161" s="318">
        <v>234999999.99999997</v>
      </c>
      <c r="AB161" s="318">
        <v>2.9802322387695313E-8</v>
      </c>
      <c r="AC161" s="318">
        <f t="shared" si="105"/>
        <v>0</v>
      </c>
      <c r="AD161" s="318"/>
      <c r="AE161" s="318"/>
      <c r="AF161" s="318"/>
      <c r="AG161" s="318"/>
      <c r="AH161" s="318"/>
      <c r="AI161" s="318"/>
      <c r="AJ161" s="318"/>
      <c r="AK161" s="318"/>
      <c r="AL161" s="318"/>
      <c r="AM161" s="318"/>
      <c r="AN161" s="318"/>
      <c r="AO161" s="318"/>
      <c r="AP161" s="318">
        <f t="shared" si="109"/>
        <v>234999999.99999997</v>
      </c>
      <c r="AQ161" s="319">
        <f t="shared" si="110"/>
        <v>2.9802322387695313E-8</v>
      </c>
      <c r="AR161" s="320"/>
      <c r="AS161" s="320"/>
      <c r="AT161" s="365"/>
      <c r="AU161" s="322"/>
      <c r="AV161" s="146" t="s">
        <v>1236</v>
      </c>
      <c r="AW161" s="146">
        <f>IFERROR(VLOOKUP(G161,'[71]Detail Deprec_202501'!$D$246:$I$393,6,FALSE),0)</f>
        <v>0</v>
      </c>
      <c r="AX161" s="501">
        <f t="shared" si="103"/>
        <v>0</v>
      </c>
    </row>
    <row r="162" spans="1:50" ht="12.9" customHeight="1" outlineLevel="1">
      <c r="A162" s="324">
        <f t="shared" si="86"/>
        <v>137</v>
      </c>
      <c r="B162" s="306" t="s">
        <v>142</v>
      </c>
      <c r="C162" s="344" t="s">
        <v>474</v>
      </c>
      <c r="D162" s="382">
        <v>155</v>
      </c>
      <c r="E162" s="382" t="s">
        <v>1711</v>
      </c>
      <c r="F162" s="336" t="s">
        <v>756</v>
      </c>
      <c r="G162" s="336" t="s">
        <v>757</v>
      </c>
      <c r="H162" s="383">
        <v>42366</v>
      </c>
      <c r="I162" s="392" t="s">
        <v>11</v>
      </c>
      <c r="J162" s="390" t="s">
        <v>669</v>
      </c>
      <c r="K162" s="351" t="s">
        <v>601</v>
      </c>
      <c r="L162" s="351" t="s">
        <v>758</v>
      </c>
      <c r="M162" s="379" t="s">
        <v>759</v>
      </c>
      <c r="N162" s="379">
        <v>2015</v>
      </c>
      <c r="O162" s="379" t="s">
        <v>760</v>
      </c>
      <c r="P162" s="351" t="s">
        <v>761</v>
      </c>
      <c r="Q162" s="351" t="s">
        <v>762</v>
      </c>
      <c r="R162" s="377">
        <v>1</v>
      </c>
      <c r="S162" s="401"/>
      <c r="T162" s="407">
        <v>905181818</v>
      </c>
      <c r="U162" s="313">
        <f t="shared" si="106"/>
        <v>15086363.633333333</v>
      </c>
      <c r="V162" s="316">
        <v>60</v>
      </c>
      <c r="W162" s="315">
        <v>59.999999999999979</v>
      </c>
      <c r="X162" s="314">
        <f t="shared" si="107"/>
        <v>0</v>
      </c>
      <c r="Y162" s="314">
        <f t="shared" si="108"/>
        <v>59.999999999999979</v>
      </c>
      <c r="Z162" s="317">
        <f t="shared" si="111"/>
        <v>0</v>
      </c>
      <c r="AA162" s="318">
        <v>905181817.99999964</v>
      </c>
      <c r="AB162" s="318">
        <v>3.5762786865234375E-7</v>
      </c>
      <c r="AC162" s="318">
        <f t="shared" si="105"/>
        <v>0</v>
      </c>
      <c r="AD162" s="318"/>
      <c r="AE162" s="318"/>
      <c r="AF162" s="318"/>
      <c r="AG162" s="318"/>
      <c r="AH162" s="318"/>
      <c r="AI162" s="318"/>
      <c r="AJ162" s="318"/>
      <c r="AK162" s="318"/>
      <c r="AL162" s="318"/>
      <c r="AM162" s="318"/>
      <c r="AN162" s="318"/>
      <c r="AO162" s="318"/>
      <c r="AP162" s="318">
        <f t="shared" si="109"/>
        <v>905181817.99999964</v>
      </c>
      <c r="AQ162" s="319">
        <f t="shared" si="110"/>
        <v>3.5762786865234375E-7</v>
      </c>
      <c r="AR162" s="320"/>
      <c r="AS162" s="320"/>
      <c r="AT162" s="365"/>
      <c r="AU162" s="322"/>
      <c r="AV162" s="146" t="s">
        <v>1236</v>
      </c>
      <c r="AW162" s="146">
        <f>IFERROR(VLOOKUP(G162,'[71]Detail Deprec_202501'!$D$246:$I$393,6,FALSE),0)</f>
        <v>0</v>
      </c>
      <c r="AX162" s="501">
        <f t="shared" si="103"/>
        <v>0</v>
      </c>
    </row>
    <row r="163" spans="1:50" ht="12.9" customHeight="1" outlineLevel="1">
      <c r="A163" s="324">
        <f t="shared" si="86"/>
        <v>138</v>
      </c>
      <c r="B163" s="336" t="s">
        <v>142</v>
      </c>
      <c r="C163" s="344" t="s">
        <v>474</v>
      </c>
      <c r="D163" s="382">
        <v>155</v>
      </c>
      <c r="E163" s="382" t="s">
        <v>1711</v>
      </c>
      <c r="F163" s="336" t="s">
        <v>766</v>
      </c>
      <c r="G163" s="336" t="s">
        <v>767</v>
      </c>
      <c r="H163" s="383">
        <v>42727</v>
      </c>
      <c r="I163" s="392" t="s">
        <v>11</v>
      </c>
      <c r="J163" s="390" t="s">
        <v>152</v>
      </c>
      <c r="K163" s="351" t="s">
        <v>561</v>
      </c>
      <c r="L163" s="351" t="s">
        <v>768</v>
      </c>
      <c r="M163" s="379" t="s">
        <v>477</v>
      </c>
      <c r="N163" s="379">
        <v>2016</v>
      </c>
      <c r="O163" s="379" t="s">
        <v>769</v>
      </c>
      <c r="P163" s="351"/>
      <c r="Q163" s="351"/>
      <c r="R163" s="377">
        <v>1</v>
      </c>
      <c r="S163" s="401">
        <v>46399.199999999997</v>
      </c>
      <c r="T163" s="354">
        <v>629312349.5999999</v>
      </c>
      <c r="U163" s="313">
        <f t="shared" si="106"/>
        <v>10488539.159999998</v>
      </c>
      <c r="V163" s="316">
        <v>60</v>
      </c>
      <c r="W163" s="315">
        <v>59.999999999999993</v>
      </c>
      <c r="X163" s="314">
        <f t="shared" si="107"/>
        <v>0</v>
      </c>
      <c r="Y163" s="314">
        <f t="shared" si="108"/>
        <v>59.999999999999993</v>
      </c>
      <c r="Z163" s="317">
        <f t="shared" ref="Z163:Z181" si="112">+V163-Y163</f>
        <v>0</v>
      </c>
      <c r="AA163" s="318">
        <v>629312349.59999979</v>
      </c>
      <c r="AB163" s="318">
        <v>1.1920928955078125E-7</v>
      </c>
      <c r="AC163" s="318">
        <f t="shared" si="105"/>
        <v>0</v>
      </c>
      <c r="AD163" s="318"/>
      <c r="AE163" s="318"/>
      <c r="AF163" s="318"/>
      <c r="AG163" s="318"/>
      <c r="AH163" s="318"/>
      <c r="AI163" s="318"/>
      <c r="AJ163" s="318"/>
      <c r="AK163" s="318"/>
      <c r="AL163" s="318"/>
      <c r="AM163" s="318"/>
      <c r="AN163" s="318"/>
      <c r="AO163" s="318"/>
      <c r="AP163" s="318">
        <f t="shared" si="109"/>
        <v>629312349.59999979</v>
      </c>
      <c r="AQ163" s="319">
        <f t="shared" si="110"/>
        <v>1.1920928955078125E-7</v>
      </c>
      <c r="AR163" s="320"/>
      <c r="AS163" s="320"/>
      <c r="AT163" s="365"/>
      <c r="AU163" s="322"/>
      <c r="AV163" s="146" t="s">
        <v>1236</v>
      </c>
      <c r="AW163" s="146">
        <f>IFERROR(VLOOKUP(G163,'[71]Detail Deprec_202501'!$D$246:$I$393,6,FALSE),0)</f>
        <v>0</v>
      </c>
      <c r="AX163" s="501">
        <f t="shared" ref="AX163:AX186" si="113">AW163-AK163</f>
        <v>0</v>
      </c>
    </row>
    <row r="164" spans="1:50" ht="12.9" customHeight="1" outlineLevel="1">
      <c r="A164" s="324">
        <f t="shared" si="86"/>
        <v>139</v>
      </c>
      <c r="B164" s="336" t="s">
        <v>142</v>
      </c>
      <c r="C164" s="344" t="s">
        <v>474</v>
      </c>
      <c r="D164" s="382">
        <v>155</v>
      </c>
      <c r="E164" s="382" t="s">
        <v>1711</v>
      </c>
      <c r="F164" s="336" t="s">
        <v>770</v>
      </c>
      <c r="G164" s="336" t="s">
        <v>771</v>
      </c>
      <c r="H164" s="383">
        <v>42727</v>
      </c>
      <c r="I164" s="392" t="s">
        <v>11</v>
      </c>
      <c r="J164" s="390" t="s">
        <v>152</v>
      </c>
      <c r="K164" s="351" t="s">
        <v>561</v>
      </c>
      <c r="L164" s="351" t="s">
        <v>768</v>
      </c>
      <c r="M164" s="379" t="s">
        <v>477</v>
      </c>
      <c r="N164" s="379">
        <v>2016</v>
      </c>
      <c r="O164" s="379" t="s">
        <v>772</v>
      </c>
      <c r="P164" s="351"/>
      <c r="Q164" s="351"/>
      <c r="R164" s="377">
        <v>1</v>
      </c>
      <c r="S164" s="401">
        <v>46399.199999999997</v>
      </c>
      <c r="T164" s="354">
        <v>629312349.5999999</v>
      </c>
      <c r="U164" s="313">
        <f t="shared" si="106"/>
        <v>10488539.159999998</v>
      </c>
      <c r="V164" s="316">
        <v>60</v>
      </c>
      <c r="W164" s="315">
        <v>59.999999999999993</v>
      </c>
      <c r="X164" s="314">
        <f t="shared" si="107"/>
        <v>0</v>
      </c>
      <c r="Y164" s="314">
        <f t="shared" si="108"/>
        <v>59.999999999999993</v>
      </c>
      <c r="Z164" s="317">
        <f t="shared" si="112"/>
        <v>0</v>
      </c>
      <c r="AA164" s="318">
        <v>629312349.59999979</v>
      </c>
      <c r="AB164" s="318">
        <v>1.1920928955078125E-7</v>
      </c>
      <c r="AC164" s="318">
        <f t="shared" si="105"/>
        <v>0</v>
      </c>
      <c r="AD164" s="318"/>
      <c r="AE164" s="318"/>
      <c r="AF164" s="318"/>
      <c r="AG164" s="318"/>
      <c r="AH164" s="318"/>
      <c r="AI164" s="318"/>
      <c r="AJ164" s="318"/>
      <c r="AK164" s="318"/>
      <c r="AL164" s="318"/>
      <c r="AM164" s="318"/>
      <c r="AN164" s="318"/>
      <c r="AO164" s="318"/>
      <c r="AP164" s="318">
        <f t="shared" si="109"/>
        <v>629312349.59999979</v>
      </c>
      <c r="AQ164" s="319">
        <f t="shared" si="110"/>
        <v>1.1920928955078125E-7</v>
      </c>
      <c r="AR164" s="320"/>
      <c r="AS164" s="320"/>
      <c r="AT164" s="365"/>
      <c r="AU164" s="322"/>
      <c r="AV164" s="146" t="s">
        <v>1236</v>
      </c>
      <c r="AW164" s="146">
        <f>IFERROR(VLOOKUP(G164,'[71]Detail Deprec_202501'!$D$246:$I$393,6,FALSE),0)</f>
        <v>0</v>
      </c>
      <c r="AX164" s="501">
        <f t="shared" si="113"/>
        <v>0</v>
      </c>
    </row>
    <row r="165" spans="1:50" ht="12.9" customHeight="1" outlineLevel="1">
      <c r="A165" s="324">
        <f t="shared" si="86"/>
        <v>140</v>
      </c>
      <c r="B165" s="336" t="s">
        <v>142</v>
      </c>
      <c r="C165" s="344" t="s">
        <v>474</v>
      </c>
      <c r="D165" s="382">
        <v>155</v>
      </c>
      <c r="E165" s="382" t="s">
        <v>1711</v>
      </c>
      <c r="F165" s="336" t="s">
        <v>773</v>
      </c>
      <c r="G165" s="336" t="s">
        <v>774</v>
      </c>
      <c r="H165" s="383">
        <v>42727</v>
      </c>
      <c r="I165" s="392" t="s">
        <v>11</v>
      </c>
      <c r="J165" s="390" t="s">
        <v>152</v>
      </c>
      <c r="K165" s="351" t="s">
        <v>561</v>
      </c>
      <c r="L165" s="351" t="s">
        <v>768</v>
      </c>
      <c r="M165" s="379" t="s">
        <v>477</v>
      </c>
      <c r="N165" s="379">
        <v>2016</v>
      </c>
      <c r="O165" s="379" t="s">
        <v>775</v>
      </c>
      <c r="P165" s="351"/>
      <c r="Q165" s="351"/>
      <c r="R165" s="377">
        <v>1</v>
      </c>
      <c r="S165" s="401">
        <v>46399.199999999997</v>
      </c>
      <c r="T165" s="354">
        <v>629312349.5999999</v>
      </c>
      <c r="U165" s="313">
        <f t="shared" si="106"/>
        <v>10488539.159999998</v>
      </c>
      <c r="V165" s="316">
        <v>60</v>
      </c>
      <c r="W165" s="315">
        <v>59.999999999999993</v>
      </c>
      <c r="X165" s="314">
        <f t="shared" si="107"/>
        <v>0</v>
      </c>
      <c r="Y165" s="314">
        <f t="shared" si="108"/>
        <v>59.999999999999993</v>
      </c>
      <c r="Z165" s="317">
        <f t="shared" si="112"/>
        <v>0</v>
      </c>
      <c r="AA165" s="318">
        <v>629312349.59999979</v>
      </c>
      <c r="AB165" s="318">
        <v>1.1920928955078125E-7</v>
      </c>
      <c r="AC165" s="318">
        <f t="shared" si="105"/>
        <v>0</v>
      </c>
      <c r="AD165" s="318"/>
      <c r="AE165" s="318"/>
      <c r="AF165" s="318"/>
      <c r="AG165" s="318"/>
      <c r="AH165" s="318"/>
      <c r="AI165" s="318"/>
      <c r="AJ165" s="318"/>
      <c r="AK165" s="318"/>
      <c r="AL165" s="318"/>
      <c r="AM165" s="318"/>
      <c r="AN165" s="318"/>
      <c r="AO165" s="318"/>
      <c r="AP165" s="318">
        <f t="shared" si="109"/>
        <v>629312349.59999979</v>
      </c>
      <c r="AQ165" s="319">
        <f t="shared" si="110"/>
        <v>1.1920928955078125E-7</v>
      </c>
      <c r="AR165" s="320"/>
      <c r="AS165" s="320"/>
      <c r="AT165" s="365"/>
      <c r="AU165" s="322"/>
      <c r="AV165" s="146" t="s">
        <v>1236</v>
      </c>
      <c r="AW165" s="146">
        <f>IFERROR(VLOOKUP(G165,'[71]Detail Deprec_202501'!$D$246:$I$393,6,FALSE),0)</f>
        <v>0</v>
      </c>
      <c r="AX165" s="501">
        <f t="shared" si="113"/>
        <v>0</v>
      </c>
    </row>
    <row r="166" spans="1:50" ht="12.9" customHeight="1" outlineLevel="1">
      <c r="A166" s="324">
        <f t="shared" si="86"/>
        <v>141</v>
      </c>
      <c r="B166" s="336" t="s">
        <v>142</v>
      </c>
      <c r="C166" s="344" t="s">
        <v>474</v>
      </c>
      <c r="D166" s="382">
        <v>155</v>
      </c>
      <c r="E166" s="382" t="s">
        <v>1711</v>
      </c>
      <c r="F166" s="336" t="s">
        <v>776</v>
      </c>
      <c r="G166" s="336" t="s">
        <v>777</v>
      </c>
      <c r="H166" s="383">
        <v>42727</v>
      </c>
      <c r="I166" s="392" t="s">
        <v>11</v>
      </c>
      <c r="J166" s="390" t="s">
        <v>152</v>
      </c>
      <c r="K166" s="351" t="s">
        <v>561</v>
      </c>
      <c r="L166" s="351" t="s">
        <v>768</v>
      </c>
      <c r="M166" s="379" t="s">
        <v>477</v>
      </c>
      <c r="N166" s="379">
        <v>2016</v>
      </c>
      <c r="O166" s="379" t="s">
        <v>778</v>
      </c>
      <c r="P166" s="351"/>
      <c r="Q166" s="351"/>
      <c r="R166" s="377">
        <v>1</v>
      </c>
      <c r="S166" s="401">
        <v>46399.199999999997</v>
      </c>
      <c r="T166" s="354">
        <v>629312349.5999999</v>
      </c>
      <c r="U166" s="313">
        <f t="shared" si="106"/>
        <v>10488539.159999998</v>
      </c>
      <c r="V166" s="316">
        <v>60</v>
      </c>
      <c r="W166" s="315">
        <v>59.999999999999993</v>
      </c>
      <c r="X166" s="314">
        <f t="shared" si="107"/>
        <v>0</v>
      </c>
      <c r="Y166" s="314">
        <f t="shared" si="108"/>
        <v>59.999999999999993</v>
      </c>
      <c r="Z166" s="317">
        <f t="shared" si="112"/>
        <v>0</v>
      </c>
      <c r="AA166" s="318">
        <v>629312349.59999979</v>
      </c>
      <c r="AB166" s="318">
        <v>1.1920928955078125E-7</v>
      </c>
      <c r="AC166" s="318">
        <f t="shared" si="105"/>
        <v>0</v>
      </c>
      <c r="AD166" s="318"/>
      <c r="AE166" s="318"/>
      <c r="AF166" s="318"/>
      <c r="AG166" s="318"/>
      <c r="AH166" s="318"/>
      <c r="AI166" s="318"/>
      <c r="AJ166" s="318"/>
      <c r="AK166" s="318"/>
      <c r="AL166" s="318"/>
      <c r="AM166" s="318"/>
      <c r="AN166" s="318"/>
      <c r="AO166" s="318"/>
      <c r="AP166" s="318">
        <f t="shared" si="109"/>
        <v>629312349.59999979</v>
      </c>
      <c r="AQ166" s="319">
        <f t="shared" si="110"/>
        <v>1.1920928955078125E-7</v>
      </c>
      <c r="AR166" s="320"/>
      <c r="AS166" s="320"/>
      <c r="AT166" s="365"/>
      <c r="AU166" s="322"/>
      <c r="AV166" s="146" t="s">
        <v>1236</v>
      </c>
      <c r="AW166" s="146">
        <f>IFERROR(VLOOKUP(G166,'[71]Detail Deprec_202501'!$D$246:$I$393,6,FALSE),0)</f>
        <v>0</v>
      </c>
      <c r="AX166" s="501">
        <f t="shared" si="113"/>
        <v>0</v>
      </c>
    </row>
    <row r="167" spans="1:50" s="753" customFormat="1" ht="12.9" customHeight="1" outlineLevel="1">
      <c r="A167" s="730">
        <f t="shared" si="86"/>
        <v>142</v>
      </c>
      <c r="B167" s="764" t="s">
        <v>142</v>
      </c>
      <c r="C167" s="765" t="s">
        <v>474</v>
      </c>
      <c r="D167" s="733">
        <v>155</v>
      </c>
      <c r="E167" s="733" t="s">
        <v>1711</v>
      </c>
      <c r="F167" s="764" t="s">
        <v>779</v>
      </c>
      <c r="G167" s="764" t="s">
        <v>780</v>
      </c>
      <c r="H167" s="758">
        <v>42727</v>
      </c>
      <c r="I167" s="735" t="s">
        <v>11</v>
      </c>
      <c r="J167" s="770" t="s">
        <v>152</v>
      </c>
      <c r="K167" s="759" t="s">
        <v>561</v>
      </c>
      <c r="L167" s="759" t="s">
        <v>768</v>
      </c>
      <c r="M167" s="737" t="s">
        <v>477</v>
      </c>
      <c r="N167" s="737">
        <v>2016</v>
      </c>
      <c r="O167" s="737" t="s">
        <v>781</v>
      </c>
      <c r="P167" s="759"/>
      <c r="Q167" s="759"/>
      <c r="R167" s="761">
        <v>1</v>
      </c>
      <c r="S167" s="771">
        <v>46399.199999999997</v>
      </c>
      <c r="T167" s="763">
        <v>629312349.5999999</v>
      </c>
      <c r="U167" s="741">
        <f t="shared" si="106"/>
        <v>10488539.159999998</v>
      </c>
      <c r="V167" s="744">
        <v>60</v>
      </c>
      <c r="W167" s="743">
        <v>59.999999999999993</v>
      </c>
      <c r="X167" s="742">
        <f t="shared" si="107"/>
        <v>0</v>
      </c>
      <c r="Y167" s="742">
        <f t="shared" si="108"/>
        <v>59.999999999999993</v>
      </c>
      <c r="Z167" s="745">
        <f t="shared" si="112"/>
        <v>0</v>
      </c>
      <c r="AA167" s="746">
        <v>629312349.59999979</v>
      </c>
      <c r="AB167" s="746">
        <v>1.1920928955078125E-7</v>
      </c>
      <c r="AC167" s="746">
        <f t="shared" si="105"/>
        <v>0</v>
      </c>
      <c r="AD167" s="746"/>
      <c r="AE167" s="746"/>
      <c r="AF167" s="746"/>
      <c r="AG167" s="746"/>
      <c r="AH167" s="746"/>
      <c r="AI167" s="746"/>
      <c r="AJ167" s="746"/>
      <c r="AK167" s="746"/>
      <c r="AL167" s="746"/>
      <c r="AM167" s="746"/>
      <c r="AN167" s="746"/>
      <c r="AO167" s="746"/>
      <c r="AP167" s="746">
        <f t="shared" si="109"/>
        <v>629312349.59999979</v>
      </c>
      <c r="AQ167" s="747">
        <f t="shared" si="110"/>
        <v>0</v>
      </c>
      <c r="AR167" s="748"/>
      <c r="AS167" s="748" t="s">
        <v>39</v>
      </c>
      <c r="AT167" s="323"/>
      <c r="AU167" s="750">
        <v>45838</v>
      </c>
      <c r="AV167" s="751" t="s">
        <v>1236</v>
      </c>
      <c r="AW167" s="751">
        <f>IFERROR(VLOOKUP(G167,'[71]Detail Deprec_202501'!$D$246:$I$393,6,FALSE),0)</f>
        <v>0</v>
      </c>
      <c r="AX167" s="752">
        <f t="shared" si="113"/>
        <v>0</v>
      </c>
    </row>
    <row r="168" spans="1:50" ht="12.9" customHeight="1" outlineLevel="1">
      <c r="A168" s="324">
        <f t="shared" ref="A168:A231" si="114">+A167+1</f>
        <v>143</v>
      </c>
      <c r="B168" s="336" t="s">
        <v>142</v>
      </c>
      <c r="C168" s="344" t="s">
        <v>474</v>
      </c>
      <c r="D168" s="382">
        <v>155</v>
      </c>
      <c r="E168" s="382" t="s">
        <v>1711</v>
      </c>
      <c r="F168" s="336" t="s">
        <v>782</v>
      </c>
      <c r="G168" s="336" t="s">
        <v>783</v>
      </c>
      <c r="H168" s="383">
        <v>42727</v>
      </c>
      <c r="I168" s="392" t="s">
        <v>11</v>
      </c>
      <c r="J168" s="390" t="s">
        <v>152</v>
      </c>
      <c r="K168" s="351" t="s">
        <v>487</v>
      </c>
      <c r="L168" s="351" t="s">
        <v>768</v>
      </c>
      <c r="M168" s="379" t="s">
        <v>477</v>
      </c>
      <c r="N168" s="379">
        <v>2016</v>
      </c>
      <c r="O168" s="379" t="s">
        <v>784</v>
      </c>
      <c r="P168" s="351"/>
      <c r="Q168" s="351"/>
      <c r="R168" s="377">
        <v>1</v>
      </c>
      <c r="S168" s="401">
        <v>46399.199999999997</v>
      </c>
      <c r="T168" s="354">
        <v>629312349.5999999</v>
      </c>
      <c r="U168" s="313">
        <f t="shared" si="106"/>
        <v>10488539.159999998</v>
      </c>
      <c r="V168" s="316">
        <v>60</v>
      </c>
      <c r="W168" s="315">
        <v>59.999999999999993</v>
      </c>
      <c r="X168" s="314">
        <f t="shared" si="107"/>
        <v>0</v>
      </c>
      <c r="Y168" s="314">
        <f t="shared" si="108"/>
        <v>59.999999999999993</v>
      </c>
      <c r="Z168" s="317">
        <f t="shared" si="112"/>
        <v>0</v>
      </c>
      <c r="AA168" s="318">
        <v>629312349.59999979</v>
      </c>
      <c r="AB168" s="318">
        <v>1.1920928955078125E-7</v>
      </c>
      <c r="AC168" s="318">
        <f t="shared" si="105"/>
        <v>0</v>
      </c>
      <c r="AD168" s="318"/>
      <c r="AE168" s="318"/>
      <c r="AF168" s="318"/>
      <c r="AG168" s="318"/>
      <c r="AH168" s="318"/>
      <c r="AI168" s="318"/>
      <c r="AJ168" s="318"/>
      <c r="AK168" s="318"/>
      <c r="AL168" s="318"/>
      <c r="AM168" s="318"/>
      <c r="AN168" s="318"/>
      <c r="AO168" s="318"/>
      <c r="AP168" s="318">
        <f t="shared" si="109"/>
        <v>629312349.59999979</v>
      </c>
      <c r="AQ168" s="319">
        <f t="shared" si="110"/>
        <v>1.1920928955078125E-7</v>
      </c>
      <c r="AR168" s="320"/>
      <c r="AS168" s="320"/>
      <c r="AT168" s="365"/>
      <c r="AU168" s="322"/>
      <c r="AV168" s="146" t="s">
        <v>1236</v>
      </c>
      <c r="AW168" s="146">
        <f>IFERROR(VLOOKUP(G168,'[71]Detail Deprec_202501'!$D$246:$I$393,6,FALSE),0)</f>
        <v>0</v>
      </c>
      <c r="AX168" s="501">
        <f t="shared" si="113"/>
        <v>0</v>
      </c>
    </row>
    <row r="169" spans="1:50" ht="12.9" customHeight="1" outlineLevel="1">
      <c r="A169" s="324">
        <f t="shared" si="114"/>
        <v>144</v>
      </c>
      <c r="B169" s="336" t="s">
        <v>142</v>
      </c>
      <c r="C169" s="344" t="s">
        <v>474</v>
      </c>
      <c r="D169" s="382">
        <v>155</v>
      </c>
      <c r="E169" s="382" t="s">
        <v>1711</v>
      </c>
      <c r="F169" s="336" t="s">
        <v>785</v>
      </c>
      <c r="G169" s="336" t="s">
        <v>786</v>
      </c>
      <c r="H169" s="383">
        <v>42727</v>
      </c>
      <c r="I169" s="392" t="s">
        <v>11</v>
      </c>
      <c r="J169" s="390" t="s">
        <v>152</v>
      </c>
      <c r="K169" s="351" t="s">
        <v>487</v>
      </c>
      <c r="L169" s="351" t="s">
        <v>768</v>
      </c>
      <c r="M169" s="379" t="s">
        <v>477</v>
      </c>
      <c r="N169" s="379">
        <v>2016</v>
      </c>
      <c r="O169" s="379" t="s">
        <v>787</v>
      </c>
      <c r="P169" s="351"/>
      <c r="Q169" s="351"/>
      <c r="R169" s="377">
        <v>1</v>
      </c>
      <c r="S169" s="401">
        <v>46399.199999999997</v>
      </c>
      <c r="T169" s="354">
        <v>629312349.5999999</v>
      </c>
      <c r="U169" s="313">
        <f t="shared" si="106"/>
        <v>10488539.159999998</v>
      </c>
      <c r="V169" s="316">
        <v>60</v>
      </c>
      <c r="W169" s="315">
        <v>59.999999999999993</v>
      </c>
      <c r="X169" s="314">
        <f t="shared" si="107"/>
        <v>0</v>
      </c>
      <c r="Y169" s="314">
        <f t="shared" si="108"/>
        <v>59.999999999999993</v>
      </c>
      <c r="Z169" s="317">
        <f t="shared" si="112"/>
        <v>0</v>
      </c>
      <c r="AA169" s="318">
        <v>629312349.59999979</v>
      </c>
      <c r="AB169" s="318">
        <v>1.1920928955078125E-7</v>
      </c>
      <c r="AC169" s="318">
        <f t="shared" si="105"/>
        <v>0</v>
      </c>
      <c r="AD169" s="318"/>
      <c r="AE169" s="318"/>
      <c r="AF169" s="318"/>
      <c r="AG169" s="318"/>
      <c r="AH169" s="318"/>
      <c r="AI169" s="318"/>
      <c r="AJ169" s="318"/>
      <c r="AK169" s="318"/>
      <c r="AL169" s="318"/>
      <c r="AM169" s="318"/>
      <c r="AN169" s="318"/>
      <c r="AO169" s="318"/>
      <c r="AP169" s="318">
        <f t="shared" si="109"/>
        <v>629312349.59999979</v>
      </c>
      <c r="AQ169" s="319">
        <f t="shared" si="110"/>
        <v>1.1920928955078125E-7</v>
      </c>
      <c r="AR169" s="320"/>
      <c r="AS169" s="320"/>
      <c r="AT169" s="365"/>
      <c r="AU169" s="322"/>
      <c r="AV169" s="146" t="s">
        <v>1236</v>
      </c>
      <c r="AW169" s="146">
        <f>IFERROR(VLOOKUP(G169,'[71]Detail Deprec_202501'!$D$246:$I$393,6,FALSE),0)</f>
        <v>0</v>
      </c>
      <c r="AX169" s="501">
        <f t="shared" si="113"/>
        <v>0</v>
      </c>
    </row>
    <row r="170" spans="1:50" ht="12.9" customHeight="1" outlineLevel="1">
      <c r="A170" s="324">
        <f t="shared" si="114"/>
        <v>145</v>
      </c>
      <c r="B170" s="336" t="s">
        <v>142</v>
      </c>
      <c r="C170" s="344" t="s">
        <v>474</v>
      </c>
      <c r="D170" s="382">
        <v>155</v>
      </c>
      <c r="E170" s="382" t="s">
        <v>1711</v>
      </c>
      <c r="F170" s="336" t="s">
        <v>788</v>
      </c>
      <c r="G170" s="336" t="s">
        <v>789</v>
      </c>
      <c r="H170" s="383">
        <v>42727</v>
      </c>
      <c r="I170" s="392" t="s">
        <v>11</v>
      </c>
      <c r="J170" s="390" t="s">
        <v>152</v>
      </c>
      <c r="K170" s="351" t="s">
        <v>487</v>
      </c>
      <c r="L170" s="351" t="s">
        <v>768</v>
      </c>
      <c r="M170" s="379" t="s">
        <v>477</v>
      </c>
      <c r="N170" s="379">
        <v>2016</v>
      </c>
      <c r="O170" s="379" t="s">
        <v>790</v>
      </c>
      <c r="P170" s="351"/>
      <c r="Q170" s="351"/>
      <c r="R170" s="377">
        <v>1</v>
      </c>
      <c r="S170" s="401">
        <v>46399.199999999997</v>
      </c>
      <c r="T170" s="354">
        <v>629312349.5999999</v>
      </c>
      <c r="U170" s="313">
        <f t="shared" si="106"/>
        <v>10488539.159999998</v>
      </c>
      <c r="V170" s="316">
        <v>60</v>
      </c>
      <c r="W170" s="315">
        <v>59.999999999999993</v>
      </c>
      <c r="X170" s="314">
        <f t="shared" si="107"/>
        <v>0</v>
      </c>
      <c r="Y170" s="314">
        <f t="shared" si="108"/>
        <v>59.999999999999993</v>
      </c>
      <c r="Z170" s="317">
        <f t="shared" si="112"/>
        <v>0</v>
      </c>
      <c r="AA170" s="318">
        <v>629312349.59999979</v>
      </c>
      <c r="AB170" s="318">
        <v>1.1920928955078125E-7</v>
      </c>
      <c r="AC170" s="318">
        <f t="shared" si="105"/>
        <v>0</v>
      </c>
      <c r="AD170" s="318"/>
      <c r="AE170" s="318"/>
      <c r="AF170" s="318"/>
      <c r="AG170" s="318"/>
      <c r="AH170" s="318"/>
      <c r="AI170" s="318"/>
      <c r="AJ170" s="318"/>
      <c r="AK170" s="318"/>
      <c r="AL170" s="318"/>
      <c r="AM170" s="318"/>
      <c r="AN170" s="318"/>
      <c r="AO170" s="318"/>
      <c r="AP170" s="318">
        <f t="shared" si="109"/>
        <v>629312349.59999979</v>
      </c>
      <c r="AQ170" s="319">
        <f t="shared" si="110"/>
        <v>1.1920928955078125E-7</v>
      </c>
      <c r="AR170" s="320"/>
      <c r="AS170" s="320"/>
      <c r="AT170" s="365"/>
      <c r="AU170" s="322"/>
      <c r="AV170" s="146" t="s">
        <v>1236</v>
      </c>
      <c r="AW170" s="146">
        <f>IFERROR(VLOOKUP(G170,'[71]Detail Deprec_202501'!$D$246:$I$393,6,FALSE),0)</f>
        <v>0</v>
      </c>
      <c r="AX170" s="501">
        <f t="shared" si="113"/>
        <v>0</v>
      </c>
    </row>
    <row r="171" spans="1:50" ht="12.9" customHeight="1" outlineLevel="1">
      <c r="A171" s="324">
        <f t="shared" si="114"/>
        <v>146</v>
      </c>
      <c r="B171" s="336" t="s">
        <v>142</v>
      </c>
      <c r="C171" s="344" t="s">
        <v>474</v>
      </c>
      <c r="D171" s="382">
        <v>155</v>
      </c>
      <c r="E171" s="382" t="s">
        <v>1711</v>
      </c>
      <c r="F171" s="336" t="s">
        <v>791</v>
      </c>
      <c r="G171" s="336" t="s">
        <v>792</v>
      </c>
      <c r="H171" s="383">
        <v>42727</v>
      </c>
      <c r="I171" s="392" t="s">
        <v>11</v>
      </c>
      <c r="J171" s="390" t="s">
        <v>152</v>
      </c>
      <c r="K171" s="351" t="s">
        <v>487</v>
      </c>
      <c r="L171" s="351" t="s">
        <v>768</v>
      </c>
      <c r="M171" s="379" t="s">
        <v>477</v>
      </c>
      <c r="N171" s="379">
        <v>2016</v>
      </c>
      <c r="O171" s="379" t="s">
        <v>793</v>
      </c>
      <c r="P171" s="351"/>
      <c r="Q171" s="351"/>
      <c r="R171" s="377">
        <v>1</v>
      </c>
      <c r="S171" s="401">
        <v>46399.199999999997</v>
      </c>
      <c r="T171" s="354">
        <v>629312349.5999999</v>
      </c>
      <c r="U171" s="313">
        <f t="shared" si="106"/>
        <v>10488539.159999998</v>
      </c>
      <c r="V171" s="316">
        <v>60</v>
      </c>
      <c r="W171" s="315">
        <v>59.999999999999993</v>
      </c>
      <c r="X171" s="314">
        <f t="shared" si="107"/>
        <v>0</v>
      </c>
      <c r="Y171" s="314">
        <f t="shared" si="108"/>
        <v>59.999999999999993</v>
      </c>
      <c r="Z171" s="317">
        <f t="shared" si="112"/>
        <v>0</v>
      </c>
      <c r="AA171" s="318">
        <v>629312349.59999979</v>
      </c>
      <c r="AB171" s="318">
        <v>1.1920928955078125E-7</v>
      </c>
      <c r="AC171" s="318">
        <f t="shared" si="105"/>
        <v>0</v>
      </c>
      <c r="AD171" s="318"/>
      <c r="AE171" s="318"/>
      <c r="AF171" s="318"/>
      <c r="AG171" s="318"/>
      <c r="AH171" s="318"/>
      <c r="AI171" s="318"/>
      <c r="AJ171" s="318"/>
      <c r="AK171" s="318"/>
      <c r="AL171" s="318"/>
      <c r="AM171" s="318"/>
      <c r="AN171" s="318"/>
      <c r="AO171" s="318"/>
      <c r="AP171" s="318">
        <f t="shared" si="109"/>
        <v>629312349.59999979</v>
      </c>
      <c r="AQ171" s="319">
        <f t="shared" si="110"/>
        <v>1.1920928955078125E-7</v>
      </c>
      <c r="AR171" s="320"/>
      <c r="AS171" s="320"/>
      <c r="AT171" s="365"/>
      <c r="AU171" s="322"/>
      <c r="AV171" s="146" t="s">
        <v>1236</v>
      </c>
      <c r="AW171" s="146">
        <f>IFERROR(VLOOKUP(G171,'[71]Detail Deprec_202501'!$D$246:$I$393,6,FALSE),0)</f>
        <v>0</v>
      </c>
      <c r="AX171" s="501">
        <f t="shared" si="113"/>
        <v>0</v>
      </c>
    </row>
    <row r="172" spans="1:50" ht="12.9" customHeight="1" outlineLevel="1">
      <c r="A172" s="324">
        <f t="shared" si="114"/>
        <v>147</v>
      </c>
      <c r="B172" s="336" t="s">
        <v>142</v>
      </c>
      <c r="C172" s="344" t="s">
        <v>474</v>
      </c>
      <c r="D172" s="382">
        <v>155</v>
      </c>
      <c r="E172" s="382" t="s">
        <v>1711</v>
      </c>
      <c r="F172" s="336" t="s">
        <v>794</v>
      </c>
      <c r="G172" s="336" t="s">
        <v>795</v>
      </c>
      <c r="H172" s="383">
        <v>42727</v>
      </c>
      <c r="I172" s="392" t="s">
        <v>11</v>
      </c>
      <c r="J172" s="390" t="s">
        <v>152</v>
      </c>
      <c r="K172" s="351" t="s">
        <v>487</v>
      </c>
      <c r="L172" s="351" t="s">
        <v>768</v>
      </c>
      <c r="M172" s="379" t="s">
        <v>477</v>
      </c>
      <c r="N172" s="379">
        <v>2016</v>
      </c>
      <c r="O172" s="379" t="s">
        <v>796</v>
      </c>
      <c r="P172" s="351"/>
      <c r="Q172" s="351"/>
      <c r="R172" s="377">
        <v>1</v>
      </c>
      <c r="S172" s="401">
        <v>46399.199999999997</v>
      </c>
      <c r="T172" s="354">
        <v>629312349.5999999</v>
      </c>
      <c r="U172" s="313">
        <f t="shared" si="106"/>
        <v>10488539.159999998</v>
      </c>
      <c r="V172" s="316">
        <v>60</v>
      </c>
      <c r="W172" s="315">
        <v>59.999999999999993</v>
      </c>
      <c r="X172" s="314">
        <f t="shared" si="107"/>
        <v>0</v>
      </c>
      <c r="Y172" s="314">
        <f t="shared" si="108"/>
        <v>59.999999999999993</v>
      </c>
      <c r="Z172" s="317">
        <f t="shared" si="112"/>
        <v>0</v>
      </c>
      <c r="AA172" s="318">
        <v>629312349.59999979</v>
      </c>
      <c r="AB172" s="318">
        <v>1.1920928955078125E-7</v>
      </c>
      <c r="AC172" s="318">
        <f t="shared" si="105"/>
        <v>0</v>
      </c>
      <c r="AD172" s="318"/>
      <c r="AE172" s="318"/>
      <c r="AF172" s="318"/>
      <c r="AG172" s="318"/>
      <c r="AH172" s="318"/>
      <c r="AI172" s="318"/>
      <c r="AJ172" s="318"/>
      <c r="AK172" s="318"/>
      <c r="AL172" s="318"/>
      <c r="AM172" s="318"/>
      <c r="AN172" s="318"/>
      <c r="AO172" s="318"/>
      <c r="AP172" s="318">
        <f t="shared" si="109"/>
        <v>629312349.59999979</v>
      </c>
      <c r="AQ172" s="319">
        <f t="shared" si="110"/>
        <v>1.1920928955078125E-7</v>
      </c>
      <c r="AR172" s="320"/>
      <c r="AS172" s="320"/>
      <c r="AT172" s="365"/>
      <c r="AU172" s="322"/>
      <c r="AV172" s="146" t="s">
        <v>1236</v>
      </c>
      <c r="AW172" s="146">
        <f>IFERROR(VLOOKUP(G172,'[71]Detail Deprec_202501'!$D$246:$I$393,6,FALSE),0)</f>
        <v>0</v>
      </c>
      <c r="AX172" s="501">
        <f t="shared" si="113"/>
        <v>0</v>
      </c>
    </row>
    <row r="173" spans="1:50" ht="12.9" customHeight="1" outlineLevel="1">
      <c r="A173" s="324">
        <f t="shared" si="114"/>
        <v>148</v>
      </c>
      <c r="B173" s="336" t="s">
        <v>142</v>
      </c>
      <c r="C173" s="344" t="s">
        <v>474</v>
      </c>
      <c r="D173" s="382">
        <v>155</v>
      </c>
      <c r="E173" s="382" t="s">
        <v>1711</v>
      </c>
      <c r="F173" s="336" t="s">
        <v>797</v>
      </c>
      <c r="G173" s="336" t="s">
        <v>798</v>
      </c>
      <c r="H173" s="383">
        <v>42788</v>
      </c>
      <c r="I173" s="392" t="s">
        <v>11</v>
      </c>
      <c r="J173" s="390" t="s">
        <v>749</v>
      </c>
      <c r="K173" s="351" t="s">
        <v>298</v>
      </c>
      <c r="L173" s="351" t="s">
        <v>799</v>
      </c>
      <c r="M173" s="379" t="s">
        <v>296</v>
      </c>
      <c r="N173" s="379">
        <v>2017</v>
      </c>
      <c r="O173" s="379" t="s">
        <v>800</v>
      </c>
      <c r="P173" s="351"/>
      <c r="Q173" s="351"/>
      <c r="R173" s="377">
        <v>1</v>
      </c>
      <c r="S173" s="418"/>
      <c r="T173" s="419">
        <v>205000000</v>
      </c>
      <c r="U173" s="411">
        <f t="shared" ref="U173:U191" si="115">+T173/V173</f>
        <v>3416666.6666666665</v>
      </c>
      <c r="V173" s="316">
        <v>60</v>
      </c>
      <c r="W173" s="315">
        <v>60.000000000000014</v>
      </c>
      <c r="X173" s="412">
        <f t="shared" ref="X173:X191" si="116">+AC173/U173</f>
        <v>0</v>
      </c>
      <c r="Y173" s="412">
        <f t="shared" ref="Y173:Y191" si="117">+W173+X173</f>
        <v>60.000000000000014</v>
      </c>
      <c r="Z173" s="317">
        <f t="shared" si="112"/>
        <v>0</v>
      </c>
      <c r="AA173" s="413">
        <v>205000000.00000003</v>
      </c>
      <c r="AB173" s="413">
        <v>-2.9802322387695313E-8</v>
      </c>
      <c r="AC173" s="318">
        <f t="shared" ref="AC173:AC194" si="118">SUM(AD173:AL173)</f>
        <v>0</v>
      </c>
      <c r="AD173" s="413"/>
      <c r="AE173" s="413"/>
      <c r="AF173" s="413"/>
      <c r="AG173" s="413"/>
      <c r="AH173" s="413"/>
      <c r="AI173" s="413"/>
      <c r="AJ173" s="413"/>
      <c r="AK173" s="413"/>
      <c r="AL173" s="413"/>
      <c r="AM173" s="413"/>
      <c r="AN173" s="413"/>
      <c r="AO173" s="413"/>
      <c r="AP173" s="318">
        <f t="shared" ref="AP173:AP191" si="119">+AA173+AC173</f>
        <v>205000000.00000003</v>
      </c>
      <c r="AQ173" s="414">
        <f t="shared" ref="AQ173:AQ191" si="120">IF(AS173=$AS$24,((T173-AP173)*0),T173-AP173)</f>
        <v>-2.9802322387695313E-8</v>
      </c>
      <c r="AR173" s="415"/>
      <c r="AS173" s="415"/>
      <c r="AT173" s="416"/>
      <c r="AU173" s="405"/>
      <c r="AV173" s="146" t="s">
        <v>1236</v>
      </c>
      <c r="AW173" s="146">
        <f>IFERROR(VLOOKUP(G173,'[71]Detail Deprec_202501'!$D$246:$I$393,6,FALSE),0)</f>
        <v>0</v>
      </c>
      <c r="AX173" s="501">
        <f t="shared" si="113"/>
        <v>0</v>
      </c>
    </row>
    <row r="174" spans="1:50" ht="12.9" customHeight="1" outlineLevel="1">
      <c r="A174" s="324">
        <f t="shared" si="114"/>
        <v>149</v>
      </c>
      <c r="B174" s="336" t="s">
        <v>142</v>
      </c>
      <c r="C174" s="344" t="s">
        <v>474</v>
      </c>
      <c r="D174" s="382">
        <v>155</v>
      </c>
      <c r="E174" s="382" t="s">
        <v>1711</v>
      </c>
      <c r="F174" s="336" t="s">
        <v>801</v>
      </c>
      <c r="G174" s="336" t="s">
        <v>802</v>
      </c>
      <c r="H174" s="383">
        <v>42788</v>
      </c>
      <c r="I174" s="392" t="s">
        <v>11</v>
      </c>
      <c r="J174" s="390" t="s">
        <v>749</v>
      </c>
      <c r="K174" s="351" t="s">
        <v>298</v>
      </c>
      <c r="L174" s="351" t="s">
        <v>799</v>
      </c>
      <c r="M174" s="379" t="s">
        <v>296</v>
      </c>
      <c r="N174" s="379">
        <v>2017</v>
      </c>
      <c r="O174" s="379" t="s">
        <v>800</v>
      </c>
      <c r="P174" s="351"/>
      <c r="Q174" s="351"/>
      <c r="R174" s="377">
        <v>1</v>
      </c>
      <c r="S174" s="418"/>
      <c r="T174" s="419">
        <v>205000000</v>
      </c>
      <c r="U174" s="411">
        <f t="shared" si="115"/>
        <v>3416666.6666666665</v>
      </c>
      <c r="V174" s="316">
        <v>60</v>
      </c>
      <c r="W174" s="315">
        <v>60.000000000000014</v>
      </c>
      <c r="X174" s="412">
        <f t="shared" si="116"/>
        <v>0</v>
      </c>
      <c r="Y174" s="412">
        <f t="shared" si="117"/>
        <v>60.000000000000014</v>
      </c>
      <c r="Z174" s="317">
        <f t="shared" si="112"/>
        <v>0</v>
      </c>
      <c r="AA174" s="413">
        <v>205000000.00000003</v>
      </c>
      <c r="AB174" s="413">
        <v>-2.9802322387695313E-8</v>
      </c>
      <c r="AC174" s="318">
        <f t="shared" si="118"/>
        <v>0</v>
      </c>
      <c r="AD174" s="413"/>
      <c r="AE174" s="413"/>
      <c r="AF174" s="413"/>
      <c r="AG174" s="413"/>
      <c r="AH174" s="413"/>
      <c r="AI174" s="413"/>
      <c r="AJ174" s="413"/>
      <c r="AK174" s="413"/>
      <c r="AL174" s="413"/>
      <c r="AM174" s="413"/>
      <c r="AN174" s="413"/>
      <c r="AO174" s="413"/>
      <c r="AP174" s="318">
        <f t="shared" si="119"/>
        <v>205000000.00000003</v>
      </c>
      <c r="AQ174" s="414">
        <f t="shared" si="120"/>
        <v>-2.9802322387695313E-8</v>
      </c>
      <c r="AR174" s="415"/>
      <c r="AS174" s="415"/>
      <c r="AT174" s="416"/>
      <c r="AU174" s="405"/>
      <c r="AV174" s="146" t="s">
        <v>1236</v>
      </c>
      <c r="AW174" s="146">
        <f>IFERROR(VLOOKUP(G174,'[71]Detail Deprec_202501'!$D$246:$I$393,6,FALSE),0)</f>
        <v>0</v>
      </c>
      <c r="AX174" s="501">
        <f t="shared" si="113"/>
        <v>0</v>
      </c>
    </row>
    <row r="175" spans="1:50" ht="12.9" customHeight="1" outlineLevel="1">
      <c r="A175" s="324">
        <f t="shared" si="114"/>
        <v>150</v>
      </c>
      <c r="B175" s="336" t="s">
        <v>142</v>
      </c>
      <c r="C175" s="344" t="s">
        <v>474</v>
      </c>
      <c r="D175" s="382">
        <v>155</v>
      </c>
      <c r="E175" s="382" t="s">
        <v>1711</v>
      </c>
      <c r="F175" s="336" t="s">
        <v>803</v>
      </c>
      <c r="G175" s="336" t="s">
        <v>804</v>
      </c>
      <c r="H175" s="383">
        <v>42809</v>
      </c>
      <c r="I175" s="392" t="s">
        <v>11</v>
      </c>
      <c r="J175" s="390" t="s">
        <v>227</v>
      </c>
      <c r="K175" s="351" t="s">
        <v>601</v>
      </c>
      <c r="L175" s="351" t="s">
        <v>799</v>
      </c>
      <c r="M175" s="379" t="s">
        <v>477</v>
      </c>
      <c r="N175" s="379">
        <v>2017</v>
      </c>
      <c r="O175" s="379" t="s">
        <v>805</v>
      </c>
      <c r="P175" s="351" t="s">
        <v>806</v>
      </c>
      <c r="Q175" s="351"/>
      <c r="R175" s="377">
        <v>1</v>
      </c>
      <c r="S175" s="410"/>
      <c r="T175" s="419">
        <v>95000000</v>
      </c>
      <c r="U175" s="411">
        <f t="shared" si="115"/>
        <v>1583333.3333333333</v>
      </c>
      <c r="V175" s="316">
        <v>60</v>
      </c>
      <c r="W175" s="315">
        <v>60.000000000000014</v>
      </c>
      <c r="X175" s="412">
        <f t="shared" si="116"/>
        <v>0</v>
      </c>
      <c r="Y175" s="412">
        <f t="shared" si="117"/>
        <v>60.000000000000014</v>
      </c>
      <c r="Z175" s="317">
        <f t="shared" si="112"/>
        <v>0</v>
      </c>
      <c r="AA175" s="413">
        <v>95000000.000000015</v>
      </c>
      <c r="AB175" s="413">
        <v>-1.4901161193847656E-8</v>
      </c>
      <c r="AC175" s="318">
        <f t="shared" si="118"/>
        <v>0</v>
      </c>
      <c r="AD175" s="413"/>
      <c r="AE175" s="413"/>
      <c r="AF175" s="413"/>
      <c r="AG175" s="413"/>
      <c r="AH175" s="413"/>
      <c r="AI175" s="413"/>
      <c r="AJ175" s="413"/>
      <c r="AK175" s="413"/>
      <c r="AL175" s="413"/>
      <c r="AM175" s="413"/>
      <c r="AN175" s="413"/>
      <c r="AO175" s="413"/>
      <c r="AP175" s="318">
        <f t="shared" si="119"/>
        <v>95000000.000000015</v>
      </c>
      <c r="AQ175" s="414">
        <f t="shared" si="120"/>
        <v>-1.4901161193847656E-8</v>
      </c>
      <c r="AR175" s="415"/>
      <c r="AS175" s="415"/>
      <c r="AT175" s="416"/>
      <c r="AU175" s="405"/>
      <c r="AV175" s="146" t="s">
        <v>1236</v>
      </c>
      <c r="AW175" s="146">
        <f>IFERROR(VLOOKUP(G175,'[71]Detail Deprec_202501'!$D$246:$I$393,6,FALSE),0)</f>
        <v>0</v>
      </c>
      <c r="AX175" s="501">
        <f t="shared" si="113"/>
        <v>0</v>
      </c>
    </row>
    <row r="176" spans="1:50" ht="12.9" customHeight="1" outlineLevel="1">
      <c r="A176" s="324">
        <f t="shared" si="114"/>
        <v>151</v>
      </c>
      <c r="B176" s="336" t="s">
        <v>142</v>
      </c>
      <c r="C176" s="344" t="s">
        <v>474</v>
      </c>
      <c r="D176" s="382">
        <v>155</v>
      </c>
      <c r="E176" s="382" t="s">
        <v>1711</v>
      </c>
      <c r="F176" s="336" t="s">
        <v>807</v>
      </c>
      <c r="G176" s="336" t="s">
        <v>808</v>
      </c>
      <c r="H176" s="383">
        <v>43038</v>
      </c>
      <c r="I176" s="392" t="s">
        <v>11</v>
      </c>
      <c r="J176" s="379">
        <v>24</v>
      </c>
      <c r="K176" s="351" t="s">
        <v>809</v>
      </c>
      <c r="L176" s="351" t="s">
        <v>758</v>
      </c>
      <c r="M176" s="379" t="s">
        <v>477</v>
      </c>
      <c r="N176" s="379">
        <v>2017</v>
      </c>
      <c r="O176" s="379" t="s">
        <v>810</v>
      </c>
      <c r="P176" s="351"/>
      <c r="Q176" s="351" t="s">
        <v>811</v>
      </c>
      <c r="R176" s="377">
        <v>1</v>
      </c>
      <c r="S176" s="400"/>
      <c r="T176" s="354">
        <v>675000000</v>
      </c>
      <c r="U176" s="313">
        <f t="shared" si="115"/>
        <v>11250000</v>
      </c>
      <c r="V176" s="316">
        <v>60</v>
      </c>
      <c r="W176" s="315">
        <v>60</v>
      </c>
      <c r="X176" s="314">
        <f t="shared" si="116"/>
        <v>0</v>
      </c>
      <c r="Y176" s="314">
        <f t="shared" si="117"/>
        <v>60</v>
      </c>
      <c r="Z176" s="317">
        <f t="shared" si="112"/>
        <v>0</v>
      </c>
      <c r="AA176" s="318">
        <v>675000000</v>
      </c>
      <c r="AB176" s="318">
        <v>0</v>
      </c>
      <c r="AC176" s="318">
        <f t="shared" si="118"/>
        <v>0</v>
      </c>
      <c r="AD176" s="318"/>
      <c r="AE176" s="318"/>
      <c r="AF176" s="318"/>
      <c r="AG176" s="318"/>
      <c r="AH176" s="318"/>
      <c r="AI176" s="318"/>
      <c r="AJ176" s="318"/>
      <c r="AK176" s="318"/>
      <c r="AL176" s="318"/>
      <c r="AM176" s="318"/>
      <c r="AN176" s="318"/>
      <c r="AO176" s="318"/>
      <c r="AP176" s="318">
        <f t="shared" si="119"/>
        <v>675000000</v>
      </c>
      <c r="AQ176" s="319">
        <f t="shared" si="120"/>
        <v>0</v>
      </c>
      <c r="AR176" s="320"/>
      <c r="AS176" s="320"/>
      <c r="AT176" s="365"/>
      <c r="AU176" s="322"/>
      <c r="AV176" s="146" t="s">
        <v>1236</v>
      </c>
      <c r="AW176" s="146">
        <f>IFERROR(VLOOKUP(G176,'[71]Detail Deprec_202501'!$D$246:$I$393,6,FALSE),0)</f>
        <v>0</v>
      </c>
      <c r="AX176" s="501">
        <f t="shared" si="113"/>
        <v>0</v>
      </c>
    </row>
    <row r="177" spans="1:50" ht="12.9" customHeight="1" outlineLevel="1">
      <c r="A177" s="324">
        <f t="shared" si="114"/>
        <v>152</v>
      </c>
      <c r="B177" s="336" t="s">
        <v>142</v>
      </c>
      <c r="C177" s="344" t="s">
        <v>474</v>
      </c>
      <c r="D177" s="382">
        <v>155</v>
      </c>
      <c r="E177" s="382" t="s">
        <v>1711</v>
      </c>
      <c r="F177" s="336" t="s">
        <v>520</v>
      </c>
      <c r="G177" s="336" t="s">
        <v>812</v>
      </c>
      <c r="H177" s="383">
        <v>43038</v>
      </c>
      <c r="I177" s="392" t="s">
        <v>11</v>
      </c>
      <c r="J177" s="379">
        <v>25</v>
      </c>
      <c r="K177" s="351" t="s">
        <v>813</v>
      </c>
      <c r="L177" s="351" t="s">
        <v>814</v>
      </c>
      <c r="M177" s="379" t="s">
        <v>477</v>
      </c>
      <c r="N177" s="379">
        <v>2017</v>
      </c>
      <c r="O177" s="379" t="s">
        <v>523</v>
      </c>
      <c r="P177" s="351"/>
      <c r="Q177" s="351" t="s">
        <v>815</v>
      </c>
      <c r="R177" s="377">
        <v>1</v>
      </c>
      <c r="S177" s="400"/>
      <c r="T177" s="354">
        <v>189500000</v>
      </c>
      <c r="U177" s="313">
        <f t="shared" si="115"/>
        <v>3158333.3333333335</v>
      </c>
      <c r="V177" s="316">
        <v>60</v>
      </c>
      <c r="W177" s="315">
        <v>60</v>
      </c>
      <c r="X177" s="314">
        <f t="shared" si="116"/>
        <v>0</v>
      </c>
      <c r="Y177" s="314">
        <f t="shared" si="117"/>
        <v>60</v>
      </c>
      <c r="Z177" s="317">
        <f t="shared" si="112"/>
        <v>0</v>
      </c>
      <c r="AA177" s="318">
        <v>189500000</v>
      </c>
      <c r="AB177" s="318">
        <v>0</v>
      </c>
      <c r="AC177" s="318">
        <f t="shared" si="118"/>
        <v>0</v>
      </c>
      <c r="AD177" s="318"/>
      <c r="AE177" s="318"/>
      <c r="AF177" s="318"/>
      <c r="AG177" s="318"/>
      <c r="AH177" s="318"/>
      <c r="AI177" s="318"/>
      <c r="AJ177" s="318"/>
      <c r="AK177" s="318"/>
      <c r="AL177" s="318"/>
      <c r="AM177" s="318"/>
      <c r="AN177" s="318"/>
      <c r="AO177" s="318"/>
      <c r="AP177" s="318">
        <f t="shared" si="119"/>
        <v>189500000</v>
      </c>
      <c r="AQ177" s="319">
        <f t="shared" si="120"/>
        <v>0</v>
      </c>
      <c r="AR177" s="320"/>
      <c r="AS177" s="320"/>
      <c r="AT177" s="365"/>
      <c r="AU177" s="322"/>
      <c r="AV177" s="146" t="s">
        <v>1236</v>
      </c>
      <c r="AW177" s="146">
        <f>IFERROR(VLOOKUP(G177,'[71]Detail Deprec_202501'!$D$246:$I$393,6,FALSE),0)</f>
        <v>0</v>
      </c>
      <c r="AX177" s="501">
        <f t="shared" si="113"/>
        <v>0</v>
      </c>
    </row>
    <row r="178" spans="1:50" ht="12.9" customHeight="1" outlineLevel="1">
      <c r="A178" s="324">
        <f t="shared" si="114"/>
        <v>153</v>
      </c>
      <c r="B178" s="336" t="s">
        <v>142</v>
      </c>
      <c r="C178" s="344" t="s">
        <v>474</v>
      </c>
      <c r="D178" s="382">
        <v>155</v>
      </c>
      <c r="E178" s="382" t="s">
        <v>1711</v>
      </c>
      <c r="F178" s="336" t="s">
        <v>816</v>
      </c>
      <c r="G178" s="336" t="s">
        <v>817</v>
      </c>
      <c r="H178" s="383">
        <v>43069</v>
      </c>
      <c r="I178" s="392" t="s">
        <v>11</v>
      </c>
      <c r="J178" s="390" t="s">
        <v>651</v>
      </c>
      <c r="K178" s="351" t="s">
        <v>818</v>
      </c>
      <c r="L178" s="351" t="s">
        <v>758</v>
      </c>
      <c r="M178" s="379" t="s">
        <v>477</v>
      </c>
      <c r="N178" s="379">
        <v>2017</v>
      </c>
      <c r="O178" s="379" t="s">
        <v>819</v>
      </c>
      <c r="P178" s="351"/>
      <c r="Q178" s="351"/>
      <c r="R178" s="377">
        <v>1</v>
      </c>
      <c r="S178" s="400"/>
      <c r="T178" s="354">
        <v>675000000</v>
      </c>
      <c r="U178" s="313">
        <f t="shared" si="115"/>
        <v>11250000</v>
      </c>
      <c r="V178" s="316">
        <v>60</v>
      </c>
      <c r="W178" s="315">
        <v>60</v>
      </c>
      <c r="X178" s="314">
        <f t="shared" si="116"/>
        <v>0</v>
      </c>
      <c r="Y178" s="314">
        <f t="shared" si="117"/>
        <v>60</v>
      </c>
      <c r="Z178" s="317">
        <f t="shared" si="112"/>
        <v>0</v>
      </c>
      <c r="AA178" s="318">
        <v>675000000</v>
      </c>
      <c r="AB178" s="318">
        <v>0</v>
      </c>
      <c r="AC178" s="318">
        <f t="shared" si="118"/>
        <v>0</v>
      </c>
      <c r="AD178" s="318"/>
      <c r="AE178" s="318"/>
      <c r="AF178" s="318"/>
      <c r="AG178" s="318"/>
      <c r="AH178" s="318"/>
      <c r="AI178" s="318"/>
      <c r="AJ178" s="318"/>
      <c r="AK178" s="318"/>
      <c r="AL178" s="318"/>
      <c r="AM178" s="318"/>
      <c r="AN178" s="318"/>
      <c r="AO178" s="318"/>
      <c r="AP178" s="318">
        <f t="shared" si="119"/>
        <v>675000000</v>
      </c>
      <c r="AQ178" s="319">
        <f t="shared" si="120"/>
        <v>0</v>
      </c>
      <c r="AR178" s="320"/>
      <c r="AS178" s="320"/>
      <c r="AT178" s="365"/>
      <c r="AU178" s="322"/>
      <c r="AV178" s="146" t="s">
        <v>1236</v>
      </c>
      <c r="AW178" s="146">
        <f>IFERROR(VLOOKUP(G178,'[71]Detail Deprec_202501'!$D$246:$I$393,6,FALSE),0)</f>
        <v>0</v>
      </c>
      <c r="AX178" s="501">
        <f t="shared" si="113"/>
        <v>0</v>
      </c>
    </row>
    <row r="179" spans="1:50" ht="12.9" customHeight="1" outlineLevel="1">
      <c r="A179" s="324">
        <f t="shared" si="114"/>
        <v>154</v>
      </c>
      <c r="B179" s="336" t="s">
        <v>142</v>
      </c>
      <c r="C179" s="344" t="s">
        <v>474</v>
      </c>
      <c r="D179" s="382">
        <v>155</v>
      </c>
      <c r="E179" s="382" t="s">
        <v>1711</v>
      </c>
      <c r="F179" s="336" t="s">
        <v>820</v>
      </c>
      <c r="G179" s="336" t="s">
        <v>821</v>
      </c>
      <c r="H179" s="383">
        <v>43069</v>
      </c>
      <c r="I179" s="392" t="s">
        <v>11</v>
      </c>
      <c r="J179" s="390" t="s">
        <v>651</v>
      </c>
      <c r="K179" s="351" t="s">
        <v>818</v>
      </c>
      <c r="L179" s="351" t="s">
        <v>758</v>
      </c>
      <c r="M179" s="379" t="s">
        <v>477</v>
      </c>
      <c r="N179" s="379">
        <v>2017</v>
      </c>
      <c r="O179" s="379" t="s">
        <v>822</v>
      </c>
      <c r="P179" s="351"/>
      <c r="Q179" s="351"/>
      <c r="R179" s="377">
        <v>1</v>
      </c>
      <c r="S179" s="400"/>
      <c r="T179" s="354">
        <v>675000000</v>
      </c>
      <c r="U179" s="313">
        <f t="shared" si="115"/>
        <v>11250000</v>
      </c>
      <c r="V179" s="316">
        <v>60</v>
      </c>
      <c r="W179" s="315">
        <v>60</v>
      </c>
      <c r="X179" s="314">
        <f t="shared" si="116"/>
        <v>0</v>
      </c>
      <c r="Y179" s="314">
        <f t="shared" si="117"/>
        <v>60</v>
      </c>
      <c r="Z179" s="317">
        <f t="shared" si="112"/>
        <v>0</v>
      </c>
      <c r="AA179" s="318">
        <v>675000000</v>
      </c>
      <c r="AB179" s="318">
        <v>0</v>
      </c>
      <c r="AC179" s="318">
        <f t="shared" si="118"/>
        <v>0</v>
      </c>
      <c r="AD179" s="318"/>
      <c r="AE179" s="318"/>
      <c r="AF179" s="318"/>
      <c r="AG179" s="318"/>
      <c r="AH179" s="318"/>
      <c r="AI179" s="318"/>
      <c r="AJ179" s="318"/>
      <c r="AK179" s="318"/>
      <c r="AL179" s="318"/>
      <c r="AM179" s="318"/>
      <c r="AN179" s="318"/>
      <c r="AO179" s="318"/>
      <c r="AP179" s="318">
        <f t="shared" si="119"/>
        <v>675000000</v>
      </c>
      <c r="AQ179" s="319">
        <f t="shared" si="120"/>
        <v>0</v>
      </c>
      <c r="AR179" s="320"/>
      <c r="AS179" s="320"/>
      <c r="AT179" s="365"/>
      <c r="AU179" s="322"/>
      <c r="AV179" s="146" t="s">
        <v>1236</v>
      </c>
      <c r="AW179" s="146">
        <f>IFERROR(VLOOKUP(G179,'[71]Detail Deprec_202501'!$D$246:$I$393,6,FALSE),0)</f>
        <v>0</v>
      </c>
      <c r="AX179" s="501">
        <f t="shared" si="113"/>
        <v>0</v>
      </c>
    </row>
    <row r="180" spans="1:50" ht="12.9" customHeight="1" outlineLevel="1">
      <c r="A180" s="324">
        <f t="shared" si="114"/>
        <v>155</v>
      </c>
      <c r="B180" s="336" t="s">
        <v>142</v>
      </c>
      <c r="C180" s="344" t="s">
        <v>474</v>
      </c>
      <c r="D180" s="382">
        <v>155</v>
      </c>
      <c r="E180" s="382" t="s">
        <v>1711</v>
      </c>
      <c r="F180" s="336" t="s">
        <v>807</v>
      </c>
      <c r="G180" s="336" t="s">
        <v>824</v>
      </c>
      <c r="H180" s="383">
        <v>43098</v>
      </c>
      <c r="I180" s="392" t="s">
        <v>11</v>
      </c>
      <c r="J180" s="379">
        <v>24</v>
      </c>
      <c r="K180" s="351" t="s">
        <v>825</v>
      </c>
      <c r="L180" s="351" t="s">
        <v>814</v>
      </c>
      <c r="M180" s="379" t="s">
        <v>477</v>
      </c>
      <c r="N180" s="379">
        <v>2017</v>
      </c>
      <c r="O180" s="379" t="s">
        <v>826</v>
      </c>
      <c r="P180" s="351"/>
      <c r="Q180" s="351"/>
      <c r="R180" s="377">
        <v>1</v>
      </c>
      <c r="S180" s="410"/>
      <c r="T180" s="419">
        <v>189500000</v>
      </c>
      <c r="U180" s="411">
        <f t="shared" si="115"/>
        <v>3158333.3333333335</v>
      </c>
      <c r="V180" s="316">
        <v>60</v>
      </c>
      <c r="W180" s="315">
        <v>60</v>
      </c>
      <c r="X180" s="412">
        <f t="shared" si="116"/>
        <v>0</v>
      </c>
      <c r="Y180" s="412">
        <f t="shared" si="117"/>
        <v>60</v>
      </c>
      <c r="Z180" s="317">
        <f t="shared" si="112"/>
        <v>0</v>
      </c>
      <c r="AA180" s="318">
        <v>189500000</v>
      </c>
      <c r="AB180" s="318">
        <v>0</v>
      </c>
      <c r="AC180" s="318">
        <f t="shared" si="118"/>
        <v>0</v>
      </c>
      <c r="AD180" s="318"/>
      <c r="AE180" s="318"/>
      <c r="AF180" s="318"/>
      <c r="AG180" s="318"/>
      <c r="AH180" s="318"/>
      <c r="AI180" s="318"/>
      <c r="AJ180" s="318"/>
      <c r="AK180" s="318"/>
      <c r="AL180" s="318"/>
      <c r="AM180" s="318"/>
      <c r="AN180" s="318"/>
      <c r="AO180" s="318"/>
      <c r="AP180" s="318">
        <f t="shared" si="119"/>
        <v>189500000</v>
      </c>
      <c r="AQ180" s="319">
        <f t="shared" si="120"/>
        <v>0</v>
      </c>
      <c r="AR180" s="320"/>
      <c r="AS180" s="320"/>
      <c r="AT180" s="365"/>
      <c r="AU180" s="322"/>
      <c r="AV180" s="146" t="s">
        <v>1236</v>
      </c>
      <c r="AW180" s="146">
        <f>IFERROR(VLOOKUP(G180,'[71]Detail Deprec_202501'!$D$246:$I$393,6,FALSE),0)</f>
        <v>0</v>
      </c>
      <c r="AX180" s="501">
        <f t="shared" si="113"/>
        <v>0</v>
      </c>
    </row>
    <row r="181" spans="1:50" ht="12.9" customHeight="1" outlineLevel="1">
      <c r="A181" s="324">
        <f t="shared" si="114"/>
        <v>156</v>
      </c>
      <c r="B181" s="336" t="s">
        <v>142</v>
      </c>
      <c r="C181" s="344" t="s">
        <v>474</v>
      </c>
      <c r="D181" s="382">
        <v>155</v>
      </c>
      <c r="E181" s="382" t="s">
        <v>1711</v>
      </c>
      <c r="F181" s="336" t="s">
        <v>816</v>
      </c>
      <c r="G181" s="336" t="s">
        <v>827</v>
      </c>
      <c r="H181" s="383">
        <v>43098</v>
      </c>
      <c r="I181" s="392" t="s">
        <v>11</v>
      </c>
      <c r="J181" s="379">
        <v>24</v>
      </c>
      <c r="K181" s="351" t="s">
        <v>825</v>
      </c>
      <c r="L181" s="351" t="s">
        <v>814</v>
      </c>
      <c r="M181" s="379" t="s">
        <v>477</v>
      </c>
      <c r="N181" s="379">
        <v>2017</v>
      </c>
      <c r="O181" s="379" t="s">
        <v>828</v>
      </c>
      <c r="P181" s="351"/>
      <c r="Q181" s="351"/>
      <c r="R181" s="377">
        <v>1</v>
      </c>
      <c r="S181" s="410"/>
      <c r="T181" s="419">
        <v>189500000</v>
      </c>
      <c r="U181" s="411">
        <f t="shared" si="115"/>
        <v>3158333.3333333335</v>
      </c>
      <c r="V181" s="316">
        <v>60</v>
      </c>
      <c r="W181" s="315">
        <v>60</v>
      </c>
      <c r="X181" s="412">
        <f t="shared" si="116"/>
        <v>0</v>
      </c>
      <c r="Y181" s="412">
        <f t="shared" si="117"/>
        <v>60</v>
      </c>
      <c r="Z181" s="317">
        <f t="shared" si="112"/>
        <v>0</v>
      </c>
      <c r="AA181" s="318">
        <v>189500000</v>
      </c>
      <c r="AB181" s="318">
        <v>0</v>
      </c>
      <c r="AC181" s="318">
        <f t="shared" si="118"/>
        <v>0</v>
      </c>
      <c r="AD181" s="318"/>
      <c r="AE181" s="318"/>
      <c r="AF181" s="318"/>
      <c r="AG181" s="318"/>
      <c r="AH181" s="318"/>
      <c r="AI181" s="318"/>
      <c r="AJ181" s="318"/>
      <c r="AK181" s="318"/>
      <c r="AL181" s="318"/>
      <c r="AM181" s="318"/>
      <c r="AN181" s="318"/>
      <c r="AO181" s="318"/>
      <c r="AP181" s="318">
        <f t="shared" si="119"/>
        <v>189500000</v>
      </c>
      <c r="AQ181" s="319">
        <f t="shared" si="120"/>
        <v>0</v>
      </c>
      <c r="AR181" s="320"/>
      <c r="AS181" s="320"/>
      <c r="AT181" s="365"/>
      <c r="AU181" s="322"/>
      <c r="AV181" s="146" t="s">
        <v>1236</v>
      </c>
      <c r="AW181" s="146">
        <f>IFERROR(VLOOKUP(G181,'[71]Detail Deprec_202501'!$D$246:$I$393,6,FALSE),0)</f>
        <v>0</v>
      </c>
      <c r="AX181" s="501">
        <f t="shared" si="113"/>
        <v>0</v>
      </c>
    </row>
    <row r="182" spans="1:50" ht="12.9" customHeight="1" outlineLevel="1">
      <c r="A182" s="324">
        <f t="shared" si="114"/>
        <v>157</v>
      </c>
      <c r="B182" s="336" t="s">
        <v>142</v>
      </c>
      <c r="C182" s="344" t="s">
        <v>474</v>
      </c>
      <c r="D182" s="382">
        <v>155</v>
      </c>
      <c r="E182" s="382" t="s">
        <v>1711</v>
      </c>
      <c r="F182" s="336" t="s">
        <v>820</v>
      </c>
      <c r="G182" s="336" t="s">
        <v>829</v>
      </c>
      <c r="H182" s="383">
        <v>43158</v>
      </c>
      <c r="I182" s="392" t="s">
        <v>11</v>
      </c>
      <c r="J182" s="379" t="s">
        <v>830</v>
      </c>
      <c r="K182" s="351" t="s">
        <v>825</v>
      </c>
      <c r="L182" s="351" t="s">
        <v>814</v>
      </c>
      <c r="M182" s="379" t="s">
        <v>477</v>
      </c>
      <c r="N182" s="379">
        <v>2018</v>
      </c>
      <c r="O182" s="379" t="s">
        <v>831</v>
      </c>
      <c r="P182" s="351"/>
      <c r="Q182" s="351"/>
      <c r="R182" s="377">
        <v>1</v>
      </c>
      <c r="S182" s="410"/>
      <c r="T182" s="419">
        <v>189500000</v>
      </c>
      <c r="U182" s="411">
        <f t="shared" si="115"/>
        <v>3158333.3333333335</v>
      </c>
      <c r="V182" s="316">
        <v>60</v>
      </c>
      <c r="W182" s="315">
        <v>60</v>
      </c>
      <c r="X182" s="412">
        <f t="shared" si="116"/>
        <v>0</v>
      </c>
      <c r="Y182" s="412">
        <f t="shared" si="117"/>
        <v>60</v>
      </c>
      <c r="Z182" s="317">
        <f t="shared" ref="Z182:Z196" si="121">+V182-Y182</f>
        <v>0</v>
      </c>
      <c r="AA182" s="318">
        <v>189500000</v>
      </c>
      <c r="AB182" s="318">
        <v>0</v>
      </c>
      <c r="AC182" s="318">
        <f t="shared" si="118"/>
        <v>0</v>
      </c>
      <c r="AD182" s="318"/>
      <c r="AE182" s="318"/>
      <c r="AF182" s="318"/>
      <c r="AG182" s="318"/>
      <c r="AH182" s="318"/>
      <c r="AI182" s="318"/>
      <c r="AJ182" s="318"/>
      <c r="AK182" s="318"/>
      <c r="AL182" s="318"/>
      <c r="AM182" s="318"/>
      <c r="AN182" s="318"/>
      <c r="AO182" s="318"/>
      <c r="AP182" s="318">
        <f t="shared" si="119"/>
        <v>189500000</v>
      </c>
      <c r="AQ182" s="319">
        <f t="shared" si="120"/>
        <v>0</v>
      </c>
      <c r="AR182" s="320"/>
      <c r="AS182" s="320"/>
      <c r="AT182" s="365"/>
      <c r="AU182" s="334" t="s">
        <v>377</v>
      </c>
      <c r="AV182" s="146" t="s">
        <v>1236</v>
      </c>
      <c r="AW182" s="146">
        <f>IFERROR(VLOOKUP(G182,'[71]Detail Deprec_202501'!$D$246:$I$393,6,FALSE),0)</f>
        <v>0</v>
      </c>
      <c r="AX182" s="501">
        <f t="shared" si="113"/>
        <v>0</v>
      </c>
    </row>
    <row r="183" spans="1:50" ht="12.9" customHeight="1" outlineLevel="1">
      <c r="A183" s="324">
        <f t="shared" si="114"/>
        <v>158</v>
      </c>
      <c r="B183" s="336" t="s">
        <v>142</v>
      </c>
      <c r="C183" s="344" t="s">
        <v>474</v>
      </c>
      <c r="D183" s="382">
        <v>155</v>
      </c>
      <c r="E183" s="382" t="s">
        <v>1711</v>
      </c>
      <c r="F183" s="336" t="s">
        <v>832</v>
      </c>
      <c r="G183" s="336" t="s">
        <v>833</v>
      </c>
      <c r="H183" s="383">
        <v>43158</v>
      </c>
      <c r="I183" s="392" t="s">
        <v>11</v>
      </c>
      <c r="J183" s="379" t="s">
        <v>830</v>
      </c>
      <c r="K183" s="351" t="s">
        <v>825</v>
      </c>
      <c r="L183" s="351" t="s">
        <v>814</v>
      </c>
      <c r="M183" s="379" t="s">
        <v>834</v>
      </c>
      <c r="N183" s="379">
        <v>2018</v>
      </c>
      <c r="O183" s="379" t="s">
        <v>835</v>
      </c>
      <c r="P183" s="351"/>
      <c r="Q183" s="351"/>
      <c r="R183" s="377">
        <v>1</v>
      </c>
      <c r="S183" s="410"/>
      <c r="T183" s="419">
        <v>189500000</v>
      </c>
      <c r="U183" s="411">
        <f t="shared" si="115"/>
        <v>3158333.3333333335</v>
      </c>
      <c r="V183" s="316">
        <v>60</v>
      </c>
      <c r="W183" s="315">
        <v>60</v>
      </c>
      <c r="X183" s="412">
        <f t="shared" si="116"/>
        <v>0</v>
      </c>
      <c r="Y183" s="412">
        <f t="shared" si="117"/>
        <v>60</v>
      </c>
      <c r="Z183" s="317">
        <f t="shared" si="121"/>
        <v>0</v>
      </c>
      <c r="AA183" s="318">
        <v>189500000</v>
      </c>
      <c r="AB183" s="318">
        <v>0</v>
      </c>
      <c r="AC183" s="318">
        <f t="shared" si="118"/>
        <v>0</v>
      </c>
      <c r="AD183" s="318"/>
      <c r="AE183" s="318"/>
      <c r="AF183" s="318"/>
      <c r="AG183" s="318"/>
      <c r="AH183" s="318"/>
      <c r="AI183" s="318"/>
      <c r="AJ183" s="318"/>
      <c r="AK183" s="318"/>
      <c r="AL183" s="318"/>
      <c r="AM183" s="318"/>
      <c r="AN183" s="318"/>
      <c r="AO183" s="318"/>
      <c r="AP183" s="318">
        <f t="shared" si="119"/>
        <v>189500000</v>
      </c>
      <c r="AQ183" s="319">
        <f t="shared" si="120"/>
        <v>0</v>
      </c>
      <c r="AR183" s="320"/>
      <c r="AS183" s="320"/>
      <c r="AT183" s="365"/>
      <c r="AU183" s="334" t="s">
        <v>377</v>
      </c>
      <c r="AV183" s="146" t="s">
        <v>1236</v>
      </c>
      <c r="AW183" s="146">
        <f>IFERROR(VLOOKUP(G183,'[71]Detail Deprec_202501'!$D$246:$I$393,6,FALSE),0)</f>
        <v>0</v>
      </c>
      <c r="AX183" s="501">
        <f t="shared" si="113"/>
        <v>0</v>
      </c>
    </row>
    <row r="184" spans="1:50" ht="12.9" customHeight="1" outlineLevel="1">
      <c r="A184" s="324">
        <f t="shared" si="114"/>
        <v>159</v>
      </c>
      <c r="B184" s="336" t="s">
        <v>142</v>
      </c>
      <c r="C184" s="344" t="s">
        <v>474</v>
      </c>
      <c r="D184" s="382">
        <v>155</v>
      </c>
      <c r="E184" s="382" t="s">
        <v>1711</v>
      </c>
      <c r="F184" s="336" t="s">
        <v>836</v>
      </c>
      <c r="G184" s="336" t="s">
        <v>837</v>
      </c>
      <c r="H184" s="383">
        <v>43158</v>
      </c>
      <c r="I184" s="392" t="s">
        <v>11</v>
      </c>
      <c r="J184" s="379" t="s">
        <v>830</v>
      </c>
      <c r="K184" s="351" t="s">
        <v>825</v>
      </c>
      <c r="L184" s="351" t="s">
        <v>814</v>
      </c>
      <c r="M184" s="379" t="s">
        <v>834</v>
      </c>
      <c r="N184" s="379">
        <v>2018</v>
      </c>
      <c r="O184" s="379" t="s">
        <v>838</v>
      </c>
      <c r="P184" s="351"/>
      <c r="Q184" s="351"/>
      <c r="R184" s="377">
        <v>1</v>
      </c>
      <c r="S184" s="410"/>
      <c r="T184" s="419">
        <v>189500000</v>
      </c>
      <c r="U184" s="411">
        <f t="shared" si="115"/>
        <v>3158333.3333333335</v>
      </c>
      <c r="V184" s="316">
        <v>60</v>
      </c>
      <c r="W184" s="315">
        <v>60</v>
      </c>
      <c r="X184" s="412">
        <f t="shared" si="116"/>
        <v>0</v>
      </c>
      <c r="Y184" s="412">
        <f t="shared" si="117"/>
        <v>60</v>
      </c>
      <c r="Z184" s="317">
        <f t="shared" si="121"/>
        <v>0</v>
      </c>
      <c r="AA184" s="318">
        <v>189500000</v>
      </c>
      <c r="AB184" s="318">
        <v>0</v>
      </c>
      <c r="AC184" s="318">
        <f t="shared" si="118"/>
        <v>0</v>
      </c>
      <c r="AD184" s="318"/>
      <c r="AE184" s="318"/>
      <c r="AF184" s="318"/>
      <c r="AG184" s="318"/>
      <c r="AH184" s="318"/>
      <c r="AI184" s="318"/>
      <c r="AJ184" s="318"/>
      <c r="AK184" s="318"/>
      <c r="AL184" s="318"/>
      <c r="AM184" s="318"/>
      <c r="AN184" s="318"/>
      <c r="AO184" s="318"/>
      <c r="AP184" s="318">
        <f t="shared" si="119"/>
        <v>189500000</v>
      </c>
      <c r="AQ184" s="319">
        <f t="shared" si="120"/>
        <v>0</v>
      </c>
      <c r="AR184" s="320"/>
      <c r="AS184" s="320"/>
      <c r="AT184" s="365"/>
      <c r="AU184" s="334" t="s">
        <v>377</v>
      </c>
      <c r="AV184" s="146" t="s">
        <v>1236</v>
      </c>
      <c r="AW184" s="146">
        <f>IFERROR(VLOOKUP(G184,'[71]Detail Deprec_202501'!$D$246:$I$393,6,FALSE),0)</f>
        <v>0</v>
      </c>
      <c r="AX184" s="501">
        <f t="shared" si="113"/>
        <v>0</v>
      </c>
    </row>
    <row r="185" spans="1:50" ht="12.9" customHeight="1" outlineLevel="1">
      <c r="A185" s="324">
        <f t="shared" si="114"/>
        <v>160</v>
      </c>
      <c r="B185" s="336" t="s">
        <v>142</v>
      </c>
      <c r="C185" s="344" t="s">
        <v>474</v>
      </c>
      <c r="D185" s="382">
        <v>155</v>
      </c>
      <c r="E185" s="382" t="s">
        <v>1711</v>
      </c>
      <c r="F185" s="336" t="s">
        <v>832</v>
      </c>
      <c r="G185" s="336" t="s">
        <v>839</v>
      </c>
      <c r="H185" s="383">
        <v>43158</v>
      </c>
      <c r="I185" s="392" t="s">
        <v>11</v>
      </c>
      <c r="J185" s="379" t="s">
        <v>840</v>
      </c>
      <c r="K185" s="351" t="s">
        <v>841</v>
      </c>
      <c r="L185" s="351" t="s">
        <v>842</v>
      </c>
      <c r="M185" s="379" t="s">
        <v>834</v>
      </c>
      <c r="N185" s="379">
        <v>2018</v>
      </c>
      <c r="O185" s="379" t="s">
        <v>835</v>
      </c>
      <c r="P185" s="351"/>
      <c r="Q185" s="351"/>
      <c r="R185" s="377">
        <v>1</v>
      </c>
      <c r="S185" s="410"/>
      <c r="T185" s="419">
        <v>676000000</v>
      </c>
      <c r="U185" s="411">
        <f t="shared" si="115"/>
        <v>11266666.666666666</v>
      </c>
      <c r="V185" s="316">
        <v>60</v>
      </c>
      <c r="W185" s="315">
        <v>60</v>
      </c>
      <c r="X185" s="412">
        <f t="shared" si="116"/>
        <v>0</v>
      </c>
      <c r="Y185" s="412">
        <f t="shared" si="117"/>
        <v>60</v>
      </c>
      <c r="Z185" s="317">
        <f t="shared" si="121"/>
        <v>0</v>
      </c>
      <c r="AA185" s="318">
        <v>676000000</v>
      </c>
      <c r="AB185" s="318">
        <v>0</v>
      </c>
      <c r="AC185" s="318">
        <f t="shared" si="118"/>
        <v>0</v>
      </c>
      <c r="AD185" s="318"/>
      <c r="AE185" s="318"/>
      <c r="AF185" s="318"/>
      <c r="AG185" s="318"/>
      <c r="AH185" s="318"/>
      <c r="AI185" s="318"/>
      <c r="AJ185" s="318"/>
      <c r="AK185" s="318"/>
      <c r="AL185" s="318"/>
      <c r="AM185" s="318"/>
      <c r="AN185" s="318"/>
      <c r="AO185" s="318"/>
      <c r="AP185" s="318">
        <f t="shared" si="119"/>
        <v>676000000</v>
      </c>
      <c r="AQ185" s="319">
        <f t="shared" si="120"/>
        <v>0</v>
      </c>
      <c r="AR185" s="320"/>
      <c r="AS185" s="320"/>
      <c r="AT185" s="365"/>
      <c r="AU185" s="334" t="s">
        <v>377</v>
      </c>
      <c r="AV185" s="146" t="s">
        <v>1236</v>
      </c>
      <c r="AW185" s="146">
        <f>IFERROR(VLOOKUP(G185,'[71]Detail Deprec_202501'!$D$246:$I$393,6,FALSE),0)</f>
        <v>0</v>
      </c>
      <c r="AX185" s="501">
        <f t="shared" si="113"/>
        <v>0</v>
      </c>
    </row>
    <row r="186" spans="1:50" ht="12.9" customHeight="1" outlineLevel="1">
      <c r="A186" s="324">
        <f t="shared" si="114"/>
        <v>161</v>
      </c>
      <c r="B186" s="336" t="s">
        <v>142</v>
      </c>
      <c r="C186" s="344" t="s">
        <v>474</v>
      </c>
      <c r="D186" s="382">
        <v>155</v>
      </c>
      <c r="E186" s="382" t="s">
        <v>1711</v>
      </c>
      <c r="F186" s="336" t="s">
        <v>836</v>
      </c>
      <c r="G186" s="336" t="s">
        <v>843</v>
      </c>
      <c r="H186" s="383">
        <v>43158</v>
      </c>
      <c r="I186" s="392" t="s">
        <v>11</v>
      </c>
      <c r="J186" s="379" t="s">
        <v>840</v>
      </c>
      <c r="K186" s="351" t="s">
        <v>841</v>
      </c>
      <c r="L186" s="351" t="s">
        <v>842</v>
      </c>
      <c r="M186" s="379" t="s">
        <v>834</v>
      </c>
      <c r="N186" s="379">
        <v>2018</v>
      </c>
      <c r="O186" s="379" t="s">
        <v>838</v>
      </c>
      <c r="P186" s="351"/>
      <c r="Q186" s="351"/>
      <c r="R186" s="377">
        <v>1</v>
      </c>
      <c r="S186" s="410"/>
      <c r="T186" s="419">
        <v>676000000</v>
      </c>
      <c r="U186" s="411">
        <f t="shared" si="115"/>
        <v>11266666.666666666</v>
      </c>
      <c r="V186" s="316">
        <v>60</v>
      </c>
      <c r="W186" s="315">
        <v>60</v>
      </c>
      <c r="X186" s="412">
        <f t="shared" si="116"/>
        <v>0</v>
      </c>
      <c r="Y186" s="412">
        <f t="shared" si="117"/>
        <v>60</v>
      </c>
      <c r="Z186" s="317">
        <f t="shared" si="121"/>
        <v>0</v>
      </c>
      <c r="AA186" s="318">
        <v>676000000</v>
      </c>
      <c r="AB186" s="318">
        <v>0</v>
      </c>
      <c r="AC186" s="318">
        <f t="shared" si="118"/>
        <v>0</v>
      </c>
      <c r="AD186" s="318"/>
      <c r="AE186" s="318"/>
      <c r="AF186" s="318"/>
      <c r="AG186" s="318"/>
      <c r="AH186" s="318"/>
      <c r="AI186" s="318"/>
      <c r="AJ186" s="318"/>
      <c r="AK186" s="318"/>
      <c r="AL186" s="318"/>
      <c r="AM186" s="318"/>
      <c r="AN186" s="318"/>
      <c r="AO186" s="318"/>
      <c r="AP186" s="318">
        <f t="shared" si="119"/>
        <v>676000000</v>
      </c>
      <c r="AQ186" s="319">
        <f t="shared" si="120"/>
        <v>0</v>
      </c>
      <c r="AR186" s="320"/>
      <c r="AS186" s="320"/>
      <c r="AT186" s="365"/>
      <c r="AU186" s="334" t="s">
        <v>377</v>
      </c>
      <c r="AV186" s="146" t="s">
        <v>1236</v>
      </c>
      <c r="AW186" s="146">
        <f>IFERROR(VLOOKUP(G186,'[71]Detail Deprec_202501'!$D$246:$I$393,6,FALSE),0)</f>
        <v>0</v>
      </c>
      <c r="AX186" s="501">
        <f t="shared" si="113"/>
        <v>0</v>
      </c>
    </row>
    <row r="187" spans="1:50" ht="12.9" customHeight="1" outlineLevel="1">
      <c r="A187" s="324">
        <f t="shared" si="114"/>
        <v>162</v>
      </c>
      <c r="B187" s="341" t="s">
        <v>142</v>
      </c>
      <c r="C187" s="344" t="s">
        <v>474</v>
      </c>
      <c r="D187" s="382">
        <v>155</v>
      </c>
      <c r="E187" s="382" t="s">
        <v>1711</v>
      </c>
      <c r="F187" s="336" t="s">
        <v>845</v>
      </c>
      <c r="G187" s="336" t="s">
        <v>846</v>
      </c>
      <c r="H187" s="420">
        <v>43364</v>
      </c>
      <c r="I187" s="392" t="s">
        <v>11</v>
      </c>
      <c r="J187" s="395"/>
      <c r="K187" s="310" t="s">
        <v>847</v>
      </c>
      <c r="L187" s="421" t="s">
        <v>848</v>
      </c>
      <c r="M187" s="379" t="s">
        <v>477</v>
      </c>
      <c r="N187" s="310">
        <v>2018</v>
      </c>
      <c r="O187" s="379" t="s">
        <v>849</v>
      </c>
      <c r="P187" s="310"/>
      <c r="Q187" s="310"/>
      <c r="R187" s="305">
        <v>1</v>
      </c>
      <c r="S187" s="422"/>
      <c r="T187" s="423">
        <v>675000000</v>
      </c>
      <c r="U187" s="411">
        <f t="shared" si="115"/>
        <v>11250000</v>
      </c>
      <c r="V187" s="316">
        <v>60</v>
      </c>
      <c r="W187" s="315">
        <v>60</v>
      </c>
      <c r="X187" s="412">
        <f t="shared" si="116"/>
        <v>0</v>
      </c>
      <c r="Y187" s="412">
        <f t="shared" si="117"/>
        <v>60</v>
      </c>
      <c r="Z187" s="317">
        <f t="shared" si="121"/>
        <v>0</v>
      </c>
      <c r="AA187" s="318">
        <v>675000000</v>
      </c>
      <c r="AB187" s="318">
        <v>0</v>
      </c>
      <c r="AC187" s="318">
        <f t="shared" si="118"/>
        <v>0</v>
      </c>
      <c r="AD187" s="318"/>
      <c r="AE187" s="318"/>
      <c r="AF187" s="318"/>
      <c r="AG187" s="318"/>
      <c r="AH187" s="318"/>
      <c r="AI187" s="318"/>
      <c r="AJ187" s="318"/>
      <c r="AK187" s="318"/>
      <c r="AL187" s="318"/>
      <c r="AM187" s="318"/>
      <c r="AN187" s="318"/>
      <c r="AO187" s="318"/>
      <c r="AP187" s="318">
        <f t="shared" si="119"/>
        <v>675000000</v>
      </c>
      <c r="AQ187" s="319">
        <f t="shared" si="120"/>
        <v>0</v>
      </c>
      <c r="AR187" s="380"/>
      <c r="AS187" s="380"/>
      <c r="AT187" s="424"/>
      <c r="AU187" s="381"/>
      <c r="AV187" s="146" t="s">
        <v>1236</v>
      </c>
      <c r="AW187" s="146">
        <f>IFERROR(VLOOKUP(G187,'[71]Detail Deprec_202501'!$D$246:$I$393,6,FALSE),0)</f>
        <v>0</v>
      </c>
      <c r="AX187" s="501">
        <f t="shared" ref="AX187:AX197" si="122">AW187-AK187</f>
        <v>0</v>
      </c>
    </row>
    <row r="188" spans="1:50" ht="12.9" customHeight="1" outlineLevel="1">
      <c r="A188" s="324">
        <f t="shared" si="114"/>
        <v>163</v>
      </c>
      <c r="B188" s="341" t="s">
        <v>142</v>
      </c>
      <c r="C188" s="344" t="s">
        <v>474</v>
      </c>
      <c r="D188" s="382">
        <v>155</v>
      </c>
      <c r="E188" s="382" t="s">
        <v>1711</v>
      </c>
      <c r="F188" s="336" t="s">
        <v>850</v>
      </c>
      <c r="G188" s="336" t="s">
        <v>851</v>
      </c>
      <c r="H188" s="420">
        <v>43364</v>
      </c>
      <c r="I188" s="392" t="s">
        <v>11</v>
      </c>
      <c r="J188" s="395"/>
      <c r="K188" s="310" t="s">
        <v>847</v>
      </c>
      <c r="L188" s="421" t="s">
        <v>848</v>
      </c>
      <c r="M188" s="379" t="s">
        <v>477</v>
      </c>
      <c r="N188" s="310">
        <v>2018</v>
      </c>
      <c r="O188" s="379" t="s">
        <v>852</v>
      </c>
      <c r="P188" s="310"/>
      <c r="Q188" s="310"/>
      <c r="R188" s="305">
        <v>1</v>
      </c>
      <c r="S188" s="422"/>
      <c r="T188" s="423">
        <v>675000000</v>
      </c>
      <c r="U188" s="411">
        <f t="shared" si="115"/>
        <v>11250000</v>
      </c>
      <c r="V188" s="316">
        <v>60</v>
      </c>
      <c r="W188" s="315">
        <v>60</v>
      </c>
      <c r="X188" s="412">
        <f t="shared" si="116"/>
        <v>0</v>
      </c>
      <c r="Y188" s="412">
        <f t="shared" si="117"/>
        <v>60</v>
      </c>
      <c r="Z188" s="317">
        <f t="shared" si="121"/>
        <v>0</v>
      </c>
      <c r="AA188" s="318">
        <v>675000000</v>
      </c>
      <c r="AB188" s="318">
        <v>0</v>
      </c>
      <c r="AC188" s="318">
        <f t="shared" si="118"/>
        <v>0</v>
      </c>
      <c r="AD188" s="318"/>
      <c r="AE188" s="318"/>
      <c r="AF188" s="318"/>
      <c r="AG188" s="318"/>
      <c r="AH188" s="318"/>
      <c r="AI188" s="318"/>
      <c r="AJ188" s="318"/>
      <c r="AK188" s="318"/>
      <c r="AL188" s="318"/>
      <c r="AM188" s="318"/>
      <c r="AN188" s="318"/>
      <c r="AO188" s="318"/>
      <c r="AP188" s="318">
        <f t="shared" si="119"/>
        <v>675000000</v>
      </c>
      <c r="AQ188" s="319">
        <f t="shared" si="120"/>
        <v>0</v>
      </c>
      <c r="AR188" s="380"/>
      <c r="AS188" s="380"/>
      <c r="AT188" s="424"/>
      <c r="AU188" s="381"/>
      <c r="AV188" s="146" t="s">
        <v>1236</v>
      </c>
      <c r="AW188" s="146">
        <f>IFERROR(VLOOKUP(G188,'[71]Detail Deprec_202501'!$D$246:$I$393,6,FALSE),0)</f>
        <v>0</v>
      </c>
      <c r="AX188" s="501">
        <f t="shared" si="122"/>
        <v>0</v>
      </c>
    </row>
    <row r="189" spans="1:50" ht="12.9" customHeight="1" outlineLevel="1">
      <c r="A189" s="324">
        <f t="shared" si="114"/>
        <v>164</v>
      </c>
      <c r="B189" s="341" t="s">
        <v>142</v>
      </c>
      <c r="C189" s="344" t="s">
        <v>474</v>
      </c>
      <c r="D189" s="382">
        <v>155</v>
      </c>
      <c r="E189" s="382" t="s">
        <v>1711</v>
      </c>
      <c r="F189" s="336" t="s">
        <v>853</v>
      </c>
      <c r="G189" s="336" t="s">
        <v>854</v>
      </c>
      <c r="H189" s="383">
        <v>43383</v>
      </c>
      <c r="I189" s="392" t="s">
        <v>11</v>
      </c>
      <c r="J189" s="379" t="s">
        <v>855</v>
      </c>
      <c r="K189" s="351" t="s">
        <v>856</v>
      </c>
      <c r="L189" s="351" t="s">
        <v>857</v>
      </c>
      <c r="M189" s="379" t="s">
        <v>610</v>
      </c>
      <c r="N189" s="310">
        <v>2018</v>
      </c>
      <c r="O189" s="379" t="s">
        <v>858</v>
      </c>
      <c r="P189" s="351" t="s">
        <v>859</v>
      </c>
      <c r="Q189" s="351" t="s">
        <v>860</v>
      </c>
      <c r="R189" s="305">
        <v>1</v>
      </c>
      <c r="S189" s="410"/>
      <c r="T189" s="419">
        <v>165000000</v>
      </c>
      <c r="U189" s="411">
        <f t="shared" si="115"/>
        <v>2750000</v>
      </c>
      <c r="V189" s="316">
        <v>60</v>
      </c>
      <c r="W189" s="315">
        <v>60</v>
      </c>
      <c r="X189" s="412">
        <f t="shared" si="116"/>
        <v>0</v>
      </c>
      <c r="Y189" s="412">
        <f t="shared" si="117"/>
        <v>60</v>
      </c>
      <c r="Z189" s="317">
        <f t="shared" si="121"/>
        <v>0</v>
      </c>
      <c r="AA189" s="318">
        <v>165000000</v>
      </c>
      <c r="AB189" s="318">
        <v>0</v>
      </c>
      <c r="AC189" s="318">
        <f t="shared" si="118"/>
        <v>0</v>
      </c>
      <c r="AD189" s="318"/>
      <c r="AE189" s="318"/>
      <c r="AF189" s="318"/>
      <c r="AG189" s="318"/>
      <c r="AH189" s="318"/>
      <c r="AI189" s="318"/>
      <c r="AJ189" s="318"/>
      <c r="AK189" s="318"/>
      <c r="AL189" s="318"/>
      <c r="AM189" s="318"/>
      <c r="AN189" s="318"/>
      <c r="AO189" s="318"/>
      <c r="AP189" s="318">
        <f t="shared" si="119"/>
        <v>165000000</v>
      </c>
      <c r="AQ189" s="319">
        <f t="shared" si="120"/>
        <v>0</v>
      </c>
      <c r="AR189" s="380"/>
      <c r="AS189" s="380"/>
      <c r="AT189" s="356"/>
      <c r="AU189" s="381"/>
      <c r="AV189" s="146" t="s">
        <v>1236</v>
      </c>
      <c r="AW189" s="146">
        <f>IFERROR(VLOOKUP(G189,'[71]Detail Deprec_202501'!$D$246:$I$393,6,FALSE),0)</f>
        <v>0</v>
      </c>
      <c r="AX189" s="501">
        <f t="shared" si="122"/>
        <v>0</v>
      </c>
    </row>
    <row r="190" spans="1:50" ht="12.9" customHeight="1" outlineLevel="1">
      <c r="A190" s="324">
        <f t="shared" si="114"/>
        <v>165</v>
      </c>
      <c r="B190" s="341" t="s">
        <v>142</v>
      </c>
      <c r="C190" s="344" t="s">
        <v>474</v>
      </c>
      <c r="D190" s="382">
        <v>155</v>
      </c>
      <c r="E190" s="382" t="s">
        <v>1711</v>
      </c>
      <c r="F190" s="336" t="s">
        <v>853</v>
      </c>
      <c r="G190" s="336" t="s">
        <v>861</v>
      </c>
      <c r="H190" s="383">
        <v>43385</v>
      </c>
      <c r="I190" s="392" t="s">
        <v>11</v>
      </c>
      <c r="J190" s="379" t="s">
        <v>862</v>
      </c>
      <c r="K190" s="351" t="s">
        <v>863</v>
      </c>
      <c r="L190" s="351" t="s">
        <v>848</v>
      </c>
      <c r="M190" s="379" t="s">
        <v>610</v>
      </c>
      <c r="N190" s="310">
        <v>2018</v>
      </c>
      <c r="O190" s="379" t="s">
        <v>858</v>
      </c>
      <c r="P190" s="351" t="s">
        <v>864</v>
      </c>
      <c r="Q190" s="351" t="s">
        <v>865</v>
      </c>
      <c r="R190" s="305">
        <v>1</v>
      </c>
      <c r="S190" s="410"/>
      <c r="T190" s="419">
        <v>590000000</v>
      </c>
      <c r="U190" s="411">
        <f t="shared" si="115"/>
        <v>9833333.333333334</v>
      </c>
      <c r="V190" s="316">
        <v>60</v>
      </c>
      <c r="W190" s="315">
        <v>59.999999999999993</v>
      </c>
      <c r="X190" s="412">
        <f t="shared" si="116"/>
        <v>0</v>
      </c>
      <c r="Y190" s="412">
        <f t="shared" si="117"/>
        <v>59.999999999999993</v>
      </c>
      <c r="Z190" s="317">
        <f t="shared" si="121"/>
        <v>0</v>
      </c>
      <c r="AA190" s="318">
        <v>590000000</v>
      </c>
      <c r="AB190" s="318">
        <v>0</v>
      </c>
      <c r="AC190" s="318">
        <f t="shared" si="118"/>
        <v>0</v>
      </c>
      <c r="AD190" s="318"/>
      <c r="AE190" s="318"/>
      <c r="AF190" s="318"/>
      <c r="AG190" s="318"/>
      <c r="AH190" s="318"/>
      <c r="AI190" s="318"/>
      <c r="AJ190" s="318"/>
      <c r="AK190" s="318"/>
      <c r="AL190" s="318"/>
      <c r="AM190" s="318"/>
      <c r="AN190" s="318"/>
      <c r="AO190" s="318"/>
      <c r="AP190" s="318">
        <f t="shared" si="119"/>
        <v>590000000</v>
      </c>
      <c r="AQ190" s="319">
        <f t="shared" si="120"/>
        <v>0</v>
      </c>
      <c r="AR190" s="380"/>
      <c r="AS190" s="380"/>
      <c r="AT190" s="356"/>
      <c r="AU190" s="381"/>
      <c r="AV190" s="146" t="s">
        <v>1236</v>
      </c>
      <c r="AW190" s="146">
        <f>IFERROR(VLOOKUP(G190,'[71]Detail Deprec_202501'!$D$246:$I$393,6,FALSE),0)</f>
        <v>0</v>
      </c>
      <c r="AX190" s="501">
        <f t="shared" si="122"/>
        <v>0</v>
      </c>
    </row>
    <row r="191" spans="1:50" ht="12.9" customHeight="1" outlineLevel="1">
      <c r="A191" s="324">
        <f t="shared" si="114"/>
        <v>166</v>
      </c>
      <c r="B191" s="341" t="s">
        <v>142</v>
      </c>
      <c r="C191" s="344" t="s">
        <v>474</v>
      </c>
      <c r="D191" s="382">
        <v>155</v>
      </c>
      <c r="E191" s="382" t="s">
        <v>1711</v>
      </c>
      <c r="F191" s="336" t="s">
        <v>845</v>
      </c>
      <c r="G191" s="336" t="s">
        <v>866</v>
      </c>
      <c r="H191" s="383">
        <v>43395</v>
      </c>
      <c r="I191" s="392" t="s">
        <v>11</v>
      </c>
      <c r="J191" s="379" t="s">
        <v>867</v>
      </c>
      <c r="K191" s="351" t="s">
        <v>868</v>
      </c>
      <c r="L191" s="351" t="s">
        <v>869</v>
      </c>
      <c r="M191" s="379" t="s">
        <v>477</v>
      </c>
      <c r="N191" s="310">
        <v>2018</v>
      </c>
      <c r="O191" s="379" t="s">
        <v>849</v>
      </c>
      <c r="P191" s="351" t="s">
        <v>870</v>
      </c>
      <c r="Q191" s="351" t="s">
        <v>871</v>
      </c>
      <c r="R191" s="305">
        <v>1</v>
      </c>
      <c r="S191" s="410"/>
      <c r="T191" s="419">
        <v>192000000</v>
      </c>
      <c r="U191" s="411">
        <f t="shared" si="115"/>
        <v>3200000</v>
      </c>
      <c r="V191" s="316">
        <v>60</v>
      </c>
      <c r="W191" s="315">
        <v>60</v>
      </c>
      <c r="X191" s="412">
        <f t="shared" si="116"/>
        <v>0</v>
      </c>
      <c r="Y191" s="412">
        <f t="shared" si="117"/>
        <v>60</v>
      </c>
      <c r="Z191" s="317">
        <f t="shared" si="121"/>
        <v>0</v>
      </c>
      <c r="AA191" s="318">
        <v>192000000</v>
      </c>
      <c r="AB191" s="318">
        <v>0</v>
      </c>
      <c r="AC191" s="318">
        <f t="shared" si="118"/>
        <v>0</v>
      </c>
      <c r="AD191" s="318"/>
      <c r="AE191" s="318"/>
      <c r="AF191" s="318"/>
      <c r="AG191" s="318"/>
      <c r="AH191" s="318"/>
      <c r="AI191" s="318"/>
      <c r="AJ191" s="318"/>
      <c r="AK191" s="318"/>
      <c r="AL191" s="318"/>
      <c r="AM191" s="318"/>
      <c r="AN191" s="318"/>
      <c r="AO191" s="318"/>
      <c r="AP191" s="318">
        <f t="shared" si="119"/>
        <v>192000000</v>
      </c>
      <c r="AQ191" s="319">
        <f t="shared" si="120"/>
        <v>0</v>
      </c>
      <c r="AR191" s="380"/>
      <c r="AS191" s="380"/>
      <c r="AT191" s="356"/>
      <c r="AU191" s="381"/>
      <c r="AV191" s="146" t="s">
        <v>1236</v>
      </c>
      <c r="AW191" s="146">
        <f>IFERROR(VLOOKUP(G191,'[71]Detail Deprec_202501'!$D$246:$I$393,6,FALSE),0)</f>
        <v>0</v>
      </c>
      <c r="AX191" s="501">
        <f t="shared" si="122"/>
        <v>0</v>
      </c>
    </row>
    <row r="192" spans="1:50" ht="12.9" customHeight="1" outlineLevel="1">
      <c r="A192" s="324">
        <f t="shared" si="114"/>
        <v>167</v>
      </c>
      <c r="B192" s="341" t="s">
        <v>142</v>
      </c>
      <c r="C192" s="344" t="s">
        <v>474</v>
      </c>
      <c r="D192" s="382">
        <v>155</v>
      </c>
      <c r="E192" s="382" t="s">
        <v>1711</v>
      </c>
      <c r="F192" s="336" t="s">
        <v>850</v>
      </c>
      <c r="G192" s="336" t="s">
        <v>872</v>
      </c>
      <c r="H192" s="383">
        <v>43395</v>
      </c>
      <c r="I192" s="392" t="s">
        <v>11</v>
      </c>
      <c r="J192" s="379" t="s">
        <v>867</v>
      </c>
      <c r="K192" s="351" t="s">
        <v>868</v>
      </c>
      <c r="L192" s="351" t="s">
        <v>869</v>
      </c>
      <c r="M192" s="379" t="s">
        <v>477</v>
      </c>
      <c r="N192" s="310">
        <v>2018</v>
      </c>
      <c r="O192" s="379" t="s">
        <v>852</v>
      </c>
      <c r="P192" s="351" t="s">
        <v>870</v>
      </c>
      <c r="Q192" s="351" t="s">
        <v>871</v>
      </c>
      <c r="R192" s="305">
        <v>1</v>
      </c>
      <c r="S192" s="410"/>
      <c r="T192" s="419">
        <v>192000000</v>
      </c>
      <c r="U192" s="411">
        <f t="shared" ref="U192:U197" si="123">+T192/V192</f>
        <v>3200000</v>
      </c>
      <c r="V192" s="316">
        <v>60</v>
      </c>
      <c r="W192" s="315">
        <v>60</v>
      </c>
      <c r="X192" s="412">
        <f t="shared" ref="X192:X197" si="124">+AC192/U192</f>
        <v>0</v>
      </c>
      <c r="Y192" s="412">
        <f t="shared" ref="Y192:Y197" si="125">+W192+X192</f>
        <v>60</v>
      </c>
      <c r="Z192" s="317">
        <f t="shared" si="121"/>
        <v>0</v>
      </c>
      <c r="AA192" s="318">
        <v>192000000</v>
      </c>
      <c r="AB192" s="318">
        <v>0</v>
      </c>
      <c r="AC192" s="318">
        <f t="shared" si="118"/>
        <v>0</v>
      </c>
      <c r="AD192" s="318"/>
      <c r="AE192" s="318"/>
      <c r="AF192" s="318"/>
      <c r="AG192" s="318"/>
      <c r="AH192" s="318"/>
      <c r="AI192" s="318"/>
      <c r="AJ192" s="318"/>
      <c r="AK192" s="318"/>
      <c r="AL192" s="318"/>
      <c r="AM192" s="318"/>
      <c r="AN192" s="318"/>
      <c r="AO192" s="318"/>
      <c r="AP192" s="318">
        <f t="shared" ref="AP192:AP197" si="126">+AA192+AC192</f>
        <v>192000000</v>
      </c>
      <c r="AQ192" s="319">
        <f t="shared" ref="AQ192:AQ197" si="127">IF(AS192=$AS$24,((T192-AP192)*0),T192-AP192)</f>
        <v>0</v>
      </c>
      <c r="AR192" s="380"/>
      <c r="AS192" s="380"/>
      <c r="AT192" s="356"/>
      <c r="AU192" s="381"/>
      <c r="AV192" s="146" t="s">
        <v>1241</v>
      </c>
      <c r="AW192" s="146">
        <f>IFERROR(VLOOKUP(G192,'[71]Detail Deprec_202501'!$D$246:$I$393,6,FALSE),0)</f>
        <v>0</v>
      </c>
      <c r="AX192" s="501">
        <f t="shared" si="122"/>
        <v>0</v>
      </c>
    </row>
    <row r="193" spans="1:50" ht="12.9" customHeight="1" outlineLevel="1">
      <c r="A193" s="324">
        <f t="shared" si="114"/>
        <v>168</v>
      </c>
      <c r="B193" s="336" t="s">
        <v>142</v>
      </c>
      <c r="C193" s="351" t="s">
        <v>143</v>
      </c>
      <c r="D193" s="382">
        <v>155</v>
      </c>
      <c r="E193" s="382" t="s">
        <v>1707</v>
      </c>
      <c r="F193" s="336" t="s">
        <v>873</v>
      </c>
      <c r="G193" s="336" t="s">
        <v>874</v>
      </c>
      <c r="H193" s="383">
        <v>43416</v>
      </c>
      <c r="I193" s="392" t="s">
        <v>11</v>
      </c>
      <c r="J193" s="379" t="s">
        <v>875</v>
      </c>
      <c r="K193" s="351" t="s">
        <v>558</v>
      </c>
      <c r="L193" s="351" t="s">
        <v>848</v>
      </c>
      <c r="M193" s="379" t="s">
        <v>876</v>
      </c>
      <c r="N193" s="379">
        <v>2018</v>
      </c>
      <c r="O193" s="379" t="s">
        <v>877</v>
      </c>
      <c r="P193" s="351" t="s">
        <v>878</v>
      </c>
      <c r="Q193" s="351" t="s">
        <v>879</v>
      </c>
      <c r="R193" s="377">
        <v>1</v>
      </c>
      <c r="S193" s="410"/>
      <c r="T193" s="419">
        <v>178781818</v>
      </c>
      <c r="U193" s="411">
        <f t="shared" si="123"/>
        <v>2979696.9666666668</v>
      </c>
      <c r="V193" s="316">
        <v>60</v>
      </c>
      <c r="W193" s="315">
        <v>60.000000000000014</v>
      </c>
      <c r="X193" s="412">
        <f t="shared" si="124"/>
        <v>0</v>
      </c>
      <c r="Y193" s="412">
        <f t="shared" si="125"/>
        <v>60.000000000000014</v>
      </c>
      <c r="Z193" s="317">
        <f t="shared" si="121"/>
        <v>0</v>
      </c>
      <c r="AA193" s="318">
        <v>178781818.00000006</v>
      </c>
      <c r="AB193" s="318">
        <v>-5.9604644775390625E-8</v>
      </c>
      <c r="AC193" s="318">
        <f t="shared" si="118"/>
        <v>0</v>
      </c>
      <c r="AD193" s="318"/>
      <c r="AE193" s="318"/>
      <c r="AF193" s="318"/>
      <c r="AG193" s="318"/>
      <c r="AH193" s="318"/>
      <c r="AI193" s="318"/>
      <c r="AJ193" s="318"/>
      <c r="AK193" s="318"/>
      <c r="AL193" s="318"/>
      <c r="AM193" s="318"/>
      <c r="AN193" s="318"/>
      <c r="AO193" s="318"/>
      <c r="AP193" s="318">
        <f t="shared" si="126"/>
        <v>178781818.00000006</v>
      </c>
      <c r="AQ193" s="319">
        <f t="shared" si="127"/>
        <v>-5.9604644775390625E-8</v>
      </c>
      <c r="AR193" s="380"/>
      <c r="AS193" s="380"/>
      <c r="AT193" s="356"/>
      <c r="AU193" s="381"/>
      <c r="AV193" s="146" t="s">
        <v>1236</v>
      </c>
      <c r="AW193" s="146">
        <f>IFERROR(VLOOKUP(G193,'[70]Detail Deprec_202508'!$D$33:$I$357,6,FALSE),0)</f>
        <v>0</v>
      </c>
      <c r="AX193" s="146">
        <f t="shared" si="122"/>
        <v>0</v>
      </c>
    </row>
    <row r="194" spans="1:50" ht="12.9" customHeight="1" outlineLevel="1">
      <c r="A194" s="324">
        <f t="shared" si="114"/>
        <v>169</v>
      </c>
      <c r="B194" s="336" t="s">
        <v>142</v>
      </c>
      <c r="C194" s="351" t="s">
        <v>143</v>
      </c>
      <c r="D194" s="382">
        <v>155</v>
      </c>
      <c r="E194" s="382" t="s">
        <v>1707</v>
      </c>
      <c r="F194" s="336" t="s">
        <v>880</v>
      </c>
      <c r="G194" s="336" t="s">
        <v>881</v>
      </c>
      <c r="H194" s="383">
        <v>43469</v>
      </c>
      <c r="I194" s="392" t="s">
        <v>11</v>
      </c>
      <c r="J194" s="379" t="s">
        <v>882</v>
      </c>
      <c r="K194" s="425" t="s">
        <v>883</v>
      </c>
      <c r="L194" s="351" t="s">
        <v>848</v>
      </c>
      <c r="M194" s="426" t="s">
        <v>884</v>
      </c>
      <c r="N194" s="379">
        <v>2018</v>
      </c>
      <c r="O194" s="428" t="s">
        <v>885</v>
      </c>
      <c r="P194" s="425" t="s">
        <v>886</v>
      </c>
      <c r="Q194" s="425" t="s">
        <v>887</v>
      </c>
      <c r="R194" s="377">
        <v>1</v>
      </c>
      <c r="S194" s="427"/>
      <c r="T194" s="374">
        <v>197359091</v>
      </c>
      <c r="U194" s="313">
        <f t="shared" si="123"/>
        <v>3289318.1833333331</v>
      </c>
      <c r="V194" s="316">
        <v>60</v>
      </c>
      <c r="W194" s="315">
        <v>59.999999999999993</v>
      </c>
      <c r="X194" s="314">
        <f t="shared" si="124"/>
        <v>0</v>
      </c>
      <c r="Y194" s="316">
        <f t="shared" si="125"/>
        <v>59.999999999999993</v>
      </c>
      <c r="Z194" s="317">
        <f t="shared" si="121"/>
        <v>0</v>
      </c>
      <c r="AA194" s="318">
        <v>197359090.99999997</v>
      </c>
      <c r="AB194" s="318">
        <v>2.9802322387695313E-8</v>
      </c>
      <c r="AC194" s="318">
        <f t="shared" si="118"/>
        <v>0</v>
      </c>
      <c r="AD194" s="318"/>
      <c r="AE194" s="318"/>
      <c r="AF194" s="318"/>
      <c r="AG194" s="318"/>
      <c r="AH194" s="318"/>
      <c r="AI194" s="318"/>
      <c r="AJ194" s="318"/>
      <c r="AK194" s="318"/>
      <c r="AL194" s="318"/>
      <c r="AM194" s="318"/>
      <c r="AN194" s="318"/>
      <c r="AO194" s="318"/>
      <c r="AP194" s="318">
        <f t="shared" si="126"/>
        <v>197359090.99999997</v>
      </c>
      <c r="AQ194" s="319">
        <f t="shared" si="127"/>
        <v>2.9802322387695313E-8</v>
      </c>
      <c r="AR194" s="380"/>
      <c r="AS194" s="380"/>
      <c r="AT194" s="356"/>
      <c r="AU194" s="381"/>
      <c r="AV194" s="146" t="s">
        <v>1236</v>
      </c>
      <c r="AW194" s="146">
        <f>IFERROR(VLOOKUP(G194,'[70]Detail Deprec_202508'!$D$33:$I$357,6,FALSE),0)</f>
        <v>0</v>
      </c>
      <c r="AX194" s="146">
        <f t="shared" si="122"/>
        <v>0</v>
      </c>
    </row>
    <row r="195" spans="1:50" ht="12.9" customHeight="1" outlineLevel="1">
      <c r="A195" s="324">
        <f t="shared" si="114"/>
        <v>170</v>
      </c>
      <c r="B195" s="336" t="s">
        <v>142</v>
      </c>
      <c r="C195" s="351" t="s">
        <v>143</v>
      </c>
      <c r="D195" s="382">
        <v>155</v>
      </c>
      <c r="E195" s="382" t="s">
        <v>1707</v>
      </c>
      <c r="F195" s="336" t="s">
        <v>888</v>
      </c>
      <c r="G195" s="336" t="s">
        <v>889</v>
      </c>
      <c r="H195" s="383">
        <v>43676</v>
      </c>
      <c r="I195" s="392" t="s">
        <v>11</v>
      </c>
      <c r="J195" s="379" t="s">
        <v>890</v>
      </c>
      <c r="K195" s="351" t="s">
        <v>468</v>
      </c>
      <c r="L195" s="351" t="s">
        <v>378</v>
      </c>
      <c r="M195" s="316" t="s">
        <v>664</v>
      </c>
      <c r="N195" s="379">
        <v>2019</v>
      </c>
      <c r="O195" s="379"/>
      <c r="P195" s="362" t="s">
        <v>891</v>
      </c>
      <c r="Q195" s="362" t="s">
        <v>892</v>
      </c>
      <c r="R195" s="377">
        <v>1</v>
      </c>
      <c r="S195" s="410"/>
      <c r="T195" s="419">
        <v>322000000</v>
      </c>
      <c r="U195" s="411">
        <f t="shared" si="123"/>
        <v>5366666.666666667</v>
      </c>
      <c r="V195" s="316">
        <v>60</v>
      </c>
      <c r="W195" s="315">
        <v>60</v>
      </c>
      <c r="X195" s="314">
        <f t="shared" si="124"/>
        <v>0</v>
      </c>
      <c r="Y195" s="316">
        <f t="shared" si="125"/>
        <v>60</v>
      </c>
      <c r="Z195" s="317">
        <f t="shared" si="121"/>
        <v>0</v>
      </c>
      <c r="AA195" s="413">
        <v>322000000</v>
      </c>
      <c r="AB195" s="413">
        <v>0</v>
      </c>
      <c r="AC195" s="318">
        <f t="shared" ref="AC195:AC197" si="128">SUM(AD195:AL195)</f>
        <v>0</v>
      </c>
      <c r="AD195" s="318"/>
      <c r="AE195" s="318"/>
      <c r="AF195" s="318"/>
      <c r="AG195" s="318"/>
      <c r="AH195" s="318"/>
      <c r="AI195" s="318"/>
      <c r="AJ195" s="318"/>
      <c r="AK195" s="318"/>
      <c r="AL195" s="318"/>
      <c r="AM195" s="318"/>
      <c r="AN195" s="318"/>
      <c r="AO195" s="318"/>
      <c r="AP195" s="318">
        <f t="shared" si="126"/>
        <v>322000000</v>
      </c>
      <c r="AQ195" s="414">
        <f t="shared" si="127"/>
        <v>0</v>
      </c>
      <c r="AR195" s="415"/>
      <c r="AS195" s="415"/>
      <c r="AT195" s="416"/>
      <c r="AU195" s="405"/>
      <c r="AV195" s="146" t="s">
        <v>1236</v>
      </c>
      <c r="AW195" s="146">
        <f>IFERROR(VLOOKUP(G195,'[70]Detail Deprec_202508'!$D$33:$I$357,6,FALSE),0)</f>
        <v>0</v>
      </c>
      <c r="AX195" s="146">
        <f t="shared" si="122"/>
        <v>0</v>
      </c>
    </row>
    <row r="196" spans="1:50" ht="12.9" customHeight="1" outlineLevel="1">
      <c r="A196" s="324">
        <f t="shared" si="114"/>
        <v>171</v>
      </c>
      <c r="B196" s="341" t="s">
        <v>142</v>
      </c>
      <c r="C196" s="344" t="s">
        <v>474</v>
      </c>
      <c r="D196" s="377">
        <v>155</v>
      </c>
      <c r="E196" s="377" t="s">
        <v>1711</v>
      </c>
      <c r="F196" s="341" t="s">
        <v>643</v>
      </c>
      <c r="G196" s="341" t="s">
        <v>895</v>
      </c>
      <c r="H196" s="429">
        <v>43496</v>
      </c>
      <c r="I196" s="392" t="s">
        <v>11</v>
      </c>
      <c r="J196" s="379" t="s">
        <v>896</v>
      </c>
      <c r="K196" s="311" t="s">
        <v>897</v>
      </c>
      <c r="L196" s="430" t="s">
        <v>857</v>
      </c>
      <c r="M196" s="379" t="s">
        <v>610</v>
      </c>
      <c r="N196" s="310">
        <v>2019</v>
      </c>
      <c r="O196" s="311" t="s">
        <v>646</v>
      </c>
      <c r="P196" s="311"/>
      <c r="Q196" s="311"/>
      <c r="R196" s="305">
        <v>1</v>
      </c>
      <c r="S196" s="431"/>
      <c r="T196" s="432">
        <v>162000000</v>
      </c>
      <c r="U196" s="411">
        <f t="shared" si="123"/>
        <v>2700000</v>
      </c>
      <c r="V196" s="316">
        <v>60</v>
      </c>
      <c r="W196" s="315">
        <v>60</v>
      </c>
      <c r="X196" s="314">
        <f t="shared" si="124"/>
        <v>0</v>
      </c>
      <c r="Y196" s="317">
        <f t="shared" si="125"/>
        <v>60</v>
      </c>
      <c r="Z196" s="598">
        <f t="shared" si="121"/>
        <v>0</v>
      </c>
      <c r="AA196" s="413">
        <v>162000000</v>
      </c>
      <c r="AB196" s="413">
        <v>0</v>
      </c>
      <c r="AC196" s="318">
        <f t="shared" si="128"/>
        <v>0</v>
      </c>
      <c r="AD196" s="318"/>
      <c r="AE196" s="318"/>
      <c r="AF196" s="318"/>
      <c r="AG196" s="318"/>
      <c r="AH196" s="318"/>
      <c r="AI196" s="318"/>
      <c r="AJ196" s="318"/>
      <c r="AK196" s="318"/>
      <c r="AL196" s="318"/>
      <c r="AM196" s="318"/>
      <c r="AN196" s="318"/>
      <c r="AO196" s="318"/>
      <c r="AP196" s="318">
        <f t="shared" si="126"/>
        <v>162000000</v>
      </c>
      <c r="AQ196" s="319">
        <f t="shared" si="127"/>
        <v>0</v>
      </c>
      <c r="AR196" s="380"/>
      <c r="AS196" s="380"/>
      <c r="AT196" s="424"/>
      <c r="AU196" s="381"/>
      <c r="AV196" s="146" t="s">
        <v>1236</v>
      </c>
      <c r="AW196" s="146">
        <f>IFERROR(VLOOKUP(G196,'[71]Detail Deprec_202501'!$D$246:$I$393,6,FALSE),0)</f>
        <v>1.2</v>
      </c>
      <c r="AX196" s="501">
        <f t="shared" si="122"/>
        <v>1.2</v>
      </c>
    </row>
    <row r="197" spans="1:50" ht="12.9" customHeight="1" outlineLevel="1">
      <c r="A197" s="324">
        <f t="shared" si="114"/>
        <v>172</v>
      </c>
      <c r="B197" s="341" t="s">
        <v>142</v>
      </c>
      <c r="C197" s="344" t="s">
        <v>474</v>
      </c>
      <c r="D197" s="377">
        <v>155</v>
      </c>
      <c r="E197" s="377" t="s">
        <v>1711</v>
      </c>
      <c r="F197" s="341" t="s">
        <v>637</v>
      </c>
      <c r="G197" s="341" t="s">
        <v>898</v>
      </c>
      <c r="H197" s="429">
        <v>43496</v>
      </c>
      <c r="I197" s="392" t="s">
        <v>11</v>
      </c>
      <c r="J197" s="379" t="s">
        <v>896</v>
      </c>
      <c r="K197" s="311" t="s">
        <v>897</v>
      </c>
      <c r="L197" s="430" t="s">
        <v>857</v>
      </c>
      <c r="M197" s="379" t="s">
        <v>346</v>
      </c>
      <c r="N197" s="310">
        <v>2019</v>
      </c>
      <c r="O197" s="311" t="s">
        <v>640</v>
      </c>
      <c r="P197" s="311"/>
      <c r="Q197" s="311"/>
      <c r="R197" s="305">
        <v>1</v>
      </c>
      <c r="S197" s="431"/>
      <c r="T197" s="432">
        <v>162000000</v>
      </c>
      <c r="U197" s="411">
        <f t="shared" si="123"/>
        <v>2700000</v>
      </c>
      <c r="V197" s="316">
        <v>60</v>
      </c>
      <c r="W197" s="315">
        <v>60</v>
      </c>
      <c r="X197" s="314">
        <f t="shared" si="124"/>
        <v>0</v>
      </c>
      <c r="Y197" s="317">
        <f t="shared" si="125"/>
        <v>60</v>
      </c>
      <c r="Z197" s="598">
        <f t="shared" ref="Z197" si="129">+V197-Y197</f>
        <v>0</v>
      </c>
      <c r="AA197" s="413">
        <v>162000000</v>
      </c>
      <c r="AB197" s="413">
        <v>0</v>
      </c>
      <c r="AC197" s="318">
        <f t="shared" si="128"/>
        <v>0</v>
      </c>
      <c r="AD197" s="318"/>
      <c r="AE197" s="318"/>
      <c r="AF197" s="318"/>
      <c r="AG197" s="318"/>
      <c r="AH197" s="318"/>
      <c r="AI197" s="318"/>
      <c r="AJ197" s="318"/>
      <c r="AK197" s="318"/>
      <c r="AL197" s="318"/>
      <c r="AM197" s="318"/>
      <c r="AN197" s="318"/>
      <c r="AO197" s="318"/>
      <c r="AP197" s="318">
        <f t="shared" si="126"/>
        <v>162000000</v>
      </c>
      <c r="AQ197" s="319">
        <f t="shared" si="127"/>
        <v>0</v>
      </c>
      <c r="AR197" s="380"/>
      <c r="AS197" s="380"/>
      <c r="AT197" s="424"/>
      <c r="AU197" s="381"/>
      <c r="AV197" s="146" t="s">
        <v>1236</v>
      </c>
      <c r="AW197" s="146">
        <f>IFERROR(VLOOKUP(G197,'[71]Detail Deprec_202501'!$D$246:$I$393,6,FALSE),0)</f>
        <v>1.2</v>
      </c>
      <c r="AX197" s="501">
        <f t="shared" si="122"/>
        <v>1.2</v>
      </c>
    </row>
    <row r="198" spans="1:50" ht="12.9" customHeight="1" outlineLevel="1">
      <c r="A198" s="324">
        <f t="shared" si="114"/>
        <v>173</v>
      </c>
      <c r="B198" s="341" t="s">
        <v>142</v>
      </c>
      <c r="C198" s="344" t="s">
        <v>143</v>
      </c>
      <c r="D198" s="377">
        <v>155</v>
      </c>
      <c r="E198" s="377" t="s">
        <v>1707</v>
      </c>
      <c r="F198" s="341" t="s">
        <v>987</v>
      </c>
      <c r="G198" s="341" t="s">
        <v>988</v>
      </c>
      <c r="H198" s="429">
        <v>44818</v>
      </c>
      <c r="I198" s="392" t="s">
        <v>11</v>
      </c>
      <c r="J198" s="433" t="s">
        <v>989</v>
      </c>
      <c r="K198" s="311" t="s">
        <v>990</v>
      </c>
      <c r="L198" s="430" t="s">
        <v>848</v>
      </c>
      <c r="M198" s="316">
        <v>2</v>
      </c>
      <c r="N198" s="310">
        <v>2022</v>
      </c>
      <c r="O198" s="311" t="s">
        <v>991</v>
      </c>
      <c r="P198" s="311" t="s">
        <v>992</v>
      </c>
      <c r="Q198" s="311" t="s">
        <v>993</v>
      </c>
      <c r="R198" s="305">
        <v>1</v>
      </c>
      <c r="S198" s="431"/>
      <c r="T198" s="411">
        <v>328364415</v>
      </c>
      <c r="U198" s="411">
        <f t="shared" ref="U198:U200" si="130">+T198/V198</f>
        <v>5472740.25</v>
      </c>
      <c r="V198" s="316">
        <v>60</v>
      </c>
      <c r="W198" s="315">
        <v>28</v>
      </c>
      <c r="X198" s="314">
        <f t="shared" ref="X198:X200" si="131">+AC198/U198</f>
        <v>12</v>
      </c>
      <c r="Y198" s="317">
        <f t="shared" ref="Y198:Y200" si="132">+W198+X198</f>
        <v>40</v>
      </c>
      <c r="Z198" s="317">
        <f t="shared" ref="Z198:Z209" si="133">+V198-Y198</f>
        <v>20</v>
      </c>
      <c r="AA198" s="413">
        <v>153236727</v>
      </c>
      <c r="AB198" s="413">
        <v>175127688</v>
      </c>
      <c r="AC198" s="318">
        <f t="shared" ref="AC198:AC218" si="134">SUM(AD198:AO198)</f>
        <v>65672883</v>
      </c>
      <c r="AD198" s="318">
        <v>5472740.25</v>
      </c>
      <c r="AE198" s="318">
        <v>5472740.25</v>
      </c>
      <c r="AF198" s="318">
        <v>5472740.25</v>
      </c>
      <c r="AG198" s="318">
        <v>5472740.25</v>
      </c>
      <c r="AH198" s="318">
        <v>5472740.25</v>
      </c>
      <c r="AI198" s="318">
        <v>5472740.25</v>
      </c>
      <c r="AJ198" s="318">
        <v>5472740.25</v>
      </c>
      <c r="AK198" s="318">
        <v>5472740.25</v>
      </c>
      <c r="AL198" s="318">
        <v>5472740.25</v>
      </c>
      <c r="AM198" s="318">
        <v>5472740.25</v>
      </c>
      <c r="AN198" s="318">
        <v>5472740.25</v>
      </c>
      <c r="AO198" s="318">
        <v>5472740.25</v>
      </c>
      <c r="AP198" s="318">
        <f t="shared" ref="AP198:AP200" si="135">+AA198+AC198</f>
        <v>218909610</v>
      </c>
      <c r="AQ198" s="319">
        <f t="shared" ref="AQ198:AQ200" si="136">IF(AS198=$AS$24,((T198-AP198)*0),T198-AP198)</f>
        <v>109454805</v>
      </c>
      <c r="AR198" s="380"/>
      <c r="AS198" s="380"/>
      <c r="AT198" s="424"/>
      <c r="AU198" s="434"/>
      <c r="AV198" s="146" t="s">
        <v>1236</v>
      </c>
      <c r="AW198" s="146">
        <f>IFERROR(VLOOKUP(G198,'[70]Detail Deprec_202508'!$D$33:$I$357,6,FALSE),0)</f>
        <v>5472740.25</v>
      </c>
      <c r="AX198" s="146">
        <f t="shared" ref="AX198:AX200" si="137">AW198-AK198</f>
        <v>0</v>
      </c>
    </row>
    <row r="199" spans="1:50" ht="12.9" customHeight="1" outlineLevel="1">
      <c r="A199" s="324">
        <f t="shared" si="114"/>
        <v>174</v>
      </c>
      <c r="B199" s="341" t="s">
        <v>142</v>
      </c>
      <c r="C199" s="523" t="s">
        <v>474</v>
      </c>
      <c r="D199" s="377">
        <v>155</v>
      </c>
      <c r="E199" s="382" t="s">
        <v>1711</v>
      </c>
      <c r="F199" s="341" t="s">
        <v>1024</v>
      </c>
      <c r="G199" s="306" t="s">
        <v>1025</v>
      </c>
      <c r="H199" s="429">
        <v>45145</v>
      </c>
      <c r="I199" s="392" t="s">
        <v>11</v>
      </c>
      <c r="J199" s="433" t="s">
        <v>1026</v>
      </c>
      <c r="K199" s="310" t="s">
        <v>1027</v>
      </c>
      <c r="L199" s="430" t="s">
        <v>300</v>
      </c>
      <c r="M199" s="310" t="s">
        <v>1028</v>
      </c>
      <c r="N199" s="310">
        <v>2023</v>
      </c>
      <c r="O199" s="311" t="s">
        <v>1029</v>
      </c>
      <c r="P199" s="311" t="s">
        <v>1030</v>
      </c>
      <c r="Q199" s="443" t="s">
        <v>1031</v>
      </c>
      <c r="R199" s="305">
        <v>1</v>
      </c>
      <c r="S199" s="431"/>
      <c r="T199" s="411">
        <v>295765767</v>
      </c>
      <c r="U199" s="411">
        <f t="shared" si="130"/>
        <v>4929429.45</v>
      </c>
      <c r="V199" s="316">
        <v>60</v>
      </c>
      <c r="W199" s="315">
        <v>17</v>
      </c>
      <c r="X199" s="314">
        <f t="shared" si="131"/>
        <v>12.000000000000002</v>
      </c>
      <c r="Y199" s="317">
        <f t="shared" si="132"/>
        <v>29</v>
      </c>
      <c r="Z199" s="317">
        <f t="shared" si="133"/>
        <v>31</v>
      </c>
      <c r="AA199" s="413">
        <v>83800300.650000006</v>
      </c>
      <c r="AB199" s="413">
        <v>211965466.34999999</v>
      </c>
      <c r="AC199" s="318">
        <f t="shared" si="134"/>
        <v>59153153.400000013</v>
      </c>
      <c r="AD199" s="318">
        <v>4929429.45</v>
      </c>
      <c r="AE199" s="318">
        <v>4929429.45</v>
      </c>
      <c r="AF199" s="318">
        <v>4929429.45</v>
      </c>
      <c r="AG199" s="318">
        <v>4929429.45</v>
      </c>
      <c r="AH199" s="318">
        <v>4929429.45</v>
      </c>
      <c r="AI199" s="318">
        <v>4929429.45</v>
      </c>
      <c r="AJ199" s="318">
        <v>4929429.45</v>
      </c>
      <c r="AK199" s="318">
        <v>4929429.45</v>
      </c>
      <c r="AL199" s="318">
        <v>4929429.45</v>
      </c>
      <c r="AM199" s="318">
        <v>4929429.45</v>
      </c>
      <c r="AN199" s="318">
        <v>4929429.45</v>
      </c>
      <c r="AO199" s="318">
        <v>4929429.45</v>
      </c>
      <c r="AP199" s="318">
        <f t="shared" si="135"/>
        <v>142953454.05000001</v>
      </c>
      <c r="AQ199" s="319">
        <f t="shared" si="136"/>
        <v>152812312.94999999</v>
      </c>
      <c r="AR199" s="380"/>
      <c r="AS199" s="380"/>
      <c r="AT199" s="424"/>
      <c r="AU199" s="434">
        <v>45154</v>
      </c>
      <c r="AV199" s="146" t="s">
        <v>1236</v>
      </c>
      <c r="AW199" s="146">
        <f>IFERROR(VLOOKUP(G199,'[71]Detail Deprec_202501'!$D$246:$I$393,6,FALSE),0)</f>
        <v>4929429.45</v>
      </c>
      <c r="AX199" s="501">
        <f t="shared" si="137"/>
        <v>0</v>
      </c>
    </row>
    <row r="200" spans="1:50" ht="12.9" customHeight="1" outlineLevel="1">
      <c r="A200" s="324">
        <f t="shared" si="114"/>
        <v>175</v>
      </c>
      <c r="B200" s="341" t="s">
        <v>142</v>
      </c>
      <c r="C200" s="523" t="s">
        <v>474</v>
      </c>
      <c r="D200" s="377">
        <v>155</v>
      </c>
      <c r="E200" s="382" t="s">
        <v>1711</v>
      </c>
      <c r="F200" s="341" t="s">
        <v>1032</v>
      </c>
      <c r="G200" s="306" t="s">
        <v>1033</v>
      </c>
      <c r="H200" s="429">
        <v>45145</v>
      </c>
      <c r="I200" s="392" t="s">
        <v>11</v>
      </c>
      <c r="J200" s="433" t="s">
        <v>1026</v>
      </c>
      <c r="K200" s="310" t="s">
        <v>1034</v>
      </c>
      <c r="L200" s="430" t="s">
        <v>300</v>
      </c>
      <c r="M200" s="310" t="s">
        <v>1028</v>
      </c>
      <c r="N200" s="310">
        <v>2023</v>
      </c>
      <c r="O200" s="311" t="s">
        <v>1029</v>
      </c>
      <c r="P200" s="311"/>
      <c r="Q200" s="443"/>
      <c r="R200" s="305">
        <v>1</v>
      </c>
      <c r="S200" s="431"/>
      <c r="T200" s="411">
        <v>55000000</v>
      </c>
      <c r="U200" s="411">
        <f t="shared" si="130"/>
        <v>916666.66666666663</v>
      </c>
      <c r="V200" s="316">
        <v>60</v>
      </c>
      <c r="W200" s="315">
        <v>17</v>
      </c>
      <c r="X200" s="314">
        <f t="shared" si="131"/>
        <v>12</v>
      </c>
      <c r="Y200" s="317">
        <f t="shared" si="132"/>
        <v>29</v>
      </c>
      <c r="Z200" s="317">
        <f t="shared" si="133"/>
        <v>31</v>
      </c>
      <c r="AA200" s="413">
        <v>15583333.333333332</v>
      </c>
      <c r="AB200" s="413">
        <v>39416666.666666672</v>
      </c>
      <c r="AC200" s="318">
        <f t="shared" si="134"/>
        <v>11000000</v>
      </c>
      <c r="AD200" s="318">
        <v>916666.66666666663</v>
      </c>
      <c r="AE200" s="318">
        <v>916666.66666666663</v>
      </c>
      <c r="AF200" s="318">
        <v>916666.66666666663</v>
      </c>
      <c r="AG200" s="318">
        <v>916666.66666666663</v>
      </c>
      <c r="AH200" s="318">
        <v>916666.66666666663</v>
      </c>
      <c r="AI200" s="318">
        <v>916666.66666666663</v>
      </c>
      <c r="AJ200" s="318">
        <v>916666.66666666663</v>
      </c>
      <c r="AK200" s="318">
        <v>916666.66666666663</v>
      </c>
      <c r="AL200" s="318">
        <v>916666.66666666663</v>
      </c>
      <c r="AM200" s="318">
        <v>916666.66666666663</v>
      </c>
      <c r="AN200" s="318">
        <v>916666.66666666663</v>
      </c>
      <c r="AO200" s="318">
        <v>916666.66666666663</v>
      </c>
      <c r="AP200" s="318">
        <f t="shared" si="135"/>
        <v>26583333.333333332</v>
      </c>
      <c r="AQ200" s="319">
        <f t="shared" si="136"/>
        <v>28416666.666666668</v>
      </c>
      <c r="AR200" s="380"/>
      <c r="AS200" s="380"/>
      <c r="AT200" s="424"/>
      <c r="AU200" s="434">
        <v>45154</v>
      </c>
      <c r="AV200" s="146" t="s">
        <v>1236</v>
      </c>
      <c r="AW200" s="146">
        <f>IFERROR(VLOOKUP(G200,'[71]Detail Deprec_202501'!$D$246:$I$393,6,FALSE),0)</f>
        <v>916666.67</v>
      </c>
      <c r="AX200" s="501">
        <f t="shared" si="137"/>
        <v>3.3333334140479565E-3</v>
      </c>
    </row>
    <row r="201" spans="1:50" ht="12.9" customHeight="1" outlineLevel="1">
      <c r="A201" s="324">
        <f t="shared" si="114"/>
        <v>176</v>
      </c>
      <c r="B201" s="341" t="s">
        <v>142</v>
      </c>
      <c r="C201" s="344" t="s">
        <v>143</v>
      </c>
      <c r="D201" s="377">
        <v>155</v>
      </c>
      <c r="E201" s="377" t="s">
        <v>1710</v>
      </c>
      <c r="F201" s="341" t="s">
        <v>894</v>
      </c>
      <c r="G201" s="306" t="s">
        <v>1036</v>
      </c>
      <c r="H201" s="429">
        <v>45322</v>
      </c>
      <c r="I201" s="392"/>
      <c r="J201" s="433"/>
      <c r="K201" s="310" t="s">
        <v>468</v>
      </c>
      <c r="L201" s="430" t="s">
        <v>469</v>
      </c>
      <c r="M201" s="310" t="s">
        <v>470</v>
      </c>
      <c r="N201" s="310">
        <v>2024</v>
      </c>
      <c r="O201" s="311" t="s">
        <v>1035</v>
      </c>
      <c r="P201" s="311" t="s">
        <v>1037</v>
      </c>
      <c r="Q201" s="443" t="s">
        <v>1038</v>
      </c>
      <c r="R201" s="305">
        <v>1</v>
      </c>
      <c r="S201" s="431"/>
      <c r="T201" s="411">
        <v>432000000</v>
      </c>
      <c r="U201" s="411">
        <f t="shared" ref="U201:U209" si="138">+T201/V201</f>
        <v>7200000</v>
      </c>
      <c r="V201" s="316">
        <v>60</v>
      </c>
      <c r="W201" s="315">
        <v>12</v>
      </c>
      <c r="X201" s="314">
        <f t="shared" ref="X201:X209" si="139">+AC201/U201</f>
        <v>12</v>
      </c>
      <c r="Y201" s="317">
        <f t="shared" ref="Y201:Y209" si="140">+W201+X201</f>
        <v>24</v>
      </c>
      <c r="Z201" s="317">
        <f t="shared" si="133"/>
        <v>36</v>
      </c>
      <c r="AA201" s="413">
        <v>86400000</v>
      </c>
      <c r="AB201" s="413">
        <v>345600000</v>
      </c>
      <c r="AC201" s="318">
        <f t="shared" si="134"/>
        <v>86400000</v>
      </c>
      <c r="AD201" s="318">
        <v>7200000</v>
      </c>
      <c r="AE201" s="318">
        <v>7200000</v>
      </c>
      <c r="AF201" s="318">
        <v>7200000</v>
      </c>
      <c r="AG201" s="318">
        <v>7200000</v>
      </c>
      <c r="AH201" s="318">
        <v>7200000</v>
      </c>
      <c r="AI201" s="318">
        <v>7200000</v>
      </c>
      <c r="AJ201" s="318">
        <v>7200000</v>
      </c>
      <c r="AK201" s="318">
        <v>7200000</v>
      </c>
      <c r="AL201" s="318">
        <v>7200000</v>
      </c>
      <c r="AM201" s="318">
        <v>7200000</v>
      </c>
      <c r="AN201" s="318">
        <v>7200000</v>
      </c>
      <c r="AO201" s="318">
        <v>7200000</v>
      </c>
      <c r="AP201" s="318">
        <f t="shared" ref="AP201:AP209" si="141">+AA201+AC201</f>
        <v>172800000</v>
      </c>
      <c r="AQ201" s="319">
        <f t="shared" ref="AQ201:AQ209" si="142">IF(AS201=$AS$24,((T201-AP201)*0),T201-AP201)</f>
        <v>259200000</v>
      </c>
      <c r="AR201" s="380"/>
      <c r="AS201" s="380"/>
      <c r="AT201" s="424"/>
      <c r="AU201" s="434"/>
      <c r="AV201" s="146" t="s">
        <v>1236</v>
      </c>
      <c r="AW201" s="146">
        <f>IFERROR(VLOOKUP(G201,'[70]Detail Deprec_202508'!$D$33:$I$357,6,FALSE),0)</f>
        <v>7200000</v>
      </c>
      <c r="AX201" s="146">
        <f t="shared" ref="AX201:AX214" si="143">AW201-AK201</f>
        <v>0</v>
      </c>
    </row>
    <row r="202" spans="1:50" ht="12.9" customHeight="1" outlineLevel="1">
      <c r="A202" s="324">
        <f t="shared" si="114"/>
        <v>177</v>
      </c>
      <c r="B202" s="341" t="s">
        <v>142</v>
      </c>
      <c r="C202" s="344" t="s">
        <v>143</v>
      </c>
      <c r="D202" s="377">
        <v>155</v>
      </c>
      <c r="E202" s="377" t="s">
        <v>1710</v>
      </c>
      <c r="F202" s="341" t="s">
        <v>893</v>
      </c>
      <c r="G202" s="306" t="s">
        <v>1039</v>
      </c>
      <c r="H202" s="429">
        <v>45322</v>
      </c>
      <c r="I202" s="392"/>
      <c r="J202" s="433"/>
      <c r="K202" s="310" t="s">
        <v>468</v>
      </c>
      <c r="L202" s="430" t="s">
        <v>469</v>
      </c>
      <c r="M202" s="310" t="s">
        <v>551</v>
      </c>
      <c r="N202" s="310">
        <v>2024</v>
      </c>
      <c r="O202" s="311" t="s">
        <v>1040</v>
      </c>
      <c r="P202" s="311" t="s">
        <v>1041</v>
      </c>
      <c r="Q202" s="443" t="s">
        <v>1042</v>
      </c>
      <c r="R202" s="305">
        <v>1</v>
      </c>
      <c r="S202" s="431"/>
      <c r="T202" s="411">
        <v>414000000</v>
      </c>
      <c r="U202" s="411">
        <f t="shared" si="138"/>
        <v>6900000</v>
      </c>
      <c r="V202" s="316">
        <v>60</v>
      </c>
      <c r="W202" s="315">
        <v>12</v>
      </c>
      <c r="X202" s="314">
        <f t="shared" si="139"/>
        <v>12</v>
      </c>
      <c r="Y202" s="317">
        <f t="shared" si="140"/>
        <v>24</v>
      </c>
      <c r="Z202" s="317">
        <f t="shared" si="133"/>
        <v>36</v>
      </c>
      <c r="AA202" s="413">
        <v>82800000</v>
      </c>
      <c r="AB202" s="413">
        <v>331200000</v>
      </c>
      <c r="AC202" s="318">
        <f t="shared" si="134"/>
        <v>82800000</v>
      </c>
      <c r="AD202" s="318">
        <v>6900000</v>
      </c>
      <c r="AE202" s="318">
        <v>6900000</v>
      </c>
      <c r="AF202" s="318">
        <v>6900000</v>
      </c>
      <c r="AG202" s="318">
        <v>6900000</v>
      </c>
      <c r="AH202" s="318">
        <v>6900000</v>
      </c>
      <c r="AI202" s="318">
        <v>6900000</v>
      </c>
      <c r="AJ202" s="318">
        <v>6900000</v>
      </c>
      <c r="AK202" s="318">
        <v>6900000</v>
      </c>
      <c r="AL202" s="318">
        <v>6900000</v>
      </c>
      <c r="AM202" s="318">
        <v>6900000</v>
      </c>
      <c r="AN202" s="318">
        <v>6900000</v>
      </c>
      <c r="AO202" s="318">
        <v>6900000</v>
      </c>
      <c r="AP202" s="318">
        <f t="shared" si="141"/>
        <v>165600000</v>
      </c>
      <c r="AQ202" s="319">
        <f t="shared" si="142"/>
        <v>248400000</v>
      </c>
      <c r="AR202" s="380"/>
      <c r="AS202" s="380"/>
      <c r="AT202" s="424"/>
      <c r="AU202" s="434"/>
      <c r="AV202" s="146" t="s">
        <v>1236</v>
      </c>
      <c r="AW202" s="146">
        <f>IFERROR(VLOOKUP(G202,'[70]Detail Deprec_202508'!$D$33:$I$357,6,FALSE),0)</f>
        <v>6900000</v>
      </c>
      <c r="AX202" s="146">
        <f t="shared" si="143"/>
        <v>0</v>
      </c>
    </row>
    <row r="203" spans="1:50" ht="12.9" customHeight="1" outlineLevel="1">
      <c r="A203" s="324">
        <f t="shared" si="114"/>
        <v>178</v>
      </c>
      <c r="B203" s="341" t="s">
        <v>142</v>
      </c>
      <c r="C203" s="523" t="s">
        <v>474</v>
      </c>
      <c r="D203" s="377">
        <v>155</v>
      </c>
      <c r="E203" s="377" t="s">
        <v>1711</v>
      </c>
      <c r="F203" s="341" t="s">
        <v>1043</v>
      </c>
      <c r="G203" s="306" t="s">
        <v>1044</v>
      </c>
      <c r="H203" s="429">
        <v>45379</v>
      </c>
      <c r="I203" s="392"/>
      <c r="J203" s="433"/>
      <c r="K203" s="310" t="s">
        <v>1045</v>
      </c>
      <c r="L203" s="430" t="s">
        <v>300</v>
      </c>
      <c r="M203" s="310" t="s">
        <v>519</v>
      </c>
      <c r="N203" s="310">
        <v>2024</v>
      </c>
      <c r="O203" s="311" t="s">
        <v>1046</v>
      </c>
      <c r="P203" s="311" t="s">
        <v>1047</v>
      </c>
      <c r="Q203" s="311" t="s">
        <v>1048</v>
      </c>
      <c r="R203" s="305">
        <v>1</v>
      </c>
      <c r="S203" s="431"/>
      <c r="T203" s="411">
        <v>377540541</v>
      </c>
      <c r="U203" s="411">
        <f t="shared" si="138"/>
        <v>6292342.3499999996</v>
      </c>
      <c r="V203" s="316">
        <v>60</v>
      </c>
      <c r="W203" s="315">
        <v>10.000000000000002</v>
      </c>
      <c r="X203" s="314">
        <f t="shared" si="139"/>
        <v>12.000000000000002</v>
      </c>
      <c r="Y203" s="317">
        <f t="shared" si="140"/>
        <v>22.000000000000004</v>
      </c>
      <c r="Z203" s="317">
        <f t="shared" si="133"/>
        <v>38</v>
      </c>
      <c r="AA203" s="413">
        <v>62923423.500000007</v>
      </c>
      <c r="AB203" s="413">
        <v>314617117.5</v>
      </c>
      <c r="AC203" s="318">
        <f t="shared" si="134"/>
        <v>75508108.200000003</v>
      </c>
      <c r="AD203" s="318">
        <v>6292342.3499999996</v>
      </c>
      <c r="AE203" s="318">
        <v>6292342.3499999996</v>
      </c>
      <c r="AF203" s="318">
        <v>6292342.3499999996</v>
      </c>
      <c r="AG203" s="318">
        <v>6292342.3499999996</v>
      </c>
      <c r="AH203" s="318">
        <v>6292342.3499999996</v>
      </c>
      <c r="AI203" s="318">
        <v>6292342.3499999996</v>
      </c>
      <c r="AJ203" s="318">
        <v>6292342.3499999996</v>
      </c>
      <c r="AK203" s="318">
        <v>6292342.3499999996</v>
      </c>
      <c r="AL203" s="318">
        <v>6292342.3499999996</v>
      </c>
      <c r="AM203" s="318">
        <v>6292342.3499999996</v>
      </c>
      <c r="AN203" s="318">
        <v>6292342.3499999996</v>
      </c>
      <c r="AO203" s="318">
        <v>6292342.3499999996</v>
      </c>
      <c r="AP203" s="318">
        <f t="shared" si="141"/>
        <v>138431531.70000002</v>
      </c>
      <c r="AQ203" s="319">
        <f t="shared" si="142"/>
        <v>239109009.29999998</v>
      </c>
      <c r="AR203" s="380"/>
      <c r="AS203" s="380"/>
      <c r="AT203" s="424"/>
      <c r="AU203" s="434"/>
      <c r="AV203" s="146" t="s">
        <v>1236</v>
      </c>
      <c r="AW203" s="146">
        <f>IFERROR(VLOOKUP(G203,'[71]Detail Deprec_202501'!$D$246:$I$393,6,FALSE),0)</f>
        <v>6292342.3499999996</v>
      </c>
      <c r="AX203" s="501">
        <f t="shared" si="143"/>
        <v>0</v>
      </c>
    </row>
    <row r="204" spans="1:50" ht="12.9" customHeight="1" outlineLevel="1">
      <c r="A204" s="324">
        <f t="shared" si="114"/>
        <v>179</v>
      </c>
      <c r="B204" s="341" t="s">
        <v>142</v>
      </c>
      <c r="C204" s="523" t="s">
        <v>474</v>
      </c>
      <c r="D204" s="377">
        <v>155</v>
      </c>
      <c r="E204" s="377" t="s">
        <v>1711</v>
      </c>
      <c r="F204" s="341" t="s">
        <v>1049</v>
      </c>
      <c r="G204" s="306" t="s">
        <v>1050</v>
      </c>
      <c r="H204" s="429">
        <v>45379</v>
      </c>
      <c r="I204" s="392"/>
      <c r="J204" s="433"/>
      <c r="K204" s="310" t="s">
        <v>1051</v>
      </c>
      <c r="L204" s="430" t="s">
        <v>300</v>
      </c>
      <c r="M204" s="310" t="s">
        <v>519</v>
      </c>
      <c r="N204" s="310">
        <v>2024</v>
      </c>
      <c r="O204" s="311" t="s">
        <v>1046</v>
      </c>
      <c r="P204" s="311" t="s">
        <v>1052</v>
      </c>
      <c r="Q204" s="311"/>
      <c r="R204" s="305">
        <v>1</v>
      </c>
      <c r="S204" s="431"/>
      <c r="T204" s="411">
        <v>45000000</v>
      </c>
      <c r="U204" s="411">
        <f t="shared" si="138"/>
        <v>750000</v>
      </c>
      <c r="V204" s="316">
        <v>60</v>
      </c>
      <c r="W204" s="315">
        <v>10</v>
      </c>
      <c r="X204" s="314">
        <f t="shared" si="139"/>
        <v>12</v>
      </c>
      <c r="Y204" s="317">
        <f t="shared" si="140"/>
        <v>22</v>
      </c>
      <c r="Z204" s="317">
        <f t="shared" si="133"/>
        <v>38</v>
      </c>
      <c r="AA204" s="413">
        <v>7500000</v>
      </c>
      <c r="AB204" s="413">
        <v>37500000</v>
      </c>
      <c r="AC204" s="318">
        <f t="shared" si="134"/>
        <v>9000000</v>
      </c>
      <c r="AD204" s="318">
        <v>750000</v>
      </c>
      <c r="AE204" s="318">
        <v>750000</v>
      </c>
      <c r="AF204" s="318">
        <v>750000</v>
      </c>
      <c r="AG204" s="318">
        <v>750000</v>
      </c>
      <c r="AH204" s="318">
        <v>750000</v>
      </c>
      <c r="AI204" s="318">
        <v>750000</v>
      </c>
      <c r="AJ204" s="318">
        <v>750000</v>
      </c>
      <c r="AK204" s="318">
        <v>750000</v>
      </c>
      <c r="AL204" s="318">
        <v>750000</v>
      </c>
      <c r="AM204" s="318">
        <v>750000</v>
      </c>
      <c r="AN204" s="318">
        <v>750000</v>
      </c>
      <c r="AO204" s="318">
        <v>750000</v>
      </c>
      <c r="AP204" s="318">
        <f t="shared" si="141"/>
        <v>16500000</v>
      </c>
      <c r="AQ204" s="319">
        <f t="shared" si="142"/>
        <v>28500000</v>
      </c>
      <c r="AR204" s="380"/>
      <c r="AS204" s="380"/>
      <c r="AT204" s="424"/>
      <c r="AU204" s="434"/>
      <c r="AV204" s="146" t="s">
        <v>1236</v>
      </c>
      <c r="AW204" s="146">
        <f>IFERROR(VLOOKUP(G204,'[71]Detail Deprec_202501'!$D$246:$I$393,6,FALSE),0)</f>
        <v>750000</v>
      </c>
      <c r="AX204" s="501">
        <f t="shared" si="143"/>
        <v>0</v>
      </c>
    </row>
    <row r="205" spans="1:50" ht="12.9" customHeight="1" outlineLevel="1">
      <c r="A205" s="324">
        <f t="shared" si="114"/>
        <v>180</v>
      </c>
      <c r="B205" s="341" t="s">
        <v>142</v>
      </c>
      <c r="C205" s="523" t="s">
        <v>143</v>
      </c>
      <c r="D205" s="377">
        <v>155</v>
      </c>
      <c r="E205" s="377" t="s">
        <v>1707</v>
      </c>
      <c r="F205" s="341" t="s">
        <v>1053</v>
      </c>
      <c r="G205" s="306" t="s">
        <v>1054</v>
      </c>
      <c r="H205" s="429">
        <v>45378</v>
      </c>
      <c r="I205" s="392"/>
      <c r="J205" s="433"/>
      <c r="K205" s="310" t="s">
        <v>1055</v>
      </c>
      <c r="L205" s="430" t="s">
        <v>469</v>
      </c>
      <c r="M205" s="310" t="s">
        <v>551</v>
      </c>
      <c r="N205" s="310">
        <v>2024</v>
      </c>
      <c r="O205" s="311" t="s">
        <v>1056</v>
      </c>
      <c r="P205" s="311" t="s">
        <v>1057</v>
      </c>
      <c r="Q205" s="311" t="s">
        <v>1057</v>
      </c>
      <c r="R205" s="305">
        <v>1</v>
      </c>
      <c r="S205" s="431"/>
      <c r="T205" s="411">
        <v>414000000</v>
      </c>
      <c r="U205" s="411">
        <f t="shared" si="138"/>
        <v>6900000</v>
      </c>
      <c r="V205" s="316">
        <v>60</v>
      </c>
      <c r="W205" s="315">
        <v>10</v>
      </c>
      <c r="X205" s="314">
        <f t="shared" si="139"/>
        <v>12</v>
      </c>
      <c r="Y205" s="317">
        <f t="shared" si="140"/>
        <v>22</v>
      </c>
      <c r="Z205" s="317">
        <f t="shared" si="133"/>
        <v>38</v>
      </c>
      <c r="AA205" s="413">
        <v>69000000</v>
      </c>
      <c r="AB205" s="413">
        <v>345000000</v>
      </c>
      <c r="AC205" s="318">
        <f t="shared" si="134"/>
        <v>82800000</v>
      </c>
      <c r="AD205" s="318">
        <v>6900000</v>
      </c>
      <c r="AE205" s="318">
        <v>6900000</v>
      </c>
      <c r="AF205" s="318">
        <v>6900000</v>
      </c>
      <c r="AG205" s="318">
        <v>6900000</v>
      </c>
      <c r="AH205" s="318">
        <v>6900000</v>
      </c>
      <c r="AI205" s="318">
        <v>6900000</v>
      </c>
      <c r="AJ205" s="318">
        <v>6900000</v>
      </c>
      <c r="AK205" s="318">
        <v>6900000</v>
      </c>
      <c r="AL205" s="318">
        <v>6900000</v>
      </c>
      <c r="AM205" s="318">
        <v>6900000</v>
      </c>
      <c r="AN205" s="318">
        <v>6900000</v>
      </c>
      <c r="AO205" s="318">
        <v>6900000</v>
      </c>
      <c r="AP205" s="318">
        <f t="shared" si="141"/>
        <v>151800000</v>
      </c>
      <c r="AQ205" s="319">
        <f t="shared" si="142"/>
        <v>262200000</v>
      </c>
      <c r="AR205" s="380"/>
      <c r="AS205" s="380"/>
      <c r="AT205" s="424"/>
      <c r="AU205" s="434"/>
      <c r="AV205" s="146" t="s">
        <v>1236</v>
      </c>
      <c r="AW205" s="146">
        <f>IFERROR(VLOOKUP(G205,'[70]Detail Deprec_202508'!$D$33:$I$357,6,FALSE),0)</f>
        <v>6900000</v>
      </c>
      <c r="AX205" s="146">
        <f t="shared" si="143"/>
        <v>0</v>
      </c>
    </row>
    <row r="206" spans="1:50" ht="12.9" customHeight="1" outlineLevel="1">
      <c r="A206" s="324">
        <f t="shared" si="114"/>
        <v>181</v>
      </c>
      <c r="B206" s="341" t="s">
        <v>142</v>
      </c>
      <c r="C206" s="523" t="s">
        <v>143</v>
      </c>
      <c r="D206" s="377">
        <v>155</v>
      </c>
      <c r="E206" s="377" t="s">
        <v>1707</v>
      </c>
      <c r="F206" s="341" t="s">
        <v>1058</v>
      </c>
      <c r="G206" s="306" t="s">
        <v>1059</v>
      </c>
      <c r="H206" s="429">
        <v>45378</v>
      </c>
      <c r="I206" s="392"/>
      <c r="J206" s="433"/>
      <c r="K206" s="310" t="s">
        <v>1055</v>
      </c>
      <c r="L206" s="430" t="s">
        <v>469</v>
      </c>
      <c r="M206" s="310" t="s">
        <v>551</v>
      </c>
      <c r="N206" s="310">
        <v>2024</v>
      </c>
      <c r="O206" s="311" t="s">
        <v>1056</v>
      </c>
      <c r="P206" s="311" t="s">
        <v>1060</v>
      </c>
      <c r="Q206" s="311" t="s">
        <v>1060</v>
      </c>
      <c r="R206" s="305">
        <v>1</v>
      </c>
      <c r="S206" s="431"/>
      <c r="T206" s="411">
        <v>414000000</v>
      </c>
      <c r="U206" s="411">
        <f t="shared" si="138"/>
        <v>6900000</v>
      </c>
      <c r="V206" s="316">
        <v>60</v>
      </c>
      <c r="W206" s="315">
        <v>10</v>
      </c>
      <c r="X206" s="314">
        <f t="shared" si="139"/>
        <v>12</v>
      </c>
      <c r="Y206" s="317">
        <f t="shared" si="140"/>
        <v>22</v>
      </c>
      <c r="Z206" s="317">
        <f t="shared" si="133"/>
        <v>38</v>
      </c>
      <c r="AA206" s="413">
        <v>69000000</v>
      </c>
      <c r="AB206" s="413">
        <v>345000000</v>
      </c>
      <c r="AC206" s="318">
        <f t="shared" si="134"/>
        <v>82800000</v>
      </c>
      <c r="AD206" s="318">
        <v>6900000</v>
      </c>
      <c r="AE206" s="318">
        <v>6900000</v>
      </c>
      <c r="AF206" s="318">
        <v>6900000</v>
      </c>
      <c r="AG206" s="318">
        <v>6900000</v>
      </c>
      <c r="AH206" s="318">
        <v>6900000</v>
      </c>
      <c r="AI206" s="318">
        <v>6900000</v>
      </c>
      <c r="AJ206" s="318">
        <v>6900000</v>
      </c>
      <c r="AK206" s="318">
        <v>6900000</v>
      </c>
      <c r="AL206" s="318">
        <v>6900000</v>
      </c>
      <c r="AM206" s="318">
        <v>6900000</v>
      </c>
      <c r="AN206" s="318">
        <v>6900000</v>
      </c>
      <c r="AO206" s="318">
        <v>6900000</v>
      </c>
      <c r="AP206" s="318">
        <f t="shared" si="141"/>
        <v>151800000</v>
      </c>
      <c r="AQ206" s="319">
        <f t="shared" si="142"/>
        <v>262200000</v>
      </c>
      <c r="AR206" s="380"/>
      <c r="AS206" s="380"/>
      <c r="AT206" s="424"/>
      <c r="AU206" s="434"/>
      <c r="AV206" s="146" t="s">
        <v>1236</v>
      </c>
      <c r="AW206" s="146">
        <f>IFERROR(VLOOKUP(G206,'[70]Detail Deprec_202508'!$D$33:$I$357,6,FALSE),0)</f>
        <v>6900000</v>
      </c>
      <c r="AX206" s="146">
        <f t="shared" si="143"/>
        <v>0</v>
      </c>
    </row>
    <row r="207" spans="1:50" ht="12.9" customHeight="1" outlineLevel="1">
      <c r="A207" s="324">
        <f t="shared" si="114"/>
        <v>182</v>
      </c>
      <c r="B207" s="560" t="s">
        <v>142</v>
      </c>
      <c r="C207" s="561" t="s">
        <v>143</v>
      </c>
      <c r="D207" s="562">
        <v>155</v>
      </c>
      <c r="E207" s="562" t="s">
        <v>1707</v>
      </c>
      <c r="F207" s="560" t="s">
        <v>1062</v>
      </c>
      <c r="G207" s="306" t="s">
        <v>1063</v>
      </c>
      <c r="H207" s="563">
        <v>45504</v>
      </c>
      <c r="I207" s="566"/>
      <c r="J207" s="567"/>
      <c r="K207" s="463" t="s">
        <v>468</v>
      </c>
      <c r="L207" s="564" t="s">
        <v>469</v>
      </c>
      <c r="M207" s="463" t="s">
        <v>551</v>
      </c>
      <c r="N207" s="310">
        <v>2024</v>
      </c>
      <c r="O207" s="464">
        <v>42491</v>
      </c>
      <c r="P207" s="464" t="s">
        <v>1064</v>
      </c>
      <c r="Q207" s="464" t="s">
        <v>1064</v>
      </c>
      <c r="R207" s="458">
        <v>1</v>
      </c>
      <c r="S207" s="568"/>
      <c r="T207" s="565">
        <v>414000000</v>
      </c>
      <c r="U207" s="565">
        <f t="shared" si="138"/>
        <v>6900000</v>
      </c>
      <c r="V207" s="469">
        <v>60</v>
      </c>
      <c r="W207" s="558">
        <v>6</v>
      </c>
      <c r="X207" s="468">
        <f t="shared" si="139"/>
        <v>12</v>
      </c>
      <c r="Y207" s="470">
        <f t="shared" si="140"/>
        <v>18</v>
      </c>
      <c r="Z207" s="470">
        <f t="shared" si="133"/>
        <v>42</v>
      </c>
      <c r="AA207" s="569">
        <v>41400000</v>
      </c>
      <c r="AB207" s="569">
        <v>372600000</v>
      </c>
      <c r="AC207" s="471">
        <f t="shared" si="134"/>
        <v>82800000</v>
      </c>
      <c r="AD207" s="471">
        <v>6900000</v>
      </c>
      <c r="AE207" s="471">
        <v>6900000</v>
      </c>
      <c r="AF207" s="471">
        <v>6900000</v>
      </c>
      <c r="AG207" s="471">
        <v>6900000</v>
      </c>
      <c r="AH207" s="471">
        <v>6900000</v>
      </c>
      <c r="AI207" s="471">
        <v>6900000</v>
      </c>
      <c r="AJ207" s="471">
        <v>6900000</v>
      </c>
      <c r="AK207" s="471">
        <v>6900000</v>
      </c>
      <c r="AL207" s="471">
        <v>6900000</v>
      </c>
      <c r="AM207" s="471">
        <v>6900000</v>
      </c>
      <c r="AN207" s="471">
        <v>6900000</v>
      </c>
      <c r="AO207" s="471">
        <v>6900000</v>
      </c>
      <c r="AP207" s="471">
        <f t="shared" si="141"/>
        <v>124200000</v>
      </c>
      <c r="AQ207" s="472">
        <f t="shared" si="142"/>
        <v>289800000</v>
      </c>
      <c r="AR207" s="559"/>
      <c r="AS207" s="559"/>
      <c r="AT207" s="570"/>
      <c r="AU207" s="571"/>
      <c r="AV207" s="146" t="s">
        <v>1236</v>
      </c>
      <c r="AW207" s="146">
        <f>IFERROR(VLOOKUP(G207,'[70]Detail Deprec_202508'!$D$33:$I$357,6,FALSE),0)</f>
        <v>6900000</v>
      </c>
      <c r="AX207" s="146">
        <f t="shared" si="143"/>
        <v>0</v>
      </c>
    </row>
    <row r="208" spans="1:50" ht="12.9" customHeight="1" outlineLevel="1">
      <c r="A208" s="324">
        <f t="shared" si="114"/>
        <v>183</v>
      </c>
      <c r="B208" s="560" t="s">
        <v>142</v>
      </c>
      <c r="C208" s="561" t="s">
        <v>143</v>
      </c>
      <c r="D208" s="562">
        <v>155</v>
      </c>
      <c r="E208" s="562" t="s">
        <v>1707</v>
      </c>
      <c r="F208" s="560" t="s">
        <v>1065</v>
      </c>
      <c r="G208" s="306" t="s">
        <v>1066</v>
      </c>
      <c r="H208" s="563">
        <v>45504</v>
      </c>
      <c r="I208" s="566"/>
      <c r="J208" s="567"/>
      <c r="K208" s="463" t="s">
        <v>468</v>
      </c>
      <c r="L208" s="564" t="s">
        <v>469</v>
      </c>
      <c r="M208" s="463" t="s">
        <v>551</v>
      </c>
      <c r="N208" s="310">
        <v>2024</v>
      </c>
      <c r="O208" s="464">
        <v>42599</v>
      </c>
      <c r="P208" s="464" t="s">
        <v>1067</v>
      </c>
      <c r="Q208" s="464" t="s">
        <v>1067</v>
      </c>
      <c r="R208" s="458">
        <v>1</v>
      </c>
      <c r="S208" s="568"/>
      <c r="T208" s="565">
        <v>414000000</v>
      </c>
      <c r="U208" s="565">
        <f t="shared" si="138"/>
        <v>6900000</v>
      </c>
      <c r="V208" s="469">
        <v>60</v>
      </c>
      <c r="W208" s="558">
        <v>6</v>
      </c>
      <c r="X208" s="468">
        <f t="shared" si="139"/>
        <v>12</v>
      </c>
      <c r="Y208" s="470">
        <f t="shared" si="140"/>
        <v>18</v>
      </c>
      <c r="Z208" s="470">
        <f t="shared" si="133"/>
        <v>42</v>
      </c>
      <c r="AA208" s="569">
        <v>41400000</v>
      </c>
      <c r="AB208" s="569">
        <v>372600000</v>
      </c>
      <c r="AC208" s="471">
        <f t="shared" si="134"/>
        <v>82800000</v>
      </c>
      <c r="AD208" s="471">
        <v>6900000</v>
      </c>
      <c r="AE208" s="471">
        <v>6900000</v>
      </c>
      <c r="AF208" s="471">
        <v>6900000</v>
      </c>
      <c r="AG208" s="471">
        <v>6900000</v>
      </c>
      <c r="AH208" s="471">
        <v>6900000</v>
      </c>
      <c r="AI208" s="471">
        <v>6900000</v>
      </c>
      <c r="AJ208" s="471">
        <v>6900000</v>
      </c>
      <c r="AK208" s="471">
        <v>6900000</v>
      </c>
      <c r="AL208" s="471">
        <v>6900000</v>
      </c>
      <c r="AM208" s="471">
        <v>6900000</v>
      </c>
      <c r="AN208" s="471">
        <v>6900000</v>
      </c>
      <c r="AO208" s="471">
        <v>6900000</v>
      </c>
      <c r="AP208" s="471">
        <f t="shared" si="141"/>
        <v>124200000</v>
      </c>
      <c r="AQ208" s="472">
        <f t="shared" si="142"/>
        <v>289800000</v>
      </c>
      <c r="AR208" s="559"/>
      <c r="AS208" s="559"/>
      <c r="AT208" s="570"/>
      <c r="AU208" s="571"/>
      <c r="AV208" s="146" t="s">
        <v>1236</v>
      </c>
      <c r="AW208" s="146">
        <f>IFERROR(VLOOKUP(G208,'[70]Detail Deprec_202508'!$D$33:$I$357,6,FALSE),0)</f>
        <v>6900000</v>
      </c>
      <c r="AX208" s="146">
        <f t="shared" si="143"/>
        <v>0</v>
      </c>
    </row>
    <row r="209" spans="1:50" ht="12.9" customHeight="1" outlineLevel="1">
      <c r="A209" s="324">
        <f t="shared" si="114"/>
        <v>184</v>
      </c>
      <c r="B209" s="560" t="s">
        <v>142</v>
      </c>
      <c r="C209" s="561" t="s">
        <v>143</v>
      </c>
      <c r="D209" s="562">
        <v>155</v>
      </c>
      <c r="E209" s="562" t="s">
        <v>1707</v>
      </c>
      <c r="F209" s="560" t="s">
        <v>1068</v>
      </c>
      <c r="G209" s="306" t="s">
        <v>1069</v>
      </c>
      <c r="H209" s="563">
        <v>45504</v>
      </c>
      <c r="I209" s="566"/>
      <c r="J209" s="567"/>
      <c r="K209" s="463" t="s">
        <v>468</v>
      </c>
      <c r="L209" s="564" t="s">
        <v>469</v>
      </c>
      <c r="M209" s="463" t="s">
        <v>470</v>
      </c>
      <c r="N209" s="310">
        <v>2024</v>
      </c>
      <c r="O209" s="464" t="s">
        <v>1035</v>
      </c>
      <c r="P209" s="464" t="s">
        <v>1070</v>
      </c>
      <c r="Q209" s="464" t="s">
        <v>1071</v>
      </c>
      <c r="R209" s="458">
        <v>1</v>
      </c>
      <c r="S209" s="568"/>
      <c r="T209" s="565">
        <v>472000000</v>
      </c>
      <c r="U209" s="565">
        <f t="shared" si="138"/>
        <v>7866666.666666667</v>
      </c>
      <c r="V209" s="469">
        <v>60</v>
      </c>
      <c r="W209" s="558">
        <v>6</v>
      </c>
      <c r="X209" s="468">
        <f t="shared" si="139"/>
        <v>12.000000000000002</v>
      </c>
      <c r="Y209" s="470">
        <f t="shared" si="140"/>
        <v>18</v>
      </c>
      <c r="Z209" s="470">
        <f t="shared" si="133"/>
        <v>42</v>
      </c>
      <c r="AA209" s="569">
        <v>47200000</v>
      </c>
      <c r="AB209" s="569">
        <v>424800000</v>
      </c>
      <c r="AC209" s="471">
        <f t="shared" si="134"/>
        <v>94400000.000000015</v>
      </c>
      <c r="AD209" s="471">
        <v>7866666.666666667</v>
      </c>
      <c r="AE209" s="471">
        <v>7866666.666666667</v>
      </c>
      <c r="AF209" s="471">
        <v>7866666.666666667</v>
      </c>
      <c r="AG209" s="471">
        <v>7866666.666666667</v>
      </c>
      <c r="AH209" s="471">
        <v>7866666.666666667</v>
      </c>
      <c r="AI209" s="471">
        <v>7866666.666666667</v>
      </c>
      <c r="AJ209" s="471">
        <v>7866666.666666667</v>
      </c>
      <c r="AK209" s="471">
        <v>7866666.666666667</v>
      </c>
      <c r="AL209" s="471">
        <v>7866666.666666667</v>
      </c>
      <c r="AM209" s="471">
        <v>7866666.666666667</v>
      </c>
      <c r="AN209" s="471">
        <v>7866666.666666667</v>
      </c>
      <c r="AO209" s="471">
        <v>7866666.666666667</v>
      </c>
      <c r="AP209" s="471">
        <f t="shared" si="141"/>
        <v>141600000</v>
      </c>
      <c r="AQ209" s="472">
        <f t="shared" si="142"/>
        <v>330400000</v>
      </c>
      <c r="AR209" s="559"/>
      <c r="AS209" s="559"/>
      <c r="AT209" s="570"/>
      <c r="AU209" s="571"/>
      <c r="AV209" s="146" t="s">
        <v>1236</v>
      </c>
      <c r="AW209" s="146">
        <f>IFERROR(VLOOKUP(G209,'[70]Detail Deprec_202508'!$D$33:$I$357,6,FALSE),0)</f>
        <v>7866666.6699999999</v>
      </c>
      <c r="AX209" s="146">
        <f t="shared" si="143"/>
        <v>3.3333329483866692E-3</v>
      </c>
    </row>
    <row r="210" spans="1:50" ht="12.9" customHeight="1" outlineLevel="1">
      <c r="A210" s="324">
        <f t="shared" si="114"/>
        <v>185</v>
      </c>
      <c r="B210" s="560" t="s">
        <v>142</v>
      </c>
      <c r="C210" s="561" t="s">
        <v>143</v>
      </c>
      <c r="D210" s="562">
        <v>155</v>
      </c>
      <c r="E210" s="562" t="s">
        <v>1707</v>
      </c>
      <c r="F210" s="560" t="s">
        <v>1619</v>
      </c>
      <c r="G210" s="459" t="s">
        <v>1616</v>
      </c>
      <c r="H210" s="563">
        <v>45695</v>
      </c>
      <c r="I210" s="566"/>
      <c r="J210" s="567"/>
      <c r="K210" s="463" t="s">
        <v>468</v>
      </c>
      <c r="L210" s="564"/>
      <c r="M210" s="463" t="s">
        <v>823</v>
      </c>
      <c r="N210" s="310">
        <v>2025</v>
      </c>
      <c r="O210" s="464" t="s">
        <v>1620</v>
      </c>
      <c r="P210" s="464" t="s">
        <v>1620</v>
      </c>
      <c r="Q210" s="464" t="s">
        <v>1620</v>
      </c>
      <c r="R210" s="458">
        <v>1</v>
      </c>
      <c r="S210" s="568"/>
      <c r="T210" s="565">
        <v>485000000</v>
      </c>
      <c r="U210" s="565">
        <f t="shared" ref="U210" si="144">+T210/V210</f>
        <v>8083333.333333333</v>
      </c>
      <c r="V210" s="469">
        <v>60</v>
      </c>
      <c r="W210" s="558"/>
      <c r="X210" s="468">
        <f t="shared" ref="X210" si="145">+AC210/U210</f>
        <v>11</v>
      </c>
      <c r="Y210" s="470">
        <f t="shared" ref="Y210" si="146">+W210+X210</f>
        <v>11</v>
      </c>
      <c r="Z210" s="470">
        <f t="shared" ref="Z210" si="147">+V210-Y210</f>
        <v>49</v>
      </c>
      <c r="AA210" s="569"/>
      <c r="AB210" s="569"/>
      <c r="AC210" s="471">
        <f t="shared" si="134"/>
        <v>88916666.666666657</v>
      </c>
      <c r="AD210" s="471"/>
      <c r="AE210" s="471">
        <v>8083333.333333333</v>
      </c>
      <c r="AF210" s="471">
        <v>8083333.333333333</v>
      </c>
      <c r="AG210" s="471">
        <v>8083333.333333333</v>
      </c>
      <c r="AH210" s="471">
        <v>8083333.333333333</v>
      </c>
      <c r="AI210" s="471">
        <v>8083333.333333333</v>
      </c>
      <c r="AJ210" s="471">
        <v>8083333.333333333</v>
      </c>
      <c r="AK210" s="471">
        <v>8083333.333333333</v>
      </c>
      <c r="AL210" s="471">
        <v>8083333.333333333</v>
      </c>
      <c r="AM210" s="471">
        <v>8083333.333333333</v>
      </c>
      <c r="AN210" s="471">
        <v>8083333.333333333</v>
      </c>
      <c r="AO210" s="471">
        <v>8083333.333333333</v>
      </c>
      <c r="AP210" s="471">
        <f t="shared" ref="AP210:AP212" si="148">+AA210+AC210</f>
        <v>88916666.666666657</v>
      </c>
      <c r="AQ210" s="472">
        <f t="shared" ref="AQ210:AQ212" si="149">IF(AS210=$AS$24,((T210-AP210)*0),T210-AP210)</f>
        <v>396083333.33333337</v>
      </c>
      <c r="AR210" s="559" t="s">
        <v>38</v>
      </c>
      <c r="AS210" s="559"/>
      <c r="AT210" s="570"/>
      <c r="AU210" s="571"/>
      <c r="AV210" s="146" t="s">
        <v>1241</v>
      </c>
      <c r="AW210" s="146">
        <f>IFERROR(VLOOKUP(G210,'[70]Detail Deprec_202508'!$D$33:$I$357,6,FALSE),0)</f>
        <v>8083333.3200000003</v>
      </c>
      <c r="AX210" s="146">
        <f t="shared" si="143"/>
        <v>-1.3333332724869251E-2</v>
      </c>
    </row>
    <row r="211" spans="1:50" ht="12.9" customHeight="1" outlineLevel="1">
      <c r="A211" s="324">
        <f t="shared" si="114"/>
        <v>186</v>
      </c>
      <c r="B211" s="560" t="s">
        <v>142</v>
      </c>
      <c r="C211" s="561" t="s">
        <v>143</v>
      </c>
      <c r="D211" s="562">
        <v>155</v>
      </c>
      <c r="E211" s="562" t="s">
        <v>1707</v>
      </c>
      <c r="F211" s="560" t="s">
        <v>1621</v>
      </c>
      <c r="G211" s="459" t="s">
        <v>1617</v>
      </c>
      <c r="H211" s="563">
        <v>45695</v>
      </c>
      <c r="I211" s="566"/>
      <c r="J211" s="567"/>
      <c r="K211" s="463" t="s">
        <v>468</v>
      </c>
      <c r="L211" s="564"/>
      <c r="M211" s="463" t="s">
        <v>1604</v>
      </c>
      <c r="N211" s="310">
        <v>2025</v>
      </c>
      <c r="O211" s="464" t="s">
        <v>1622</v>
      </c>
      <c r="P211" s="464" t="s">
        <v>1622</v>
      </c>
      <c r="Q211" s="464" t="s">
        <v>1622</v>
      </c>
      <c r="R211" s="458">
        <v>1</v>
      </c>
      <c r="S211" s="568"/>
      <c r="T211" s="565">
        <v>419000000</v>
      </c>
      <c r="U211" s="565">
        <f t="shared" ref="U211:U214" si="150">+T211/V211</f>
        <v>6983333.333333333</v>
      </c>
      <c r="V211" s="469">
        <v>60</v>
      </c>
      <c r="W211" s="558"/>
      <c r="X211" s="468">
        <f t="shared" ref="X211:X212" si="151">+AC211/U211</f>
        <v>11.000000000000002</v>
      </c>
      <c r="Y211" s="470">
        <f t="shared" ref="Y211:Y212" si="152">+W211+X211</f>
        <v>11.000000000000002</v>
      </c>
      <c r="Z211" s="470">
        <f t="shared" ref="Z211:Z214" si="153">+V211-Y211</f>
        <v>49</v>
      </c>
      <c r="AA211" s="569"/>
      <c r="AB211" s="569"/>
      <c r="AC211" s="471">
        <f t="shared" si="134"/>
        <v>76816666.666666672</v>
      </c>
      <c r="AD211" s="471"/>
      <c r="AE211" s="471">
        <v>6983333.333333333</v>
      </c>
      <c r="AF211" s="471">
        <v>6983333.333333333</v>
      </c>
      <c r="AG211" s="471">
        <v>6983333.333333333</v>
      </c>
      <c r="AH211" s="471">
        <v>6983333.333333333</v>
      </c>
      <c r="AI211" s="471">
        <v>6983333.333333333</v>
      </c>
      <c r="AJ211" s="471">
        <v>6983333.333333333</v>
      </c>
      <c r="AK211" s="471">
        <v>6983333.333333333</v>
      </c>
      <c r="AL211" s="471">
        <v>6983333.333333333</v>
      </c>
      <c r="AM211" s="471">
        <v>6983333.333333333</v>
      </c>
      <c r="AN211" s="471">
        <v>6983333.333333333</v>
      </c>
      <c r="AO211" s="471">
        <v>6983333.333333333</v>
      </c>
      <c r="AP211" s="471">
        <f t="shared" si="148"/>
        <v>76816666.666666672</v>
      </c>
      <c r="AQ211" s="472">
        <f t="shared" si="149"/>
        <v>342183333.33333331</v>
      </c>
      <c r="AR211" s="559" t="s">
        <v>38</v>
      </c>
      <c r="AS211" s="559"/>
      <c r="AT211" s="570"/>
      <c r="AU211" s="571"/>
      <c r="AV211" s="146" t="s">
        <v>1236</v>
      </c>
      <c r="AW211" s="146">
        <f>IFERROR(VLOOKUP(G211,'[70]Detail Deprec_202508'!$D$33:$I$357,6,FALSE),0)</f>
        <v>6983333.3200000003</v>
      </c>
      <c r="AX211" s="146">
        <f t="shared" si="143"/>
        <v>-1.3333332724869251E-2</v>
      </c>
    </row>
    <row r="212" spans="1:50" ht="12.9" customHeight="1" outlineLevel="1">
      <c r="A212" s="324">
        <f t="shared" si="114"/>
        <v>187</v>
      </c>
      <c r="B212" s="560" t="s">
        <v>142</v>
      </c>
      <c r="C212" s="561" t="s">
        <v>143</v>
      </c>
      <c r="D212" s="562">
        <v>155</v>
      </c>
      <c r="E212" s="562" t="s">
        <v>1707</v>
      </c>
      <c r="F212" s="608" t="s">
        <v>1623</v>
      </c>
      <c r="G212" s="459" t="s">
        <v>1618</v>
      </c>
      <c r="H212" s="563">
        <v>45695</v>
      </c>
      <c r="I212" s="566"/>
      <c r="J212" s="567"/>
      <c r="K212" s="463" t="s">
        <v>468</v>
      </c>
      <c r="L212" s="564"/>
      <c r="M212" s="463" t="s">
        <v>1604</v>
      </c>
      <c r="N212" s="310">
        <v>2025</v>
      </c>
      <c r="O212" s="464" t="s">
        <v>1624</v>
      </c>
      <c r="P212" s="464" t="s">
        <v>1624</v>
      </c>
      <c r="Q212" s="464" t="s">
        <v>1624</v>
      </c>
      <c r="R212" s="458">
        <v>1</v>
      </c>
      <c r="S212" s="568"/>
      <c r="T212" s="565">
        <v>419000000</v>
      </c>
      <c r="U212" s="565">
        <f t="shared" si="150"/>
        <v>6983333.333333333</v>
      </c>
      <c r="V212" s="469">
        <v>60</v>
      </c>
      <c r="W212" s="558"/>
      <c r="X212" s="468">
        <f t="shared" si="151"/>
        <v>11.000000000000002</v>
      </c>
      <c r="Y212" s="470">
        <f t="shared" si="152"/>
        <v>11.000000000000002</v>
      </c>
      <c r="Z212" s="470">
        <f t="shared" si="153"/>
        <v>49</v>
      </c>
      <c r="AA212" s="569"/>
      <c r="AB212" s="569"/>
      <c r="AC212" s="471">
        <f t="shared" si="134"/>
        <v>76816666.666666672</v>
      </c>
      <c r="AD212" s="471"/>
      <c r="AE212" s="471">
        <v>6983333.333333333</v>
      </c>
      <c r="AF212" s="471">
        <v>6983333.333333333</v>
      </c>
      <c r="AG212" s="471">
        <v>6983333.333333333</v>
      </c>
      <c r="AH212" s="471">
        <v>6983333.333333333</v>
      </c>
      <c r="AI212" s="471">
        <v>6983333.333333333</v>
      </c>
      <c r="AJ212" s="471">
        <v>6983333.333333333</v>
      </c>
      <c r="AK212" s="471">
        <v>6983333.333333333</v>
      </c>
      <c r="AL212" s="471">
        <v>6983333.333333333</v>
      </c>
      <c r="AM212" s="471">
        <v>6983333.333333333</v>
      </c>
      <c r="AN212" s="471">
        <v>6983333.333333333</v>
      </c>
      <c r="AO212" s="471">
        <v>6983333.333333333</v>
      </c>
      <c r="AP212" s="471">
        <f t="shared" si="148"/>
        <v>76816666.666666672</v>
      </c>
      <c r="AQ212" s="472">
        <f t="shared" si="149"/>
        <v>342183333.33333331</v>
      </c>
      <c r="AR212" s="559" t="s">
        <v>38</v>
      </c>
      <c r="AS212" s="559"/>
      <c r="AT212" s="570"/>
      <c r="AU212" s="571"/>
      <c r="AV212" s="146" t="s">
        <v>1236</v>
      </c>
      <c r="AW212" s="146">
        <f>IFERROR(VLOOKUP(G212,'[70]Detail Deprec_202508'!$D$33:$I$357,6,FALSE),0)</f>
        <v>6983333.3200000003</v>
      </c>
      <c r="AX212" s="146">
        <f t="shared" si="143"/>
        <v>-1.3333332724869251E-2</v>
      </c>
    </row>
    <row r="213" spans="1:50" ht="12.9" customHeight="1" outlineLevel="1">
      <c r="A213" s="324">
        <f t="shared" si="114"/>
        <v>188</v>
      </c>
      <c r="B213" s="560" t="s">
        <v>142</v>
      </c>
      <c r="C213" s="561" t="s">
        <v>474</v>
      </c>
      <c r="D213" s="562">
        <v>155</v>
      </c>
      <c r="E213" s="562" t="s">
        <v>1711</v>
      </c>
      <c r="F213" s="560" t="s">
        <v>1625</v>
      </c>
      <c r="G213" s="306" t="s">
        <v>1627</v>
      </c>
      <c r="H213" s="563">
        <v>45764</v>
      </c>
      <c r="I213" s="566"/>
      <c r="J213" s="567"/>
      <c r="K213" s="463" t="s">
        <v>1629</v>
      </c>
      <c r="L213" s="564"/>
      <c r="M213" s="463" t="s">
        <v>1630</v>
      </c>
      <c r="N213" s="463">
        <v>2025</v>
      </c>
      <c r="O213" s="464" t="s">
        <v>1631</v>
      </c>
      <c r="P213" s="464" t="s">
        <v>1632</v>
      </c>
      <c r="Q213" s="464" t="s">
        <v>1633</v>
      </c>
      <c r="R213" s="458">
        <v>1</v>
      </c>
      <c r="S213" s="568"/>
      <c r="T213" s="565">
        <v>907837838</v>
      </c>
      <c r="U213" s="565">
        <f t="shared" si="150"/>
        <v>15130630.633333333</v>
      </c>
      <c r="V213" s="469">
        <v>60</v>
      </c>
      <c r="W213" s="558"/>
      <c r="X213" s="468">
        <f t="shared" ref="X213:X214" si="154">+AC213/U213</f>
        <v>8.9999999999999982</v>
      </c>
      <c r="Y213" s="470">
        <f t="shared" ref="Y213:Y214" si="155">+W213+X213</f>
        <v>8.9999999999999982</v>
      </c>
      <c r="Z213" s="470">
        <f t="shared" si="153"/>
        <v>51</v>
      </c>
      <c r="AA213" s="569"/>
      <c r="AB213" s="569"/>
      <c r="AC213" s="471">
        <f t="shared" si="134"/>
        <v>136175675.69999996</v>
      </c>
      <c r="AD213" s="471"/>
      <c r="AE213" s="471"/>
      <c r="AF213" s="471"/>
      <c r="AG213" s="471">
        <v>15130630.633333333</v>
      </c>
      <c r="AH213" s="471">
        <v>15130630.633333333</v>
      </c>
      <c r="AI213" s="471">
        <v>15130630.633333333</v>
      </c>
      <c r="AJ213" s="471">
        <v>15130630.633333333</v>
      </c>
      <c r="AK213" s="471">
        <v>15130630.633333333</v>
      </c>
      <c r="AL213" s="471">
        <v>15130630.633333333</v>
      </c>
      <c r="AM213" s="471">
        <v>15130630.633333333</v>
      </c>
      <c r="AN213" s="471">
        <v>15130630.633333333</v>
      </c>
      <c r="AO213" s="471">
        <v>15130630.633333333</v>
      </c>
      <c r="AP213" s="471">
        <f t="shared" ref="AP213:AP214" si="156">+AA213+AC213</f>
        <v>136175675.69999996</v>
      </c>
      <c r="AQ213" s="472">
        <f t="shared" ref="AQ213:AQ214" si="157">IF(AS213=$AS$24,((T213-AP213)*0),T213-AP213)</f>
        <v>771662162.30000007</v>
      </c>
      <c r="AR213" s="559" t="s">
        <v>38</v>
      </c>
      <c r="AS213" s="559"/>
      <c r="AT213" s="570"/>
      <c r="AU213" s="571"/>
      <c r="AV213" s="146" t="s">
        <v>1241</v>
      </c>
      <c r="AX213" s="501">
        <f t="shared" si="143"/>
        <v>-15130630.633333333</v>
      </c>
    </row>
    <row r="214" spans="1:50" ht="12.9" customHeight="1" outlineLevel="1">
      <c r="A214" s="324">
        <f t="shared" si="114"/>
        <v>189</v>
      </c>
      <c r="B214" s="560" t="s">
        <v>142</v>
      </c>
      <c r="C214" s="561" t="s">
        <v>474</v>
      </c>
      <c r="D214" s="562">
        <v>155</v>
      </c>
      <c r="E214" s="562" t="s">
        <v>1711</v>
      </c>
      <c r="F214" s="560" t="s">
        <v>1626</v>
      </c>
      <c r="G214" s="306" t="s">
        <v>1628</v>
      </c>
      <c r="H214" s="563">
        <v>45764</v>
      </c>
      <c r="I214" s="566"/>
      <c r="J214" s="567"/>
      <c r="K214" s="463" t="s">
        <v>825</v>
      </c>
      <c r="L214" s="564"/>
      <c r="M214" s="463" t="s">
        <v>1630</v>
      </c>
      <c r="N214" s="463">
        <v>2025</v>
      </c>
      <c r="O214" s="464" t="s">
        <v>1631</v>
      </c>
      <c r="P214" s="464"/>
      <c r="Q214" s="464"/>
      <c r="R214" s="458">
        <v>1</v>
      </c>
      <c r="S214" s="568"/>
      <c r="T214" s="565">
        <v>206000000</v>
      </c>
      <c r="U214" s="565">
        <f t="shared" si="150"/>
        <v>3433333.3333333335</v>
      </c>
      <c r="V214" s="469">
        <v>60</v>
      </c>
      <c r="W214" s="558"/>
      <c r="X214" s="468">
        <f t="shared" si="154"/>
        <v>8.9999999999999982</v>
      </c>
      <c r="Y214" s="470">
        <f t="shared" si="155"/>
        <v>8.9999999999999982</v>
      </c>
      <c r="Z214" s="470">
        <f t="shared" si="153"/>
        <v>51</v>
      </c>
      <c r="AA214" s="569"/>
      <c r="AB214" s="569"/>
      <c r="AC214" s="471">
        <f t="shared" si="134"/>
        <v>30899999.999999996</v>
      </c>
      <c r="AD214" s="471"/>
      <c r="AE214" s="471"/>
      <c r="AF214" s="471"/>
      <c r="AG214" s="471">
        <v>3433333.3333333335</v>
      </c>
      <c r="AH214" s="471">
        <v>3433333.3333333335</v>
      </c>
      <c r="AI214" s="471">
        <v>3433333.3333333335</v>
      </c>
      <c r="AJ214" s="471">
        <v>3433333.3333333335</v>
      </c>
      <c r="AK214" s="471">
        <v>3433333.3333333335</v>
      </c>
      <c r="AL214" s="471">
        <v>3433333.3333333335</v>
      </c>
      <c r="AM214" s="471">
        <v>3433333.3333333335</v>
      </c>
      <c r="AN214" s="471">
        <v>3433333.3333333335</v>
      </c>
      <c r="AO214" s="471">
        <v>3433333.3333333335</v>
      </c>
      <c r="AP214" s="471">
        <f t="shared" si="156"/>
        <v>30899999.999999996</v>
      </c>
      <c r="AQ214" s="472">
        <f t="shared" si="157"/>
        <v>175100000</v>
      </c>
      <c r="AR214" s="559" t="s">
        <v>38</v>
      </c>
      <c r="AS214" s="559"/>
      <c r="AT214" s="570"/>
      <c r="AU214" s="571"/>
      <c r="AV214" s="146" t="s">
        <v>1241</v>
      </c>
      <c r="AX214" s="501">
        <f t="shared" si="143"/>
        <v>-3433333.3333333335</v>
      </c>
    </row>
    <row r="215" spans="1:50" ht="12.9" customHeight="1" outlineLevel="1">
      <c r="A215" s="324">
        <f t="shared" si="114"/>
        <v>190</v>
      </c>
      <c r="B215" s="459" t="s">
        <v>142</v>
      </c>
      <c r="C215" s="462" t="s">
        <v>474</v>
      </c>
      <c r="D215" s="562">
        <v>155</v>
      </c>
      <c r="E215" s="562" t="s">
        <v>1711</v>
      </c>
      <c r="F215" s="459" t="s">
        <v>1690</v>
      </c>
      <c r="G215" s="459" t="s">
        <v>1686</v>
      </c>
      <c r="H215" s="615"/>
      <c r="I215" s="566"/>
      <c r="J215" s="567"/>
      <c r="K215" s="463" t="s">
        <v>1691</v>
      </c>
      <c r="L215" s="616" t="s">
        <v>300</v>
      </c>
      <c r="M215" s="463" t="s">
        <v>610</v>
      </c>
      <c r="N215" s="463">
        <v>2025</v>
      </c>
      <c r="O215" s="463" t="s">
        <v>1692</v>
      </c>
      <c r="P215" s="463" t="s">
        <v>1693</v>
      </c>
      <c r="Q215" s="463" t="s">
        <v>1694</v>
      </c>
      <c r="R215" s="458">
        <v>1</v>
      </c>
      <c r="S215" s="617"/>
      <c r="T215" s="565">
        <v>792135135</v>
      </c>
      <c r="U215" s="565">
        <f t="shared" ref="U215:U218" si="158">+T215/V215</f>
        <v>13202252.25</v>
      </c>
      <c r="V215" s="469">
        <v>60</v>
      </c>
      <c r="W215" s="558">
        <v>0</v>
      </c>
      <c r="X215" s="618">
        <f t="shared" ref="X215:X218" si="159">+AC215/U215</f>
        <v>4</v>
      </c>
      <c r="Y215" s="470">
        <f t="shared" ref="Y215:Y218" si="160">+W215+X215</f>
        <v>4</v>
      </c>
      <c r="Z215" s="470">
        <f t="shared" ref="Z215:Z218" si="161">+V215-Y215</f>
        <v>56</v>
      </c>
      <c r="AA215" s="569"/>
      <c r="AB215" s="569"/>
      <c r="AC215" s="569">
        <f t="shared" si="134"/>
        <v>52809009</v>
      </c>
      <c r="AD215" s="569"/>
      <c r="AE215" s="569"/>
      <c r="AF215" s="569"/>
      <c r="AG215" s="569"/>
      <c r="AH215" s="569"/>
      <c r="AI215" s="569"/>
      <c r="AJ215" s="569"/>
      <c r="AK215" s="569"/>
      <c r="AL215" s="569">
        <v>13202252.25</v>
      </c>
      <c r="AM215" s="569">
        <v>13202252.25</v>
      </c>
      <c r="AN215" s="569">
        <v>13202252.25</v>
      </c>
      <c r="AO215" s="569">
        <v>13202252.25</v>
      </c>
      <c r="AP215" s="569">
        <f t="shared" ref="AP215:AP218" si="162">+AA215+AC215</f>
        <v>52809009</v>
      </c>
      <c r="AQ215" s="630">
        <f t="shared" ref="AQ215:AQ218" si="163">IF(AS215=$AS$24,((T215-AP215)*0),T215-AP215)</f>
        <v>739326126</v>
      </c>
      <c r="AR215" s="619" t="s">
        <v>38</v>
      </c>
      <c r="AS215" s="619"/>
      <c r="AT215" s="620"/>
      <c r="AU215" s="621"/>
      <c r="AV215" s="631"/>
      <c r="AW215" s="631"/>
      <c r="AX215" s="501"/>
    </row>
    <row r="216" spans="1:50" ht="12.9" customHeight="1" outlineLevel="1">
      <c r="A216" s="324">
        <f t="shared" si="114"/>
        <v>191</v>
      </c>
      <c r="B216" s="459" t="s">
        <v>142</v>
      </c>
      <c r="C216" s="462" t="s">
        <v>474</v>
      </c>
      <c r="D216" s="562">
        <v>155</v>
      </c>
      <c r="E216" s="562" t="s">
        <v>1711</v>
      </c>
      <c r="F216" s="459" t="s">
        <v>1695</v>
      </c>
      <c r="G216" s="459" t="s">
        <v>1687</v>
      </c>
      <c r="H216" s="615"/>
      <c r="I216" s="566"/>
      <c r="J216" s="567"/>
      <c r="K216" s="463" t="s">
        <v>825</v>
      </c>
      <c r="L216" s="616" t="s">
        <v>814</v>
      </c>
      <c r="M216" s="463" t="s">
        <v>610</v>
      </c>
      <c r="N216" s="463">
        <v>2025</v>
      </c>
      <c r="O216" s="463" t="s">
        <v>1692</v>
      </c>
      <c r="P216" s="463" t="s">
        <v>1696</v>
      </c>
      <c r="Q216" s="463" t="s">
        <v>1697</v>
      </c>
      <c r="R216" s="458">
        <v>1</v>
      </c>
      <c r="S216" s="617"/>
      <c r="T216" s="565">
        <v>206000000</v>
      </c>
      <c r="U216" s="565">
        <f t="shared" si="158"/>
        <v>3433333.3333333335</v>
      </c>
      <c r="V216" s="469">
        <v>60</v>
      </c>
      <c r="W216" s="558">
        <v>0</v>
      </c>
      <c r="X216" s="618">
        <f t="shared" si="159"/>
        <v>4</v>
      </c>
      <c r="Y216" s="470">
        <f t="shared" si="160"/>
        <v>4</v>
      </c>
      <c r="Z216" s="470">
        <f t="shared" si="161"/>
        <v>56</v>
      </c>
      <c r="AA216" s="569"/>
      <c r="AB216" s="569"/>
      <c r="AC216" s="569">
        <f t="shared" si="134"/>
        <v>13733333.333333334</v>
      </c>
      <c r="AD216" s="569"/>
      <c r="AE216" s="569"/>
      <c r="AF216" s="569"/>
      <c r="AG216" s="569"/>
      <c r="AH216" s="569"/>
      <c r="AI216" s="569"/>
      <c r="AJ216" s="569"/>
      <c r="AK216" s="569"/>
      <c r="AL216" s="569">
        <v>3433333.3333333335</v>
      </c>
      <c r="AM216" s="569">
        <v>3433333.3333333335</v>
      </c>
      <c r="AN216" s="569">
        <v>3433333.3333333335</v>
      </c>
      <c r="AO216" s="569">
        <v>3433333.3333333335</v>
      </c>
      <c r="AP216" s="569">
        <f t="shared" si="162"/>
        <v>13733333.333333334</v>
      </c>
      <c r="AQ216" s="630">
        <f t="shared" si="163"/>
        <v>192266666.66666666</v>
      </c>
      <c r="AR216" s="619" t="s">
        <v>38</v>
      </c>
      <c r="AS216" s="619"/>
      <c r="AT216" s="620"/>
      <c r="AU216" s="621"/>
      <c r="AV216" s="631"/>
      <c r="AW216" s="631"/>
      <c r="AX216" s="501"/>
    </row>
    <row r="217" spans="1:50" ht="12.9" customHeight="1" outlineLevel="1">
      <c r="A217" s="324">
        <f t="shared" si="114"/>
        <v>192</v>
      </c>
      <c r="B217" s="459" t="s">
        <v>142</v>
      </c>
      <c r="C217" s="462" t="s">
        <v>474</v>
      </c>
      <c r="D217" s="562">
        <v>155</v>
      </c>
      <c r="E217" s="562" t="s">
        <v>1711</v>
      </c>
      <c r="F217" s="459" t="s">
        <v>1698</v>
      </c>
      <c r="G217" s="459" t="s">
        <v>1688</v>
      </c>
      <c r="H217" s="615"/>
      <c r="I217" s="566"/>
      <c r="J217" s="567"/>
      <c r="K217" s="463" t="s">
        <v>1691</v>
      </c>
      <c r="L217" s="616" t="s">
        <v>300</v>
      </c>
      <c r="M217" s="463" t="s">
        <v>610</v>
      </c>
      <c r="N217" s="463">
        <v>2025</v>
      </c>
      <c r="O217" s="463" t="s">
        <v>1700</v>
      </c>
      <c r="P217" s="463" t="s">
        <v>1701</v>
      </c>
      <c r="Q217" s="463" t="s">
        <v>1702</v>
      </c>
      <c r="R217" s="458">
        <v>1</v>
      </c>
      <c r="S217" s="617"/>
      <c r="T217" s="565">
        <v>792135135</v>
      </c>
      <c r="U217" s="565">
        <f t="shared" si="158"/>
        <v>13202252.25</v>
      </c>
      <c r="V217" s="469">
        <v>60</v>
      </c>
      <c r="W217" s="558">
        <v>0</v>
      </c>
      <c r="X217" s="618">
        <f t="shared" si="159"/>
        <v>4</v>
      </c>
      <c r="Y217" s="470">
        <f t="shared" si="160"/>
        <v>4</v>
      </c>
      <c r="Z217" s="470">
        <f t="shared" si="161"/>
        <v>56</v>
      </c>
      <c r="AA217" s="569"/>
      <c r="AB217" s="569"/>
      <c r="AC217" s="569">
        <f t="shared" si="134"/>
        <v>52809009</v>
      </c>
      <c r="AD217" s="569"/>
      <c r="AE217" s="569"/>
      <c r="AF217" s="569"/>
      <c r="AG217" s="569"/>
      <c r="AH217" s="569"/>
      <c r="AI217" s="569"/>
      <c r="AJ217" s="569"/>
      <c r="AK217" s="569"/>
      <c r="AL217" s="569">
        <v>13202252.25</v>
      </c>
      <c r="AM217" s="569">
        <v>13202252.25</v>
      </c>
      <c r="AN217" s="569">
        <v>13202252.25</v>
      </c>
      <c r="AO217" s="569">
        <v>13202252.25</v>
      </c>
      <c r="AP217" s="569">
        <f t="shared" si="162"/>
        <v>52809009</v>
      </c>
      <c r="AQ217" s="630">
        <f t="shared" si="163"/>
        <v>739326126</v>
      </c>
      <c r="AR217" s="619" t="s">
        <v>38</v>
      </c>
      <c r="AS217" s="619"/>
      <c r="AT217" s="620"/>
      <c r="AU217" s="621"/>
      <c r="AV217" s="631"/>
      <c r="AW217" s="631"/>
      <c r="AX217" s="501"/>
    </row>
    <row r="218" spans="1:50" ht="12.9" customHeight="1" outlineLevel="1">
      <c r="A218" s="324">
        <f t="shared" si="114"/>
        <v>193</v>
      </c>
      <c r="B218" s="459" t="s">
        <v>142</v>
      </c>
      <c r="C218" s="462" t="s">
        <v>474</v>
      </c>
      <c r="D218" s="562">
        <v>155</v>
      </c>
      <c r="E218" s="562" t="s">
        <v>1711</v>
      </c>
      <c r="F218" s="459" t="s">
        <v>1699</v>
      </c>
      <c r="G218" s="459" t="s">
        <v>1689</v>
      </c>
      <c r="H218" s="615"/>
      <c r="I218" s="566"/>
      <c r="J218" s="567"/>
      <c r="K218" s="463" t="s">
        <v>825</v>
      </c>
      <c r="L218" s="616" t="s">
        <v>814</v>
      </c>
      <c r="M218" s="463" t="s">
        <v>610</v>
      </c>
      <c r="N218" s="463">
        <v>2025</v>
      </c>
      <c r="O218" s="463" t="s">
        <v>1700</v>
      </c>
      <c r="P218" s="463" t="s">
        <v>1696</v>
      </c>
      <c r="Q218" s="463" t="s">
        <v>1697</v>
      </c>
      <c r="R218" s="458">
        <v>1</v>
      </c>
      <c r="S218" s="617"/>
      <c r="T218" s="565">
        <v>206000000</v>
      </c>
      <c r="U218" s="565">
        <f t="shared" si="158"/>
        <v>3433333.3333333335</v>
      </c>
      <c r="V218" s="469">
        <v>60</v>
      </c>
      <c r="W218" s="558">
        <v>0</v>
      </c>
      <c r="X218" s="618">
        <f t="shared" si="159"/>
        <v>4</v>
      </c>
      <c r="Y218" s="470">
        <f t="shared" si="160"/>
        <v>4</v>
      </c>
      <c r="Z218" s="470">
        <f t="shared" si="161"/>
        <v>56</v>
      </c>
      <c r="AA218" s="569"/>
      <c r="AB218" s="569"/>
      <c r="AC218" s="569">
        <f t="shared" si="134"/>
        <v>13733333.333333334</v>
      </c>
      <c r="AD218" s="569"/>
      <c r="AE218" s="569"/>
      <c r="AF218" s="569"/>
      <c r="AG218" s="569"/>
      <c r="AH218" s="569"/>
      <c r="AI218" s="569"/>
      <c r="AJ218" s="569"/>
      <c r="AK218" s="569"/>
      <c r="AL218" s="569">
        <v>3433333.3333333335</v>
      </c>
      <c r="AM218" s="569">
        <v>3433333.3333333335</v>
      </c>
      <c r="AN218" s="569">
        <v>3433333.3333333335</v>
      </c>
      <c r="AO218" s="569">
        <v>3433333.3333333335</v>
      </c>
      <c r="AP218" s="569">
        <f t="shared" si="162"/>
        <v>13733333.333333334</v>
      </c>
      <c r="AQ218" s="630">
        <f t="shared" si="163"/>
        <v>192266666.66666666</v>
      </c>
      <c r="AR218" s="619" t="s">
        <v>38</v>
      </c>
      <c r="AS218" s="619"/>
      <c r="AT218" s="620"/>
      <c r="AU218" s="621"/>
      <c r="AV218" s="631"/>
      <c r="AW218" s="631"/>
      <c r="AX218" s="501"/>
    </row>
    <row r="219" spans="1:50" ht="12.9" customHeight="1" outlineLevel="1">
      <c r="A219" s="324">
        <f t="shared" si="114"/>
        <v>194</v>
      </c>
      <c r="B219" s="526" t="s">
        <v>142</v>
      </c>
      <c r="C219" s="527" t="s">
        <v>474</v>
      </c>
      <c r="D219" s="528"/>
      <c r="E219" s="562" t="s">
        <v>1711</v>
      </c>
      <c r="F219" s="526" t="s">
        <v>1072</v>
      </c>
      <c r="G219" s="526"/>
      <c r="H219" s="529">
        <v>45044</v>
      </c>
      <c r="I219" s="530"/>
      <c r="J219" s="531"/>
      <c r="K219" s="532" t="s">
        <v>1073</v>
      </c>
      <c r="L219" s="533" t="s">
        <v>300</v>
      </c>
      <c r="M219" s="534"/>
      <c r="N219" s="534">
        <v>2023</v>
      </c>
      <c r="O219" s="532" t="s">
        <v>1074</v>
      </c>
      <c r="P219" s="532" t="s">
        <v>1075</v>
      </c>
      <c r="Q219" s="532" t="s">
        <v>1076</v>
      </c>
      <c r="R219" s="535">
        <v>1</v>
      </c>
      <c r="S219" s="536"/>
      <c r="T219" s="537"/>
      <c r="U219" s="537"/>
      <c r="V219" s="538"/>
      <c r="W219" s="539"/>
      <c r="X219" s="540"/>
      <c r="Y219" s="541"/>
      <c r="Z219" s="541"/>
      <c r="AA219" s="542"/>
      <c r="AB219" s="542"/>
      <c r="AC219" s="543"/>
      <c r="AD219" s="543"/>
      <c r="AE219" s="543"/>
      <c r="AF219" s="543"/>
      <c r="AG219" s="543"/>
      <c r="AH219" s="543"/>
      <c r="AI219" s="543"/>
      <c r="AJ219" s="543"/>
      <c r="AK219" s="543"/>
      <c r="AL219" s="543"/>
      <c r="AM219" s="543"/>
      <c r="AN219" s="543"/>
      <c r="AO219" s="543"/>
      <c r="AP219" s="543"/>
      <c r="AQ219" s="544"/>
      <c r="AR219" s="545"/>
      <c r="AS219" s="545"/>
      <c r="AT219" s="546"/>
      <c r="AU219" s="547">
        <v>44985</v>
      </c>
      <c r="AV219" s="146" t="s">
        <v>1684</v>
      </c>
      <c r="AX219" s="501">
        <f t="shared" ref="AX219" si="164">AW219-AK219</f>
        <v>0</v>
      </c>
    </row>
    <row r="220" spans="1:50" outlineLevel="1">
      <c r="A220" s="324">
        <f t="shared" si="114"/>
        <v>195</v>
      </c>
      <c r="B220" s="306" t="s">
        <v>142</v>
      </c>
      <c r="C220" s="309" t="s">
        <v>143</v>
      </c>
      <c r="D220" s="305">
        <v>156</v>
      </c>
      <c r="E220" s="377" t="s">
        <v>1707</v>
      </c>
      <c r="F220" s="306" t="s">
        <v>1093</v>
      </c>
      <c r="G220" s="306" t="s">
        <v>1094</v>
      </c>
      <c r="H220" s="394">
        <v>41638</v>
      </c>
      <c r="I220" s="378" t="s">
        <v>12</v>
      </c>
      <c r="J220" s="310">
        <v>19</v>
      </c>
      <c r="K220" s="310" t="s">
        <v>1095</v>
      </c>
      <c r="L220" s="309"/>
      <c r="M220" s="310" t="s">
        <v>1096</v>
      </c>
      <c r="N220" s="310">
        <v>2013</v>
      </c>
      <c r="O220" s="310"/>
      <c r="P220" s="310"/>
      <c r="Q220" s="309"/>
      <c r="R220" s="305">
        <v>1</v>
      </c>
      <c r="S220" s="435"/>
      <c r="T220" s="436">
        <v>17500000</v>
      </c>
      <c r="U220" s="411">
        <f t="shared" ref="U220:U229" si="165">+T220/V220</f>
        <v>291666.66666666669</v>
      </c>
      <c r="V220" s="314">
        <v>60</v>
      </c>
      <c r="W220" s="315">
        <v>59.999999999999993</v>
      </c>
      <c r="X220" s="314">
        <f t="shared" ref="X220:X229" si="166">+AC220/U220</f>
        <v>0</v>
      </c>
      <c r="Y220" s="316">
        <f t="shared" ref="Y220:Y229" si="167">+W220+X220</f>
        <v>59.999999999999993</v>
      </c>
      <c r="Z220" s="317">
        <f t="shared" ref="Z220:Z229" si="168">+V220-Y220</f>
        <v>0</v>
      </c>
      <c r="AA220" s="318">
        <v>17500000</v>
      </c>
      <c r="AB220" s="318">
        <v>0</v>
      </c>
      <c r="AC220" s="318">
        <f t="shared" ref="AC220:AC229" si="169">SUM(AD220:AL220)</f>
        <v>0</v>
      </c>
      <c r="AD220" s="318"/>
      <c r="AE220" s="318"/>
      <c r="AF220" s="318"/>
      <c r="AG220" s="318"/>
      <c r="AH220" s="318"/>
      <c r="AI220" s="318"/>
      <c r="AJ220" s="318"/>
      <c r="AK220" s="318"/>
      <c r="AL220" s="318"/>
      <c r="AM220" s="318"/>
      <c r="AN220" s="318"/>
      <c r="AO220" s="318"/>
      <c r="AP220" s="318">
        <f t="shared" ref="AP220:AP229" si="170">+AA220+AC220</f>
        <v>17500000</v>
      </c>
      <c r="AQ220" s="319">
        <f t="shared" ref="AQ220:AQ229" si="171">IF(AS220=$AS$24,((T220-AP220)*0),T220-AP220)</f>
        <v>0</v>
      </c>
      <c r="AR220" s="320"/>
      <c r="AS220" s="320"/>
      <c r="AT220" s="384"/>
      <c r="AU220" s="322"/>
      <c r="AV220" s="146" t="s">
        <v>1236</v>
      </c>
      <c r="AW220" s="146">
        <f>IFERROR(VLOOKUP(G220,'[70]Detail Deprec_202508'!$D$33:$I$357,6,FALSE),0)</f>
        <v>0</v>
      </c>
      <c r="AX220" s="146">
        <f t="shared" ref="AX220:AX238" si="172">AW220-AK220</f>
        <v>0</v>
      </c>
    </row>
    <row r="221" spans="1:50" outlineLevel="1">
      <c r="A221" s="324">
        <f t="shared" si="114"/>
        <v>196</v>
      </c>
      <c r="B221" s="306" t="s">
        <v>142</v>
      </c>
      <c r="C221" s="309" t="s">
        <v>474</v>
      </c>
      <c r="D221" s="305">
        <v>156</v>
      </c>
      <c r="E221" s="382" t="s">
        <v>1711</v>
      </c>
      <c r="F221" s="306" t="s">
        <v>1097</v>
      </c>
      <c r="G221" s="306" t="s">
        <v>1098</v>
      </c>
      <c r="H221" s="394" t="s">
        <v>1099</v>
      </c>
      <c r="I221" s="378" t="s">
        <v>12</v>
      </c>
      <c r="J221" s="310">
        <v>5003</v>
      </c>
      <c r="K221" s="310" t="s">
        <v>1100</v>
      </c>
      <c r="L221" s="310" t="s">
        <v>1101</v>
      </c>
      <c r="M221" s="379"/>
      <c r="N221" s="310">
        <v>2015</v>
      </c>
      <c r="O221" s="310"/>
      <c r="P221" s="310"/>
      <c r="Q221" s="309"/>
      <c r="R221" s="305">
        <v>1</v>
      </c>
      <c r="S221" s="438"/>
      <c r="T221" s="436">
        <v>71500000</v>
      </c>
      <c r="U221" s="411">
        <f t="shared" si="165"/>
        <v>1191666.6666666667</v>
      </c>
      <c r="V221" s="314">
        <v>60</v>
      </c>
      <c r="W221" s="315">
        <v>59.999999999999986</v>
      </c>
      <c r="X221" s="314">
        <f t="shared" si="166"/>
        <v>0</v>
      </c>
      <c r="Y221" s="316">
        <f t="shared" si="167"/>
        <v>59.999999999999986</v>
      </c>
      <c r="Z221" s="317">
        <f t="shared" si="168"/>
        <v>0</v>
      </c>
      <c r="AA221" s="318">
        <v>71499999.999999985</v>
      </c>
      <c r="AB221" s="318">
        <v>1.4901161193847656E-8</v>
      </c>
      <c r="AC221" s="318">
        <f t="shared" si="169"/>
        <v>0</v>
      </c>
      <c r="AD221" s="318"/>
      <c r="AE221" s="318"/>
      <c r="AF221" s="318"/>
      <c r="AG221" s="318"/>
      <c r="AH221" s="318"/>
      <c r="AI221" s="318"/>
      <c r="AJ221" s="318"/>
      <c r="AK221" s="318"/>
      <c r="AL221" s="318"/>
      <c r="AM221" s="318"/>
      <c r="AN221" s="318"/>
      <c r="AO221" s="318"/>
      <c r="AP221" s="318">
        <f t="shared" si="170"/>
        <v>71499999.999999985</v>
      </c>
      <c r="AQ221" s="319">
        <f t="shared" si="171"/>
        <v>1.4901161193847656E-8</v>
      </c>
      <c r="AR221" s="320"/>
      <c r="AS221" s="320"/>
      <c r="AT221" s="384"/>
      <c r="AU221" s="322"/>
      <c r="AV221" s="146" t="s">
        <v>1236</v>
      </c>
      <c r="AW221" s="146">
        <f>IFERROR(VLOOKUP(G221,'[71]Detail Deprec_202501'!$D$1:$I$393,6,FALSE),0)</f>
        <v>0</v>
      </c>
      <c r="AX221" s="146">
        <f t="shared" si="172"/>
        <v>0</v>
      </c>
    </row>
    <row r="222" spans="1:50" outlineLevel="1">
      <c r="A222" s="324">
        <f t="shared" si="114"/>
        <v>197</v>
      </c>
      <c r="B222" s="306" t="s">
        <v>142</v>
      </c>
      <c r="C222" s="344" t="s">
        <v>143</v>
      </c>
      <c r="D222" s="305">
        <v>156</v>
      </c>
      <c r="E222" s="305" t="s">
        <v>1705</v>
      </c>
      <c r="F222" s="306" t="s">
        <v>1103</v>
      </c>
      <c r="G222" s="306" t="s">
        <v>1104</v>
      </c>
      <c r="H222" s="394">
        <v>42234</v>
      </c>
      <c r="I222" s="378" t="s">
        <v>12</v>
      </c>
      <c r="J222" s="395" t="s">
        <v>345</v>
      </c>
      <c r="K222" s="310" t="s">
        <v>1105</v>
      </c>
      <c r="L222" s="310" t="s">
        <v>1106</v>
      </c>
      <c r="M222" s="310" t="s">
        <v>1107</v>
      </c>
      <c r="N222" s="310">
        <v>2015</v>
      </c>
      <c r="O222" s="310"/>
      <c r="P222" s="310"/>
      <c r="Q222" s="309"/>
      <c r="R222" s="305">
        <v>1</v>
      </c>
      <c r="S222" s="437">
        <v>1473</v>
      </c>
      <c r="T222" s="439">
        <v>19857513</v>
      </c>
      <c r="U222" s="411">
        <f t="shared" si="165"/>
        <v>330958.55</v>
      </c>
      <c r="V222" s="314">
        <v>60</v>
      </c>
      <c r="W222" s="315">
        <v>60</v>
      </c>
      <c r="X222" s="314">
        <f t="shared" si="166"/>
        <v>0</v>
      </c>
      <c r="Y222" s="316">
        <f t="shared" si="167"/>
        <v>60</v>
      </c>
      <c r="Z222" s="317">
        <f t="shared" si="168"/>
        <v>0</v>
      </c>
      <c r="AA222" s="318">
        <v>19857513</v>
      </c>
      <c r="AB222" s="318">
        <v>0</v>
      </c>
      <c r="AC222" s="318">
        <f t="shared" si="169"/>
        <v>0</v>
      </c>
      <c r="AD222" s="318"/>
      <c r="AE222" s="318"/>
      <c r="AF222" s="318"/>
      <c r="AG222" s="318"/>
      <c r="AH222" s="318"/>
      <c r="AI222" s="318"/>
      <c r="AJ222" s="318"/>
      <c r="AK222" s="318"/>
      <c r="AL222" s="318"/>
      <c r="AM222" s="318"/>
      <c r="AN222" s="318"/>
      <c r="AO222" s="318"/>
      <c r="AP222" s="318">
        <f t="shared" si="170"/>
        <v>19857513</v>
      </c>
      <c r="AQ222" s="319">
        <f t="shared" si="171"/>
        <v>0</v>
      </c>
      <c r="AR222" s="320"/>
      <c r="AS222" s="320"/>
      <c r="AT222" s="384"/>
      <c r="AU222" s="322"/>
      <c r="AV222" s="146" t="s">
        <v>1236</v>
      </c>
      <c r="AW222" s="146">
        <f>IFERROR(VLOOKUP(G222,'[70]Detail Deprec_202508'!$D$33:$I$357,6,FALSE),0)</f>
        <v>0</v>
      </c>
      <c r="AX222" s="146">
        <f t="shared" si="172"/>
        <v>0</v>
      </c>
    </row>
    <row r="223" spans="1:50" outlineLevel="1">
      <c r="A223" s="324">
        <f t="shared" si="114"/>
        <v>198</v>
      </c>
      <c r="B223" s="306" t="s">
        <v>142</v>
      </c>
      <c r="C223" s="344" t="s">
        <v>143</v>
      </c>
      <c r="D223" s="305">
        <v>156</v>
      </c>
      <c r="E223" s="305" t="s">
        <v>1087</v>
      </c>
      <c r="F223" s="306" t="s">
        <v>1108</v>
      </c>
      <c r="G223" s="306" t="s">
        <v>1109</v>
      </c>
      <c r="H223" s="394">
        <v>42276</v>
      </c>
      <c r="I223" s="378" t="s">
        <v>12</v>
      </c>
      <c r="J223" s="395" t="s">
        <v>1110</v>
      </c>
      <c r="K223" s="310" t="s">
        <v>1111</v>
      </c>
      <c r="L223" s="310" t="s">
        <v>332</v>
      </c>
      <c r="M223" s="310" t="s">
        <v>1112</v>
      </c>
      <c r="N223" s="310">
        <v>2015</v>
      </c>
      <c r="O223" s="310"/>
      <c r="P223" s="395" t="s">
        <v>1113</v>
      </c>
      <c r="Q223" s="309"/>
      <c r="R223" s="305">
        <v>1</v>
      </c>
      <c r="S223" s="437"/>
      <c r="T223" s="439">
        <v>37654000</v>
      </c>
      <c r="U223" s="411">
        <f t="shared" si="165"/>
        <v>627566.66666666663</v>
      </c>
      <c r="V223" s="314">
        <v>60</v>
      </c>
      <c r="W223" s="315">
        <v>59.999999999999979</v>
      </c>
      <c r="X223" s="314">
        <f t="shared" si="166"/>
        <v>0</v>
      </c>
      <c r="Y223" s="316">
        <f t="shared" si="167"/>
        <v>59.999999999999979</v>
      </c>
      <c r="Z223" s="317">
        <f t="shared" si="168"/>
        <v>0</v>
      </c>
      <c r="AA223" s="318">
        <v>37653999.999999985</v>
      </c>
      <c r="AB223" s="318">
        <v>1.4901161193847656E-8</v>
      </c>
      <c r="AC223" s="318">
        <f t="shared" si="169"/>
        <v>0</v>
      </c>
      <c r="AD223" s="318"/>
      <c r="AE223" s="318"/>
      <c r="AF223" s="318"/>
      <c r="AG223" s="318"/>
      <c r="AH223" s="318"/>
      <c r="AI223" s="318"/>
      <c r="AJ223" s="318"/>
      <c r="AK223" s="318"/>
      <c r="AL223" s="318"/>
      <c r="AM223" s="318"/>
      <c r="AN223" s="318"/>
      <c r="AO223" s="318"/>
      <c r="AP223" s="318">
        <f t="shared" si="170"/>
        <v>37653999.999999985</v>
      </c>
      <c r="AQ223" s="319">
        <f t="shared" si="171"/>
        <v>1.4901161193847656E-8</v>
      </c>
      <c r="AR223" s="320"/>
      <c r="AS223" s="320"/>
      <c r="AT223" s="384"/>
      <c r="AU223" s="322"/>
      <c r="AV223" s="146" t="s">
        <v>1236</v>
      </c>
      <c r="AW223" s="146">
        <f>IFERROR(VLOOKUP(G223,'[70]Detail Deprec_202508'!$D$33:$I$357,6,FALSE),0)</f>
        <v>0</v>
      </c>
      <c r="AX223" s="146">
        <f t="shared" si="172"/>
        <v>0</v>
      </c>
    </row>
    <row r="224" spans="1:50" outlineLevel="1">
      <c r="A224" s="324">
        <f t="shared" si="114"/>
        <v>199</v>
      </c>
      <c r="B224" s="306" t="s">
        <v>142</v>
      </c>
      <c r="C224" s="344" t="s">
        <v>143</v>
      </c>
      <c r="D224" s="305">
        <v>156</v>
      </c>
      <c r="E224" s="305" t="s">
        <v>1708</v>
      </c>
      <c r="F224" s="306" t="s">
        <v>1114</v>
      </c>
      <c r="G224" s="306" t="s">
        <v>1115</v>
      </c>
      <c r="H224" s="394">
        <v>42276</v>
      </c>
      <c r="I224" s="378" t="s">
        <v>12</v>
      </c>
      <c r="J224" s="395" t="s">
        <v>1110</v>
      </c>
      <c r="K224" s="310" t="s">
        <v>1116</v>
      </c>
      <c r="L224" s="310" t="s">
        <v>332</v>
      </c>
      <c r="M224" s="310" t="s">
        <v>1112</v>
      </c>
      <c r="N224" s="310">
        <v>2015</v>
      </c>
      <c r="O224" s="310"/>
      <c r="P224" s="395" t="s">
        <v>1113</v>
      </c>
      <c r="Q224" s="309"/>
      <c r="R224" s="305">
        <v>1</v>
      </c>
      <c r="S224" s="437"/>
      <c r="T224" s="439">
        <v>37654000</v>
      </c>
      <c r="U224" s="411">
        <f t="shared" si="165"/>
        <v>627566.66666666663</v>
      </c>
      <c r="V224" s="314">
        <v>60</v>
      </c>
      <c r="W224" s="315">
        <v>59.999999999999979</v>
      </c>
      <c r="X224" s="314">
        <f t="shared" si="166"/>
        <v>0</v>
      </c>
      <c r="Y224" s="316">
        <f t="shared" si="167"/>
        <v>59.999999999999979</v>
      </c>
      <c r="Z224" s="317">
        <f t="shared" si="168"/>
        <v>0</v>
      </c>
      <c r="AA224" s="318">
        <v>37653999.999999985</v>
      </c>
      <c r="AB224" s="318">
        <v>1.4901161193847656E-8</v>
      </c>
      <c r="AC224" s="318">
        <f t="shared" si="169"/>
        <v>0</v>
      </c>
      <c r="AD224" s="318"/>
      <c r="AE224" s="318"/>
      <c r="AF224" s="318"/>
      <c r="AG224" s="318"/>
      <c r="AH224" s="318"/>
      <c r="AI224" s="318"/>
      <c r="AJ224" s="318"/>
      <c r="AK224" s="318"/>
      <c r="AL224" s="318"/>
      <c r="AM224" s="318"/>
      <c r="AN224" s="318"/>
      <c r="AO224" s="318"/>
      <c r="AP224" s="318">
        <f t="shared" si="170"/>
        <v>37653999.999999985</v>
      </c>
      <c r="AQ224" s="319">
        <f t="shared" si="171"/>
        <v>1.4901161193847656E-8</v>
      </c>
      <c r="AR224" s="320"/>
      <c r="AS224" s="320"/>
      <c r="AT224" s="384"/>
      <c r="AU224" s="322"/>
      <c r="AV224" s="146" t="s">
        <v>1236</v>
      </c>
      <c r="AW224" s="146">
        <f>IFERROR(VLOOKUP(G224,'[70]Detail Deprec_202508'!$D$33:$I$357,6,FALSE),0)</f>
        <v>0</v>
      </c>
      <c r="AX224" s="146">
        <f t="shared" si="172"/>
        <v>0</v>
      </c>
    </row>
    <row r="225" spans="1:50" outlineLevel="1">
      <c r="A225" s="324">
        <f t="shared" si="114"/>
        <v>200</v>
      </c>
      <c r="B225" s="306" t="s">
        <v>142</v>
      </c>
      <c r="C225" s="344" t="s">
        <v>143</v>
      </c>
      <c r="D225" s="305">
        <v>156</v>
      </c>
      <c r="E225" s="305" t="s">
        <v>1707</v>
      </c>
      <c r="F225" s="306" t="s">
        <v>1117</v>
      </c>
      <c r="G225" s="306" t="s">
        <v>1118</v>
      </c>
      <c r="H225" s="394">
        <v>42276</v>
      </c>
      <c r="I225" s="378" t="s">
        <v>12</v>
      </c>
      <c r="J225" s="395" t="s">
        <v>1110</v>
      </c>
      <c r="K225" s="310" t="s">
        <v>1119</v>
      </c>
      <c r="L225" s="310" t="s">
        <v>332</v>
      </c>
      <c r="M225" s="310" t="s">
        <v>1112</v>
      </c>
      <c r="N225" s="310">
        <v>2015</v>
      </c>
      <c r="O225" s="310"/>
      <c r="P225" s="395" t="s">
        <v>1120</v>
      </c>
      <c r="Q225" s="309"/>
      <c r="R225" s="305">
        <v>1</v>
      </c>
      <c r="S225" s="437"/>
      <c r="T225" s="439">
        <v>37654000</v>
      </c>
      <c r="U225" s="411">
        <f t="shared" si="165"/>
        <v>627566.66666666663</v>
      </c>
      <c r="V225" s="314">
        <v>60</v>
      </c>
      <c r="W225" s="315">
        <v>59.999999999999979</v>
      </c>
      <c r="X225" s="314">
        <f t="shared" si="166"/>
        <v>0</v>
      </c>
      <c r="Y225" s="316">
        <f t="shared" si="167"/>
        <v>59.999999999999979</v>
      </c>
      <c r="Z225" s="317">
        <f t="shared" si="168"/>
        <v>0</v>
      </c>
      <c r="AA225" s="318">
        <v>37653999.999999985</v>
      </c>
      <c r="AB225" s="318">
        <v>1.4901161193847656E-8</v>
      </c>
      <c r="AC225" s="318">
        <f t="shared" si="169"/>
        <v>0</v>
      </c>
      <c r="AD225" s="318"/>
      <c r="AE225" s="318"/>
      <c r="AF225" s="318"/>
      <c r="AG225" s="318"/>
      <c r="AH225" s="318"/>
      <c r="AI225" s="318"/>
      <c r="AJ225" s="318"/>
      <c r="AK225" s="318"/>
      <c r="AL225" s="318"/>
      <c r="AM225" s="318"/>
      <c r="AN225" s="318"/>
      <c r="AO225" s="318"/>
      <c r="AP225" s="318">
        <f t="shared" si="170"/>
        <v>37653999.999999985</v>
      </c>
      <c r="AQ225" s="319">
        <f t="shared" si="171"/>
        <v>1.4901161193847656E-8</v>
      </c>
      <c r="AR225" s="320"/>
      <c r="AS225" s="320"/>
      <c r="AT225" s="384"/>
      <c r="AU225" s="322"/>
      <c r="AV225" s="146" t="s">
        <v>1236</v>
      </c>
      <c r="AW225" s="146">
        <f>IFERROR(VLOOKUP(G225,'[70]Detail Deprec_202508'!$D$33:$I$357,6,FALSE),0)</f>
        <v>0</v>
      </c>
      <c r="AX225" s="146">
        <f t="shared" si="172"/>
        <v>0</v>
      </c>
    </row>
    <row r="226" spans="1:50" outlineLevel="1">
      <c r="A226" s="324">
        <f t="shared" si="114"/>
        <v>201</v>
      </c>
      <c r="B226" s="306" t="s">
        <v>142</v>
      </c>
      <c r="C226" s="344" t="s">
        <v>143</v>
      </c>
      <c r="D226" s="305">
        <v>156</v>
      </c>
      <c r="E226" s="305" t="s">
        <v>1707</v>
      </c>
      <c r="F226" s="306" t="s">
        <v>1121</v>
      </c>
      <c r="G226" s="306" t="s">
        <v>1122</v>
      </c>
      <c r="H226" s="394">
        <v>42276</v>
      </c>
      <c r="I226" s="378" t="s">
        <v>12</v>
      </c>
      <c r="J226" s="395" t="s">
        <v>1110</v>
      </c>
      <c r="K226" s="310" t="s">
        <v>1119</v>
      </c>
      <c r="L226" s="310" t="s">
        <v>332</v>
      </c>
      <c r="M226" s="310" t="s">
        <v>1112</v>
      </c>
      <c r="N226" s="310">
        <v>2015</v>
      </c>
      <c r="O226" s="310"/>
      <c r="P226" s="395" t="s">
        <v>1120</v>
      </c>
      <c r="Q226" s="309"/>
      <c r="R226" s="305">
        <v>1</v>
      </c>
      <c r="S226" s="437"/>
      <c r="T226" s="439">
        <v>37654000</v>
      </c>
      <c r="U226" s="411">
        <f t="shared" si="165"/>
        <v>627566.66666666663</v>
      </c>
      <c r="V226" s="314">
        <v>60</v>
      </c>
      <c r="W226" s="315">
        <v>59.999999999999979</v>
      </c>
      <c r="X226" s="314">
        <f t="shared" si="166"/>
        <v>0</v>
      </c>
      <c r="Y226" s="316">
        <f t="shared" si="167"/>
        <v>59.999999999999979</v>
      </c>
      <c r="Z226" s="317">
        <f t="shared" si="168"/>
        <v>0</v>
      </c>
      <c r="AA226" s="318">
        <v>37653999.999999985</v>
      </c>
      <c r="AB226" s="318">
        <v>1.4901161193847656E-8</v>
      </c>
      <c r="AC226" s="318">
        <f t="shared" si="169"/>
        <v>0</v>
      </c>
      <c r="AD226" s="318"/>
      <c r="AE226" s="318"/>
      <c r="AF226" s="318"/>
      <c r="AG226" s="318"/>
      <c r="AH226" s="318"/>
      <c r="AI226" s="318"/>
      <c r="AJ226" s="318"/>
      <c r="AK226" s="318"/>
      <c r="AL226" s="318"/>
      <c r="AM226" s="318"/>
      <c r="AN226" s="318"/>
      <c r="AO226" s="318"/>
      <c r="AP226" s="318">
        <f t="shared" si="170"/>
        <v>37653999.999999985</v>
      </c>
      <c r="AQ226" s="319">
        <f t="shared" si="171"/>
        <v>1.4901161193847656E-8</v>
      </c>
      <c r="AR226" s="320"/>
      <c r="AS226" s="320"/>
      <c r="AT226" s="384"/>
      <c r="AU226" s="322"/>
      <c r="AV226" s="146" t="s">
        <v>1236</v>
      </c>
      <c r="AW226" s="146">
        <f>IFERROR(VLOOKUP(G226,'[70]Detail Deprec_202508'!$D$33:$I$357,6,FALSE),0)</f>
        <v>0</v>
      </c>
      <c r="AX226" s="146">
        <f t="shared" si="172"/>
        <v>0</v>
      </c>
    </row>
    <row r="227" spans="1:50" outlineLevel="1">
      <c r="A227" s="324">
        <f t="shared" si="114"/>
        <v>202</v>
      </c>
      <c r="B227" s="306" t="s">
        <v>142</v>
      </c>
      <c r="C227" s="344" t="s">
        <v>143</v>
      </c>
      <c r="D227" s="305">
        <v>156</v>
      </c>
      <c r="E227" s="305" t="s">
        <v>1706</v>
      </c>
      <c r="F227" s="306" t="s">
        <v>1123</v>
      </c>
      <c r="G227" s="306" t="s">
        <v>1124</v>
      </c>
      <c r="H227" s="394">
        <v>42366</v>
      </c>
      <c r="I227" s="378" t="s">
        <v>12</v>
      </c>
      <c r="J227" s="395" t="s">
        <v>676</v>
      </c>
      <c r="K227" s="310" t="s">
        <v>1125</v>
      </c>
      <c r="L227" s="309" t="s">
        <v>1126</v>
      </c>
      <c r="M227" s="310"/>
      <c r="N227" s="310">
        <v>2015</v>
      </c>
      <c r="O227" s="310"/>
      <c r="P227" s="310"/>
      <c r="Q227" s="309"/>
      <c r="R227" s="305">
        <v>1</v>
      </c>
      <c r="S227" s="435"/>
      <c r="T227" s="439">
        <v>57094000</v>
      </c>
      <c r="U227" s="411">
        <f t="shared" si="165"/>
        <v>951566.66666666663</v>
      </c>
      <c r="V227" s="314">
        <v>60</v>
      </c>
      <c r="W227" s="315">
        <v>59.999999999999993</v>
      </c>
      <c r="X227" s="314">
        <f t="shared" si="166"/>
        <v>0</v>
      </c>
      <c r="Y227" s="316">
        <f t="shared" si="167"/>
        <v>59.999999999999993</v>
      </c>
      <c r="Z227" s="317">
        <f t="shared" si="168"/>
        <v>0</v>
      </c>
      <c r="AA227" s="318">
        <v>57093999.999999993</v>
      </c>
      <c r="AB227" s="318">
        <v>7.4505805969238281E-9</v>
      </c>
      <c r="AC227" s="318">
        <f t="shared" si="169"/>
        <v>0</v>
      </c>
      <c r="AD227" s="318"/>
      <c r="AE227" s="318"/>
      <c r="AF227" s="318"/>
      <c r="AG227" s="318"/>
      <c r="AH227" s="318"/>
      <c r="AI227" s="318"/>
      <c r="AJ227" s="318"/>
      <c r="AK227" s="318"/>
      <c r="AL227" s="318"/>
      <c r="AM227" s="318"/>
      <c r="AN227" s="318"/>
      <c r="AO227" s="318"/>
      <c r="AP227" s="318">
        <f t="shared" si="170"/>
        <v>57093999.999999993</v>
      </c>
      <c r="AQ227" s="319">
        <f t="shared" si="171"/>
        <v>7.4505805969238281E-9</v>
      </c>
      <c r="AR227" s="320"/>
      <c r="AS227" s="320"/>
      <c r="AT227" s="384"/>
      <c r="AU227" s="322"/>
      <c r="AV227" s="146" t="s">
        <v>1236</v>
      </c>
      <c r="AW227" s="146">
        <f>IFERROR(VLOOKUP(G227,'[70]Detail Deprec_202508'!$D$33:$I$357,6,FALSE),0)</f>
        <v>0</v>
      </c>
      <c r="AX227" s="146">
        <f t="shared" si="172"/>
        <v>0</v>
      </c>
    </row>
    <row r="228" spans="1:50" outlineLevel="1">
      <c r="A228" s="324">
        <f t="shared" si="114"/>
        <v>203</v>
      </c>
      <c r="B228" s="306" t="s">
        <v>142</v>
      </c>
      <c r="C228" s="344" t="s">
        <v>143</v>
      </c>
      <c r="D228" s="305">
        <v>156</v>
      </c>
      <c r="E228" s="305" t="s">
        <v>1707</v>
      </c>
      <c r="F228" s="306"/>
      <c r="G228" s="306" t="s">
        <v>1127</v>
      </c>
      <c r="H228" s="394">
        <v>42429</v>
      </c>
      <c r="I228" s="378" t="s">
        <v>12</v>
      </c>
      <c r="J228" s="395" t="s">
        <v>1128</v>
      </c>
      <c r="K228" s="310" t="s">
        <v>1129</v>
      </c>
      <c r="L228" s="309" t="s">
        <v>1130</v>
      </c>
      <c r="M228" s="310"/>
      <c r="N228" s="310">
        <v>2016</v>
      </c>
      <c r="O228" s="310"/>
      <c r="P228" s="310"/>
      <c r="Q228" s="309"/>
      <c r="R228" s="305">
        <v>1</v>
      </c>
      <c r="S228" s="440">
        <v>74000</v>
      </c>
      <c r="T228" s="436">
        <v>721588060</v>
      </c>
      <c r="U228" s="411">
        <f t="shared" si="165"/>
        <v>12026467.666666666</v>
      </c>
      <c r="V228" s="314">
        <v>60</v>
      </c>
      <c r="W228" s="315">
        <v>60</v>
      </c>
      <c r="X228" s="314">
        <f t="shared" si="166"/>
        <v>0</v>
      </c>
      <c r="Y228" s="316">
        <f t="shared" si="167"/>
        <v>60</v>
      </c>
      <c r="Z228" s="317">
        <f t="shared" si="168"/>
        <v>0</v>
      </c>
      <c r="AA228" s="318">
        <v>721588060</v>
      </c>
      <c r="AB228" s="318">
        <v>0</v>
      </c>
      <c r="AC228" s="318">
        <f t="shared" si="169"/>
        <v>0</v>
      </c>
      <c r="AD228" s="318"/>
      <c r="AE228" s="318"/>
      <c r="AF228" s="318"/>
      <c r="AG228" s="318"/>
      <c r="AH228" s="318"/>
      <c r="AI228" s="318"/>
      <c r="AJ228" s="318"/>
      <c r="AK228" s="318"/>
      <c r="AL228" s="318"/>
      <c r="AM228" s="318"/>
      <c r="AN228" s="318"/>
      <c r="AO228" s="318"/>
      <c r="AP228" s="318">
        <f t="shared" si="170"/>
        <v>721588060</v>
      </c>
      <c r="AQ228" s="319">
        <f t="shared" si="171"/>
        <v>0</v>
      </c>
      <c r="AR228" s="320"/>
      <c r="AS228" s="320"/>
      <c r="AT228" s="384"/>
      <c r="AU228" s="322"/>
      <c r="AV228" s="146" t="s">
        <v>1236</v>
      </c>
      <c r="AW228" s="146">
        <f>IFERROR(VLOOKUP(G228,'[70]Detail Deprec_202508'!$D$33:$I$357,6,FALSE),0)</f>
        <v>0</v>
      </c>
      <c r="AX228" s="146">
        <f t="shared" si="172"/>
        <v>0</v>
      </c>
    </row>
    <row r="229" spans="1:50" outlineLevel="1">
      <c r="A229" s="324">
        <f t="shared" si="114"/>
        <v>204</v>
      </c>
      <c r="B229" s="306" t="s">
        <v>142</v>
      </c>
      <c r="C229" s="344" t="s">
        <v>143</v>
      </c>
      <c r="D229" s="305">
        <v>156</v>
      </c>
      <c r="E229" s="305" t="s">
        <v>1706</v>
      </c>
      <c r="F229" s="306" t="s">
        <v>1131</v>
      </c>
      <c r="G229" s="306" t="s">
        <v>1132</v>
      </c>
      <c r="H229" s="394">
        <v>42660</v>
      </c>
      <c r="I229" s="378" t="s">
        <v>12</v>
      </c>
      <c r="J229" s="395" t="s">
        <v>349</v>
      </c>
      <c r="K229" s="310" t="s">
        <v>1133</v>
      </c>
      <c r="L229" s="309" t="s">
        <v>235</v>
      </c>
      <c r="M229" s="310" t="s">
        <v>1134</v>
      </c>
      <c r="N229" s="310">
        <v>2016</v>
      </c>
      <c r="O229" s="310"/>
      <c r="P229" s="310"/>
      <c r="Q229" s="309"/>
      <c r="R229" s="305">
        <v>1</v>
      </c>
      <c r="S229" s="440"/>
      <c r="T229" s="436">
        <v>100000000</v>
      </c>
      <c r="U229" s="411">
        <f t="shared" si="165"/>
        <v>1666666.6666666667</v>
      </c>
      <c r="V229" s="314">
        <v>60</v>
      </c>
      <c r="W229" s="315">
        <v>60</v>
      </c>
      <c r="X229" s="314">
        <f t="shared" si="166"/>
        <v>0</v>
      </c>
      <c r="Y229" s="316">
        <f t="shared" si="167"/>
        <v>60</v>
      </c>
      <c r="Z229" s="317">
        <f t="shared" si="168"/>
        <v>0</v>
      </c>
      <c r="AA229" s="318">
        <v>100000000</v>
      </c>
      <c r="AB229" s="318">
        <v>0</v>
      </c>
      <c r="AC229" s="318">
        <f t="shared" si="169"/>
        <v>0</v>
      </c>
      <c r="AD229" s="318"/>
      <c r="AE229" s="318"/>
      <c r="AF229" s="318"/>
      <c r="AG229" s="318"/>
      <c r="AH229" s="318"/>
      <c r="AI229" s="318"/>
      <c r="AJ229" s="318"/>
      <c r="AK229" s="318"/>
      <c r="AL229" s="318"/>
      <c r="AM229" s="318"/>
      <c r="AN229" s="318"/>
      <c r="AO229" s="318"/>
      <c r="AP229" s="318">
        <f t="shared" si="170"/>
        <v>100000000</v>
      </c>
      <c r="AQ229" s="319">
        <f t="shared" si="171"/>
        <v>0</v>
      </c>
      <c r="AR229" s="320"/>
      <c r="AS229" s="320"/>
      <c r="AT229" s="384"/>
      <c r="AU229" s="322"/>
      <c r="AV229" s="146" t="s">
        <v>1236</v>
      </c>
      <c r="AW229" s="146">
        <f>IFERROR(VLOOKUP(G229,'[70]Detail Deprec_202508'!$D$33:$I$357,6,FALSE),0)</f>
        <v>0</v>
      </c>
      <c r="AX229" s="146">
        <f t="shared" si="172"/>
        <v>0</v>
      </c>
    </row>
    <row r="230" spans="1:50" outlineLevel="1">
      <c r="A230" s="324">
        <f t="shared" si="114"/>
        <v>205</v>
      </c>
      <c r="B230" s="306" t="s">
        <v>142</v>
      </c>
      <c r="C230" s="344" t="s">
        <v>143</v>
      </c>
      <c r="D230" s="305">
        <v>156</v>
      </c>
      <c r="E230" s="305" t="s">
        <v>1707</v>
      </c>
      <c r="F230" s="306" t="s">
        <v>1135</v>
      </c>
      <c r="G230" s="306" t="s">
        <v>1136</v>
      </c>
      <c r="H230" s="394">
        <v>42794</v>
      </c>
      <c r="I230" s="378" t="s">
        <v>12</v>
      </c>
      <c r="J230" s="395">
        <v>24</v>
      </c>
      <c r="K230" s="310" t="s">
        <v>1137</v>
      </c>
      <c r="L230" s="309" t="s">
        <v>332</v>
      </c>
      <c r="M230" s="310" t="s">
        <v>1112</v>
      </c>
      <c r="N230" s="310">
        <v>2017</v>
      </c>
      <c r="O230" s="310"/>
      <c r="P230" s="310" t="s">
        <v>1138</v>
      </c>
      <c r="Q230" s="310" t="s">
        <v>1139</v>
      </c>
      <c r="R230" s="305">
        <v>1</v>
      </c>
      <c r="S230" s="435"/>
      <c r="T230" s="436">
        <v>37645000</v>
      </c>
      <c r="U230" s="411">
        <f t="shared" ref="U230:U237" si="173">+T230/V230</f>
        <v>627416.66666666663</v>
      </c>
      <c r="V230" s="314">
        <v>60</v>
      </c>
      <c r="W230" s="315">
        <v>60.000000000000007</v>
      </c>
      <c r="X230" s="314">
        <f t="shared" ref="X230:X237" si="174">+AC230/U230</f>
        <v>0</v>
      </c>
      <c r="Y230" s="316">
        <f t="shared" ref="Y230:Y242" si="175">+W230+X230</f>
        <v>60.000000000000007</v>
      </c>
      <c r="Z230" s="317">
        <f t="shared" ref="Z230:Z237" si="176">+V230-Y230</f>
        <v>0</v>
      </c>
      <c r="AA230" s="318">
        <v>37645000</v>
      </c>
      <c r="AB230" s="318">
        <v>0</v>
      </c>
      <c r="AC230" s="318">
        <f t="shared" ref="AC230:AC243" si="177">SUM(AD230:AL230)</f>
        <v>0</v>
      </c>
      <c r="AD230" s="318"/>
      <c r="AE230" s="318"/>
      <c r="AF230" s="318"/>
      <c r="AG230" s="318"/>
      <c r="AH230" s="318"/>
      <c r="AI230" s="318"/>
      <c r="AJ230" s="318"/>
      <c r="AK230" s="318"/>
      <c r="AL230" s="318"/>
      <c r="AM230" s="318"/>
      <c r="AN230" s="318"/>
      <c r="AO230" s="318"/>
      <c r="AP230" s="318">
        <f t="shared" ref="AP230:AP237" si="178">+AA230+AC230</f>
        <v>37645000</v>
      </c>
      <c r="AQ230" s="319">
        <f t="shared" ref="AQ230:AQ237" si="179">IF(AS230=$AS$24,((T230-AP230)*0),T230-AP230)</f>
        <v>0</v>
      </c>
      <c r="AR230" s="320"/>
      <c r="AS230" s="320"/>
      <c r="AT230" s="384"/>
      <c r="AU230" s="322"/>
      <c r="AV230" s="146" t="s">
        <v>1236</v>
      </c>
      <c r="AW230" s="146">
        <f>IFERROR(VLOOKUP(G230,'[70]Detail Deprec_202508'!$D$33:$I$357,6,FALSE),0)</f>
        <v>0</v>
      </c>
      <c r="AX230" s="146">
        <f t="shared" si="172"/>
        <v>0</v>
      </c>
    </row>
    <row r="231" spans="1:50" outlineLevel="1">
      <c r="A231" s="324">
        <f t="shared" si="114"/>
        <v>206</v>
      </c>
      <c r="B231" s="306" t="s">
        <v>142</v>
      </c>
      <c r="C231" s="309" t="s">
        <v>143</v>
      </c>
      <c r="D231" s="305">
        <v>156</v>
      </c>
      <c r="E231" s="305" t="s">
        <v>1707</v>
      </c>
      <c r="F231" s="306" t="s">
        <v>1140</v>
      </c>
      <c r="G231" s="306" t="s">
        <v>1141</v>
      </c>
      <c r="H231" s="394">
        <v>42824</v>
      </c>
      <c r="I231" s="378" t="s">
        <v>12</v>
      </c>
      <c r="J231" s="310">
        <v>19</v>
      </c>
      <c r="K231" s="310" t="s">
        <v>1137</v>
      </c>
      <c r="L231" s="309" t="s">
        <v>332</v>
      </c>
      <c r="M231" s="310" t="s">
        <v>1112</v>
      </c>
      <c r="N231" s="310">
        <v>2017</v>
      </c>
      <c r="O231" s="310"/>
      <c r="P231" s="310" t="s">
        <v>1142</v>
      </c>
      <c r="Q231" s="309"/>
      <c r="R231" s="305">
        <v>1</v>
      </c>
      <c r="S231" s="435"/>
      <c r="T231" s="436">
        <v>37645000</v>
      </c>
      <c r="U231" s="411">
        <f t="shared" si="173"/>
        <v>1568541.6666666667</v>
      </c>
      <c r="V231" s="314">
        <v>24</v>
      </c>
      <c r="W231" s="315">
        <v>24</v>
      </c>
      <c r="X231" s="314">
        <f t="shared" si="174"/>
        <v>0</v>
      </c>
      <c r="Y231" s="316">
        <f t="shared" si="175"/>
        <v>24</v>
      </c>
      <c r="Z231" s="317">
        <f t="shared" si="176"/>
        <v>0</v>
      </c>
      <c r="AA231" s="318">
        <v>37645000</v>
      </c>
      <c r="AB231" s="318">
        <v>0</v>
      </c>
      <c r="AC231" s="318">
        <f t="shared" si="177"/>
        <v>0</v>
      </c>
      <c r="AD231" s="318"/>
      <c r="AE231" s="318"/>
      <c r="AF231" s="318"/>
      <c r="AG231" s="318"/>
      <c r="AH231" s="318"/>
      <c r="AI231" s="318"/>
      <c r="AJ231" s="318"/>
      <c r="AK231" s="318"/>
      <c r="AL231" s="318"/>
      <c r="AM231" s="318"/>
      <c r="AN231" s="318"/>
      <c r="AO231" s="318"/>
      <c r="AP231" s="318">
        <f t="shared" si="178"/>
        <v>37645000</v>
      </c>
      <c r="AQ231" s="319">
        <f t="shared" si="179"/>
        <v>0</v>
      </c>
      <c r="AR231" s="320"/>
      <c r="AS231" s="320"/>
      <c r="AT231" s="384"/>
      <c r="AU231" s="322"/>
      <c r="AV231" s="146" t="s">
        <v>1236</v>
      </c>
      <c r="AW231" s="146">
        <f>IFERROR(VLOOKUP(G231,'[70]Detail Deprec_202508'!$D$33:$I$357,6,FALSE),0)</f>
        <v>0</v>
      </c>
      <c r="AX231" s="146">
        <f t="shared" si="172"/>
        <v>0</v>
      </c>
    </row>
    <row r="232" spans="1:50" outlineLevel="1">
      <c r="A232" s="324">
        <f t="shared" ref="A232:A252" si="180">+A231+1</f>
        <v>207</v>
      </c>
      <c r="B232" s="306" t="s">
        <v>142</v>
      </c>
      <c r="C232" s="344" t="s">
        <v>143</v>
      </c>
      <c r="D232" s="305">
        <v>156</v>
      </c>
      <c r="E232" s="305" t="s">
        <v>1707</v>
      </c>
      <c r="F232" s="306" t="s">
        <v>1143</v>
      </c>
      <c r="G232" s="306" t="s">
        <v>1144</v>
      </c>
      <c r="H232" s="394">
        <v>42824</v>
      </c>
      <c r="I232" s="378" t="s">
        <v>12</v>
      </c>
      <c r="J232" s="310">
        <v>19</v>
      </c>
      <c r="K232" s="310" t="s">
        <v>1145</v>
      </c>
      <c r="L232" s="309" t="s">
        <v>332</v>
      </c>
      <c r="M232" s="310"/>
      <c r="N232" s="310">
        <v>2017</v>
      </c>
      <c r="O232" s="310"/>
      <c r="P232" s="310" t="s">
        <v>1138</v>
      </c>
      <c r="Q232" s="309"/>
      <c r="R232" s="305">
        <v>5</v>
      </c>
      <c r="S232" s="435"/>
      <c r="T232" s="436">
        <v>109000000</v>
      </c>
      <c r="U232" s="411">
        <f t="shared" si="173"/>
        <v>1816666.6666666667</v>
      </c>
      <c r="V232" s="314">
        <v>60</v>
      </c>
      <c r="W232" s="315">
        <v>60</v>
      </c>
      <c r="X232" s="314">
        <f t="shared" si="174"/>
        <v>0</v>
      </c>
      <c r="Y232" s="316">
        <f t="shared" si="175"/>
        <v>60</v>
      </c>
      <c r="Z232" s="317">
        <f t="shared" si="176"/>
        <v>0</v>
      </c>
      <c r="AA232" s="318">
        <v>109000000</v>
      </c>
      <c r="AB232" s="318">
        <v>0</v>
      </c>
      <c r="AC232" s="318">
        <f t="shared" si="177"/>
        <v>0</v>
      </c>
      <c r="AD232" s="318"/>
      <c r="AE232" s="318"/>
      <c r="AF232" s="318"/>
      <c r="AG232" s="318"/>
      <c r="AH232" s="318"/>
      <c r="AI232" s="318"/>
      <c r="AJ232" s="318"/>
      <c r="AK232" s="318"/>
      <c r="AL232" s="318"/>
      <c r="AM232" s="318"/>
      <c r="AN232" s="318"/>
      <c r="AO232" s="318"/>
      <c r="AP232" s="318">
        <f t="shared" si="178"/>
        <v>109000000</v>
      </c>
      <c r="AQ232" s="319">
        <f t="shared" si="179"/>
        <v>0</v>
      </c>
      <c r="AR232" s="320"/>
      <c r="AS232" s="320"/>
      <c r="AT232" s="384"/>
      <c r="AU232" s="322"/>
      <c r="AV232" s="146" t="s">
        <v>1241</v>
      </c>
      <c r="AW232" s="146">
        <f>IFERROR(VLOOKUP(G232,'[70]Detail Deprec_202508'!$D$33:$I$357,6,FALSE),0)</f>
        <v>0</v>
      </c>
      <c r="AX232" s="146">
        <f t="shared" si="172"/>
        <v>0</v>
      </c>
    </row>
    <row r="233" spans="1:50" outlineLevel="1">
      <c r="A233" s="324">
        <f t="shared" si="180"/>
        <v>208</v>
      </c>
      <c r="B233" s="306" t="s">
        <v>142</v>
      </c>
      <c r="C233" s="344" t="s">
        <v>143</v>
      </c>
      <c r="D233" s="305">
        <v>156</v>
      </c>
      <c r="E233" s="305" t="s">
        <v>1707</v>
      </c>
      <c r="F233" s="306" t="s">
        <v>1146</v>
      </c>
      <c r="G233" s="306" t="s">
        <v>1147</v>
      </c>
      <c r="H233" s="394">
        <v>42824</v>
      </c>
      <c r="I233" s="378" t="s">
        <v>12</v>
      </c>
      <c r="J233" s="395" t="s">
        <v>345</v>
      </c>
      <c r="K233" s="310" t="s">
        <v>1148</v>
      </c>
      <c r="L233" s="309" t="s">
        <v>1149</v>
      </c>
      <c r="M233" s="310" t="s">
        <v>1150</v>
      </c>
      <c r="N233" s="310">
        <v>2017</v>
      </c>
      <c r="O233" s="310"/>
      <c r="P233" s="310" t="s">
        <v>1142</v>
      </c>
      <c r="Q233" s="309" t="s">
        <v>1151</v>
      </c>
      <c r="R233" s="305">
        <v>3</v>
      </c>
      <c r="S233" s="435"/>
      <c r="T233" s="436">
        <v>62640000</v>
      </c>
      <c r="U233" s="411">
        <f t="shared" si="173"/>
        <v>1044000</v>
      </c>
      <c r="V233" s="314">
        <v>60</v>
      </c>
      <c r="W233" s="315">
        <v>60</v>
      </c>
      <c r="X233" s="314">
        <f t="shared" si="174"/>
        <v>0</v>
      </c>
      <c r="Y233" s="316">
        <f t="shared" si="175"/>
        <v>60</v>
      </c>
      <c r="Z233" s="317">
        <f t="shared" si="176"/>
        <v>0</v>
      </c>
      <c r="AA233" s="318">
        <v>62640000</v>
      </c>
      <c r="AB233" s="318">
        <v>0</v>
      </c>
      <c r="AC233" s="318">
        <f t="shared" si="177"/>
        <v>0</v>
      </c>
      <c r="AD233" s="318"/>
      <c r="AE233" s="318"/>
      <c r="AF233" s="318"/>
      <c r="AG233" s="318"/>
      <c r="AH233" s="318"/>
      <c r="AI233" s="318"/>
      <c r="AJ233" s="318"/>
      <c r="AK233" s="318"/>
      <c r="AL233" s="318"/>
      <c r="AM233" s="318"/>
      <c r="AN233" s="318"/>
      <c r="AO233" s="318"/>
      <c r="AP233" s="318">
        <f t="shared" si="178"/>
        <v>62640000</v>
      </c>
      <c r="AQ233" s="319">
        <f t="shared" si="179"/>
        <v>0</v>
      </c>
      <c r="AR233" s="320"/>
      <c r="AS233" s="320"/>
      <c r="AT233" s="384"/>
      <c r="AU233" s="322"/>
      <c r="AV233" s="146" t="s">
        <v>1236</v>
      </c>
      <c r="AW233" s="146">
        <f>IFERROR(VLOOKUP(G233,'[70]Detail Deprec_202508'!$D$33:$I$357,6,FALSE),0)</f>
        <v>0</v>
      </c>
      <c r="AX233" s="146">
        <f t="shared" si="172"/>
        <v>0</v>
      </c>
    </row>
    <row r="234" spans="1:50" outlineLevel="1">
      <c r="A234" s="324">
        <f t="shared" si="180"/>
        <v>209</v>
      </c>
      <c r="B234" s="306" t="s">
        <v>142</v>
      </c>
      <c r="C234" s="344" t="s">
        <v>143</v>
      </c>
      <c r="D234" s="305">
        <v>156</v>
      </c>
      <c r="E234" s="305" t="s">
        <v>1707</v>
      </c>
      <c r="F234" s="306" t="s">
        <v>1152</v>
      </c>
      <c r="G234" s="306" t="s">
        <v>1153</v>
      </c>
      <c r="H234" s="394">
        <v>42908</v>
      </c>
      <c r="I234" s="378" t="s">
        <v>12</v>
      </c>
      <c r="J234" s="395">
        <v>18</v>
      </c>
      <c r="K234" s="310" t="s">
        <v>1154</v>
      </c>
      <c r="L234" s="309" t="s">
        <v>1149</v>
      </c>
      <c r="M234" s="310" t="s">
        <v>1150</v>
      </c>
      <c r="N234" s="310">
        <v>2017</v>
      </c>
      <c r="O234" s="310"/>
      <c r="P234" s="310" t="s">
        <v>1142</v>
      </c>
      <c r="Q234" s="309"/>
      <c r="R234" s="305">
        <v>2</v>
      </c>
      <c r="S234" s="435"/>
      <c r="T234" s="436">
        <v>41760000</v>
      </c>
      <c r="U234" s="411">
        <f t="shared" si="173"/>
        <v>696000</v>
      </c>
      <c r="V234" s="314">
        <v>60</v>
      </c>
      <c r="W234" s="315">
        <v>60</v>
      </c>
      <c r="X234" s="314">
        <f t="shared" si="174"/>
        <v>0</v>
      </c>
      <c r="Y234" s="316">
        <f t="shared" si="175"/>
        <v>60</v>
      </c>
      <c r="Z234" s="317">
        <f t="shared" si="176"/>
        <v>0</v>
      </c>
      <c r="AA234" s="318">
        <v>41760000</v>
      </c>
      <c r="AB234" s="318">
        <v>0</v>
      </c>
      <c r="AC234" s="318">
        <f t="shared" si="177"/>
        <v>0</v>
      </c>
      <c r="AD234" s="318"/>
      <c r="AE234" s="318"/>
      <c r="AF234" s="318"/>
      <c r="AG234" s="318"/>
      <c r="AH234" s="318"/>
      <c r="AI234" s="318"/>
      <c r="AJ234" s="318"/>
      <c r="AK234" s="318"/>
      <c r="AL234" s="318"/>
      <c r="AM234" s="318"/>
      <c r="AN234" s="318"/>
      <c r="AO234" s="318"/>
      <c r="AP234" s="318">
        <f t="shared" si="178"/>
        <v>41760000</v>
      </c>
      <c r="AQ234" s="319">
        <f t="shared" si="179"/>
        <v>0</v>
      </c>
      <c r="AR234" s="320"/>
      <c r="AS234" s="320"/>
      <c r="AT234" s="384"/>
      <c r="AU234" s="322"/>
      <c r="AV234" s="146" t="s">
        <v>1236</v>
      </c>
      <c r="AW234" s="146">
        <f>IFERROR(VLOOKUP(G234,'[70]Detail Deprec_202508'!$D$33:$I$357,6,FALSE),0)</f>
        <v>0</v>
      </c>
      <c r="AX234" s="146">
        <f t="shared" si="172"/>
        <v>0</v>
      </c>
    </row>
    <row r="235" spans="1:50" outlineLevel="1">
      <c r="A235" s="324">
        <f t="shared" si="180"/>
        <v>210</v>
      </c>
      <c r="B235" s="306" t="s">
        <v>142</v>
      </c>
      <c r="C235" s="344" t="s">
        <v>143</v>
      </c>
      <c r="D235" s="305">
        <v>156</v>
      </c>
      <c r="E235" s="305" t="s">
        <v>1707</v>
      </c>
      <c r="F235" s="306" t="s">
        <v>1155</v>
      </c>
      <c r="G235" s="306" t="s">
        <v>1156</v>
      </c>
      <c r="H235" s="420">
        <v>43279</v>
      </c>
      <c r="I235" s="378" t="s">
        <v>12</v>
      </c>
      <c r="J235" s="310" t="s">
        <v>1157</v>
      </c>
      <c r="K235" s="310" t="s">
        <v>1158</v>
      </c>
      <c r="L235" s="421" t="s">
        <v>1149</v>
      </c>
      <c r="M235" s="310"/>
      <c r="N235" s="310">
        <v>2018</v>
      </c>
      <c r="O235" s="310"/>
      <c r="P235" s="310"/>
      <c r="Q235" s="310"/>
      <c r="R235" s="305">
        <v>3</v>
      </c>
      <c r="S235" s="441"/>
      <c r="T235" s="423">
        <v>100285000</v>
      </c>
      <c r="U235" s="411">
        <f t="shared" si="173"/>
        <v>1671416.6666666667</v>
      </c>
      <c r="V235" s="314">
        <v>60</v>
      </c>
      <c r="W235" s="315">
        <v>59.999999999999986</v>
      </c>
      <c r="X235" s="314">
        <f t="shared" si="174"/>
        <v>0</v>
      </c>
      <c r="Y235" s="316">
        <f t="shared" si="175"/>
        <v>59.999999999999986</v>
      </c>
      <c r="Z235" s="317">
        <f t="shared" si="176"/>
        <v>0</v>
      </c>
      <c r="AA235" s="318">
        <v>100284999.99999999</v>
      </c>
      <c r="AB235" s="318">
        <v>1.4901161193847656E-8</v>
      </c>
      <c r="AC235" s="318">
        <f t="shared" si="177"/>
        <v>0</v>
      </c>
      <c r="AD235" s="318"/>
      <c r="AE235" s="318"/>
      <c r="AF235" s="318"/>
      <c r="AG235" s="318"/>
      <c r="AH235" s="318"/>
      <c r="AI235" s="318"/>
      <c r="AJ235" s="318"/>
      <c r="AK235" s="318"/>
      <c r="AL235" s="318"/>
      <c r="AM235" s="318"/>
      <c r="AN235" s="318"/>
      <c r="AO235" s="318"/>
      <c r="AP235" s="318">
        <f t="shared" si="178"/>
        <v>100284999.99999999</v>
      </c>
      <c r="AQ235" s="319">
        <f t="shared" si="179"/>
        <v>1.4901161193847656E-8</v>
      </c>
      <c r="AR235" s="320"/>
      <c r="AS235" s="380"/>
      <c r="AT235" s="424"/>
      <c r="AU235" s="381"/>
      <c r="AV235" s="146" t="s">
        <v>1236</v>
      </c>
      <c r="AW235" s="146">
        <f>IFERROR(VLOOKUP(G235,'[70]Detail Deprec_202508'!$D$33:$I$357,6,FALSE),0)</f>
        <v>0</v>
      </c>
      <c r="AX235" s="146">
        <f t="shared" si="172"/>
        <v>0</v>
      </c>
    </row>
    <row r="236" spans="1:50" outlineLevel="1">
      <c r="A236" s="324">
        <f t="shared" si="180"/>
        <v>211</v>
      </c>
      <c r="B236" s="306" t="s">
        <v>142</v>
      </c>
      <c r="C236" s="344" t="s">
        <v>143</v>
      </c>
      <c r="D236" s="305">
        <v>156</v>
      </c>
      <c r="E236" s="305" t="s">
        <v>1707</v>
      </c>
      <c r="F236" s="306" t="s">
        <v>1159</v>
      </c>
      <c r="G236" s="306" t="s">
        <v>1160</v>
      </c>
      <c r="H236" s="420">
        <v>43279</v>
      </c>
      <c r="I236" s="378" t="s">
        <v>12</v>
      </c>
      <c r="J236" s="310" t="s">
        <v>1157</v>
      </c>
      <c r="K236" s="310" t="s">
        <v>1154</v>
      </c>
      <c r="L236" s="421" t="s">
        <v>1149</v>
      </c>
      <c r="M236" s="310"/>
      <c r="N236" s="310">
        <v>2018</v>
      </c>
      <c r="O236" s="310"/>
      <c r="P236" s="310"/>
      <c r="Q236" s="310"/>
      <c r="R236" s="305">
        <v>8</v>
      </c>
      <c r="S236" s="441"/>
      <c r="T236" s="423">
        <v>160040000</v>
      </c>
      <c r="U236" s="411">
        <f t="shared" si="173"/>
        <v>2667333.3333333335</v>
      </c>
      <c r="V236" s="314">
        <v>60</v>
      </c>
      <c r="W236" s="315">
        <v>59.999999999999986</v>
      </c>
      <c r="X236" s="314">
        <f t="shared" si="174"/>
        <v>0</v>
      </c>
      <c r="Y236" s="316">
        <f t="shared" si="175"/>
        <v>59.999999999999986</v>
      </c>
      <c r="Z236" s="317">
        <f t="shared" si="176"/>
        <v>0</v>
      </c>
      <c r="AA236" s="318">
        <v>160039999.99999997</v>
      </c>
      <c r="AB236" s="318">
        <v>2.9802322387695313E-8</v>
      </c>
      <c r="AC236" s="318">
        <f t="shared" si="177"/>
        <v>0</v>
      </c>
      <c r="AD236" s="318"/>
      <c r="AE236" s="318"/>
      <c r="AF236" s="318"/>
      <c r="AG236" s="318"/>
      <c r="AH236" s="318"/>
      <c r="AI236" s="318"/>
      <c r="AJ236" s="318"/>
      <c r="AK236" s="318"/>
      <c r="AL236" s="318"/>
      <c r="AM236" s="318"/>
      <c r="AN236" s="318"/>
      <c r="AO236" s="318"/>
      <c r="AP236" s="318">
        <f t="shared" si="178"/>
        <v>160039999.99999997</v>
      </c>
      <c r="AQ236" s="319">
        <f t="shared" si="179"/>
        <v>2.9802322387695313E-8</v>
      </c>
      <c r="AR236" s="320"/>
      <c r="AS236" s="380"/>
      <c r="AT236" s="424"/>
      <c r="AU236" s="381"/>
      <c r="AV236" s="146" t="s">
        <v>1236</v>
      </c>
      <c r="AW236" s="146">
        <f>IFERROR(VLOOKUP(G236,'[70]Detail Deprec_202508'!$D$33:$I$357,6,FALSE),0)</f>
        <v>0</v>
      </c>
      <c r="AX236" s="146">
        <f t="shared" si="172"/>
        <v>0</v>
      </c>
    </row>
    <row r="237" spans="1:50" outlineLevel="1">
      <c r="A237" s="324">
        <f t="shared" si="180"/>
        <v>212</v>
      </c>
      <c r="B237" s="306" t="s">
        <v>142</v>
      </c>
      <c r="C237" s="344" t="s">
        <v>143</v>
      </c>
      <c r="D237" s="305">
        <v>156</v>
      </c>
      <c r="E237" s="634" t="s">
        <v>1706</v>
      </c>
      <c r="F237" t="s">
        <v>1161</v>
      </c>
      <c r="G237" s="306" t="s">
        <v>1162</v>
      </c>
      <c r="H237" s="420">
        <v>43279</v>
      </c>
      <c r="I237" s="378" t="s">
        <v>12</v>
      </c>
      <c r="J237" s="310" t="s">
        <v>1163</v>
      </c>
      <c r="K237" s="310" t="s">
        <v>1164</v>
      </c>
      <c r="L237" s="421" t="s">
        <v>235</v>
      </c>
      <c r="M237" s="310" t="s">
        <v>1165</v>
      </c>
      <c r="N237" s="310">
        <v>2018</v>
      </c>
      <c r="O237" s="310"/>
      <c r="P237" s="310"/>
      <c r="Q237" s="310"/>
      <c r="R237" s="305">
        <v>1</v>
      </c>
      <c r="S237" s="441"/>
      <c r="T237" s="423">
        <v>580000000</v>
      </c>
      <c r="U237" s="411">
        <f t="shared" si="173"/>
        <v>9666666.666666666</v>
      </c>
      <c r="V237" s="314">
        <v>60</v>
      </c>
      <c r="W237" s="315">
        <v>60.000000000000007</v>
      </c>
      <c r="X237" s="314">
        <f t="shared" si="174"/>
        <v>0</v>
      </c>
      <c r="Y237" s="316">
        <f t="shared" si="175"/>
        <v>60.000000000000007</v>
      </c>
      <c r="Z237" s="317">
        <f t="shared" si="176"/>
        <v>0</v>
      </c>
      <c r="AA237" s="318">
        <v>580000000</v>
      </c>
      <c r="AB237" s="318">
        <v>0</v>
      </c>
      <c r="AC237" s="318">
        <f t="shared" si="177"/>
        <v>0</v>
      </c>
      <c r="AD237" s="318"/>
      <c r="AE237" s="318"/>
      <c r="AF237" s="318"/>
      <c r="AG237" s="318"/>
      <c r="AH237" s="318"/>
      <c r="AI237" s="318"/>
      <c r="AJ237" s="318"/>
      <c r="AK237" s="318"/>
      <c r="AL237" s="318"/>
      <c r="AM237" s="318"/>
      <c r="AN237" s="318"/>
      <c r="AO237" s="318"/>
      <c r="AP237" s="318">
        <f t="shared" si="178"/>
        <v>580000000</v>
      </c>
      <c r="AQ237" s="319">
        <f t="shared" si="179"/>
        <v>0</v>
      </c>
      <c r="AR237" s="320"/>
      <c r="AS237" s="380"/>
      <c r="AT237" s="424"/>
      <c r="AU237" s="381"/>
      <c r="AV237" s="146" t="s">
        <v>1236</v>
      </c>
      <c r="AW237" s="146">
        <f>IFERROR(VLOOKUP(G237,'[71]Detail Deprec_202501'!$D$1:$I$393,6,FALSE),0)</f>
        <v>0</v>
      </c>
      <c r="AX237" s="146">
        <f t="shared" si="172"/>
        <v>0</v>
      </c>
    </row>
    <row r="238" spans="1:50" outlineLevel="1">
      <c r="A238" s="324">
        <f t="shared" si="180"/>
        <v>213</v>
      </c>
      <c r="B238" s="341" t="s">
        <v>142</v>
      </c>
      <c r="C238" s="344" t="s">
        <v>143</v>
      </c>
      <c r="D238" s="305">
        <v>156</v>
      </c>
      <c r="E238" s="634" t="s">
        <v>1707</v>
      </c>
      <c r="F238" t="s">
        <v>1166</v>
      </c>
      <c r="G238" s="341" t="s">
        <v>1167</v>
      </c>
      <c r="H238" s="429">
        <v>43753</v>
      </c>
      <c r="I238" s="378" t="s">
        <v>12</v>
      </c>
      <c r="J238" s="311" t="s">
        <v>1168</v>
      </c>
      <c r="K238" s="311" t="s">
        <v>1169</v>
      </c>
      <c r="L238" s="430" t="s">
        <v>1170</v>
      </c>
      <c r="M238" s="311" t="s">
        <v>1171</v>
      </c>
      <c r="N238" s="310">
        <v>2019</v>
      </c>
      <c r="O238" s="311"/>
      <c r="P238" s="311"/>
      <c r="Q238" s="311"/>
      <c r="R238" s="305">
        <v>1</v>
      </c>
      <c r="S238" s="442"/>
      <c r="T238" s="432">
        <v>23882100</v>
      </c>
      <c r="U238" s="313">
        <f t="shared" ref="U238:U248" si="181">+T238/V238</f>
        <v>497543.75</v>
      </c>
      <c r="V238" s="314">
        <v>48</v>
      </c>
      <c r="W238" s="315">
        <v>48</v>
      </c>
      <c r="X238" s="314">
        <f t="shared" ref="X238:X248" si="182">+AC238/U238</f>
        <v>0</v>
      </c>
      <c r="Y238" s="316">
        <f t="shared" si="175"/>
        <v>48</v>
      </c>
      <c r="Z238" s="317">
        <f t="shared" ref="Z238:Z248" si="183">+V238-Y238</f>
        <v>0</v>
      </c>
      <c r="AA238" s="318">
        <v>23882100</v>
      </c>
      <c r="AB238" s="318">
        <v>0</v>
      </c>
      <c r="AC238" s="318">
        <f t="shared" si="177"/>
        <v>0</v>
      </c>
      <c r="AD238" s="318"/>
      <c r="AE238" s="318"/>
      <c r="AF238" s="318"/>
      <c r="AG238" s="318"/>
      <c r="AH238" s="318"/>
      <c r="AI238" s="318"/>
      <c r="AJ238" s="318"/>
      <c r="AK238" s="318"/>
      <c r="AL238" s="318"/>
      <c r="AM238" s="318"/>
      <c r="AN238" s="318"/>
      <c r="AO238" s="318"/>
      <c r="AP238" s="318">
        <f t="shared" ref="AP238:AP248" si="184">+AA238+AC238</f>
        <v>23882100</v>
      </c>
      <c r="AQ238" s="319">
        <f t="shared" ref="AQ238:AQ248" si="185">IF(AS238=$AS$24,((T238-AP238)*0),T238-AP238)</f>
        <v>0</v>
      </c>
      <c r="AR238" s="320"/>
      <c r="AS238" s="380"/>
      <c r="AT238" s="424"/>
      <c r="AU238" s="381"/>
      <c r="AV238" s="146" t="s">
        <v>1236</v>
      </c>
      <c r="AW238" s="146">
        <f>IFERROR(VLOOKUP(G238,'[70]Detail Deprec_202508'!$D$33:$I$357,6,FALSE),0)</f>
        <v>0</v>
      </c>
      <c r="AX238" s="146">
        <f t="shared" si="172"/>
        <v>0</v>
      </c>
    </row>
    <row r="239" spans="1:50" outlineLevel="1">
      <c r="A239" s="324">
        <f t="shared" si="180"/>
        <v>214</v>
      </c>
      <c r="B239" s="341" t="s">
        <v>142</v>
      </c>
      <c r="C239" s="344" t="s">
        <v>143</v>
      </c>
      <c r="D239" s="305">
        <v>156</v>
      </c>
      <c r="E239" s="634" t="s">
        <v>1707</v>
      </c>
      <c r="F239" t="s">
        <v>1172</v>
      </c>
      <c r="G239" s="341" t="s">
        <v>1173</v>
      </c>
      <c r="H239" s="429">
        <v>43753</v>
      </c>
      <c r="I239" s="378" t="s">
        <v>12</v>
      </c>
      <c r="J239" s="311" t="s">
        <v>1168</v>
      </c>
      <c r="K239" s="311" t="s">
        <v>1169</v>
      </c>
      <c r="L239" s="430" t="s">
        <v>1170</v>
      </c>
      <c r="M239" s="311" t="s">
        <v>1174</v>
      </c>
      <c r="N239" s="310">
        <v>2019</v>
      </c>
      <c r="O239" s="311"/>
      <c r="P239" s="311"/>
      <c r="Q239" s="311"/>
      <c r="R239" s="305">
        <v>1</v>
      </c>
      <c r="S239" s="442"/>
      <c r="T239" s="432">
        <v>23882100</v>
      </c>
      <c r="U239" s="313">
        <f t="shared" si="181"/>
        <v>497543.75</v>
      </c>
      <c r="V239" s="314">
        <v>48</v>
      </c>
      <c r="W239" s="315">
        <v>48</v>
      </c>
      <c r="X239" s="314">
        <f t="shared" si="182"/>
        <v>0</v>
      </c>
      <c r="Y239" s="316">
        <f t="shared" si="175"/>
        <v>48</v>
      </c>
      <c r="Z239" s="317">
        <f t="shared" si="183"/>
        <v>0</v>
      </c>
      <c r="AA239" s="318">
        <v>23882100</v>
      </c>
      <c r="AB239" s="318">
        <v>0</v>
      </c>
      <c r="AC239" s="318">
        <f t="shared" si="177"/>
        <v>0</v>
      </c>
      <c r="AD239" s="318"/>
      <c r="AE239" s="318"/>
      <c r="AF239" s="318"/>
      <c r="AG239" s="318"/>
      <c r="AH239" s="318"/>
      <c r="AI239" s="318"/>
      <c r="AJ239" s="318"/>
      <c r="AK239" s="318"/>
      <c r="AL239" s="318"/>
      <c r="AM239" s="318"/>
      <c r="AN239" s="318"/>
      <c r="AO239" s="318"/>
      <c r="AP239" s="318">
        <f t="shared" si="184"/>
        <v>23882100</v>
      </c>
      <c r="AQ239" s="319">
        <f t="shared" si="185"/>
        <v>0</v>
      </c>
      <c r="AR239" s="320"/>
      <c r="AS239" s="380"/>
      <c r="AT239" s="424"/>
      <c r="AU239" s="381"/>
      <c r="AV239" s="146" t="s">
        <v>1236</v>
      </c>
      <c r="AW239" s="146">
        <f>IFERROR(VLOOKUP(G239,'[70]Detail Deprec_202508'!$D$33:$I$357,6,FALSE),0)</f>
        <v>0</v>
      </c>
      <c r="AX239" s="146">
        <f>AW239-AK239</f>
        <v>0</v>
      </c>
    </row>
    <row r="240" spans="1:50" outlineLevel="1">
      <c r="A240" s="324">
        <f t="shared" si="180"/>
        <v>215</v>
      </c>
      <c r="B240" s="341" t="s">
        <v>142</v>
      </c>
      <c r="C240" s="344" t="s">
        <v>143</v>
      </c>
      <c r="D240" s="305">
        <v>156</v>
      </c>
      <c r="E240" s="305" t="s">
        <v>1709</v>
      </c>
      <c r="F240" s="341" t="s">
        <v>1175</v>
      </c>
      <c r="G240" s="341" t="s">
        <v>1176</v>
      </c>
      <c r="H240" s="429">
        <v>43827</v>
      </c>
      <c r="I240" s="378" t="s">
        <v>12</v>
      </c>
      <c r="J240" s="311" t="s">
        <v>1177</v>
      </c>
      <c r="K240" s="311" t="s">
        <v>1119</v>
      </c>
      <c r="L240" s="430" t="s">
        <v>191</v>
      </c>
      <c r="M240" s="311" t="s">
        <v>299</v>
      </c>
      <c r="N240" s="310">
        <v>2019</v>
      </c>
      <c r="O240" s="311" t="s">
        <v>1178</v>
      </c>
      <c r="P240" s="311"/>
      <c r="Q240" s="311"/>
      <c r="R240" s="305">
        <v>1</v>
      </c>
      <c r="S240" s="442"/>
      <c r="T240" s="432">
        <v>24490000</v>
      </c>
      <c r="U240" s="313">
        <f t="shared" si="181"/>
        <v>408166.66666666669</v>
      </c>
      <c r="V240" s="314">
        <v>60</v>
      </c>
      <c r="W240" s="315">
        <v>59.999999999999993</v>
      </c>
      <c r="X240" s="314">
        <f t="shared" si="182"/>
        <v>0</v>
      </c>
      <c r="Y240" s="316">
        <f t="shared" si="175"/>
        <v>59.999999999999993</v>
      </c>
      <c r="Z240" s="317">
        <f t="shared" si="183"/>
        <v>0</v>
      </c>
      <c r="AA240" s="318">
        <v>24490000</v>
      </c>
      <c r="AB240" s="318">
        <v>0</v>
      </c>
      <c r="AC240" s="318">
        <f t="shared" si="177"/>
        <v>0</v>
      </c>
      <c r="AD240" s="318"/>
      <c r="AE240" s="318"/>
      <c r="AF240" s="318"/>
      <c r="AG240" s="318"/>
      <c r="AH240" s="318"/>
      <c r="AI240" s="318"/>
      <c r="AJ240" s="318"/>
      <c r="AK240" s="318"/>
      <c r="AL240" s="318"/>
      <c r="AM240" s="318"/>
      <c r="AN240" s="318"/>
      <c r="AO240" s="318"/>
      <c r="AP240" s="318">
        <f t="shared" si="184"/>
        <v>24490000</v>
      </c>
      <c r="AQ240" s="319">
        <f t="shared" si="185"/>
        <v>0</v>
      </c>
      <c r="AR240" s="320"/>
      <c r="AS240" s="380"/>
      <c r="AT240" s="424"/>
      <c r="AU240" s="381"/>
      <c r="AV240" s="146" t="s">
        <v>1236</v>
      </c>
      <c r="AW240" s="146">
        <f>IFERROR(VLOOKUP(G240,'[70]Detail Deprec_202508'!$D$33:$I$357,6,FALSE),0)</f>
        <v>0</v>
      </c>
      <c r="AX240" s="146">
        <f t="shared" ref="AX240:AX249" si="186">AW240-AK240</f>
        <v>0</v>
      </c>
    </row>
    <row r="241" spans="1:51" outlineLevel="1">
      <c r="A241" s="324">
        <f t="shared" si="180"/>
        <v>216</v>
      </c>
      <c r="B241" s="341" t="s">
        <v>142</v>
      </c>
      <c r="C241" s="344" t="s">
        <v>143</v>
      </c>
      <c r="D241" s="305">
        <v>156</v>
      </c>
      <c r="E241" s="305" t="s">
        <v>1707</v>
      </c>
      <c r="F241" s="341" t="s">
        <v>1179</v>
      </c>
      <c r="G241" s="341" t="s">
        <v>1180</v>
      </c>
      <c r="H241" s="429">
        <v>43827</v>
      </c>
      <c r="I241" s="378" t="s">
        <v>12</v>
      </c>
      <c r="J241" s="311" t="s">
        <v>1181</v>
      </c>
      <c r="K241" s="311" t="s">
        <v>1145</v>
      </c>
      <c r="L241" s="430" t="s">
        <v>1170</v>
      </c>
      <c r="M241" s="311"/>
      <c r="N241" s="310">
        <v>2019</v>
      </c>
      <c r="O241" s="311"/>
      <c r="P241" s="311"/>
      <c r="Q241" s="311"/>
      <c r="R241" s="305">
        <v>9</v>
      </c>
      <c r="S241" s="442"/>
      <c r="T241" s="432">
        <v>214938900</v>
      </c>
      <c r="U241" s="313">
        <f t="shared" si="181"/>
        <v>3582315</v>
      </c>
      <c r="V241" s="314">
        <v>60</v>
      </c>
      <c r="W241" s="315">
        <v>60</v>
      </c>
      <c r="X241" s="314">
        <f t="shared" si="182"/>
        <v>0</v>
      </c>
      <c r="Y241" s="316">
        <f t="shared" si="175"/>
        <v>60</v>
      </c>
      <c r="Z241" s="317">
        <f t="shared" si="183"/>
        <v>0</v>
      </c>
      <c r="AA241" s="318">
        <v>214938900</v>
      </c>
      <c r="AB241" s="318">
        <v>0</v>
      </c>
      <c r="AC241" s="318">
        <f t="shared" si="177"/>
        <v>0</v>
      </c>
      <c r="AD241" s="318"/>
      <c r="AE241" s="318"/>
      <c r="AF241" s="318"/>
      <c r="AG241" s="318"/>
      <c r="AH241" s="318"/>
      <c r="AI241" s="318"/>
      <c r="AJ241" s="318"/>
      <c r="AK241" s="318"/>
      <c r="AL241" s="318"/>
      <c r="AM241" s="318"/>
      <c r="AN241" s="318"/>
      <c r="AO241" s="318"/>
      <c r="AP241" s="318">
        <f t="shared" si="184"/>
        <v>214938900</v>
      </c>
      <c r="AQ241" s="319">
        <f t="shared" si="185"/>
        <v>0</v>
      </c>
      <c r="AR241" s="320"/>
      <c r="AS241" s="380"/>
      <c r="AT241" s="424"/>
      <c r="AU241" s="381"/>
      <c r="AV241" s="146" t="s">
        <v>1236</v>
      </c>
      <c r="AW241" s="146">
        <f>IFERROR(VLOOKUP(G241,'[70]Detail Deprec_202508'!$D$33:$I$357,6,FALSE),0)</f>
        <v>0</v>
      </c>
      <c r="AX241" s="146">
        <f t="shared" si="186"/>
        <v>0</v>
      </c>
    </row>
    <row r="242" spans="1:51" outlineLevel="1">
      <c r="A242" s="324">
        <f t="shared" si="180"/>
        <v>217</v>
      </c>
      <c r="B242" s="341" t="s">
        <v>142</v>
      </c>
      <c r="C242" s="344" t="s">
        <v>143</v>
      </c>
      <c r="D242" s="305">
        <v>156</v>
      </c>
      <c r="E242" s="305" t="s">
        <v>1712</v>
      </c>
      <c r="F242" s="341" t="s">
        <v>1182</v>
      </c>
      <c r="G242" s="341" t="s">
        <v>1183</v>
      </c>
      <c r="H242" s="429">
        <v>44042</v>
      </c>
      <c r="I242" s="378" t="s">
        <v>12</v>
      </c>
      <c r="J242" s="311" t="s">
        <v>1184</v>
      </c>
      <c r="K242" s="311" t="s">
        <v>1185</v>
      </c>
      <c r="L242" s="336" t="s">
        <v>191</v>
      </c>
      <c r="M242" s="311"/>
      <c r="N242" s="310">
        <v>2020</v>
      </c>
      <c r="O242" s="311"/>
      <c r="P242" s="311"/>
      <c r="Q242" s="311"/>
      <c r="R242" s="305">
        <v>1</v>
      </c>
      <c r="S242" s="442"/>
      <c r="T242" s="432">
        <v>110940000</v>
      </c>
      <c r="U242" s="313">
        <f t="shared" si="181"/>
        <v>2311250</v>
      </c>
      <c r="V242" s="314">
        <v>48</v>
      </c>
      <c r="W242" s="315">
        <v>48</v>
      </c>
      <c r="X242" s="314">
        <f t="shared" si="182"/>
        <v>0</v>
      </c>
      <c r="Y242" s="316">
        <f t="shared" si="175"/>
        <v>48</v>
      </c>
      <c r="Z242" s="317">
        <f t="shared" si="183"/>
        <v>0</v>
      </c>
      <c r="AA242" s="318">
        <v>110940000</v>
      </c>
      <c r="AB242" s="318">
        <v>0</v>
      </c>
      <c r="AC242" s="318">
        <f t="shared" si="177"/>
        <v>0</v>
      </c>
      <c r="AD242" s="318"/>
      <c r="AE242" s="318"/>
      <c r="AF242" s="318"/>
      <c r="AG242" s="318"/>
      <c r="AH242" s="318"/>
      <c r="AI242" s="318"/>
      <c r="AJ242" s="318"/>
      <c r="AK242" s="318"/>
      <c r="AL242" s="318"/>
      <c r="AM242" s="318"/>
      <c r="AN242" s="318"/>
      <c r="AO242" s="318"/>
      <c r="AP242" s="318">
        <f t="shared" si="184"/>
        <v>110940000</v>
      </c>
      <c r="AQ242" s="319">
        <f t="shared" si="185"/>
        <v>0</v>
      </c>
      <c r="AR242" s="320"/>
      <c r="AS242" s="380"/>
      <c r="AT242" s="424"/>
      <c r="AU242" s="381"/>
      <c r="AV242" s="146" t="s">
        <v>1236</v>
      </c>
      <c r="AW242" s="146">
        <f>IFERROR(VLOOKUP(G242,'[70]Detail Deprec_202508'!$D$33:$I$357,6,FALSE),0)</f>
        <v>0</v>
      </c>
      <c r="AX242" s="146">
        <f t="shared" si="186"/>
        <v>0</v>
      </c>
    </row>
    <row r="243" spans="1:51" outlineLevel="1">
      <c r="A243" s="324">
        <f t="shared" si="180"/>
        <v>218</v>
      </c>
      <c r="B243" s="341" t="s">
        <v>142</v>
      </c>
      <c r="C243" s="344" t="s">
        <v>143</v>
      </c>
      <c r="D243" s="305">
        <v>156</v>
      </c>
      <c r="E243" s="305" t="s">
        <v>1712</v>
      </c>
      <c r="F243" s="341" t="s">
        <v>1186</v>
      </c>
      <c r="G243" s="341" t="s">
        <v>1187</v>
      </c>
      <c r="H243" s="429">
        <v>44180</v>
      </c>
      <c r="I243" s="378" t="s">
        <v>12</v>
      </c>
      <c r="J243" s="311" t="s">
        <v>1188</v>
      </c>
      <c r="K243" s="311" t="s">
        <v>1119</v>
      </c>
      <c r="L243" s="336" t="s">
        <v>191</v>
      </c>
      <c r="M243" s="311" t="s">
        <v>1189</v>
      </c>
      <c r="N243" s="310">
        <v>2020</v>
      </c>
      <c r="O243" s="311" t="s">
        <v>1189</v>
      </c>
      <c r="P243" s="311" t="s">
        <v>1189</v>
      </c>
      <c r="Q243" s="311" t="s">
        <v>1189</v>
      </c>
      <c r="R243" s="305">
        <v>1</v>
      </c>
      <c r="S243" s="442"/>
      <c r="T243" s="432">
        <v>19380000</v>
      </c>
      <c r="U243" s="313">
        <f t="shared" si="181"/>
        <v>1615000</v>
      </c>
      <c r="V243" s="314">
        <v>12</v>
      </c>
      <c r="W243" s="315">
        <v>12</v>
      </c>
      <c r="X243" s="314">
        <f t="shared" si="182"/>
        <v>0</v>
      </c>
      <c r="Y243" s="316">
        <f t="shared" ref="Y243:Y248" si="187">+W243+X243</f>
        <v>12</v>
      </c>
      <c r="Z243" s="317">
        <f t="shared" si="183"/>
        <v>0</v>
      </c>
      <c r="AA243" s="318">
        <v>19380000</v>
      </c>
      <c r="AB243" s="318">
        <v>0</v>
      </c>
      <c r="AC243" s="318">
        <f t="shared" si="177"/>
        <v>0</v>
      </c>
      <c r="AD243" s="318"/>
      <c r="AE243" s="318"/>
      <c r="AF243" s="318"/>
      <c r="AG243" s="318"/>
      <c r="AH243" s="318"/>
      <c r="AI243" s="318"/>
      <c r="AJ243" s="318"/>
      <c r="AK243" s="318"/>
      <c r="AL243" s="318"/>
      <c r="AM243" s="318"/>
      <c r="AN243" s="318"/>
      <c r="AO243" s="318"/>
      <c r="AP243" s="318">
        <f t="shared" si="184"/>
        <v>19380000</v>
      </c>
      <c r="AQ243" s="319">
        <f t="shared" si="185"/>
        <v>0</v>
      </c>
      <c r="AR243" s="320"/>
      <c r="AS243" s="380"/>
      <c r="AT243" s="424"/>
      <c r="AU243" s="381"/>
      <c r="AV243" s="146" t="s">
        <v>1236</v>
      </c>
      <c r="AW243" s="146">
        <f>IFERROR(VLOOKUP(G243,'[70]Detail Deprec_202508'!$D$33:$I$357,6,FALSE),0)</f>
        <v>0</v>
      </c>
      <c r="AX243" s="146">
        <f t="shared" si="186"/>
        <v>0</v>
      </c>
    </row>
    <row r="244" spans="1:51" outlineLevel="1">
      <c r="A244" s="324">
        <f t="shared" si="180"/>
        <v>219</v>
      </c>
      <c r="B244" s="341" t="s">
        <v>142</v>
      </c>
      <c r="C244" s="344" t="s">
        <v>143</v>
      </c>
      <c r="D244" s="305">
        <v>156</v>
      </c>
      <c r="E244" s="305" t="s">
        <v>1707</v>
      </c>
      <c r="F244" s="341"/>
      <c r="G244" s="341" t="s">
        <v>1192</v>
      </c>
      <c r="H244" s="429">
        <v>44406</v>
      </c>
      <c r="I244" s="378" t="s">
        <v>12</v>
      </c>
      <c r="J244" s="311" t="s">
        <v>1193</v>
      </c>
      <c r="K244" s="311" t="s">
        <v>1194</v>
      </c>
      <c r="L244" s="430" t="s">
        <v>1195</v>
      </c>
      <c r="M244" s="311"/>
      <c r="N244" s="310">
        <v>2021</v>
      </c>
      <c r="O244" s="311"/>
      <c r="P244" s="311"/>
      <c r="Q244" s="311"/>
      <c r="R244" s="305">
        <v>1</v>
      </c>
      <c r="S244" s="442"/>
      <c r="T244" s="432">
        <v>337000000</v>
      </c>
      <c r="U244" s="313">
        <f t="shared" si="181"/>
        <v>5616666.666666667</v>
      </c>
      <c r="V244" s="314">
        <v>60</v>
      </c>
      <c r="W244" s="315">
        <v>42.999999999999986</v>
      </c>
      <c r="X244" s="314">
        <f t="shared" si="182"/>
        <v>11.999999999999996</v>
      </c>
      <c r="Y244" s="316">
        <f t="shared" si="187"/>
        <v>54.999999999999986</v>
      </c>
      <c r="Z244" s="317">
        <f t="shared" si="183"/>
        <v>5.0000000000000142</v>
      </c>
      <c r="AA244" s="318">
        <v>241516666.66666663</v>
      </c>
      <c r="AB244" s="318">
        <v>95483333.333333373</v>
      </c>
      <c r="AC244" s="318">
        <f t="shared" ref="AC244:AC250" si="188">SUM(AD244:AO244)</f>
        <v>67399999.999999985</v>
      </c>
      <c r="AD244" s="318">
        <v>5616666.666666667</v>
      </c>
      <c r="AE244" s="318">
        <v>5616666.666666667</v>
      </c>
      <c r="AF244" s="318">
        <v>5616666.666666667</v>
      </c>
      <c r="AG244" s="318">
        <v>5616666.666666667</v>
      </c>
      <c r="AH244" s="318">
        <v>5616666.666666667</v>
      </c>
      <c r="AI244" s="318">
        <v>5616666.666666667</v>
      </c>
      <c r="AJ244" s="318">
        <v>5616666.666666667</v>
      </c>
      <c r="AK244" s="318">
        <v>5616666.666666667</v>
      </c>
      <c r="AL244" s="318">
        <v>5616666.666666667</v>
      </c>
      <c r="AM244" s="318">
        <v>5616666.666666667</v>
      </c>
      <c r="AN244" s="318">
        <v>5616666.666666667</v>
      </c>
      <c r="AO244" s="318">
        <v>5616666.666666667</v>
      </c>
      <c r="AP244" s="318">
        <f t="shared" si="184"/>
        <v>308916666.66666663</v>
      </c>
      <c r="AQ244" s="319">
        <f t="shared" si="185"/>
        <v>28083333.333333373</v>
      </c>
      <c r="AR244" s="320"/>
      <c r="AS244" s="380"/>
      <c r="AT244" s="424"/>
      <c r="AU244" s="381"/>
      <c r="AV244" s="146" t="s">
        <v>1236</v>
      </c>
      <c r="AW244" s="146">
        <f>IFERROR(VLOOKUP(G244,'[70]Detail Deprec_202508'!$D$33:$I$357,6,FALSE),0)</f>
        <v>5616666.6699999999</v>
      </c>
      <c r="AX244" s="146">
        <f t="shared" si="186"/>
        <v>3.3333329483866692E-3</v>
      </c>
      <c r="AY244" s="55"/>
    </row>
    <row r="245" spans="1:51" outlineLevel="1">
      <c r="A245" s="324">
        <f t="shared" si="180"/>
        <v>220</v>
      </c>
      <c r="B245" s="341" t="s">
        <v>142</v>
      </c>
      <c r="C245" s="344" t="s">
        <v>143</v>
      </c>
      <c r="D245" s="305">
        <v>156</v>
      </c>
      <c r="E245" s="305" t="s">
        <v>1705</v>
      </c>
      <c r="F245" s="341" t="s">
        <v>1199</v>
      </c>
      <c r="G245" s="341" t="s">
        <v>1200</v>
      </c>
      <c r="H245" s="429">
        <v>44592</v>
      </c>
      <c r="I245" s="378" t="s">
        <v>12</v>
      </c>
      <c r="J245" s="311" t="s">
        <v>1201</v>
      </c>
      <c r="K245" s="311" t="s">
        <v>191</v>
      </c>
      <c r="L245" s="430" t="s">
        <v>1202</v>
      </c>
      <c r="M245" s="311"/>
      <c r="N245" s="310">
        <v>2022</v>
      </c>
      <c r="O245" s="311" t="s">
        <v>1203</v>
      </c>
      <c r="P245" s="311" t="s">
        <v>1203</v>
      </c>
      <c r="Q245" s="311" t="s">
        <v>1203</v>
      </c>
      <c r="R245" s="305">
        <v>1</v>
      </c>
      <c r="S245" s="442"/>
      <c r="T245" s="432">
        <v>282660000</v>
      </c>
      <c r="U245" s="313">
        <f t="shared" si="181"/>
        <v>4711000</v>
      </c>
      <c r="V245" s="314">
        <v>60</v>
      </c>
      <c r="W245" s="315">
        <v>36</v>
      </c>
      <c r="X245" s="314">
        <f t="shared" si="182"/>
        <v>12</v>
      </c>
      <c r="Y245" s="316">
        <f t="shared" si="187"/>
        <v>48</v>
      </c>
      <c r="Z245" s="317">
        <f t="shared" si="183"/>
        <v>12</v>
      </c>
      <c r="AA245" s="318">
        <v>169596000</v>
      </c>
      <c r="AB245" s="318">
        <v>113064000</v>
      </c>
      <c r="AC245" s="318">
        <f t="shared" si="188"/>
        <v>56532000</v>
      </c>
      <c r="AD245" s="318">
        <v>4711000</v>
      </c>
      <c r="AE245" s="318">
        <v>4711000</v>
      </c>
      <c r="AF245" s="318">
        <v>4711000</v>
      </c>
      <c r="AG245" s="318">
        <v>4711000</v>
      </c>
      <c r="AH245" s="318">
        <v>4711000</v>
      </c>
      <c r="AI245" s="318">
        <v>4711000</v>
      </c>
      <c r="AJ245" s="318">
        <v>4711000</v>
      </c>
      <c r="AK245" s="318">
        <v>4711000</v>
      </c>
      <c r="AL245" s="318">
        <v>4711000</v>
      </c>
      <c r="AM245" s="318">
        <v>4711000</v>
      </c>
      <c r="AN245" s="318">
        <v>4711000</v>
      </c>
      <c r="AO245" s="318">
        <v>4711000</v>
      </c>
      <c r="AP245" s="318">
        <f t="shared" si="184"/>
        <v>226128000</v>
      </c>
      <c r="AQ245" s="319">
        <f t="shared" si="185"/>
        <v>56532000</v>
      </c>
      <c r="AR245" s="320"/>
      <c r="AS245" s="380"/>
      <c r="AT245" s="424"/>
      <c r="AU245" s="381"/>
      <c r="AV245" s="146" t="s">
        <v>1236</v>
      </c>
      <c r="AW245" s="146">
        <f>IFERROR(VLOOKUP(G245,'[70]Detail Deprec_202508'!$D$33:$I$357,6,FALSE),0)</f>
        <v>4711000</v>
      </c>
      <c r="AX245" s="146">
        <f t="shared" si="186"/>
        <v>0</v>
      </c>
    </row>
    <row r="246" spans="1:51" outlineLevel="1">
      <c r="A246" s="324">
        <f t="shared" si="180"/>
        <v>221</v>
      </c>
      <c r="B246" s="341" t="s">
        <v>142</v>
      </c>
      <c r="C246" s="344" t="s">
        <v>143</v>
      </c>
      <c r="D246" s="305">
        <v>156</v>
      </c>
      <c r="E246" s="305" t="s">
        <v>1706</v>
      </c>
      <c r="F246" s="341" t="s">
        <v>1204</v>
      </c>
      <c r="G246" s="341" t="s">
        <v>1205</v>
      </c>
      <c r="H246" s="429">
        <v>44592</v>
      </c>
      <c r="I246" s="378" t="s">
        <v>12</v>
      </c>
      <c r="J246" s="311" t="s">
        <v>1206</v>
      </c>
      <c r="K246" s="311" t="s">
        <v>191</v>
      </c>
      <c r="L246" s="430" t="s">
        <v>1207</v>
      </c>
      <c r="M246" s="311"/>
      <c r="N246" s="310">
        <v>2022</v>
      </c>
      <c r="O246" s="311" t="s">
        <v>1203</v>
      </c>
      <c r="P246" s="311" t="s">
        <v>1203</v>
      </c>
      <c r="Q246" s="311" t="s">
        <v>1203</v>
      </c>
      <c r="R246" s="305">
        <v>1</v>
      </c>
      <c r="S246" s="442"/>
      <c r="T246" s="432">
        <v>337790000</v>
      </c>
      <c r="U246" s="313">
        <f t="shared" si="181"/>
        <v>5629833.333333333</v>
      </c>
      <c r="V246" s="314">
        <v>60</v>
      </c>
      <c r="W246" s="315">
        <v>36.000000000000014</v>
      </c>
      <c r="X246" s="314">
        <f t="shared" si="182"/>
        <v>12.000000000000004</v>
      </c>
      <c r="Y246" s="316">
        <f t="shared" si="187"/>
        <v>48.000000000000014</v>
      </c>
      <c r="Z246" s="317">
        <f t="shared" si="183"/>
        <v>11.999999999999986</v>
      </c>
      <c r="AA246" s="318">
        <v>202674000.00000006</v>
      </c>
      <c r="AB246" s="318">
        <v>135115999.99999994</v>
      </c>
      <c r="AC246" s="318">
        <f t="shared" si="188"/>
        <v>67558000.000000015</v>
      </c>
      <c r="AD246" s="318">
        <v>5629833.333333333</v>
      </c>
      <c r="AE246" s="318">
        <v>5629833.333333333</v>
      </c>
      <c r="AF246" s="318">
        <v>5629833.333333333</v>
      </c>
      <c r="AG246" s="318">
        <v>5629833.333333333</v>
      </c>
      <c r="AH246" s="318">
        <v>5629833.333333333</v>
      </c>
      <c r="AI246" s="318">
        <v>5629833.333333333</v>
      </c>
      <c r="AJ246" s="318">
        <v>5629833.333333333</v>
      </c>
      <c r="AK246" s="318">
        <v>5629833.333333333</v>
      </c>
      <c r="AL246" s="318">
        <v>5629833.333333333</v>
      </c>
      <c r="AM246" s="318">
        <v>5629833.333333333</v>
      </c>
      <c r="AN246" s="318">
        <v>5629833.333333333</v>
      </c>
      <c r="AO246" s="318">
        <v>5629833.333333333</v>
      </c>
      <c r="AP246" s="318">
        <f t="shared" si="184"/>
        <v>270232000.00000006</v>
      </c>
      <c r="AQ246" s="319">
        <f t="shared" si="185"/>
        <v>67557999.99999994</v>
      </c>
      <c r="AR246" s="320"/>
      <c r="AS246" s="380"/>
      <c r="AT246" s="424"/>
      <c r="AU246" s="381"/>
      <c r="AV246" s="146" t="s">
        <v>1236</v>
      </c>
      <c r="AW246" s="146">
        <f>IFERROR(VLOOKUP(G246,'[70]Detail Deprec_202508'!$D$33:$I$357,6,FALSE),0)</f>
        <v>5629833.3300000001</v>
      </c>
      <c r="AX246" s="146">
        <f t="shared" si="186"/>
        <v>-3.3333329483866692E-3</v>
      </c>
    </row>
    <row r="247" spans="1:51" outlineLevel="1">
      <c r="A247" s="324">
        <f t="shared" si="180"/>
        <v>222</v>
      </c>
      <c r="B247" s="341" t="s">
        <v>142</v>
      </c>
      <c r="C247" s="344" t="s">
        <v>143</v>
      </c>
      <c r="D247" s="305">
        <v>156</v>
      </c>
      <c r="E247" s="305" t="s">
        <v>1706</v>
      </c>
      <c r="F247" s="341" t="s">
        <v>1204</v>
      </c>
      <c r="G247" s="341" t="s">
        <v>1208</v>
      </c>
      <c r="H247" s="429">
        <v>44678</v>
      </c>
      <c r="I247" s="378" t="s">
        <v>12</v>
      </c>
      <c r="J247" s="311" t="s">
        <v>1209</v>
      </c>
      <c r="K247" s="311" t="s">
        <v>191</v>
      </c>
      <c r="L247" s="430" t="s">
        <v>1210</v>
      </c>
      <c r="M247" s="311"/>
      <c r="N247" s="310">
        <v>2022</v>
      </c>
      <c r="O247" s="311" t="s">
        <v>1203</v>
      </c>
      <c r="P247" s="311" t="s">
        <v>1203</v>
      </c>
      <c r="Q247" s="311" t="s">
        <v>1203</v>
      </c>
      <c r="R247" s="305">
        <v>1</v>
      </c>
      <c r="S247" s="442"/>
      <c r="T247" s="432">
        <v>45520000</v>
      </c>
      <c r="U247" s="313">
        <f t="shared" si="181"/>
        <v>758666.66666666663</v>
      </c>
      <c r="V247" s="314">
        <v>60</v>
      </c>
      <c r="W247" s="315">
        <v>36.000000000000014</v>
      </c>
      <c r="X247" s="314">
        <f t="shared" si="182"/>
        <v>12.000000000000004</v>
      </c>
      <c r="Y247" s="316">
        <f t="shared" si="187"/>
        <v>48.000000000000014</v>
      </c>
      <c r="Z247" s="317">
        <f t="shared" si="183"/>
        <v>11.999999999999986</v>
      </c>
      <c r="AA247" s="318">
        <v>27312000.000000007</v>
      </c>
      <c r="AB247" s="318">
        <v>18207999.999999993</v>
      </c>
      <c r="AC247" s="318">
        <f t="shared" si="188"/>
        <v>9104000.0000000019</v>
      </c>
      <c r="AD247" s="318">
        <v>758666.66666666663</v>
      </c>
      <c r="AE247" s="318">
        <v>758666.66666666663</v>
      </c>
      <c r="AF247" s="318">
        <v>758666.66666666663</v>
      </c>
      <c r="AG247" s="318">
        <v>758666.66666666663</v>
      </c>
      <c r="AH247" s="318">
        <v>758666.66666666663</v>
      </c>
      <c r="AI247" s="318">
        <v>758666.66666666663</v>
      </c>
      <c r="AJ247" s="318">
        <v>758666.66666666663</v>
      </c>
      <c r="AK247" s="318">
        <v>758666.66666666663</v>
      </c>
      <c r="AL247" s="318">
        <v>758666.66666666663</v>
      </c>
      <c r="AM247" s="318">
        <v>758666.66666666663</v>
      </c>
      <c r="AN247" s="318">
        <v>758666.66666666663</v>
      </c>
      <c r="AO247" s="318">
        <v>758666.66666666663</v>
      </c>
      <c r="AP247" s="318">
        <f t="shared" si="184"/>
        <v>36416000.000000007</v>
      </c>
      <c r="AQ247" s="319">
        <f t="shared" si="185"/>
        <v>9103999.9999999925</v>
      </c>
      <c r="AR247" s="320"/>
      <c r="AS247" s="380"/>
      <c r="AT247" s="424"/>
      <c r="AU247" s="381"/>
      <c r="AV247" s="146" t="s">
        <v>1236</v>
      </c>
      <c r="AW247" s="146">
        <f>IFERROR(VLOOKUP(G247,'[70]Detail Deprec_202508'!$D$33:$I$357,6,FALSE),0)</f>
        <v>758666.67</v>
      </c>
      <c r="AX247" s="146">
        <f t="shared" si="186"/>
        <v>3.3333334140479565E-3</v>
      </c>
    </row>
    <row r="248" spans="1:51" outlineLevel="1">
      <c r="A248" s="324">
        <f t="shared" si="180"/>
        <v>223</v>
      </c>
      <c r="B248" s="341" t="s">
        <v>142</v>
      </c>
      <c r="C248" s="344" t="s">
        <v>143</v>
      </c>
      <c r="D248" s="305">
        <v>156</v>
      </c>
      <c r="E248" s="305" t="s">
        <v>1707</v>
      </c>
      <c r="F248" s="341" t="s">
        <v>1215</v>
      </c>
      <c r="G248" s="341" t="s">
        <v>1216</v>
      </c>
      <c r="H248" s="429">
        <v>45076</v>
      </c>
      <c r="I248" s="378" t="s">
        <v>12</v>
      </c>
      <c r="J248" s="311" t="s">
        <v>1217</v>
      </c>
      <c r="K248" s="311" t="s">
        <v>1218</v>
      </c>
      <c r="L248" t="s">
        <v>1219</v>
      </c>
      <c r="M248" s="311" t="s">
        <v>456</v>
      </c>
      <c r="N248" s="310">
        <v>2023</v>
      </c>
      <c r="O248" s="311">
        <v>2022101665</v>
      </c>
      <c r="P248" s="311">
        <v>2022101665</v>
      </c>
      <c r="Q248" s="311">
        <v>2022101665</v>
      </c>
      <c r="R248" s="305">
        <v>1</v>
      </c>
      <c r="S248" s="442"/>
      <c r="T248" s="432">
        <v>11880000</v>
      </c>
      <c r="U248" s="313">
        <f t="shared" si="181"/>
        <v>330000</v>
      </c>
      <c r="V248" s="314">
        <v>36</v>
      </c>
      <c r="W248" s="315">
        <v>20</v>
      </c>
      <c r="X248" s="314">
        <f t="shared" si="182"/>
        <v>12</v>
      </c>
      <c r="Y248" s="316">
        <f t="shared" si="187"/>
        <v>32</v>
      </c>
      <c r="Z248" s="317">
        <f t="shared" si="183"/>
        <v>4</v>
      </c>
      <c r="AA248" s="318">
        <v>6600000</v>
      </c>
      <c r="AB248" s="318">
        <v>5280000</v>
      </c>
      <c r="AC248" s="318">
        <f t="shared" si="188"/>
        <v>3960000</v>
      </c>
      <c r="AD248" s="318">
        <v>330000</v>
      </c>
      <c r="AE248" s="318">
        <v>330000</v>
      </c>
      <c r="AF248" s="318">
        <v>330000</v>
      </c>
      <c r="AG248" s="318">
        <v>330000</v>
      </c>
      <c r="AH248" s="318">
        <v>330000</v>
      </c>
      <c r="AI248" s="318">
        <v>330000</v>
      </c>
      <c r="AJ248" s="318">
        <v>330000</v>
      </c>
      <c r="AK248" s="318">
        <v>330000</v>
      </c>
      <c r="AL248" s="318">
        <v>330000</v>
      </c>
      <c r="AM248" s="318">
        <v>330000</v>
      </c>
      <c r="AN248" s="318">
        <v>330000</v>
      </c>
      <c r="AO248" s="318">
        <v>330000</v>
      </c>
      <c r="AP248" s="318">
        <f t="shared" si="184"/>
        <v>10560000</v>
      </c>
      <c r="AQ248" s="319">
        <f t="shared" si="185"/>
        <v>1320000</v>
      </c>
      <c r="AR248" s="320"/>
      <c r="AS248" s="380"/>
      <c r="AT248" s="424"/>
      <c r="AU248" s="381"/>
      <c r="AV248" s="146" t="s">
        <v>1236</v>
      </c>
      <c r="AW248" s="146">
        <f>IFERROR(VLOOKUP(G248,'[70]Detail Deprec_202508'!$D$33:$I$357,6,FALSE),0)</f>
        <v>330000</v>
      </c>
      <c r="AX248" s="146">
        <f t="shared" si="186"/>
        <v>0</v>
      </c>
    </row>
    <row r="249" spans="1:51" s="40" customFormat="1" outlineLevel="1">
      <c r="A249" s="324">
        <f t="shared" si="180"/>
        <v>224</v>
      </c>
      <c r="B249" s="306" t="s">
        <v>142</v>
      </c>
      <c r="C249" s="309" t="s">
        <v>143</v>
      </c>
      <c r="D249" s="305">
        <v>156</v>
      </c>
      <c r="E249" s="305" t="s">
        <v>1707</v>
      </c>
      <c r="F249" s="305"/>
      <c r="G249" s="341" t="s">
        <v>1597</v>
      </c>
      <c r="H249" s="429">
        <v>45544</v>
      </c>
      <c r="I249" s="378" t="s">
        <v>12</v>
      </c>
      <c r="J249" s="311"/>
      <c r="K249" s="311" t="s">
        <v>1598</v>
      </c>
      <c r="L249" s="311" t="s">
        <v>191</v>
      </c>
      <c r="M249" s="311" t="s">
        <v>1599</v>
      </c>
      <c r="N249" s="310">
        <v>2024</v>
      </c>
      <c r="O249" s="311" t="s">
        <v>1600</v>
      </c>
      <c r="P249" s="311" t="s">
        <v>1601</v>
      </c>
      <c r="Q249" s="311" t="s">
        <v>1601</v>
      </c>
      <c r="R249" s="305">
        <v>1</v>
      </c>
      <c r="S249" s="442"/>
      <c r="T249" s="432">
        <v>28052500</v>
      </c>
      <c r="U249" s="313">
        <f t="shared" ref="U249" si="189">+T249/V249</f>
        <v>467541.66666666669</v>
      </c>
      <c r="V249" s="314">
        <v>60</v>
      </c>
      <c r="W249" s="315">
        <v>4</v>
      </c>
      <c r="X249" s="314">
        <f t="shared" ref="X249" si="190">+AC249/U249</f>
        <v>12.000000000000002</v>
      </c>
      <c r="Y249" s="316">
        <f t="shared" ref="Y249" si="191">+W249+X249</f>
        <v>16</v>
      </c>
      <c r="Z249" s="317">
        <f t="shared" ref="Z249" si="192">+V249-Y249</f>
        <v>44</v>
      </c>
      <c r="AA249" s="318">
        <v>1870166.6666666667</v>
      </c>
      <c r="AB249" s="318">
        <v>26182333.333333332</v>
      </c>
      <c r="AC249" s="318">
        <f t="shared" si="188"/>
        <v>5610500.0000000009</v>
      </c>
      <c r="AD249" s="318">
        <v>467541.66666666669</v>
      </c>
      <c r="AE249" s="318">
        <v>467541.66666666669</v>
      </c>
      <c r="AF249" s="318">
        <v>467541.66666666669</v>
      </c>
      <c r="AG249" s="318">
        <v>467541.66666666669</v>
      </c>
      <c r="AH249" s="318">
        <v>467541.66666666669</v>
      </c>
      <c r="AI249" s="318">
        <v>467541.66666666669</v>
      </c>
      <c r="AJ249" s="318">
        <v>467541.66666666669</v>
      </c>
      <c r="AK249" s="318">
        <v>467541.66666666669</v>
      </c>
      <c r="AL249" s="318">
        <v>467541.66666666669</v>
      </c>
      <c r="AM249" s="318">
        <v>467541.66666666669</v>
      </c>
      <c r="AN249" s="318">
        <v>467541.66666666669</v>
      </c>
      <c r="AO249" s="318">
        <v>467541.66666666669</v>
      </c>
      <c r="AP249" s="318">
        <f t="shared" ref="AP249" si="193">+AA249+AC249</f>
        <v>7480666.6666666679</v>
      </c>
      <c r="AQ249" s="319">
        <f t="shared" ref="AQ249" si="194">IF(AS249=$AS$24,((T249-AP249)*0),T249-AP249)</f>
        <v>20571833.333333332</v>
      </c>
      <c r="AR249" s="320"/>
      <c r="AS249" s="380"/>
      <c r="AT249" s="524"/>
      <c r="AU249" s="381"/>
      <c r="AV249" s="146" t="s">
        <v>1236</v>
      </c>
      <c r="AW249" s="525">
        <f>IFERROR(VLOOKUP(G249,'[70]Detail Deprec_202508'!$D$33:$I$357,6,FALSE),0)</f>
        <v>467541.67</v>
      </c>
      <c r="AX249" s="525">
        <f t="shared" si="186"/>
        <v>3.3333332976326346E-3</v>
      </c>
    </row>
    <row r="250" spans="1:51" s="40" customFormat="1" outlineLevel="1">
      <c r="A250" s="324">
        <f t="shared" si="180"/>
        <v>225</v>
      </c>
      <c r="B250" s="306" t="s">
        <v>142</v>
      </c>
      <c r="C250" s="309" t="s">
        <v>143</v>
      </c>
      <c r="D250" s="305">
        <v>156</v>
      </c>
      <c r="E250" s="305" t="s">
        <v>1707</v>
      </c>
      <c r="F250" s="310" t="s">
        <v>1610</v>
      </c>
      <c r="G250" s="341" t="s">
        <v>1611</v>
      </c>
      <c r="H250" s="429">
        <v>45658</v>
      </c>
      <c r="I250" s="378"/>
      <c r="J250" s="311"/>
      <c r="K250" s="311" t="s">
        <v>1714</v>
      </c>
      <c r="L250" s="311"/>
      <c r="M250" s="311">
        <v>860297</v>
      </c>
      <c r="N250" s="310">
        <v>2025</v>
      </c>
      <c r="O250" s="311" t="s">
        <v>1612</v>
      </c>
      <c r="P250" s="311" t="s">
        <v>1609</v>
      </c>
      <c r="Q250" s="311" t="s">
        <v>1613</v>
      </c>
      <c r="R250" s="305">
        <v>1</v>
      </c>
      <c r="S250" s="442"/>
      <c r="T250" s="432">
        <v>122000000</v>
      </c>
      <c r="U250" s="313">
        <f t="shared" ref="U250:U252" si="195">+T250/V250</f>
        <v>2033333.3333333333</v>
      </c>
      <c r="V250" s="314">
        <v>60</v>
      </c>
      <c r="W250" s="315"/>
      <c r="X250" s="314">
        <f t="shared" ref="X250:X252" si="196">+AC250/U250</f>
        <v>11.999999999999998</v>
      </c>
      <c r="Y250" s="316">
        <f t="shared" ref="Y250" si="197">+W250+X250</f>
        <v>11.999999999999998</v>
      </c>
      <c r="Z250" s="317">
        <f t="shared" ref="Z250:Z252" si="198">+V250-Y250</f>
        <v>48</v>
      </c>
      <c r="AA250" s="318"/>
      <c r="AB250" s="318"/>
      <c r="AC250" s="318">
        <f t="shared" si="188"/>
        <v>24399999.999999996</v>
      </c>
      <c r="AD250" s="318">
        <v>2033333.3333333333</v>
      </c>
      <c r="AE250" s="318">
        <v>2033333.3333333333</v>
      </c>
      <c r="AF250" s="318">
        <v>2033333.3333333333</v>
      </c>
      <c r="AG250" s="318">
        <v>2033333.3333333333</v>
      </c>
      <c r="AH250" s="318">
        <v>2033333.3333333333</v>
      </c>
      <c r="AI250" s="318">
        <v>2033333.3333333333</v>
      </c>
      <c r="AJ250" s="318">
        <v>2033333.3333333333</v>
      </c>
      <c r="AK250" s="318">
        <v>2033333.3333333333</v>
      </c>
      <c r="AL250" s="318">
        <v>2033333.3333333333</v>
      </c>
      <c r="AM250" s="318">
        <v>2033333.3333333333</v>
      </c>
      <c r="AN250" s="318">
        <v>2033333.3333333333</v>
      </c>
      <c r="AO250" s="318">
        <v>2033333.3333333333</v>
      </c>
      <c r="AP250" s="318">
        <f t="shared" ref="AP250:AP252" si="199">+AA250+AC250</f>
        <v>24399999.999999996</v>
      </c>
      <c r="AQ250" s="319">
        <f t="shared" ref="AQ250:AQ251" si="200">IF(AS250=$AS$24,((T250-AP250)*0),T250-AP250)</f>
        <v>97600000</v>
      </c>
      <c r="AR250" s="320" t="s">
        <v>38</v>
      </c>
      <c r="AS250" s="380"/>
      <c r="AT250" s="524"/>
      <c r="AU250" s="381"/>
      <c r="AV250" s="146" t="s">
        <v>1236</v>
      </c>
      <c r="AW250" s="525">
        <f>IFERROR(VLOOKUP(G250,'[70]Detail Deprec_202508'!$D$33:$I$357,6,FALSE),0)</f>
        <v>2033333.32</v>
      </c>
      <c r="AX250" s="525">
        <f t="shared" ref="AX250:AX252" si="201">AW250-AK250</f>
        <v>-1.3333333190530539E-2</v>
      </c>
    </row>
    <row r="251" spans="1:51" s="654" customFormat="1" outlineLevel="1">
      <c r="A251" s="324">
        <f t="shared" si="180"/>
        <v>226</v>
      </c>
      <c r="B251" s="636" t="s">
        <v>142</v>
      </c>
      <c r="C251" s="637" t="s">
        <v>143</v>
      </c>
      <c r="D251" s="638">
        <v>153</v>
      </c>
      <c r="E251" s="638" t="s">
        <v>1707</v>
      </c>
      <c r="F251" s="636" t="s">
        <v>130</v>
      </c>
      <c r="G251" s="636" t="s">
        <v>130</v>
      </c>
      <c r="H251" s="639">
        <v>45961</v>
      </c>
      <c r="I251" s="640" t="s">
        <v>9</v>
      </c>
      <c r="J251" s="637" t="s">
        <v>280</v>
      </c>
      <c r="K251" s="636" t="s">
        <v>281</v>
      </c>
      <c r="L251" s="636" t="s">
        <v>135</v>
      </c>
      <c r="M251" s="636"/>
      <c r="N251" s="637">
        <v>2025</v>
      </c>
      <c r="O251" s="637"/>
      <c r="P251" s="637"/>
      <c r="Q251" s="637"/>
      <c r="R251" s="641">
        <v>2</v>
      </c>
      <c r="S251" s="642"/>
      <c r="T251" s="643">
        <v>220000000</v>
      </c>
      <c r="U251" s="644">
        <f t="shared" si="195"/>
        <v>3666666.6666666665</v>
      </c>
      <c r="V251" s="636">
        <v>60</v>
      </c>
      <c r="W251" s="645"/>
      <c r="X251" s="646">
        <f t="shared" si="196"/>
        <v>3</v>
      </c>
      <c r="Y251" s="647">
        <f>+W251+X251</f>
        <v>3</v>
      </c>
      <c r="Z251" s="647">
        <f t="shared" si="198"/>
        <v>57</v>
      </c>
      <c r="AA251" s="648">
        <v>0</v>
      </c>
      <c r="AB251" s="648">
        <f>T251-AC251</f>
        <v>209000000</v>
      </c>
      <c r="AC251" s="648">
        <f>SUM(AM251:AO251)</f>
        <v>11000000</v>
      </c>
      <c r="AD251" s="648"/>
      <c r="AE251" s="648"/>
      <c r="AF251" s="648"/>
      <c r="AG251" s="648"/>
      <c r="AH251" s="648"/>
      <c r="AI251" s="648"/>
      <c r="AJ251" s="648"/>
      <c r="AK251" s="648"/>
      <c r="AL251" s="648"/>
      <c r="AM251" s="648">
        <v>3666666.6666666665</v>
      </c>
      <c r="AN251" s="648">
        <v>3666666.6666666665</v>
      </c>
      <c r="AO251" s="648">
        <v>3666666.6666666665</v>
      </c>
      <c r="AP251" s="648">
        <f t="shared" si="199"/>
        <v>11000000</v>
      </c>
      <c r="AQ251" s="649">
        <f t="shared" si="200"/>
        <v>209000000</v>
      </c>
      <c r="AR251" s="650"/>
      <c r="AS251" s="650"/>
      <c r="AT251" s="651"/>
      <c r="AU251" s="652"/>
      <c r="AV251" s="653" t="s">
        <v>1236</v>
      </c>
      <c r="AW251" s="653">
        <f>IFERROR(VLOOKUP(G251,'[70]Detail Deprec_202508'!$D$33:$I$357,6,FALSE),0)</f>
        <v>0</v>
      </c>
      <c r="AX251" s="653">
        <f t="shared" si="201"/>
        <v>0</v>
      </c>
    </row>
    <row r="252" spans="1:51" s="654" customFormat="1" ht="12.9" customHeight="1" outlineLevel="1">
      <c r="A252" s="635">
        <f t="shared" si="180"/>
        <v>227</v>
      </c>
      <c r="B252" s="636" t="s">
        <v>142</v>
      </c>
      <c r="C252" s="656" t="s">
        <v>474</v>
      </c>
      <c r="D252" s="657">
        <v>155</v>
      </c>
      <c r="E252" s="657" t="s">
        <v>1711</v>
      </c>
      <c r="F252" s="636" t="s">
        <v>130</v>
      </c>
      <c r="G252" s="636" t="s">
        <v>130</v>
      </c>
      <c r="H252" s="639">
        <v>45961</v>
      </c>
      <c r="I252" s="658" t="s">
        <v>11</v>
      </c>
      <c r="J252" s="659" t="s">
        <v>749</v>
      </c>
      <c r="K252" s="637" t="s">
        <v>1715</v>
      </c>
      <c r="L252" s="637" t="s">
        <v>748</v>
      </c>
      <c r="M252" s="406" t="s">
        <v>296</v>
      </c>
      <c r="N252" s="406">
        <v>2025</v>
      </c>
      <c r="O252" s="406" t="s">
        <v>800</v>
      </c>
      <c r="P252" s="637"/>
      <c r="Q252" s="637"/>
      <c r="R252" s="660">
        <v>1</v>
      </c>
      <c r="S252" s="661"/>
      <c r="T252" s="643">
        <v>154000000</v>
      </c>
      <c r="U252" s="662">
        <f t="shared" si="195"/>
        <v>2566666.6666666665</v>
      </c>
      <c r="V252" s="663">
        <v>60</v>
      </c>
      <c r="W252" s="664"/>
      <c r="X252" s="665">
        <f t="shared" si="196"/>
        <v>3</v>
      </c>
      <c r="Y252" s="665">
        <f t="shared" ref="Y252" si="202">+W252+X252</f>
        <v>3</v>
      </c>
      <c r="Z252" s="647">
        <f t="shared" si="198"/>
        <v>57</v>
      </c>
      <c r="AA252" s="648">
        <v>0</v>
      </c>
      <c r="AB252" s="648">
        <f>T252-AC252</f>
        <v>146300000</v>
      </c>
      <c r="AC252" s="648">
        <f>SUM(AM252:AO252)</f>
        <v>7700000</v>
      </c>
      <c r="AD252" s="666"/>
      <c r="AE252" s="666"/>
      <c r="AF252" s="666"/>
      <c r="AG252" s="666"/>
      <c r="AH252" s="666"/>
      <c r="AI252" s="666"/>
      <c r="AJ252" s="666"/>
      <c r="AK252" s="666"/>
      <c r="AL252" s="666"/>
      <c r="AM252" s="666">
        <v>2566666.6666666665</v>
      </c>
      <c r="AN252" s="666">
        <v>2566666.6666666665</v>
      </c>
      <c r="AO252" s="666">
        <v>2566666.6666666665</v>
      </c>
      <c r="AP252" s="666">
        <f t="shared" si="199"/>
        <v>7700000</v>
      </c>
      <c r="AQ252" s="667">
        <f>IF(AS252=$AS$24,((T252-AP252)*0),T252-AP252)</f>
        <v>146300000</v>
      </c>
      <c r="AR252" s="668"/>
      <c r="AS252" s="668"/>
      <c r="AT252" s="651"/>
      <c r="AU252" s="669"/>
      <c r="AV252" s="653" t="s">
        <v>1236</v>
      </c>
      <c r="AW252" s="653">
        <f>IFERROR(VLOOKUP(G252,'[71]Detail Deprec_202501'!$D$246:$I$393,6,FALSE),0)</f>
        <v>0</v>
      </c>
      <c r="AX252" s="670">
        <f t="shared" si="201"/>
        <v>0</v>
      </c>
    </row>
    <row r="253" spans="1:51" s="811" customFormat="1" ht="12.9" customHeight="1" outlineLevel="1">
      <c r="A253" s="787"/>
      <c r="B253" s="788" t="s">
        <v>142</v>
      </c>
      <c r="C253" s="789" t="s">
        <v>1743</v>
      </c>
      <c r="D253" s="790"/>
      <c r="E253" s="790" t="s">
        <v>1710</v>
      </c>
      <c r="F253" s="788"/>
      <c r="G253" s="788"/>
      <c r="H253" s="791">
        <v>45809</v>
      </c>
      <c r="I253" s="792" t="s">
        <v>129</v>
      </c>
      <c r="J253" s="793"/>
      <c r="K253" s="794" t="s">
        <v>1744</v>
      </c>
      <c r="L253" s="794" t="s">
        <v>1745</v>
      </c>
      <c r="M253" s="795"/>
      <c r="N253" s="795">
        <v>2025</v>
      </c>
      <c r="O253" s="795"/>
      <c r="P253" s="794"/>
      <c r="Q253" s="794"/>
      <c r="R253" s="796">
        <v>1</v>
      </c>
      <c r="S253" s="797"/>
      <c r="T253" s="798"/>
      <c r="U253" s="812">
        <v>101851852</v>
      </c>
      <c r="V253" s="799"/>
      <c r="W253" s="800"/>
      <c r="X253" s="801"/>
      <c r="Y253" s="801"/>
      <c r="Z253" s="802"/>
      <c r="AA253" s="803"/>
      <c r="AB253" s="803"/>
      <c r="AC253" s="803"/>
      <c r="AD253" s="804"/>
      <c r="AE253" s="804"/>
      <c r="AF253" s="804"/>
      <c r="AG253" s="804"/>
      <c r="AH253" s="804"/>
      <c r="AI253" s="804">
        <v>101851852</v>
      </c>
      <c r="AJ253" s="804">
        <v>101851852</v>
      </c>
      <c r="AK253" s="804">
        <v>101851852</v>
      </c>
      <c r="AL253" s="804">
        <v>101851852</v>
      </c>
      <c r="AM253" s="804">
        <v>101851852</v>
      </c>
      <c r="AN253" s="804">
        <v>101851852</v>
      </c>
      <c r="AO253" s="804">
        <v>101851852</v>
      </c>
      <c r="AP253" s="804"/>
      <c r="AQ253" s="805"/>
      <c r="AR253" s="806"/>
      <c r="AS253" s="806"/>
      <c r="AT253" s="807"/>
      <c r="AU253" s="808"/>
      <c r="AV253" s="809"/>
      <c r="AW253" s="809"/>
      <c r="AX253" s="810"/>
    </row>
    <row r="254" spans="1:51" s="811" customFormat="1" ht="12.9" customHeight="1" outlineLevel="1">
      <c r="A254" s="787"/>
      <c r="B254" s="788" t="s">
        <v>142</v>
      </c>
      <c r="C254" s="789" t="s">
        <v>1743</v>
      </c>
      <c r="D254" s="790"/>
      <c r="E254" s="790" t="s">
        <v>1709</v>
      </c>
      <c r="F254" s="788"/>
      <c r="G254" s="788"/>
      <c r="H254" s="791">
        <v>45596</v>
      </c>
      <c r="I254" s="792" t="s">
        <v>129</v>
      </c>
      <c r="J254" s="793"/>
      <c r="K254" s="794" t="s">
        <v>1746</v>
      </c>
      <c r="L254" s="794" t="s">
        <v>1747</v>
      </c>
      <c r="M254" s="795"/>
      <c r="N254" s="795">
        <v>2024</v>
      </c>
      <c r="O254" s="795"/>
      <c r="P254" s="794"/>
      <c r="Q254" s="794"/>
      <c r="R254" s="796">
        <v>1</v>
      </c>
      <c r="S254" s="797"/>
      <c r="T254" s="798"/>
      <c r="U254" s="812">
        <v>13333333</v>
      </c>
      <c r="V254" s="799"/>
      <c r="W254" s="800"/>
      <c r="X254" s="801"/>
      <c r="Y254" s="801"/>
      <c r="Z254" s="802"/>
      <c r="AA254" s="803"/>
      <c r="AB254" s="803"/>
      <c r="AC254" s="803"/>
      <c r="AD254" s="804">
        <v>13333333</v>
      </c>
      <c r="AE254" s="804">
        <v>13333333</v>
      </c>
      <c r="AF254" s="804">
        <v>13333333</v>
      </c>
      <c r="AG254" s="804">
        <v>13333333</v>
      </c>
      <c r="AH254" s="804">
        <v>13333333</v>
      </c>
      <c r="AI254" s="804">
        <v>13333333</v>
      </c>
      <c r="AJ254" s="804">
        <v>13333333</v>
      </c>
      <c r="AK254" s="804">
        <v>13333333</v>
      </c>
      <c r="AL254" s="804">
        <v>13333333</v>
      </c>
      <c r="AM254" s="804">
        <v>13333333</v>
      </c>
      <c r="AN254" s="804">
        <v>13333333</v>
      </c>
      <c r="AO254" s="804">
        <v>13333333</v>
      </c>
      <c r="AP254" s="804"/>
      <c r="AQ254" s="805"/>
      <c r="AR254" s="806"/>
      <c r="AS254" s="806"/>
      <c r="AT254" s="807"/>
      <c r="AU254" s="808"/>
      <c r="AV254" s="809"/>
      <c r="AW254" s="809"/>
      <c r="AX254" s="810"/>
    </row>
    <row r="255" spans="1:51" s="811" customFormat="1" ht="12.9" customHeight="1" outlineLevel="1">
      <c r="A255" s="787"/>
      <c r="B255" s="788" t="s">
        <v>142</v>
      </c>
      <c r="C255" s="789" t="s">
        <v>1743</v>
      </c>
      <c r="D255" s="790"/>
      <c r="E255" s="790" t="s">
        <v>1087</v>
      </c>
      <c r="F255" s="788"/>
      <c r="G255" s="788"/>
      <c r="H255" s="791">
        <v>45139</v>
      </c>
      <c r="I255" s="792" t="s">
        <v>129</v>
      </c>
      <c r="J255" s="793"/>
      <c r="K255" s="794" t="s">
        <v>1748</v>
      </c>
      <c r="L255" s="794" t="s">
        <v>1749</v>
      </c>
      <c r="M255" s="795"/>
      <c r="N255" s="795">
        <v>2023</v>
      </c>
      <c r="O255" s="795"/>
      <c r="P255" s="794"/>
      <c r="Q255" s="794"/>
      <c r="R255" s="796">
        <v>1</v>
      </c>
      <c r="S255" s="797"/>
      <c r="T255" s="798"/>
      <c r="U255" s="812">
        <v>74120370</v>
      </c>
      <c r="V255" s="799"/>
      <c r="W255" s="800"/>
      <c r="X255" s="801"/>
      <c r="Y255" s="801"/>
      <c r="Z255" s="802"/>
      <c r="AA255" s="803"/>
      <c r="AB255" s="803"/>
      <c r="AC255" s="803"/>
      <c r="AD255" s="804">
        <v>74120370</v>
      </c>
      <c r="AE255" s="804">
        <v>74120370</v>
      </c>
      <c r="AF255" s="804">
        <v>74120370</v>
      </c>
      <c r="AG255" s="804">
        <v>74120370</v>
      </c>
      <c r="AH255" s="804">
        <v>74120370</v>
      </c>
      <c r="AI255" s="804">
        <v>74120370</v>
      </c>
      <c r="AJ255" s="804">
        <v>74120370</v>
      </c>
      <c r="AK255" s="804"/>
      <c r="AL255" s="804"/>
      <c r="AM255" s="804"/>
      <c r="AN255" s="804"/>
      <c r="AO255" s="804"/>
      <c r="AP255" s="804"/>
      <c r="AQ255" s="805"/>
      <c r="AR255" s="806"/>
      <c r="AS255" s="806"/>
      <c r="AT255" s="807"/>
      <c r="AU255" s="808"/>
      <c r="AV255" s="809"/>
      <c r="AW255" s="809"/>
      <c r="AX255" s="810"/>
    </row>
    <row r="256" spans="1:51" ht="14.4" outlineLevel="1" thickBot="1">
      <c r="A256" s="303"/>
      <c r="B256" s="341"/>
      <c r="C256" s="344"/>
      <c r="D256" s="377"/>
      <c r="E256" s="377"/>
      <c r="F256" s="341"/>
      <c r="G256" s="341"/>
      <c r="H256" s="429"/>
      <c r="I256" s="378"/>
      <c r="J256" s="443"/>
      <c r="K256" s="311"/>
      <c r="L256" s="430"/>
      <c r="M256" s="311"/>
      <c r="N256" s="310"/>
      <c r="O256" s="311"/>
      <c r="P256" s="311"/>
      <c r="Q256" s="311"/>
      <c r="R256" s="305"/>
      <c r="S256" s="444"/>
      <c r="T256" s="432"/>
      <c r="U256" s="445"/>
      <c r="V256" s="446"/>
      <c r="W256" s="446"/>
      <c r="X256" s="446"/>
      <c r="Y256" s="446"/>
      <c r="Z256" s="446"/>
      <c r="AA256" s="447"/>
      <c r="AB256" s="447"/>
      <c r="AC256" s="447"/>
      <c r="AD256" s="446"/>
      <c r="AE256" s="446"/>
      <c r="AF256" s="446"/>
      <c r="AG256" s="446"/>
      <c r="AH256" s="446"/>
      <c r="AI256" s="446"/>
      <c r="AJ256" s="446"/>
      <c r="AK256" s="446"/>
      <c r="AL256" s="446"/>
      <c r="AM256" s="446"/>
      <c r="AN256" s="446"/>
      <c r="AO256" s="446"/>
      <c r="AP256" s="447"/>
      <c r="AQ256" s="448"/>
      <c r="AR256" s="380"/>
      <c r="AS256" s="380"/>
      <c r="AT256" s="424"/>
      <c r="AU256" s="381"/>
    </row>
    <row r="257" spans="1:50" ht="14.4" thickBot="1">
      <c r="A257" s="449"/>
      <c r="B257" s="451"/>
      <c r="C257" s="453"/>
      <c r="D257" s="450"/>
      <c r="E257" s="450"/>
      <c r="F257" s="451" t="str">
        <f>I257</f>
        <v>Grand Total</v>
      </c>
      <c r="G257" s="451"/>
      <c r="H257" s="452"/>
      <c r="I257" s="453" t="s">
        <v>59</v>
      </c>
      <c r="J257" s="453"/>
      <c r="K257" s="453"/>
      <c r="L257" s="453"/>
      <c r="M257" s="453"/>
      <c r="N257" s="453"/>
      <c r="O257" s="454"/>
      <c r="P257" s="453"/>
      <c r="Q257" s="453"/>
      <c r="R257" s="450"/>
      <c r="S257" s="451"/>
      <c r="T257" s="451" t="e">
        <f>+#REF!+#REF!+#REF!+#REF!+#REF!+#REF!+#REF!</f>
        <v>#REF!</v>
      </c>
      <c r="U257" s="451"/>
      <c r="V257" s="451"/>
      <c r="W257" s="451"/>
      <c r="X257" s="451"/>
      <c r="Y257" s="451"/>
      <c r="Z257" s="451"/>
      <c r="AA257" s="451">
        <v>625899060186.18591</v>
      </c>
      <c r="AB257" s="451">
        <v>241885970250.38773</v>
      </c>
      <c r="AC257" s="451" t="e">
        <f>#REF!+#REF!+#REF!+#REF!+#REF!+#REF!</f>
        <v>#REF!</v>
      </c>
      <c r="AD257" s="451">
        <f t="shared" ref="AD257:AQ257" si="203">SUM(AD39:AD252,AD26:AD38)</f>
        <v>1081099741.1469164</v>
      </c>
      <c r="AE257" s="451">
        <f t="shared" si="203"/>
        <v>1103149741.1469164</v>
      </c>
      <c r="AF257" s="451">
        <f t="shared" si="203"/>
        <v>1103149741.1469164</v>
      </c>
      <c r="AG257" s="451">
        <f t="shared" si="203"/>
        <v>1121713705.1135831</v>
      </c>
      <c r="AH257" s="451">
        <f t="shared" si="203"/>
        <v>1121713705.1135831</v>
      </c>
      <c r="AI257" s="451">
        <f t="shared" si="203"/>
        <v>1125747690.6969166</v>
      </c>
      <c r="AJ257" s="451">
        <f t="shared" si="203"/>
        <v>1118869357.3635831</v>
      </c>
      <c r="AK257" s="451">
        <f t="shared" si="203"/>
        <v>1118869357.3635831</v>
      </c>
      <c r="AL257" s="451">
        <f t="shared" si="203"/>
        <v>1152140528.5302496</v>
      </c>
      <c r="AM257" s="451">
        <f t="shared" si="203"/>
        <v>1158373861.8635831</v>
      </c>
      <c r="AN257" s="451">
        <f t="shared" si="203"/>
        <v>1158373861.8635831</v>
      </c>
      <c r="AO257" s="451">
        <f t="shared" si="203"/>
        <v>1158373861.8635831</v>
      </c>
      <c r="AP257" s="451">
        <f t="shared" si="203"/>
        <v>181185324730.77621</v>
      </c>
      <c r="AQ257" s="451">
        <f t="shared" si="203"/>
        <v>113500273645.67377</v>
      </c>
      <c r="AR257" s="456"/>
      <c r="AS257" s="456"/>
      <c r="AT257" s="453"/>
      <c r="AU257" s="457"/>
    </row>
    <row r="258" spans="1:50">
      <c r="A258" s="87" t="s">
        <v>59</v>
      </c>
      <c r="B258" s="87"/>
      <c r="C258" s="485"/>
      <c r="D258" s="87"/>
      <c r="E258" s="87"/>
      <c r="F258" s="87"/>
      <c r="G258" s="87"/>
      <c r="H258" s="87"/>
      <c r="I258" s="87"/>
      <c r="J258" s="88"/>
      <c r="K258" s="87"/>
      <c r="L258" s="87"/>
      <c r="M258" s="87"/>
      <c r="N258" s="59"/>
      <c r="O258" s="36"/>
      <c r="P258" s="36"/>
      <c r="Q258" s="36"/>
      <c r="R258" s="35"/>
      <c r="S258" s="35"/>
      <c r="T258" s="60"/>
      <c r="U258" s="61"/>
      <c r="V258" s="41"/>
      <c r="W258" s="41"/>
      <c r="X258" s="41"/>
      <c r="Y258" s="41"/>
      <c r="Z258" s="41"/>
      <c r="AA258" s="41"/>
      <c r="AB258" s="41"/>
      <c r="AC258" s="41"/>
      <c r="AD258" s="35"/>
      <c r="AE258" s="35"/>
      <c r="AF258" s="302"/>
      <c r="AG258" s="58"/>
      <c r="AH258" s="35"/>
      <c r="AI258" s="35"/>
      <c r="AJ258" s="35"/>
      <c r="AK258" s="35"/>
      <c r="AL258" s="35"/>
      <c r="AM258" s="35"/>
      <c r="AN258" s="35"/>
      <c r="AO258" s="35"/>
      <c r="AP258" s="62"/>
      <c r="AQ258" s="275"/>
      <c r="AR258" s="36"/>
      <c r="AS258" s="36"/>
      <c r="AT258" s="37"/>
      <c r="AU258" s="36"/>
    </row>
    <row r="259" spans="1:50" ht="14.4">
      <c r="T259" s="600"/>
      <c r="AA259" s="606"/>
      <c r="AX259" s="146"/>
    </row>
    <row r="260" spans="1:50">
      <c r="AA260" s="606"/>
    </row>
    <row r="262" spans="1:50">
      <c r="T262" s="599"/>
    </row>
    <row r="264" spans="1:50" s="146" customFormat="1">
      <c r="A264" s="606"/>
      <c r="B264" s="625"/>
      <c r="C264" s="492"/>
      <c r="D264" s="606"/>
      <c r="E264" s="606"/>
      <c r="F264" s="625"/>
      <c r="G264" s="625"/>
      <c r="H264" s="626"/>
      <c r="I264" s="24"/>
      <c r="J264" s="24"/>
      <c r="K264" s="626"/>
      <c r="L264" s="626"/>
      <c r="M264" s="626"/>
      <c r="N264" s="626"/>
      <c r="O264" s="626"/>
      <c r="P264" s="626"/>
      <c r="Q264" s="626"/>
      <c r="R264" s="606"/>
      <c r="S264" s="606"/>
      <c r="T264" s="627"/>
      <c r="U264" s="627"/>
      <c r="V264" s="606"/>
      <c r="W264" s="606"/>
      <c r="X264" s="606"/>
      <c r="Y264" s="606"/>
      <c r="Z264" s="606"/>
      <c r="AA264" s="606"/>
      <c r="AB264" s="606"/>
      <c r="AC264" s="606"/>
      <c r="AD264" s="606"/>
      <c r="AE264" s="606"/>
      <c r="AF264" s="606"/>
      <c r="AG264" s="606"/>
      <c r="AH264" s="606"/>
      <c r="AI264" s="606"/>
      <c r="AJ264" s="606"/>
      <c r="AK264" s="606"/>
      <c r="AL264" s="606"/>
      <c r="AM264" s="606"/>
      <c r="AN264" s="606"/>
      <c r="AO264" s="606"/>
      <c r="AP264" s="606"/>
      <c r="AQ264" s="606"/>
      <c r="AR264" s="626"/>
      <c r="AS264" s="626"/>
      <c r="AT264" s="628"/>
      <c r="AU264" s="626"/>
    </row>
    <row r="265" spans="1:50" s="146" customFormat="1">
      <c r="A265" s="606"/>
      <c r="B265" s="625"/>
      <c r="C265" s="492"/>
      <c r="D265" s="606"/>
      <c r="E265" s="606"/>
      <c r="F265" s="625"/>
      <c r="G265" s="625"/>
      <c r="H265" s="626"/>
      <c r="I265" s="24"/>
      <c r="J265" s="24"/>
      <c r="K265" s="626"/>
      <c r="L265" s="626"/>
      <c r="M265" s="626"/>
      <c r="N265" s="626"/>
      <c r="O265" s="626"/>
      <c r="P265" s="626"/>
      <c r="Q265" s="626"/>
      <c r="R265" s="606"/>
      <c r="S265" s="606"/>
      <c r="T265" s="627"/>
      <c r="U265" s="627"/>
      <c r="V265" s="606"/>
      <c r="W265" s="606"/>
      <c r="X265" s="606"/>
      <c r="Y265" s="606"/>
      <c r="Z265" s="606"/>
      <c r="AA265" s="606"/>
      <c r="AB265" s="606"/>
      <c r="AC265" s="606"/>
      <c r="AD265" s="606"/>
      <c r="AE265" s="606"/>
      <c r="AF265" s="606"/>
      <c r="AG265" s="606"/>
      <c r="AH265" s="606"/>
      <c r="AI265" s="606"/>
      <c r="AJ265" s="606"/>
      <c r="AK265" s="606"/>
      <c r="AL265" s="606"/>
      <c r="AM265" s="606"/>
      <c r="AN265" s="606"/>
      <c r="AO265" s="606"/>
      <c r="AP265" s="606"/>
      <c r="AQ265" s="606"/>
      <c r="AR265" s="626"/>
      <c r="AS265" s="626"/>
      <c r="AT265" s="628"/>
      <c r="AU265" s="626"/>
    </row>
    <row r="266" spans="1:50" s="146" customFormat="1">
      <c r="A266" s="606"/>
      <c r="B266" s="625"/>
      <c r="C266" s="492"/>
      <c r="D266" s="606"/>
      <c r="E266" s="606"/>
      <c r="F266" s="625"/>
      <c r="G266" s="625"/>
      <c r="H266" s="626"/>
      <c r="I266" s="24"/>
      <c r="J266" s="24"/>
      <c r="K266" s="626"/>
      <c r="L266" s="626"/>
      <c r="M266" s="626"/>
      <c r="N266" s="626"/>
      <c r="O266" s="626"/>
      <c r="P266" s="626"/>
      <c r="Q266" s="626"/>
      <c r="R266" s="606"/>
      <c r="S266" s="606"/>
      <c r="T266" s="627"/>
      <c r="U266" s="627"/>
      <c r="V266" s="606"/>
      <c r="W266" s="606"/>
      <c r="X266" s="606"/>
      <c r="Y266" s="606"/>
      <c r="Z266" s="606"/>
      <c r="AA266" s="606"/>
      <c r="AB266" s="606"/>
      <c r="AC266" s="606"/>
      <c r="AD266" s="606"/>
      <c r="AE266" s="606"/>
      <c r="AF266" s="606"/>
      <c r="AG266" s="606"/>
      <c r="AH266" s="606"/>
      <c r="AI266" s="606"/>
      <c r="AJ266" s="606"/>
      <c r="AK266" s="606"/>
      <c r="AL266" s="606"/>
      <c r="AM266" s="606"/>
      <c r="AN266" s="606"/>
      <c r="AO266" s="606"/>
      <c r="AP266" s="606"/>
      <c r="AQ266" s="606"/>
      <c r="AR266" s="626"/>
      <c r="AS266" s="626"/>
      <c r="AT266" s="628"/>
      <c r="AU266" s="626"/>
    </row>
    <row r="267" spans="1:50">
      <c r="AD267" s="606"/>
    </row>
    <row r="268" spans="1:50">
      <c r="AK268" s="629"/>
    </row>
  </sheetData>
  <autoFilter ref="A25:BH258" xr:uid="{00000000-0001-0000-0100-000000000000}"/>
  <mergeCells count="25">
    <mergeCell ref="E23:E24"/>
    <mergeCell ref="A3:D3"/>
    <mergeCell ref="AR23:AS23"/>
    <mergeCell ref="A23:A24"/>
    <mergeCell ref="B23:B24"/>
    <mergeCell ref="C23:C24"/>
    <mergeCell ref="V23:Z23"/>
    <mergeCell ref="AD23:AO23"/>
    <mergeCell ref="I23:I24"/>
    <mergeCell ref="H23:H24"/>
    <mergeCell ref="K23:K24"/>
    <mergeCell ref="U23:U24"/>
    <mergeCell ref="L23:L24"/>
    <mergeCell ref="M23:M24"/>
    <mergeCell ref="S23:S24"/>
    <mergeCell ref="T23:T24"/>
    <mergeCell ref="N23:N24"/>
    <mergeCell ref="R23:R24"/>
    <mergeCell ref="BD23:BE23"/>
    <mergeCell ref="BF23:BG23"/>
    <mergeCell ref="AU23:AU24"/>
    <mergeCell ref="AX23:AY23"/>
    <mergeCell ref="AZ23:BA23"/>
    <mergeCell ref="BB23:BC23"/>
    <mergeCell ref="AV23:AV24"/>
  </mergeCells>
  <phoneticPr fontId="86" type="noConversion"/>
  <conditionalFormatting sqref="G1:G4 G16 G22:G197 G220:G1048576">
    <cfRule type="duplicateValues" dxfId="17" priority="205"/>
  </conditionalFormatting>
  <conditionalFormatting sqref="G198:G219">
    <cfRule type="duplicateValues" dxfId="16" priority="286"/>
  </conditionalFormatting>
  <conditionalFormatting sqref="Z1:Z64535">
    <cfRule type="cellIs" dxfId="15" priority="2" stopIfTrue="1" operator="lessThan">
      <formula>0</formula>
    </cfRule>
  </conditionalFormatting>
  <pageMargins left="0" right="0" top="0.62992125984251968" bottom="0.74803149606299213" header="0.31496062992125984" footer="0.31496062992125984"/>
  <pageSetup paperSize="8" scale="80" orientation="landscape" r:id="rId1"/>
  <headerFooter alignWithMargins="0">
    <oddFooter>&amp;L&amp;F&amp;C&amp;P/&amp;N&amp;R&amp;D&amp;T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C723A-7F12-409A-BACE-75FC17AD0004}">
  <sheetPr>
    <tabColor rgb="FFFFFF00"/>
  </sheetPr>
  <dimension ref="A1:BG269"/>
  <sheetViews>
    <sheetView showGridLines="0" zoomScale="85" zoomScaleNormal="85" workbookViewId="0">
      <selection activeCell="K101" sqref="K101"/>
    </sheetView>
  </sheetViews>
  <sheetFormatPr defaultColWidth="7.6640625" defaultRowHeight="13.8" outlineLevelRow="1"/>
  <cols>
    <col min="1" max="1" width="7.5546875" style="23" customWidth="1"/>
    <col min="2" max="2" width="7.5546875" style="39" bestFit="1" customWidth="1"/>
    <col min="3" max="3" width="12.88671875" style="27" customWidth="1"/>
    <col min="4" max="4" width="7.33203125" style="23" bestFit="1" customWidth="1"/>
    <col min="5" max="5" width="7.33203125" style="23" customWidth="1"/>
    <col min="6" max="6" width="14.44140625" style="39" customWidth="1"/>
    <col min="7" max="7" width="13.6640625" style="39" customWidth="1"/>
    <col min="8" max="8" width="13.6640625" style="63" customWidth="1"/>
    <col min="9" max="17" width="13.6640625" style="24" customWidth="1"/>
    <col min="18" max="19" width="13.6640625" style="23" customWidth="1"/>
    <col min="20" max="20" width="17" style="57" bestFit="1" customWidth="1"/>
    <col min="21" max="21" width="30.21875" style="28" customWidth="1"/>
    <col min="22" max="22" width="6.33203125" style="23" bestFit="1" customWidth="1"/>
    <col min="23" max="23" width="10" style="23" bestFit="1" customWidth="1"/>
    <col min="24" max="24" width="10.33203125" style="23" bestFit="1" customWidth="1"/>
    <col min="25" max="25" width="9.88671875" style="23" bestFit="1" customWidth="1"/>
    <col min="26" max="26" width="12.5546875" style="23" bestFit="1" customWidth="1"/>
    <col min="27" max="27" width="22" style="23" bestFit="1" customWidth="1"/>
    <col min="28" max="28" width="15.33203125" style="23" bestFit="1" customWidth="1"/>
    <col min="29" max="29" width="24.88671875" style="23" bestFit="1" customWidth="1"/>
    <col min="30" max="30" width="13.6640625" style="23" bestFit="1" customWidth="1"/>
    <col min="31" max="41" width="13.5546875" style="23" bestFit="1" customWidth="1"/>
    <col min="42" max="42" width="22" style="23" bestFit="1" customWidth="1"/>
    <col min="43" max="43" width="16.6640625" style="65" bestFit="1" customWidth="1"/>
    <col min="44" max="44" width="9.33203125" style="24" bestFit="1" customWidth="1"/>
    <col min="45" max="45" width="8.88671875" style="24" bestFit="1" customWidth="1"/>
    <col min="46" max="46" width="13.88671875" style="26" bestFit="1" customWidth="1"/>
    <col min="47" max="47" width="14" style="24" bestFit="1" customWidth="1"/>
    <col min="48" max="48" width="11.5546875" style="146" bestFit="1" customWidth="1"/>
    <col min="49" max="49" width="12.33203125" style="146" bestFit="1" customWidth="1"/>
    <col min="50" max="50" width="12.5546875" bestFit="1" customWidth="1"/>
    <col min="51" max="51" width="3.44140625" bestFit="1" customWidth="1"/>
    <col min="52" max="52" width="3.6640625" bestFit="1" customWidth="1"/>
    <col min="53" max="53" width="3.33203125" bestFit="1" customWidth="1"/>
    <col min="54" max="54" width="8.109375" bestFit="1" customWidth="1"/>
    <col min="55" max="55" width="8.33203125" bestFit="1" customWidth="1"/>
    <col min="56" max="56" width="6" bestFit="1" customWidth="1"/>
    <col min="57" max="57" width="8" bestFit="1" customWidth="1"/>
    <col min="58" max="58" width="5.109375" bestFit="1" customWidth="1"/>
    <col min="59" max="59" width="3.88671875" bestFit="1" customWidth="1"/>
    <col min="60" max="60" width="2" bestFit="1" customWidth="1"/>
  </cols>
  <sheetData>
    <row r="1" spans="1:49" s="282" customFormat="1" ht="14.4">
      <c r="A1" s="291" t="s">
        <v>63</v>
      </c>
      <c r="B1" s="595"/>
      <c r="C1" s="596"/>
      <c r="D1" s="597"/>
      <c r="E1" s="597"/>
      <c r="F1" s="276"/>
      <c r="G1" s="276"/>
      <c r="H1" s="292"/>
      <c r="I1" s="290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4"/>
      <c r="U1" s="293"/>
      <c r="V1" s="276"/>
      <c r="W1" s="276"/>
      <c r="X1" s="276"/>
      <c r="Y1" s="276"/>
      <c r="Z1" s="276"/>
      <c r="AA1" s="294"/>
      <c r="AB1" s="294"/>
      <c r="AC1" s="276"/>
      <c r="AD1" s="276"/>
      <c r="AE1" s="276"/>
      <c r="AF1" s="276"/>
      <c r="AG1" s="276"/>
      <c r="AH1" s="276"/>
      <c r="AI1" s="276"/>
      <c r="AJ1" s="276"/>
      <c r="AK1" s="276"/>
      <c r="AL1" s="276"/>
      <c r="AM1" s="276"/>
      <c r="AN1" s="276"/>
      <c r="AO1" s="276"/>
      <c r="AP1" s="276"/>
      <c r="AQ1" s="295"/>
      <c r="AR1" s="276"/>
      <c r="AS1" s="276"/>
      <c r="AT1" s="290"/>
      <c r="AU1" s="290"/>
      <c r="AV1" s="491"/>
      <c r="AW1" s="491"/>
    </row>
    <row r="2" spans="1:49" s="282" customFormat="1" ht="14.4">
      <c r="A2" s="291" t="s">
        <v>64</v>
      </c>
      <c r="B2" s="595"/>
      <c r="C2" s="596"/>
      <c r="D2" s="597"/>
      <c r="E2" s="597"/>
      <c r="F2" s="276"/>
      <c r="G2" s="276"/>
      <c r="H2" s="292"/>
      <c r="I2" s="290"/>
      <c r="J2" s="293"/>
      <c r="K2" s="293"/>
      <c r="L2" s="293"/>
      <c r="M2" s="293"/>
      <c r="N2" s="293"/>
      <c r="O2" s="293"/>
      <c r="P2" s="293"/>
      <c r="Q2" s="293"/>
      <c r="R2" s="293"/>
      <c r="S2" s="293"/>
      <c r="T2" s="294"/>
      <c r="U2" s="299"/>
      <c r="V2" s="276"/>
      <c r="W2" s="276"/>
      <c r="X2" s="276"/>
      <c r="Y2" s="276"/>
      <c r="Z2" s="276"/>
      <c r="AA2" s="294"/>
      <c r="AB2" s="294"/>
      <c r="AC2" s="276"/>
      <c r="AD2" s="276"/>
      <c r="AE2" s="276"/>
      <c r="AF2" s="276"/>
      <c r="AG2" s="276"/>
      <c r="AH2" s="276"/>
      <c r="AI2" s="276"/>
      <c r="AJ2" s="276"/>
      <c r="AK2" s="276"/>
      <c r="AL2" s="276"/>
      <c r="AM2" s="276"/>
      <c r="AN2" s="276"/>
      <c r="AO2" s="276"/>
      <c r="AP2" s="276"/>
      <c r="AQ2" s="295"/>
      <c r="AR2" s="276"/>
      <c r="AS2" s="276"/>
      <c r="AT2" s="290"/>
      <c r="AU2" s="290"/>
      <c r="AV2" s="491"/>
      <c r="AW2" s="491"/>
    </row>
    <row r="3" spans="1:49" s="282" customFormat="1" ht="14.4">
      <c r="A3" s="845">
        <v>46387</v>
      </c>
      <c r="B3" s="845"/>
      <c r="C3" s="845"/>
      <c r="D3" s="845"/>
      <c r="E3" s="632"/>
      <c r="F3" s="276"/>
      <c r="G3" s="276"/>
      <c r="H3" s="292"/>
      <c r="I3" s="290"/>
      <c r="J3" s="276"/>
      <c r="K3" s="296"/>
      <c r="L3" s="276"/>
      <c r="M3" s="276"/>
      <c r="N3" s="276"/>
      <c r="O3" s="276"/>
      <c r="P3" s="276"/>
      <c r="Q3" s="276"/>
      <c r="R3" s="276"/>
      <c r="S3" s="276"/>
      <c r="T3" s="294"/>
      <c r="U3" s="299"/>
      <c r="V3" s="276"/>
      <c r="W3" s="276"/>
      <c r="X3" s="276"/>
      <c r="Y3" s="276"/>
      <c r="Z3" s="276"/>
      <c r="AA3" s="294"/>
      <c r="AB3" s="294"/>
      <c r="AC3" s="276"/>
      <c r="AD3" s="297"/>
      <c r="AE3" s="297"/>
      <c r="AF3" s="297"/>
      <c r="AG3" s="297"/>
      <c r="AH3" s="297"/>
      <c r="AI3" s="297"/>
      <c r="AJ3" s="297"/>
      <c r="AK3" s="297"/>
      <c r="AL3" s="297"/>
      <c r="AM3" s="297"/>
      <c r="AN3" s="297"/>
      <c r="AO3" s="297"/>
      <c r="AP3" s="297"/>
      <c r="AQ3" s="298"/>
      <c r="AR3" s="276"/>
      <c r="AS3" s="276"/>
      <c r="AT3" s="290"/>
      <c r="AU3" s="290"/>
      <c r="AV3" s="491"/>
      <c r="AW3" s="491"/>
    </row>
    <row r="4" spans="1:49" s="282" customFormat="1" ht="14.4">
      <c r="A4" s="632"/>
      <c r="B4" s="632"/>
      <c r="C4" s="632"/>
      <c r="D4" s="632"/>
      <c r="E4" s="632"/>
      <c r="F4" s="276"/>
      <c r="G4" s="276"/>
      <c r="H4" s="292"/>
      <c r="I4" s="290"/>
      <c r="J4" s="276"/>
      <c r="K4" s="296"/>
      <c r="L4" s="276"/>
      <c r="M4" s="276"/>
      <c r="N4" s="276"/>
      <c r="O4" s="276"/>
      <c r="P4" s="276"/>
      <c r="Q4" s="276"/>
      <c r="R4" s="276"/>
      <c r="S4" s="276"/>
      <c r="T4" s="294"/>
      <c r="U4" s="299"/>
      <c r="V4" s="276"/>
      <c r="W4" s="276"/>
      <c r="X4" s="276"/>
      <c r="Y4" s="276"/>
      <c r="Z4" s="276"/>
      <c r="AA4" s="294"/>
      <c r="AB4" s="294"/>
      <c r="AC4" s="276"/>
      <c r="AD4" s="297"/>
      <c r="AE4" s="297"/>
      <c r="AF4" s="297"/>
      <c r="AG4" s="297"/>
      <c r="AH4" s="297"/>
      <c r="AI4" s="297"/>
      <c r="AJ4" s="297"/>
      <c r="AK4" s="297"/>
      <c r="AL4" s="297"/>
      <c r="AM4" s="297"/>
      <c r="AN4" s="297"/>
      <c r="AO4" s="297"/>
      <c r="AP4" s="297"/>
      <c r="AQ4" s="298"/>
      <c r="AR4" s="276"/>
      <c r="AS4" s="276"/>
      <c r="AT4" s="290"/>
      <c r="AU4" s="290"/>
      <c r="AV4" s="491"/>
      <c r="AW4" s="491"/>
    </row>
    <row r="5" spans="1:49" s="282" customFormat="1" ht="14.4">
      <c r="A5" s="632"/>
      <c r="B5" s="632"/>
      <c r="C5" s="632"/>
      <c r="D5" s="632"/>
      <c r="E5" s="632"/>
      <c r="F5" s="671" t="s">
        <v>1716</v>
      </c>
      <c r="G5" s="671" t="s">
        <v>1717</v>
      </c>
      <c r="H5" s="671" t="s">
        <v>1718</v>
      </c>
      <c r="I5" s="671" t="s">
        <v>1719</v>
      </c>
      <c r="J5" s="671" t="s">
        <v>1720</v>
      </c>
      <c r="K5" s="671" t="s">
        <v>1721</v>
      </c>
      <c r="L5" s="671" t="s">
        <v>1722</v>
      </c>
      <c r="M5" s="671" t="s">
        <v>1723</v>
      </c>
      <c r="N5" s="671" t="s">
        <v>1724</v>
      </c>
      <c r="O5" s="671" t="s">
        <v>1725</v>
      </c>
      <c r="P5" s="671" t="s">
        <v>1726</v>
      </c>
      <c r="Q5" s="671" t="s">
        <v>1727</v>
      </c>
      <c r="R5" s="671" t="s">
        <v>1728</v>
      </c>
      <c r="S5" s="671" t="s">
        <v>1729</v>
      </c>
      <c r="T5" s="672"/>
      <c r="U5" s="299"/>
      <c r="V5" s="276"/>
      <c r="W5" s="276"/>
      <c r="X5" s="276"/>
      <c r="Y5" s="276"/>
      <c r="Z5" s="276"/>
      <c r="AA5" s="672"/>
      <c r="AB5" s="672"/>
      <c r="AC5" s="276"/>
      <c r="AD5" s="297"/>
      <c r="AE5" s="297"/>
      <c r="AF5" s="297"/>
      <c r="AG5" s="297"/>
      <c r="AH5" s="297"/>
      <c r="AI5" s="297"/>
      <c r="AJ5" s="297"/>
      <c r="AK5" s="297"/>
      <c r="AL5" s="297"/>
      <c r="AM5" s="297"/>
      <c r="AN5" s="297"/>
      <c r="AO5" s="297"/>
      <c r="AP5" s="297"/>
      <c r="AQ5" s="673"/>
      <c r="AR5" s="276"/>
      <c r="AS5" s="276"/>
      <c r="AT5" s="290"/>
      <c r="AU5" s="290"/>
      <c r="AV5" s="674"/>
      <c r="AW5" s="674"/>
    </row>
    <row r="6" spans="1:49" s="282" customFormat="1" ht="14.4">
      <c r="A6" s="632"/>
      <c r="B6" s="632"/>
      <c r="C6" s="632"/>
      <c r="D6" s="632"/>
      <c r="E6" s="675" t="s">
        <v>1730</v>
      </c>
      <c r="F6" s="676" t="s">
        <v>1705</v>
      </c>
      <c r="G6" s="677">
        <f>SUMIF($E$25:$E$281,F6,$AD$25:$AD$281)</f>
        <v>303466497.65941662</v>
      </c>
      <c r="H6" s="677">
        <f>SUMIF($E$25:$E$282,F6,$AE$25:$AE$282)</f>
        <v>303466497.65941662</v>
      </c>
      <c r="I6" s="677">
        <f>SUMIF($E$25:$E$282,F6,$AF$25:$AF$282)</f>
        <v>303466497.65941662</v>
      </c>
      <c r="J6" s="677">
        <f>SUMIF($E$25:$E$282,F6,$AG$25:$AG$282)</f>
        <v>303466497.65941662</v>
      </c>
      <c r="K6" s="677">
        <f>SUMIF($E$25:$E$282,F6,$AH$25:$AH$282)</f>
        <v>303466497.65941662</v>
      </c>
      <c r="L6" s="677">
        <f ca="1">SUMIF($E$25:$E$282,F6,$AI$25:$AI$281)</f>
        <v>303466497.65941662</v>
      </c>
      <c r="M6" s="677">
        <f>SUMIF($E$25:$E$282,F6,$AJ$25:$AJ$282)</f>
        <v>303466497.65941662</v>
      </c>
      <c r="N6" s="677">
        <f t="shared" ref="N6:N14" si="0">SUMIF($E$25:$E$281,F6,$AK$25:$AK$281)</f>
        <v>303466497.65941662</v>
      </c>
      <c r="O6" s="677">
        <f t="shared" ref="O6:O14" si="1">SUMIF($E$25:$E$281,F6,$AL$25:$AL$281)</f>
        <v>303466497.65941662</v>
      </c>
      <c r="P6" s="677">
        <f t="shared" ref="P6:P14" si="2">SUMIF($E$25:$E$281,F6,$AM$25:$AM$281)</f>
        <v>303466497.65941662</v>
      </c>
      <c r="Q6" s="677">
        <f t="shared" ref="Q6:Q14" si="3">SUMIF($E$25:$E$281,F6,$AN$25:$AN$281)</f>
        <v>303466497.65941662</v>
      </c>
      <c r="R6" s="677">
        <f t="shared" ref="R6:R14" si="4">SUMIF($E$25:$E$281,F6,$AO$25:$AO$281)</f>
        <v>303466497.65941662</v>
      </c>
      <c r="S6" s="678">
        <f ca="1">SUM(G6:R6)</f>
        <v>3641597971.9129996</v>
      </c>
      <c r="T6" s="672"/>
      <c r="U6" s="299"/>
      <c r="V6" s="276"/>
      <c r="W6" s="276"/>
      <c r="X6" s="276"/>
      <c r="Y6" s="276"/>
      <c r="Z6" s="276"/>
      <c r="AA6" s="672"/>
      <c r="AB6" s="672"/>
      <c r="AC6" s="276"/>
      <c r="AD6" s="297"/>
      <c r="AE6" s="297"/>
      <c r="AF6" s="297"/>
      <c r="AG6" s="297"/>
      <c r="AH6" s="297"/>
      <c r="AI6" s="297"/>
      <c r="AJ6" s="297"/>
      <c r="AK6" s="297"/>
      <c r="AL6" s="297"/>
      <c r="AM6" s="297"/>
      <c r="AN6" s="297"/>
      <c r="AO6" s="297"/>
      <c r="AP6" s="297"/>
      <c r="AQ6" s="673"/>
      <c r="AR6" s="276"/>
      <c r="AS6" s="276"/>
      <c r="AT6" s="290"/>
      <c r="AU6" s="290"/>
      <c r="AV6" s="674"/>
      <c r="AW6" s="674"/>
    </row>
    <row r="7" spans="1:49" s="282" customFormat="1" ht="14.4">
      <c r="A7" s="632"/>
      <c r="B7" s="632"/>
      <c r="C7" s="632"/>
      <c r="D7" s="632"/>
      <c r="E7" s="675" t="s">
        <v>1731</v>
      </c>
      <c r="F7" s="676" t="s">
        <v>1706</v>
      </c>
      <c r="G7" s="677">
        <f>SUMIF($E$25:$E$281,F7,$AD$25:$AD$281)</f>
        <v>652013617.77083337</v>
      </c>
      <c r="H7" s="677">
        <f>SUMIF($E$25:$E$281,F7,$AE$25:$AE$281)</f>
        <v>652013617.77083337</v>
      </c>
      <c r="I7" s="677">
        <f>SUMIF($E$25:$E$281,F7,$AF$25:$AF$281)</f>
        <v>652013617.77083337</v>
      </c>
      <c r="J7" s="677">
        <f t="shared" ref="J7:J14" si="5">SUMIF($E$25:$E$281,F7,$AG$25:$AG$281)</f>
        <v>652013617.77083337</v>
      </c>
      <c r="K7" s="677">
        <f t="shared" ref="K7:K14" si="6">SUMIF($E$25:$E$281,F7,$AH$25:$AH$281)</f>
        <v>652013617.77083337</v>
      </c>
      <c r="L7" s="677">
        <f t="shared" ref="L7:L14" si="7">SUMIF($E$25:$E$281,F7,$AI$25:$AI$281)</f>
        <v>652013617.77083337</v>
      </c>
      <c r="M7" s="677">
        <f t="shared" ref="M7:M14" si="8">SUMIF($E$25:$E$281,F7,$AJ$25:$AJ$281)</f>
        <v>652013617.77083337</v>
      </c>
      <c r="N7" s="677">
        <f t="shared" si="0"/>
        <v>652013617.77083337</v>
      </c>
      <c r="O7" s="677">
        <f t="shared" si="1"/>
        <v>652013617.77083337</v>
      </c>
      <c r="P7" s="677">
        <f t="shared" si="2"/>
        <v>652013617.77083337</v>
      </c>
      <c r="Q7" s="677">
        <f t="shared" si="3"/>
        <v>652013617.77083337</v>
      </c>
      <c r="R7" s="677">
        <f t="shared" si="4"/>
        <v>652013617.77083337</v>
      </c>
      <c r="S7" s="678">
        <f t="shared" ref="S7:S14" si="9">SUM(G7:R7)</f>
        <v>7824163413.249999</v>
      </c>
      <c r="T7" s="672"/>
      <c r="U7" s="299"/>
      <c r="V7" s="276"/>
      <c r="W7" s="276"/>
      <c r="X7" s="276"/>
      <c r="Y7" s="276"/>
      <c r="Z7" s="276"/>
      <c r="AA7" s="672"/>
      <c r="AB7" s="672"/>
      <c r="AC7" s="276"/>
      <c r="AD7" s="297"/>
      <c r="AE7" s="297"/>
      <c r="AF7" s="297"/>
      <c r="AG7" s="297"/>
      <c r="AH7" s="297"/>
      <c r="AI7" s="297"/>
      <c r="AJ7" s="297"/>
      <c r="AK7" s="297"/>
      <c r="AL7" s="297"/>
      <c r="AM7" s="297"/>
      <c r="AN7" s="297"/>
      <c r="AO7" s="297"/>
      <c r="AP7" s="297"/>
      <c r="AQ7" s="673"/>
      <c r="AR7" s="276"/>
      <c r="AS7" s="276"/>
      <c r="AT7" s="290"/>
      <c r="AU7" s="290"/>
      <c r="AV7" s="674"/>
      <c r="AW7" s="674"/>
    </row>
    <row r="8" spans="1:49" s="282" customFormat="1" ht="14.4">
      <c r="A8" s="632"/>
      <c r="B8" s="632"/>
      <c r="C8" s="632"/>
      <c r="D8" s="632"/>
      <c r="E8" s="675" t="s">
        <v>1732</v>
      </c>
      <c r="F8" s="676" t="s">
        <v>1711</v>
      </c>
      <c r="G8" s="677">
        <f t="shared" ref="G8:G14" ca="1" si="10">SUMIF($E$25:$E$282,F8,$AD$25:$AD$281)</f>
        <v>67290240.266666681</v>
      </c>
      <c r="H8" s="677">
        <f t="shared" ref="H8:H14" ca="1" si="11">SUMIF($E$25:$E$282,F8,$AE$25:$AE$281)</f>
        <v>67290240.266666681</v>
      </c>
      <c r="I8" s="677">
        <f t="shared" ref="I8:I14" si="12">SUMIF($E$25:$E$281,F8,$AF$25:$AF$282)</f>
        <v>67290240.266666681</v>
      </c>
      <c r="J8" s="677">
        <f t="shared" si="5"/>
        <v>67290240.266666681</v>
      </c>
      <c r="K8" s="677">
        <f t="shared" si="6"/>
        <v>67290240.266666681</v>
      </c>
      <c r="L8" s="677">
        <f t="shared" si="7"/>
        <v>67290240.266666681</v>
      </c>
      <c r="M8" s="677">
        <f t="shared" si="8"/>
        <v>67290240.266666681</v>
      </c>
      <c r="N8" s="677">
        <f t="shared" si="0"/>
        <v>67290240.266666681</v>
      </c>
      <c r="O8" s="677">
        <f t="shared" si="1"/>
        <v>67290240.266666681</v>
      </c>
      <c r="P8" s="677">
        <f t="shared" si="2"/>
        <v>67290240.266666681</v>
      </c>
      <c r="Q8" s="677">
        <f t="shared" si="3"/>
        <v>67290240.266666681</v>
      </c>
      <c r="R8" s="677">
        <f t="shared" si="4"/>
        <v>67290240.266666681</v>
      </c>
      <c r="S8" s="678">
        <f t="shared" ca="1" si="9"/>
        <v>807482883.19999993</v>
      </c>
      <c r="T8" s="672"/>
      <c r="U8" s="299"/>
      <c r="V8" s="276"/>
      <c r="W8" s="276"/>
      <c r="X8" s="276"/>
      <c r="Y8" s="276"/>
      <c r="Z8" s="276"/>
      <c r="AA8" s="672"/>
      <c r="AB8" s="672"/>
      <c r="AC8" s="276"/>
      <c r="AD8" s="297"/>
      <c r="AE8" s="297"/>
      <c r="AF8" s="297"/>
      <c r="AG8" s="297"/>
      <c r="AH8" s="297"/>
      <c r="AI8" s="297"/>
      <c r="AJ8" s="297"/>
      <c r="AK8" s="297"/>
      <c r="AL8" s="297"/>
      <c r="AM8" s="297"/>
      <c r="AN8" s="297"/>
      <c r="AO8" s="297"/>
      <c r="AP8" s="297"/>
      <c r="AQ8" s="673"/>
      <c r="AR8" s="276"/>
      <c r="AS8" s="276"/>
      <c r="AT8" s="290"/>
      <c r="AU8" s="290"/>
      <c r="AV8" s="674"/>
      <c r="AW8" s="674"/>
    </row>
    <row r="9" spans="1:49" s="282" customFormat="1" ht="14.4">
      <c r="A9" s="632"/>
      <c r="B9" s="632"/>
      <c r="C9" s="632"/>
      <c r="D9" s="632"/>
      <c r="E9" s="675" t="s">
        <v>1737</v>
      </c>
      <c r="F9" s="676" t="s">
        <v>1710</v>
      </c>
      <c r="G9" s="677">
        <f t="shared" ca="1" si="10"/>
        <v>119985837.58333334</v>
      </c>
      <c r="H9" s="677">
        <f t="shared" ca="1" si="11"/>
        <v>119985837.58333334</v>
      </c>
      <c r="I9" s="677">
        <f t="shared" si="12"/>
        <v>119985837.58333334</v>
      </c>
      <c r="J9" s="677">
        <f t="shared" si="5"/>
        <v>119985837.58333334</v>
      </c>
      <c r="K9" s="677">
        <f t="shared" si="6"/>
        <v>119985837.58333334</v>
      </c>
      <c r="L9" s="677">
        <f t="shared" si="7"/>
        <v>119985837.58333334</v>
      </c>
      <c r="M9" s="677">
        <f t="shared" si="8"/>
        <v>119985837.58333334</v>
      </c>
      <c r="N9" s="677">
        <f t="shared" si="0"/>
        <v>119985837.58333334</v>
      </c>
      <c r="O9" s="677">
        <f t="shared" si="1"/>
        <v>119985837.58333334</v>
      </c>
      <c r="P9" s="677">
        <f t="shared" si="2"/>
        <v>119985837.58333334</v>
      </c>
      <c r="Q9" s="677">
        <f t="shared" si="3"/>
        <v>119985837.58333334</v>
      </c>
      <c r="R9" s="677">
        <f t="shared" si="4"/>
        <v>119985837.58333334</v>
      </c>
      <c r="S9" s="678">
        <f t="shared" ca="1" si="9"/>
        <v>1439830051</v>
      </c>
      <c r="T9" s="672"/>
      <c r="U9" s="299"/>
      <c r="V9" s="276"/>
      <c r="W9" s="276"/>
      <c r="X9" s="276"/>
      <c r="Y9" s="276"/>
      <c r="Z9" s="276"/>
      <c r="AA9" s="672"/>
      <c r="AB9" s="672"/>
      <c r="AC9" s="276"/>
      <c r="AD9" s="297"/>
      <c r="AE9" s="297"/>
      <c r="AF9" s="297"/>
      <c r="AG9" s="297"/>
      <c r="AH9" s="297"/>
      <c r="AI9" s="297"/>
      <c r="AJ9" s="297"/>
      <c r="AK9" s="297"/>
      <c r="AL9" s="297"/>
      <c r="AM9" s="297"/>
      <c r="AN9" s="297"/>
      <c r="AO9" s="297"/>
      <c r="AP9" s="297"/>
      <c r="AQ9" s="673"/>
      <c r="AR9" s="276"/>
      <c r="AS9" s="276"/>
      <c r="AT9" s="290"/>
      <c r="AU9" s="290"/>
      <c r="AV9" s="674"/>
      <c r="AW9" s="674"/>
    </row>
    <row r="10" spans="1:49" s="282" customFormat="1" ht="14.4">
      <c r="A10" s="632"/>
      <c r="B10" s="632"/>
      <c r="C10" s="632"/>
      <c r="D10" s="632"/>
      <c r="E10" s="675" t="s">
        <v>1138</v>
      </c>
      <c r="F10" s="676" t="s">
        <v>1708</v>
      </c>
      <c r="G10" s="677">
        <f t="shared" ca="1" si="10"/>
        <v>0</v>
      </c>
      <c r="H10" s="677">
        <f t="shared" ca="1" si="11"/>
        <v>0</v>
      </c>
      <c r="I10" s="677">
        <f t="shared" si="12"/>
        <v>0</v>
      </c>
      <c r="J10" s="677">
        <f t="shared" si="5"/>
        <v>0</v>
      </c>
      <c r="K10" s="677">
        <f t="shared" si="6"/>
        <v>0</v>
      </c>
      <c r="L10" s="677">
        <f t="shared" si="7"/>
        <v>0</v>
      </c>
      <c r="M10" s="677">
        <f t="shared" si="8"/>
        <v>0</v>
      </c>
      <c r="N10" s="677">
        <f t="shared" si="0"/>
        <v>0</v>
      </c>
      <c r="O10" s="677">
        <f t="shared" si="1"/>
        <v>0</v>
      </c>
      <c r="P10" s="677">
        <f t="shared" si="2"/>
        <v>0</v>
      </c>
      <c r="Q10" s="677">
        <f t="shared" si="3"/>
        <v>0</v>
      </c>
      <c r="R10" s="677">
        <f t="shared" si="4"/>
        <v>0</v>
      </c>
      <c r="S10" s="678">
        <f t="shared" ca="1" si="9"/>
        <v>0</v>
      </c>
      <c r="T10" s="672"/>
      <c r="U10" s="299"/>
      <c r="V10" s="276"/>
      <c r="W10" s="276"/>
      <c r="X10" s="276"/>
      <c r="Y10" s="276"/>
      <c r="Z10" s="276"/>
      <c r="AA10" s="672"/>
      <c r="AB10" s="672"/>
      <c r="AC10" s="276"/>
      <c r="AD10" s="297"/>
      <c r="AE10" s="297"/>
      <c r="AF10" s="297"/>
      <c r="AG10" s="297"/>
      <c r="AH10" s="297"/>
      <c r="AI10" s="297"/>
      <c r="AJ10" s="297"/>
      <c r="AK10" s="297"/>
      <c r="AL10" s="297"/>
      <c r="AM10" s="297"/>
      <c r="AN10" s="297"/>
      <c r="AO10" s="297"/>
      <c r="AP10" s="297"/>
      <c r="AQ10" s="673"/>
      <c r="AR10" s="276"/>
      <c r="AS10" s="276"/>
      <c r="AT10" s="290"/>
      <c r="AU10" s="290"/>
      <c r="AV10" s="674"/>
      <c r="AW10" s="674"/>
    </row>
    <row r="11" spans="1:49" s="282" customFormat="1" ht="14.4">
      <c r="A11" s="632"/>
      <c r="B11" s="632"/>
      <c r="C11" s="632"/>
      <c r="D11" s="632"/>
      <c r="E11" s="675" t="s">
        <v>1733</v>
      </c>
      <c r="F11" s="676" t="s">
        <v>1709</v>
      </c>
      <c r="G11" s="677">
        <f t="shared" ca="1" si="10"/>
        <v>13333333</v>
      </c>
      <c r="H11" s="677">
        <f t="shared" ca="1" si="11"/>
        <v>13333333</v>
      </c>
      <c r="I11" s="677">
        <f t="shared" si="12"/>
        <v>13333333</v>
      </c>
      <c r="J11" s="677">
        <f t="shared" si="5"/>
        <v>13333333</v>
      </c>
      <c r="K11" s="677">
        <f t="shared" si="6"/>
        <v>0</v>
      </c>
      <c r="L11" s="677">
        <f t="shared" si="7"/>
        <v>0</v>
      </c>
      <c r="M11" s="677">
        <f t="shared" si="8"/>
        <v>0</v>
      </c>
      <c r="N11" s="677">
        <f t="shared" si="0"/>
        <v>0</v>
      </c>
      <c r="O11" s="677">
        <f t="shared" si="1"/>
        <v>0</v>
      </c>
      <c r="P11" s="677">
        <f t="shared" si="2"/>
        <v>0</v>
      </c>
      <c r="Q11" s="677">
        <f t="shared" si="3"/>
        <v>0</v>
      </c>
      <c r="R11" s="677">
        <f t="shared" si="4"/>
        <v>0</v>
      </c>
      <c r="S11" s="678">
        <f t="shared" ca="1" si="9"/>
        <v>53333332</v>
      </c>
      <c r="T11" s="672"/>
      <c r="U11" s="299"/>
      <c r="V11" s="276"/>
      <c r="W11" s="276"/>
      <c r="X11" s="276"/>
      <c r="Y11" s="276"/>
      <c r="Z11" s="276"/>
      <c r="AA11" s="672"/>
      <c r="AB11" s="672"/>
      <c r="AC11" s="276"/>
      <c r="AD11" s="297"/>
      <c r="AE11" s="297"/>
      <c r="AF11" s="297"/>
      <c r="AG11" s="297"/>
      <c r="AH11" s="297"/>
      <c r="AI11" s="297"/>
      <c r="AJ11" s="297"/>
      <c r="AK11" s="297"/>
      <c r="AL11" s="297"/>
      <c r="AM11" s="297"/>
      <c r="AN11" s="297"/>
      <c r="AO11" s="297"/>
      <c r="AP11" s="297"/>
      <c r="AQ11" s="673"/>
      <c r="AR11" s="276"/>
      <c r="AS11" s="276"/>
      <c r="AT11" s="290"/>
      <c r="AU11" s="290"/>
      <c r="AV11" s="674"/>
      <c r="AW11" s="674"/>
    </row>
    <row r="12" spans="1:49" s="282" customFormat="1" ht="14.4">
      <c r="A12" s="632"/>
      <c r="B12" s="632"/>
      <c r="C12" s="632"/>
      <c r="D12" s="632"/>
      <c r="E12" s="675" t="s">
        <v>1734</v>
      </c>
      <c r="F12" s="676" t="s">
        <v>1712</v>
      </c>
      <c r="G12" s="677">
        <f t="shared" ca="1" si="10"/>
        <v>0</v>
      </c>
      <c r="H12" s="677">
        <f t="shared" ca="1" si="11"/>
        <v>0</v>
      </c>
      <c r="I12" s="677">
        <f t="shared" si="12"/>
        <v>0</v>
      </c>
      <c r="J12" s="677">
        <f t="shared" si="5"/>
        <v>0</v>
      </c>
      <c r="K12" s="677">
        <f t="shared" si="6"/>
        <v>0</v>
      </c>
      <c r="L12" s="677">
        <f t="shared" si="7"/>
        <v>0</v>
      </c>
      <c r="M12" s="677">
        <f t="shared" si="8"/>
        <v>0</v>
      </c>
      <c r="N12" s="677">
        <f t="shared" si="0"/>
        <v>0</v>
      </c>
      <c r="O12" s="677">
        <f t="shared" si="1"/>
        <v>0</v>
      </c>
      <c r="P12" s="677">
        <f t="shared" si="2"/>
        <v>0</v>
      </c>
      <c r="Q12" s="677">
        <f t="shared" si="3"/>
        <v>0</v>
      </c>
      <c r="R12" s="677">
        <f t="shared" si="4"/>
        <v>0</v>
      </c>
      <c r="S12" s="678">
        <f t="shared" ca="1" si="9"/>
        <v>0</v>
      </c>
      <c r="T12" s="672"/>
      <c r="U12" s="299"/>
      <c r="V12" s="276"/>
      <c r="W12" s="276"/>
      <c r="X12" s="276"/>
      <c r="Y12" s="276"/>
      <c r="Z12" s="276"/>
      <c r="AA12" s="672"/>
      <c r="AB12" s="672"/>
      <c r="AC12" s="276"/>
      <c r="AD12" s="297"/>
      <c r="AE12" s="297"/>
      <c r="AF12" s="297"/>
      <c r="AG12" s="297"/>
      <c r="AH12" s="297"/>
      <c r="AI12" s="297"/>
      <c r="AJ12" s="297"/>
      <c r="AK12" s="297"/>
      <c r="AL12" s="297"/>
      <c r="AM12" s="297"/>
      <c r="AN12" s="297"/>
      <c r="AO12" s="297"/>
      <c r="AP12" s="297"/>
      <c r="AQ12" s="673"/>
      <c r="AR12" s="276"/>
      <c r="AS12" s="276"/>
      <c r="AT12" s="290"/>
      <c r="AU12" s="290"/>
      <c r="AV12" s="674"/>
      <c r="AW12" s="674"/>
    </row>
    <row r="13" spans="1:49" s="282" customFormat="1" ht="14.4">
      <c r="A13" s="632"/>
      <c r="B13" s="632"/>
      <c r="C13" s="632"/>
      <c r="D13" s="632"/>
      <c r="E13" s="675" t="s">
        <v>401</v>
      </c>
      <c r="F13" s="679" t="s">
        <v>1087</v>
      </c>
      <c r="G13" s="677">
        <f t="shared" ca="1" si="10"/>
        <v>0</v>
      </c>
      <c r="H13" s="677">
        <f t="shared" ca="1" si="11"/>
        <v>0</v>
      </c>
      <c r="I13" s="677">
        <f t="shared" si="12"/>
        <v>0</v>
      </c>
      <c r="J13" s="677">
        <f t="shared" si="5"/>
        <v>0</v>
      </c>
      <c r="K13" s="677">
        <f t="shared" si="6"/>
        <v>0</v>
      </c>
      <c r="L13" s="677">
        <f t="shared" si="7"/>
        <v>0</v>
      </c>
      <c r="M13" s="677">
        <f t="shared" si="8"/>
        <v>0</v>
      </c>
      <c r="N13" s="677">
        <f t="shared" si="0"/>
        <v>0</v>
      </c>
      <c r="O13" s="677">
        <f t="shared" si="1"/>
        <v>0</v>
      </c>
      <c r="P13" s="677">
        <f t="shared" si="2"/>
        <v>0</v>
      </c>
      <c r="Q13" s="677">
        <f t="shared" si="3"/>
        <v>0</v>
      </c>
      <c r="R13" s="677">
        <f t="shared" si="4"/>
        <v>0</v>
      </c>
      <c r="S13" s="678">
        <f t="shared" ca="1" si="9"/>
        <v>0</v>
      </c>
      <c r="T13" s="672"/>
      <c r="U13" s="299"/>
      <c r="V13" s="276"/>
      <c r="W13" s="276"/>
      <c r="X13" s="276"/>
      <c r="Y13" s="276"/>
      <c r="Z13" s="276"/>
      <c r="AA13" s="672"/>
      <c r="AB13" s="672"/>
      <c r="AC13" s="276"/>
      <c r="AD13" s="297"/>
      <c r="AE13" s="297"/>
      <c r="AF13" s="297"/>
      <c r="AG13" s="297"/>
      <c r="AH13" s="297"/>
      <c r="AI13" s="297"/>
      <c r="AJ13" s="297"/>
      <c r="AK13" s="297"/>
      <c r="AL13" s="297"/>
      <c r="AM13" s="297"/>
      <c r="AN13" s="297"/>
      <c r="AO13" s="297"/>
      <c r="AP13" s="297"/>
      <c r="AQ13" s="673"/>
      <c r="AR13" s="276"/>
      <c r="AS13" s="276"/>
      <c r="AT13" s="290"/>
      <c r="AU13" s="290"/>
      <c r="AV13" s="674"/>
      <c r="AW13" s="674"/>
    </row>
    <row r="14" spans="1:49" s="282" customFormat="1" ht="14.4">
      <c r="A14" s="632"/>
      <c r="B14" s="632"/>
      <c r="C14" s="632"/>
      <c r="D14" s="632"/>
      <c r="E14" s="675" t="s">
        <v>1735</v>
      </c>
      <c r="F14" s="679" t="s">
        <v>1707</v>
      </c>
      <c r="G14" s="677">
        <f t="shared" ca="1" si="10"/>
        <v>117469520.58333333</v>
      </c>
      <c r="H14" s="677">
        <f t="shared" ca="1" si="11"/>
        <v>117469520.58333333</v>
      </c>
      <c r="I14" s="677">
        <f t="shared" si="12"/>
        <v>116506948.58333333</v>
      </c>
      <c r="J14" s="677">
        <f t="shared" si="5"/>
        <v>116506948.58333333</v>
      </c>
      <c r="K14" s="677">
        <f t="shared" si="6"/>
        <v>116176948.58333333</v>
      </c>
      <c r="L14" s="677">
        <f t="shared" si="7"/>
        <v>110560281.91666666</v>
      </c>
      <c r="M14" s="677">
        <f t="shared" si="8"/>
        <v>110560281.91666666</v>
      </c>
      <c r="N14" s="677">
        <f t="shared" si="0"/>
        <v>110560281.91666666</v>
      </c>
      <c r="O14" s="677">
        <f t="shared" si="1"/>
        <v>110560281.91666666</v>
      </c>
      <c r="P14" s="677">
        <f t="shared" si="2"/>
        <v>110560281.91666666</v>
      </c>
      <c r="Q14" s="677">
        <f t="shared" si="3"/>
        <v>110560281.91666666</v>
      </c>
      <c r="R14" s="677">
        <f t="shared" si="4"/>
        <v>110560281.91666666</v>
      </c>
      <c r="S14" s="678">
        <f t="shared" ca="1" si="9"/>
        <v>1358051860.3333333</v>
      </c>
      <c r="T14" s="672"/>
      <c r="U14" s="299"/>
      <c r="V14" s="276"/>
      <c r="W14" s="276"/>
      <c r="X14" s="276"/>
      <c r="Y14" s="276"/>
      <c r="Z14" s="276"/>
      <c r="AA14" s="672"/>
      <c r="AB14" s="672"/>
      <c r="AC14" s="276"/>
      <c r="AD14" s="297"/>
      <c r="AE14" s="297"/>
      <c r="AF14" s="297"/>
      <c r="AG14" s="297"/>
      <c r="AH14" s="297"/>
      <c r="AI14" s="297"/>
      <c r="AJ14" s="297"/>
      <c r="AK14" s="297"/>
      <c r="AL14" s="297"/>
      <c r="AM14" s="297"/>
      <c r="AN14" s="297"/>
      <c r="AO14" s="297"/>
      <c r="AP14" s="297"/>
      <c r="AQ14" s="673"/>
      <c r="AR14" s="276"/>
      <c r="AS14" s="276"/>
      <c r="AT14" s="290"/>
      <c r="AU14" s="290"/>
      <c r="AV14" s="674"/>
      <c r="AW14" s="674"/>
    </row>
    <row r="15" spans="1:49" s="282" customFormat="1" ht="14.4">
      <c r="A15" s="632"/>
      <c r="B15" s="632"/>
      <c r="C15" s="632"/>
      <c r="D15" s="632"/>
      <c r="E15" s="632"/>
      <c r="F15" s="680"/>
      <c r="G15" s="681">
        <f t="shared" ref="G15:S15" ca="1" si="13">SUBTOTAL(9,G6:G14)</f>
        <v>1273559046.8635831</v>
      </c>
      <c r="H15" s="681">
        <f t="shared" ca="1" si="13"/>
        <v>1273559046.8635831</v>
      </c>
      <c r="I15" s="681">
        <f t="shared" si="13"/>
        <v>1272596474.8635831</v>
      </c>
      <c r="J15" s="681">
        <f t="shared" si="13"/>
        <v>1272596474.8635831</v>
      </c>
      <c r="K15" s="681">
        <f t="shared" si="13"/>
        <v>1258933141.8635831</v>
      </c>
      <c r="L15" s="681">
        <f t="shared" ca="1" si="13"/>
        <v>1253316475.1969166</v>
      </c>
      <c r="M15" s="681">
        <f t="shared" si="13"/>
        <v>1253316475.1969166</v>
      </c>
      <c r="N15" s="681">
        <f t="shared" si="13"/>
        <v>1253316475.1969166</v>
      </c>
      <c r="O15" s="681">
        <f t="shared" si="13"/>
        <v>1253316475.1969166</v>
      </c>
      <c r="P15" s="681">
        <f t="shared" si="13"/>
        <v>1253316475.1969166</v>
      </c>
      <c r="Q15" s="681">
        <f t="shared" si="13"/>
        <v>1253316475.1969166</v>
      </c>
      <c r="R15" s="681">
        <f t="shared" si="13"/>
        <v>1253316475.1969166</v>
      </c>
      <c r="S15" s="682">
        <f t="shared" ca="1" si="13"/>
        <v>15124459511.696333</v>
      </c>
      <c r="T15" s="672"/>
      <c r="U15" s="299"/>
      <c r="V15" s="276"/>
      <c r="W15" s="276"/>
      <c r="X15" s="276"/>
      <c r="Y15" s="276"/>
      <c r="Z15" s="276"/>
      <c r="AA15" s="672"/>
      <c r="AB15" s="672"/>
      <c r="AC15" s="276"/>
      <c r="AD15" s="297"/>
      <c r="AE15" s="297"/>
      <c r="AF15" s="297"/>
      <c r="AG15" s="297"/>
      <c r="AH15" s="297"/>
      <c r="AI15" s="297"/>
      <c r="AJ15" s="297"/>
      <c r="AK15" s="297"/>
      <c r="AL15" s="297"/>
      <c r="AM15" s="297"/>
      <c r="AN15" s="297"/>
      <c r="AO15" s="297"/>
      <c r="AP15" s="297"/>
      <c r="AQ15" s="673"/>
      <c r="AR15" s="276"/>
      <c r="AS15" s="276"/>
      <c r="AT15" s="290"/>
      <c r="AU15" s="290"/>
      <c r="AV15" s="674"/>
      <c r="AW15" s="674"/>
    </row>
    <row r="16" spans="1:49" s="282" customFormat="1" ht="14.4">
      <c r="A16" s="632"/>
      <c r="B16" s="632"/>
      <c r="C16" s="632"/>
      <c r="D16" s="632"/>
      <c r="E16" s="632"/>
      <c r="F16" s="276"/>
      <c r="G16" s="276"/>
      <c r="H16" s="292"/>
      <c r="I16" s="290"/>
      <c r="J16" s="276"/>
      <c r="K16" s="296"/>
      <c r="L16" s="276"/>
      <c r="M16" s="276"/>
      <c r="N16" s="276"/>
      <c r="O16" s="276"/>
      <c r="P16" s="276"/>
      <c r="Q16" s="276"/>
      <c r="R16" s="276"/>
      <c r="S16" s="276"/>
      <c r="T16" s="294"/>
      <c r="U16" s="299"/>
      <c r="V16" s="276"/>
      <c r="W16" s="276"/>
      <c r="X16" s="276"/>
      <c r="Y16" s="276"/>
      <c r="Z16" s="276"/>
      <c r="AA16" s="294"/>
      <c r="AB16" s="294"/>
      <c r="AC16" s="276"/>
      <c r="AD16" s="297"/>
      <c r="AE16" s="297"/>
      <c r="AF16" s="297"/>
      <c r="AG16" s="297"/>
      <c r="AH16" s="297"/>
      <c r="AI16" s="297"/>
      <c r="AJ16" s="297"/>
      <c r="AK16" s="297"/>
      <c r="AL16" s="297"/>
      <c r="AM16" s="297"/>
      <c r="AN16" s="297"/>
      <c r="AO16" s="297"/>
      <c r="AP16" s="297"/>
      <c r="AQ16" s="298"/>
      <c r="AR16" s="276"/>
      <c r="AS16" s="276"/>
      <c r="AT16" s="290"/>
      <c r="AU16" s="290"/>
      <c r="AV16" s="491"/>
      <c r="AW16" s="491"/>
    </row>
    <row r="17" spans="1:59" s="282" customFormat="1" ht="14.4">
      <c r="A17" s="632"/>
      <c r="B17" s="632"/>
      <c r="C17" s="632"/>
      <c r="D17" s="632"/>
      <c r="E17" s="632"/>
      <c r="F17" s="671" t="s">
        <v>1736</v>
      </c>
      <c r="G17" s="671" t="s">
        <v>1717</v>
      </c>
      <c r="H17" s="671" t="s">
        <v>1718</v>
      </c>
      <c r="I17" s="671" t="s">
        <v>1719</v>
      </c>
      <c r="J17" s="671" t="s">
        <v>1720</v>
      </c>
      <c r="K17" s="671" t="s">
        <v>1721</v>
      </c>
      <c r="L17" s="671" t="s">
        <v>1722</v>
      </c>
      <c r="M17" s="671" t="s">
        <v>1723</v>
      </c>
      <c r="N17" s="671" t="s">
        <v>1724</v>
      </c>
      <c r="O17" s="671" t="s">
        <v>1725</v>
      </c>
      <c r="P17" s="671" t="s">
        <v>1726</v>
      </c>
      <c r="Q17" s="671" t="s">
        <v>1727</v>
      </c>
      <c r="R17" s="671" t="s">
        <v>1728</v>
      </c>
      <c r="S17" s="671" t="s">
        <v>1729</v>
      </c>
      <c r="T17" s="672"/>
      <c r="U17" s="299"/>
      <c r="V17" s="276"/>
      <c r="W17" s="276"/>
      <c r="X17" s="276"/>
      <c r="Y17" s="276"/>
      <c r="Z17" s="276"/>
      <c r="AA17" s="672"/>
      <c r="AB17" s="672"/>
      <c r="AC17" s="276"/>
      <c r="AD17" s="297"/>
      <c r="AE17" s="297"/>
      <c r="AF17" s="297"/>
      <c r="AG17" s="297"/>
      <c r="AH17" s="297"/>
      <c r="AI17" s="297"/>
      <c r="AJ17" s="297"/>
      <c r="AK17" s="297"/>
      <c r="AL17" s="297"/>
      <c r="AM17" s="297"/>
      <c r="AN17" s="297"/>
      <c r="AO17" s="297"/>
      <c r="AP17" s="297"/>
      <c r="AQ17" s="673"/>
      <c r="AR17" s="276"/>
      <c r="AS17" s="276"/>
      <c r="AT17" s="290"/>
      <c r="AU17" s="290"/>
      <c r="AV17" s="674"/>
      <c r="AW17" s="674"/>
    </row>
    <row r="18" spans="1:59" s="282" customFormat="1" ht="14.4">
      <c r="A18" s="632"/>
      <c r="B18" s="632"/>
      <c r="C18" s="632"/>
      <c r="D18" s="632"/>
      <c r="E18" s="632"/>
      <c r="F18" s="676" t="s">
        <v>143</v>
      </c>
      <c r="G18" s="677">
        <f>SUMIF($C$25:$C$281,F18,$AD$25:$AD$281)</f>
        <v>1087049636.0135834</v>
      </c>
      <c r="H18" s="677">
        <f>SUMIF($C$25:$C$281,F18,$AE$25:$AE$281)</f>
        <v>1087049636.0135834</v>
      </c>
      <c r="I18" s="677">
        <f>SUMIF($C$25:$C$281,F18,$AF$25:$AF$281)</f>
        <v>1086087064.0135832</v>
      </c>
      <c r="J18" s="677">
        <f>SUMIF($C$25:$C$281,F18,$AG$25:$AG$281)</f>
        <v>1086087064.0135832</v>
      </c>
      <c r="K18" s="677">
        <f>SUMIF($C$25:$C$281,F18,$AH$25:$AH$281)</f>
        <v>1085757064.0135832</v>
      </c>
      <c r="L18" s="677">
        <f>SUMIF($C$25:$C$281,F18,$AI$25:$AI$281)</f>
        <v>1080140397.3469167</v>
      </c>
      <c r="M18" s="677">
        <f>SUMIF($C$25:$C$281,F18,$AJ$25:$AJ$281)</f>
        <v>1080140397.3469167</v>
      </c>
      <c r="N18" s="677">
        <f>SUMIF($C$25:$C$281,F18,$AK$25:$AK$281)</f>
        <v>1080140397.3469167</v>
      </c>
      <c r="O18" s="677">
        <f>SUMIF($C$25:$C$281,F18,$AL$25:$AL$281)</f>
        <v>1080140397.3469167</v>
      </c>
      <c r="P18" s="677">
        <f>SUMIF($C$25:$C$281,F18,$AM$25:$AM$281)</f>
        <v>1080140397.3469167</v>
      </c>
      <c r="Q18" s="677">
        <f>SUMIF($C$25:$C$281,F18,$AN$25:$AN$281)</f>
        <v>1080140397.3469167</v>
      </c>
      <c r="R18" s="677">
        <f>SUMIF($C$25:$C$281,F18,$AO$25:$AO$281)</f>
        <v>1080140397.3469167</v>
      </c>
      <c r="S18" s="678">
        <f>SUM(G18:R18)</f>
        <v>12993013245.49633</v>
      </c>
      <c r="T18" s="672"/>
      <c r="U18" s="299"/>
      <c r="V18" s="276"/>
      <c r="W18" s="276"/>
      <c r="X18" s="276"/>
      <c r="Y18" s="276"/>
      <c r="Z18" s="276"/>
      <c r="AA18" s="672"/>
      <c r="AB18" s="672"/>
      <c r="AC18" s="276"/>
      <c r="AD18" s="297"/>
      <c r="AE18" s="297"/>
      <c r="AF18" s="297"/>
      <c r="AG18" s="297"/>
      <c r="AH18" s="297"/>
      <c r="AI18" s="297"/>
      <c r="AJ18" s="297"/>
      <c r="AK18" s="297"/>
      <c r="AL18" s="297"/>
      <c r="AM18" s="297"/>
      <c r="AN18" s="297"/>
      <c r="AO18" s="297"/>
      <c r="AP18" s="297"/>
      <c r="AQ18" s="673"/>
      <c r="AR18" s="276"/>
      <c r="AS18" s="276"/>
      <c r="AT18" s="290"/>
      <c r="AU18" s="290"/>
      <c r="AV18" s="674"/>
      <c r="AW18" s="674"/>
    </row>
    <row r="19" spans="1:59" s="282" customFormat="1" ht="14.4">
      <c r="A19" s="632"/>
      <c r="B19" s="632"/>
      <c r="C19" s="632"/>
      <c r="D19" s="632"/>
      <c r="E19" s="632"/>
      <c r="F19" s="676" t="s">
        <v>1743</v>
      </c>
      <c r="G19" s="677">
        <f>SUMIF($C$25:$C$281,F19,$AD$25:$AD$281)</f>
        <v>119219170.58333333</v>
      </c>
      <c r="H19" s="677">
        <f>SUMIF($C$25:$C$281,F19,$AE$25:$AE$281)</f>
        <v>119219170.58333333</v>
      </c>
      <c r="I19" s="677">
        <f>SUMIF($C$25:$C$281,F19,$AF$25:$AF$281)</f>
        <v>119219170.58333333</v>
      </c>
      <c r="J19" s="677">
        <f>SUMIF($C$25:$C$281,F19,$AG$25:$AG$281)</f>
        <v>119219170.58333333</v>
      </c>
      <c r="K19" s="677">
        <f>SUMIF($C$25:$C$281,F19,$AH$25:$AH$281)</f>
        <v>105885837.58333333</v>
      </c>
      <c r="L19" s="677">
        <f>SUMIF($C$25:$C$281,F19,$AI$25:$AI$281)</f>
        <v>105885837.58333333</v>
      </c>
      <c r="M19" s="677">
        <f>SUMIF($C$25:$C$281,F19,$AJ$25:$AJ$281)</f>
        <v>105885837.58333333</v>
      </c>
      <c r="N19" s="677">
        <f>SUMIF($C$25:$C$281,F19,$AK$25:$AK$281)</f>
        <v>105885837.58333333</v>
      </c>
      <c r="O19" s="677">
        <f>SUMIF($C$25:$C$281,F19,$AL$25:$AL$281)</f>
        <v>105885837.58333333</v>
      </c>
      <c r="P19" s="677">
        <f>SUMIF($C$25:$C$281,F19,$AM$25:$AM$281)</f>
        <v>105885837.58333333</v>
      </c>
      <c r="Q19" s="677">
        <f>SUMIF($C$25:$C$281,F19,$AN$25:$AN$281)</f>
        <v>105885837.58333333</v>
      </c>
      <c r="R19" s="677">
        <f>SUMIF($C$25:$C$281,F19,$AO$25:$AO$281)</f>
        <v>105885837.58333333</v>
      </c>
      <c r="S19" s="678">
        <f>SUM(G19:R19)</f>
        <v>1323963383</v>
      </c>
      <c r="T19" s="672"/>
      <c r="U19" s="299"/>
      <c r="V19" s="276"/>
      <c r="W19" s="276"/>
      <c r="X19" s="276"/>
      <c r="Y19" s="276"/>
      <c r="Z19" s="276"/>
      <c r="AA19" s="672"/>
      <c r="AB19" s="672"/>
      <c r="AC19" s="276"/>
      <c r="AD19" s="297"/>
      <c r="AE19" s="297"/>
      <c r="AF19" s="297"/>
      <c r="AG19" s="297"/>
      <c r="AH19" s="297"/>
      <c r="AI19" s="297"/>
      <c r="AJ19" s="297"/>
      <c r="AK19" s="297"/>
      <c r="AL19" s="297"/>
      <c r="AM19" s="297"/>
      <c r="AN19" s="297"/>
      <c r="AO19" s="297"/>
      <c r="AP19" s="297"/>
      <c r="AQ19" s="673"/>
      <c r="AR19" s="276"/>
      <c r="AS19" s="276"/>
      <c r="AT19" s="290"/>
      <c r="AU19" s="290"/>
      <c r="AV19" s="674"/>
      <c r="AW19" s="674"/>
    </row>
    <row r="20" spans="1:59" s="282" customFormat="1" ht="14.4">
      <c r="A20" s="632"/>
      <c r="B20" s="632"/>
      <c r="C20" s="632"/>
      <c r="D20" s="632"/>
      <c r="E20" s="632"/>
      <c r="F20" s="676" t="s">
        <v>474</v>
      </c>
      <c r="G20" s="677">
        <f>SUMIF($C$25:$C$281,F20,$AD$25:$AD$281)</f>
        <v>67290240.266666681</v>
      </c>
      <c r="H20" s="677">
        <f>SUMIF($C$25:$C$281,F20,$AE$25:$AE$281)</f>
        <v>67290240.266666681</v>
      </c>
      <c r="I20" s="677">
        <f>SUMIF($C$25:$C$281,F20,$AF$25:$AF$281)</f>
        <v>67290240.266666681</v>
      </c>
      <c r="J20" s="677">
        <f>SUMIF($C$25:$C$281,F20,$AG$25:$AG$281)</f>
        <v>67290240.266666681</v>
      </c>
      <c r="K20" s="677">
        <f>SUMIF($C$25:$C$281,F20,$AH$25:$AH$281)</f>
        <v>67290240.266666681</v>
      </c>
      <c r="L20" s="677">
        <f>SUMIF($C$25:$C$281,F20,$AI$25:$AI$281)</f>
        <v>67290240.266666681</v>
      </c>
      <c r="M20" s="677">
        <f>SUMIF($C$25:$C$281,F20,$AJ$25:$AJ$281)</f>
        <v>67290240.266666681</v>
      </c>
      <c r="N20" s="677">
        <f>SUMIF($C$25:$C$281,F20,$AK$25:$AK$281)</f>
        <v>67290240.266666681</v>
      </c>
      <c r="O20" s="677">
        <f>SUMIF($C$25:$C$281,F20,$AL$25:$AL$281)</f>
        <v>67290240.266666681</v>
      </c>
      <c r="P20" s="677">
        <f>SUMIF($C$25:$C$281,F20,$AM$25:$AM$281)</f>
        <v>67290240.266666681</v>
      </c>
      <c r="Q20" s="677">
        <f>SUMIF($C$25:$C$281,F20,$AN$25:$AN$281)</f>
        <v>67290240.266666681</v>
      </c>
      <c r="R20" s="677">
        <f>SUMIF($C$25:$C$281,F20,$AO$25:$AO$281)</f>
        <v>67290240.266666681</v>
      </c>
      <c r="S20" s="678">
        <f>SUM(G20:R20)</f>
        <v>807482883.19999993</v>
      </c>
      <c r="T20" s="672"/>
      <c r="U20" s="299"/>
      <c r="V20" s="276"/>
      <c r="W20" s="276"/>
      <c r="X20" s="276"/>
      <c r="Y20" s="276"/>
      <c r="Z20" s="276"/>
      <c r="AA20" s="672"/>
      <c r="AB20" s="672"/>
      <c r="AC20" s="276"/>
      <c r="AD20" s="297"/>
      <c r="AE20" s="297"/>
      <c r="AF20" s="297"/>
      <c r="AG20" s="297"/>
      <c r="AH20" s="297"/>
      <c r="AI20" s="297"/>
      <c r="AJ20" s="297"/>
      <c r="AK20" s="297"/>
      <c r="AL20" s="297"/>
      <c r="AM20" s="297"/>
      <c r="AN20" s="297"/>
      <c r="AO20" s="297"/>
      <c r="AP20" s="297"/>
      <c r="AQ20" s="673"/>
      <c r="AR20" s="276"/>
      <c r="AS20" s="276"/>
      <c r="AT20" s="290"/>
      <c r="AU20" s="290"/>
      <c r="AV20" s="674"/>
      <c r="AW20" s="674"/>
    </row>
    <row r="21" spans="1:59" s="282" customFormat="1" ht="14.4">
      <c r="A21" s="632"/>
      <c r="B21" s="632"/>
      <c r="C21" s="632"/>
      <c r="D21" s="632"/>
      <c r="E21" s="632"/>
      <c r="F21" s="680"/>
      <c r="G21" s="683">
        <f t="shared" ref="G21:S21" si="14">SUM(G18:G20)</f>
        <v>1273559046.8635833</v>
      </c>
      <c r="H21" s="683">
        <f t="shared" si="14"/>
        <v>1273559046.8635833</v>
      </c>
      <c r="I21" s="683">
        <f t="shared" si="14"/>
        <v>1272596474.8635831</v>
      </c>
      <c r="J21" s="683">
        <f t="shared" si="14"/>
        <v>1272596474.8635831</v>
      </c>
      <c r="K21" s="683">
        <f t="shared" si="14"/>
        <v>1258933141.8635831</v>
      </c>
      <c r="L21" s="683">
        <f t="shared" si="14"/>
        <v>1253316475.1969166</v>
      </c>
      <c r="M21" s="683">
        <f t="shared" si="14"/>
        <v>1253316475.1969166</v>
      </c>
      <c r="N21" s="683">
        <f t="shared" si="14"/>
        <v>1253316475.1969166</v>
      </c>
      <c r="O21" s="683">
        <f t="shared" si="14"/>
        <v>1253316475.1969166</v>
      </c>
      <c r="P21" s="683">
        <f t="shared" si="14"/>
        <v>1253316475.1969166</v>
      </c>
      <c r="Q21" s="683">
        <f t="shared" si="14"/>
        <v>1253316475.1969166</v>
      </c>
      <c r="R21" s="683">
        <f t="shared" si="14"/>
        <v>1253316475.1969166</v>
      </c>
      <c r="S21" s="684">
        <f t="shared" si="14"/>
        <v>15124459511.696331</v>
      </c>
      <c r="T21" s="672"/>
      <c r="U21" s="299"/>
      <c r="V21" s="276"/>
      <c r="W21" s="276"/>
      <c r="X21" s="276"/>
      <c r="Y21" s="276"/>
      <c r="Z21" s="276"/>
      <c r="AA21" s="672"/>
      <c r="AB21" s="672"/>
      <c r="AC21" s="276"/>
      <c r="AD21" s="297"/>
      <c r="AE21" s="297"/>
      <c r="AF21" s="297"/>
      <c r="AG21" s="297"/>
      <c r="AH21" s="297"/>
      <c r="AI21" s="297"/>
      <c r="AJ21" s="297"/>
      <c r="AK21" s="297"/>
      <c r="AL21" s="297"/>
      <c r="AM21" s="297"/>
      <c r="AN21" s="297"/>
      <c r="AO21" s="297"/>
      <c r="AP21" s="297"/>
      <c r="AQ21" s="673"/>
      <c r="AR21" s="276"/>
      <c r="AS21" s="276"/>
      <c r="AT21" s="290"/>
      <c r="AU21" s="290"/>
      <c r="AV21" s="674"/>
      <c r="AW21" s="674"/>
    </row>
    <row r="22" spans="1:59" s="282" customFormat="1" ht="14.4" thickBot="1">
      <c r="A22" s="284"/>
      <c r="B22" s="286"/>
      <c r="C22" s="480"/>
      <c r="D22" s="285"/>
      <c r="E22" s="285"/>
      <c r="F22" s="286"/>
      <c r="G22" s="286"/>
      <c r="H22" s="287"/>
      <c r="I22" s="288"/>
      <c r="J22" s="288"/>
      <c r="K22" s="283"/>
      <c r="L22" s="288"/>
      <c r="M22" s="288"/>
      <c r="N22" s="288"/>
      <c r="O22" s="288"/>
      <c r="P22" s="288"/>
      <c r="Q22" s="288"/>
      <c r="R22" s="289"/>
      <c r="S22" s="289"/>
      <c r="T22" s="278"/>
      <c r="U22" s="285"/>
      <c r="V22" s="279"/>
      <c r="W22" s="279"/>
      <c r="X22" s="279"/>
      <c r="Y22" s="279"/>
      <c r="Z22" s="279"/>
      <c r="AA22" s="602"/>
      <c r="AB22" s="603"/>
      <c r="AC22" s="279"/>
      <c r="AD22" s="279"/>
      <c r="AE22" s="279"/>
      <c r="AF22" s="279"/>
      <c r="AG22" s="279"/>
      <c r="AH22" s="279"/>
      <c r="AI22" s="279"/>
      <c r="AJ22" s="279"/>
      <c r="AK22" s="279"/>
      <c r="AL22" s="279"/>
      <c r="AM22" s="279"/>
      <c r="AN22" s="279"/>
      <c r="AO22" s="279"/>
      <c r="AP22" s="290"/>
      <c r="AQ22" s="280"/>
      <c r="AR22" s="281"/>
      <c r="AS22" s="281"/>
      <c r="AT22" s="277"/>
      <c r="AU22" s="277"/>
      <c r="AV22" s="491"/>
      <c r="AW22" s="491"/>
    </row>
    <row r="23" spans="1:59" ht="21.75" customHeight="1">
      <c r="A23" s="848" t="s">
        <v>34</v>
      </c>
      <c r="B23" s="850" t="s">
        <v>65</v>
      </c>
      <c r="C23" s="843" t="s">
        <v>66</v>
      </c>
      <c r="D23" s="42" t="s">
        <v>67</v>
      </c>
      <c r="E23" s="843" t="s">
        <v>1704</v>
      </c>
      <c r="F23" s="42" t="s">
        <v>68</v>
      </c>
      <c r="G23" s="42" t="s">
        <v>69</v>
      </c>
      <c r="H23" s="858" t="s">
        <v>70</v>
      </c>
      <c r="I23" s="856" t="s">
        <v>71</v>
      </c>
      <c r="J23" s="42" t="s">
        <v>72</v>
      </c>
      <c r="K23" s="834" t="s">
        <v>73</v>
      </c>
      <c r="L23" s="856" t="s">
        <v>74</v>
      </c>
      <c r="M23" s="856" t="s">
        <v>75</v>
      </c>
      <c r="N23" s="834" t="s">
        <v>76</v>
      </c>
      <c r="O23" s="43" t="s">
        <v>77</v>
      </c>
      <c r="P23" s="43" t="s">
        <v>78</v>
      </c>
      <c r="Q23" s="43" t="s">
        <v>79</v>
      </c>
      <c r="R23" s="834" t="s">
        <v>80</v>
      </c>
      <c r="S23" s="834" t="s">
        <v>81</v>
      </c>
      <c r="T23" s="860" t="s">
        <v>47</v>
      </c>
      <c r="U23" s="856" t="s">
        <v>82</v>
      </c>
      <c r="V23" s="852" t="s">
        <v>83</v>
      </c>
      <c r="W23" s="852"/>
      <c r="X23" s="852"/>
      <c r="Y23" s="852"/>
      <c r="Z23" s="852"/>
      <c r="AA23" s="42" t="s">
        <v>84</v>
      </c>
      <c r="AB23" s="44" t="s">
        <v>85</v>
      </c>
      <c r="AC23" s="45" t="s">
        <v>86</v>
      </c>
      <c r="AD23" s="853" t="s">
        <v>1742</v>
      </c>
      <c r="AE23" s="854"/>
      <c r="AF23" s="854"/>
      <c r="AG23" s="854"/>
      <c r="AH23" s="854"/>
      <c r="AI23" s="854"/>
      <c r="AJ23" s="854"/>
      <c r="AK23" s="854"/>
      <c r="AL23" s="854"/>
      <c r="AM23" s="854"/>
      <c r="AN23" s="854"/>
      <c r="AO23" s="855"/>
      <c r="AP23" s="45" t="s">
        <v>84</v>
      </c>
      <c r="AQ23" s="68" t="s">
        <v>85</v>
      </c>
      <c r="AR23" s="846" t="s">
        <v>87</v>
      </c>
      <c r="AS23" s="847"/>
      <c r="AT23" s="42" t="s">
        <v>88</v>
      </c>
      <c r="AU23" s="839" t="s">
        <v>89</v>
      </c>
      <c r="AV23" s="842" t="s">
        <v>1602</v>
      </c>
      <c r="AX23" s="841" t="s">
        <v>90</v>
      </c>
      <c r="AY23" s="837"/>
      <c r="AZ23" s="836" t="s">
        <v>91</v>
      </c>
      <c r="BA23" s="837"/>
      <c r="BB23" s="836" t="s">
        <v>92</v>
      </c>
      <c r="BC23" s="837"/>
      <c r="BD23" s="836" t="s">
        <v>93</v>
      </c>
      <c r="BE23" s="837"/>
      <c r="BF23" s="836" t="s">
        <v>94</v>
      </c>
      <c r="BG23" s="838"/>
    </row>
    <row r="24" spans="1:59" ht="14.25" customHeight="1" thickBot="1">
      <c r="A24" s="849"/>
      <c r="B24" s="851"/>
      <c r="C24" s="844"/>
      <c r="D24" s="46" t="s">
        <v>34</v>
      </c>
      <c r="E24" s="844"/>
      <c r="F24" s="46" t="s">
        <v>34</v>
      </c>
      <c r="G24" s="46" t="s">
        <v>95</v>
      </c>
      <c r="H24" s="859"/>
      <c r="I24" s="857"/>
      <c r="J24" s="47" t="s">
        <v>34</v>
      </c>
      <c r="K24" s="835"/>
      <c r="L24" s="857"/>
      <c r="M24" s="857"/>
      <c r="N24" s="835"/>
      <c r="O24" s="46" t="s">
        <v>34</v>
      </c>
      <c r="P24" s="46" t="s">
        <v>34</v>
      </c>
      <c r="Q24" s="46" t="s">
        <v>34</v>
      </c>
      <c r="R24" s="835"/>
      <c r="S24" s="835"/>
      <c r="T24" s="861"/>
      <c r="U24" s="857"/>
      <c r="V24" s="48" t="s">
        <v>42</v>
      </c>
      <c r="W24" s="48" t="s">
        <v>1739</v>
      </c>
      <c r="X24" s="48" t="s">
        <v>1738</v>
      </c>
      <c r="Y24" s="48" t="s">
        <v>1740</v>
      </c>
      <c r="Z24" s="48" t="s">
        <v>1741</v>
      </c>
      <c r="AA24" s="272">
        <v>46022</v>
      </c>
      <c r="AB24" s="272">
        <v>46022</v>
      </c>
      <c r="AC24" s="49">
        <f>+A3</f>
        <v>46387</v>
      </c>
      <c r="AD24" s="50" t="s">
        <v>96</v>
      </c>
      <c r="AE24" s="50" t="s">
        <v>97</v>
      </c>
      <c r="AF24" s="50" t="s">
        <v>98</v>
      </c>
      <c r="AG24" s="50" t="s">
        <v>99</v>
      </c>
      <c r="AH24" s="50" t="s">
        <v>100</v>
      </c>
      <c r="AI24" s="50" t="s">
        <v>101</v>
      </c>
      <c r="AJ24" s="50" t="s">
        <v>102</v>
      </c>
      <c r="AK24" s="50" t="s">
        <v>103</v>
      </c>
      <c r="AL24" s="50" t="s">
        <v>104</v>
      </c>
      <c r="AM24" s="50" t="s">
        <v>105</v>
      </c>
      <c r="AN24" s="50" t="s">
        <v>106</v>
      </c>
      <c r="AO24" s="50" t="s">
        <v>107</v>
      </c>
      <c r="AP24" s="49">
        <f>A3</f>
        <v>46387</v>
      </c>
      <c r="AQ24" s="67">
        <f>+AP24</f>
        <v>46387</v>
      </c>
      <c r="AR24" s="51" t="s">
        <v>38</v>
      </c>
      <c r="AS24" s="52" t="s">
        <v>39</v>
      </c>
      <c r="AT24" s="47" t="s">
        <v>108</v>
      </c>
      <c r="AU24" s="840"/>
      <c r="AV24" s="840"/>
      <c r="AX24" s="90" t="s">
        <v>109</v>
      </c>
      <c r="AY24" s="91" t="s">
        <v>110</v>
      </c>
      <c r="AZ24" s="91" t="s">
        <v>111</v>
      </c>
      <c r="BA24" s="91" t="s">
        <v>112</v>
      </c>
      <c r="BB24" s="91" t="s">
        <v>113</v>
      </c>
      <c r="BC24" s="91" t="s">
        <v>114</v>
      </c>
      <c r="BD24" s="91" t="s">
        <v>115</v>
      </c>
      <c r="BE24" s="92" t="s">
        <v>39</v>
      </c>
      <c r="BF24" s="91" t="s">
        <v>116</v>
      </c>
      <c r="BG24" s="93" t="s">
        <v>117</v>
      </c>
    </row>
    <row r="25" spans="1:59">
      <c r="A25" s="30"/>
      <c r="B25" s="29"/>
      <c r="C25" s="25"/>
      <c r="D25" s="30"/>
      <c r="E25" s="30"/>
      <c r="F25" s="29"/>
      <c r="G25" s="29"/>
      <c r="H25" s="64"/>
      <c r="I25" s="31"/>
      <c r="J25" s="25"/>
      <c r="K25" s="25"/>
      <c r="L25" s="25"/>
      <c r="M25" s="25"/>
      <c r="N25" s="25"/>
      <c r="O25" s="25"/>
      <c r="P25" s="25"/>
      <c r="Q25" s="25"/>
      <c r="R25" s="30"/>
      <c r="S25" s="30"/>
      <c r="T25" s="56" t="s">
        <v>44</v>
      </c>
      <c r="U25" s="32" t="s">
        <v>118</v>
      </c>
      <c r="V25" s="30" t="s">
        <v>119</v>
      </c>
      <c r="W25" s="30" t="s">
        <v>120</v>
      </c>
      <c r="X25" s="30" t="s">
        <v>121</v>
      </c>
      <c r="Y25" s="30" t="s">
        <v>122</v>
      </c>
      <c r="Z25" s="30" t="s">
        <v>123</v>
      </c>
      <c r="AA25" s="32" t="s">
        <v>124</v>
      </c>
      <c r="AB25" s="32" t="s">
        <v>125</v>
      </c>
      <c r="AC25" s="32" t="s">
        <v>126</v>
      </c>
      <c r="AD25" s="32" t="s">
        <v>127</v>
      </c>
      <c r="AE25" s="32" t="s">
        <v>127</v>
      </c>
      <c r="AF25" s="32" t="s">
        <v>127</v>
      </c>
      <c r="AG25" s="32" t="s">
        <v>127</v>
      </c>
      <c r="AH25" s="32" t="s">
        <v>127</v>
      </c>
      <c r="AI25" s="32" t="s">
        <v>127</v>
      </c>
      <c r="AJ25" s="32" t="s">
        <v>127</v>
      </c>
      <c r="AK25" s="32" t="s">
        <v>127</v>
      </c>
      <c r="AL25" s="32" t="s">
        <v>127</v>
      </c>
      <c r="AM25" s="32" t="s">
        <v>127</v>
      </c>
      <c r="AN25" s="32" t="s">
        <v>127</v>
      </c>
      <c r="AO25" s="32" t="s">
        <v>127</v>
      </c>
      <c r="AP25" s="32" t="s">
        <v>124</v>
      </c>
      <c r="AQ25" s="66" t="s">
        <v>125</v>
      </c>
      <c r="AR25" s="33"/>
      <c r="AS25" s="33"/>
      <c r="AT25" s="34"/>
      <c r="AU25" s="27"/>
      <c r="AV25" s="492"/>
      <c r="AW25" s="146" t="s">
        <v>1605</v>
      </c>
    </row>
    <row r="26" spans="1:59" outlineLevel="1">
      <c r="A26" s="303">
        <v>1</v>
      </c>
      <c r="B26" s="306" t="s">
        <v>142</v>
      </c>
      <c r="C26" s="344" t="s">
        <v>143</v>
      </c>
      <c r="D26" s="305">
        <v>152</v>
      </c>
      <c r="E26" s="305" t="s">
        <v>1705</v>
      </c>
      <c r="F26" s="306" t="s">
        <v>144</v>
      </c>
      <c r="G26" s="306" t="s">
        <v>145</v>
      </c>
      <c r="H26" s="307">
        <v>41639</v>
      </c>
      <c r="I26" s="308" t="s">
        <v>129</v>
      </c>
      <c r="J26" s="309">
        <v>111</v>
      </c>
      <c r="K26" s="309" t="s">
        <v>139</v>
      </c>
      <c r="L26" s="310" t="s">
        <v>140</v>
      </c>
      <c r="M26" s="310" t="s">
        <v>141</v>
      </c>
      <c r="N26" s="310">
        <v>2013</v>
      </c>
      <c r="O26" s="310"/>
      <c r="P26" s="310"/>
      <c r="Q26" s="310"/>
      <c r="R26" s="360">
        <v>1</v>
      </c>
      <c r="S26" s="360"/>
      <c r="T26" s="312">
        <v>71701319438.259995</v>
      </c>
      <c r="U26" s="313">
        <f t="shared" ref="U26:U38" si="15">+T26/V26</f>
        <v>298755497.65941662</v>
      </c>
      <c r="V26" s="314">
        <v>240</v>
      </c>
      <c r="W26" s="315">
        <f>133+12</f>
        <v>145</v>
      </c>
      <c r="X26" s="314">
        <f t="shared" ref="X26:X38" si="16">+AC26/U26</f>
        <v>12</v>
      </c>
      <c r="Y26" s="476">
        <f t="shared" ref="Y26:Y38" si="17">+W26+X26</f>
        <v>157</v>
      </c>
      <c r="Z26" s="317">
        <f t="shared" ref="Z26:Z38" si="18">+V26-Y26</f>
        <v>83</v>
      </c>
      <c r="AA26" s="417">
        <v>43319547160.615402</v>
      </c>
      <c r="AB26" s="318">
        <v>28381772277.644592</v>
      </c>
      <c r="AC26" s="318">
        <f t="shared" ref="AC26:AC38" si="19">SUM(AD26:AO26)</f>
        <v>3585065971.9129996</v>
      </c>
      <c r="AD26" s="318">
        <v>298755497.65941662</v>
      </c>
      <c r="AE26" s="318">
        <v>298755497.65941662</v>
      </c>
      <c r="AF26" s="318">
        <v>298755497.65941662</v>
      </c>
      <c r="AG26" s="318">
        <v>298755497.65941662</v>
      </c>
      <c r="AH26" s="318">
        <v>298755497.65941662</v>
      </c>
      <c r="AI26" s="318">
        <v>298755497.65941662</v>
      </c>
      <c r="AJ26" s="318">
        <v>298755497.65941662</v>
      </c>
      <c r="AK26" s="318">
        <v>298755497.65941662</v>
      </c>
      <c r="AL26" s="318">
        <v>298755497.65941662</v>
      </c>
      <c r="AM26" s="318">
        <v>298755497.65941662</v>
      </c>
      <c r="AN26" s="318">
        <v>298755497.65941662</v>
      </c>
      <c r="AO26" s="318">
        <v>298755497.65941662</v>
      </c>
      <c r="AP26" s="318">
        <f t="shared" ref="AP26:AP38" si="20">+AA26+AC26</f>
        <v>46904613132.528404</v>
      </c>
      <c r="AQ26" s="319">
        <f t="shared" ref="AQ26:AQ38" si="21">IF(AS26=$AS$24,((T26-AP26)*0),T26-AP26)</f>
        <v>24796706305.73159</v>
      </c>
      <c r="AR26" s="320"/>
      <c r="AS26" s="320"/>
      <c r="AT26" s="321"/>
      <c r="AU26" s="322"/>
      <c r="AV26" s="146" t="s">
        <v>1236</v>
      </c>
      <c r="AW26" s="146">
        <f>IFERROR(VLOOKUP(G26,'[70]Detail Deprec_202508'!$D$33:$I$357,6,FALSE),0)</f>
        <v>298755497.66000003</v>
      </c>
      <c r="AX26" s="146">
        <f t="shared" ref="AX26:AX87" si="22">AW26-AK26</f>
        <v>5.8341026306152344E-4</v>
      </c>
    </row>
    <row r="27" spans="1:59" outlineLevel="1">
      <c r="A27" s="303">
        <v>2</v>
      </c>
      <c r="B27" s="306" t="s">
        <v>142</v>
      </c>
      <c r="C27" s="344" t="s">
        <v>143</v>
      </c>
      <c r="D27" s="305">
        <v>152</v>
      </c>
      <c r="E27" s="305" t="s">
        <v>1706</v>
      </c>
      <c r="F27" s="306" t="s">
        <v>146</v>
      </c>
      <c r="G27" s="306" t="s">
        <v>147</v>
      </c>
      <c r="H27" s="307">
        <v>42398</v>
      </c>
      <c r="I27" s="308" t="s">
        <v>129</v>
      </c>
      <c r="J27" s="309">
        <v>84</v>
      </c>
      <c r="K27" s="309" t="s">
        <v>148</v>
      </c>
      <c r="L27" s="310" t="s">
        <v>140</v>
      </c>
      <c r="M27" s="310" t="s">
        <v>149</v>
      </c>
      <c r="N27" s="310">
        <v>2016</v>
      </c>
      <c r="O27" s="310"/>
      <c r="P27" s="310"/>
      <c r="Q27" s="310"/>
      <c r="R27" s="360">
        <v>1</v>
      </c>
      <c r="S27" s="360"/>
      <c r="T27" s="312">
        <v>2061766435</v>
      </c>
      <c r="U27" s="313">
        <f t="shared" si="15"/>
        <v>8590693.479166666</v>
      </c>
      <c r="V27" s="314">
        <v>240</v>
      </c>
      <c r="W27" s="315">
        <f t="shared" ref="W27:W37" si="23">108+12</f>
        <v>120</v>
      </c>
      <c r="X27" s="314">
        <f t="shared" si="16"/>
        <v>12.000000000000002</v>
      </c>
      <c r="Y27" s="316">
        <f t="shared" si="17"/>
        <v>132</v>
      </c>
      <c r="Z27" s="317">
        <f t="shared" si="18"/>
        <v>108</v>
      </c>
      <c r="AA27" s="318">
        <v>1030883217.5000001</v>
      </c>
      <c r="AB27" s="318">
        <v>1030883217.4999999</v>
      </c>
      <c r="AC27" s="318">
        <f t="shared" si="19"/>
        <v>103088321.75000001</v>
      </c>
      <c r="AD27" s="318">
        <v>8590693.479166666</v>
      </c>
      <c r="AE27" s="318">
        <v>8590693.479166666</v>
      </c>
      <c r="AF27" s="318">
        <v>8590693.479166666</v>
      </c>
      <c r="AG27" s="318">
        <v>8590693.479166666</v>
      </c>
      <c r="AH27" s="318">
        <v>8590693.479166666</v>
      </c>
      <c r="AI27" s="318">
        <v>8590693.479166666</v>
      </c>
      <c r="AJ27" s="318">
        <v>8590693.479166666</v>
      </c>
      <c r="AK27" s="318">
        <v>8590693.479166666</v>
      </c>
      <c r="AL27" s="318">
        <v>8590693.479166666</v>
      </c>
      <c r="AM27" s="318">
        <v>8590693.479166666</v>
      </c>
      <c r="AN27" s="318">
        <v>8590693.479166666</v>
      </c>
      <c r="AO27" s="318">
        <v>8590693.479166666</v>
      </c>
      <c r="AP27" s="318">
        <f t="shared" si="20"/>
        <v>1133971539.2500002</v>
      </c>
      <c r="AQ27" s="319">
        <f t="shared" si="21"/>
        <v>927794895.74999976</v>
      </c>
      <c r="AR27" s="320"/>
      <c r="AS27" s="320"/>
      <c r="AT27" s="321"/>
      <c r="AU27" s="322"/>
      <c r="AV27" s="146" t="s">
        <v>1236</v>
      </c>
      <c r="AW27" s="146">
        <f>IFERROR(VLOOKUP(G27,'[70]Detail Deprec_202508'!$D$33:$I$357,6,FALSE),0)</f>
        <v>8590693.4800000004</v>
      </c>
      <c r="AX27" s="146">
        <f t="shared" si="22"/>
        <v>8.3333440124988556E-4</v>
      </c>
    </row>
    <row r="28" spans="1:59" outlineLevel="1">
      <c r="A28" s="303">
        <v>3</v>
      </c>
      <c r="B28" s="306" t="s">
        <v>142</v>
      </c>
      <c r="C28" s="344" t="s">
        <v>143</v>
      </c>
      <c r="D28" s="305">
        <v>152</v>
      </c>
      <c r="E28" s="305" t="s">
        <v>1706</v>
      </c>
      <c r="F28" s="306" t="s">
        <v>150</v>
      </c>
      <c r="G28" s="306" t="s">
        <v>151</v>
      </c>
      <c r="H28" s="307">
        <v>42387</v>
      </c>
      <c r="I28" s="308" t="s">
        <v>129</v>
      </c>
      <c r="J28" s="477" t="s">
        <v>152</v>
      </c>
      <c r="K28" s="309" t="s">
        <v>153</v>
      </c>
      <c r="L28" s="310" t="s">
        <v>140</v>
      </c>
      <c r="M28" s="310" t="s">
        <v>149</v>
      </c>
      <c r="N28" s="310">
        <v>2016</v>
      </c>
      <c r="O28" s="310"/>
      <c r="P28" s="310"/>
      <c r="Q28" s="310"/>
      <c r="R28" s="360">
        <v>1</v>
      </c>
      <c r="S28" s="360"/>
      <c r="T28" s="312">
        <v>5000000000</v>
      </c>
      <c r="U28" s="313">
        <f t="shared" si="15"/>
        <v>20833333.333333332</v>
      </c>
      <c r="V28" s="314">
        <v>240</v>
      </c>
      <c r="W28" s="315">
        <f t="shared" si="23"/>
        <v>120</v>
      </c>
      <c r="X28" s="314">
        <f t="shared" si="16"/>
        <v>12.000000000000002</v>
      </c>
      <c r="Y28" s="316">
        <f t="shared" si="17"/>
        <v>132</v>
      </c>
      <c r="Z28" s="317">
        <f t="shared" si="18"/>
        <v>108</v>
      </c>
      <c r="AA28" s="318">
        <v>2500000000.0000005</v>
      </c>
      <c r="AB28" s="318">
        <v>2499999999.9999995</v>
      </c>
      <c r="AC28" s="318">
        <f t="shared" si="19"/>
        <v>250000000.00000003</v>
      </c>
      <c r="AD28" s="318">
        <v>20833333.333333332</v>
      </c>
      <c r="AE28" s="318">
        <v>20833333.333333332</v>
      </c>
      <c r="AF28" s="318">
        <v>20833333.333333332</v>
      </c>
      <c r="AG28" s="318">
        <v>20833333.333333332</v>
      </c>
      <c r="AH28" s="318">
        <v>20833333.333333332</v>
      </c>
      <c r="AI28" s="318">
        <v>20833333.333333332</v>
      </c>
      <c r="AJ28" s="318">
        <v>20833333.333333332</v>
      </c>
      <c r="AK28" s="318">
        <v>20833333.333333332</v>
      </c>
      <c r="AL28" s="318">
        <v>20833333.333333332</v>
      </c>
      <c r="AM28" s="318">
        <v>20833333.333333332</v>
      </c>
      <c r="AN28" s="318">
        <v>20833333.333333332</v>
      </c>
      <c r="AO28" s="318">
        <v>20833333.333333332</v>
      </c>
      <c r="AP28" s="318">
        <f t="shared" si="20"/>
        <v>2750000000.0000005</v>
      </c>
      <c r="AQ28" s="319">
        <f t="shared" si="21"/>
        <v>2249999999.9999995</v>
      </c>
      <c r="AR28" s="320"/>
      <c r="AS28" s="320"/>
      <c r="AT28" s="321"/>
      <c r="AU28" s="322"/>
      <c r="AV28" s="146" t="s">
        <v>1236</v>
      </c>
      <c r="AW28" s="146">
        <f>IFERROR(VLOOKUP(G28,'[70]Detail Deprec_202508'!$D$33:$I$357,6,FALSE),0)</f>
        <v>20833333.329999998</v>
      </c>
      <c r="AX28" s="146">
        <f t="shared" si="22"/>
        <v>-3.3333338797092438E-3</v>
      </c>
    </row>
    <row r="29" spans="1:59" outlineLevel="1">
      <c r="A29" s="303">
        <v>4</v>
      </c>
      <c r="B29" s="306" t="s">
        <v>142</v>
      </c>
      <c r="C29" s="344" t="s">
        <v>143</v>
      </c>
      <c r="D29" s="305">
        <v>152</v>
      </c>
      <c r="E29" s="305" t="s">
        <v>1706</v>
      </c>
      <c r="F29" s="306" t="s">
        <v>150</v>
      </c>
      <c r="G29" s="306" t="s">
        <v>154</v>
      </c>
      <c r="H29" s="307">
        <v>42387</v>
      </c>
      <c r="I29" s="308" t="s">
        <v>129</v>
      </c>
      <c r="J29" s="477" t="s">
        <v>152</v>
      </c>
      <c r="K29" s="309" t="s">
        <v>155</v>
      </c>
      <c r="L29" s="310" t="s">
        <v>140</v>
      </c>
      <c r="M29" s="310" t="s">
        <v>149</v>
      </c>
      <c r="N29" s="310">
        <v>2016</v>
      </c>
      <c r="O29" s="310"/>
      <c r="P29" s="310"/>
      <c r="Q29" s="310"/>
      <c r="R29" s="360">
        <v>1</v>
      </c>
      <c r="S29" s="360"/>
      <c r="T29" s="312">
        <v>44455000000</v>
      </c>
      <c r="U29" s="313">
        <f t="shared" si="15"/>
        <v>185229166.66666666</v>
      </c>
      <c r="V29" s="314">
        <v>240</v>
      </c>
      <c r="W29" s="315">
        <f t="shared" si="23"/>
        <v>120</v>
      </c>
      <c r="X29" s="314">
        <f t="shared" si="16"/>
        <v>12.000000000000004</v>
      </c>
      <c r="Y29" s="316">
        <f t="shared" si="17"/>
        <v>132</v>
      </c>
      <c r="Z29" s="317">
        <f t="shared" si="18"/>
        <v>108</v>
      </c>
      <c r="AA29" s="318">
        <v>22227500000.000004</v>
      </c>
      <c r="AB29" s="318">
        <v>22227499999.999996</v>
      </c>
      <c r="AC29" s="318">
        <f t="shared" si="19"/>
        <v>2222750000.0000005</v>
      </c>
      <c r="AD29" s="318">
        <v>185229166.66666666</v>
      </c>
      <c r="AE29" s="318">
        <v>185229166.66666666</v>
      </c>
      <c r="AF29" s="318">
        <v>185229166.66666666</v>
      </c>
      <c r="AG29" s="318">
        <v>185229166.66666666</v>
      </c>
      <c r="AH29" s="318">
        <v>185229166.66666666</v>
      </c>
      <c r="AI29" s="318">
        <v>185229166.66666666</v>
      </c>
      <c r="AJ29" s="318">
        <v>185229166.66666666</v>
      </c>
      <c r="AK29" s="318">
        <v>185229166.66666666</v>
      </c>
      <c r="AL29" s="318">
        <v>185229166.66666666</v>
      </c>
      <c r="AM29" s="318">
        <v>185229166.66666666</v>
      </c>
      <c r="AN29" s="318">
        <v>185229166.66666666</v>
      </c>
      <c r="AO29" s="318">
        <v>185229166.66666666</v>
      </c>
      <c r="AP29" s="318">
        <f t="shared" si="20"/>
        <v>24450250000.000004</v>
      </c>
      <c r="AQ29" s="319">
        <f t="shared" si="21"/>
        <v>20004749999.999996</v>
      </c>
      <c r="AR29" s="320"/>
      <c r="AS29" s="320"/>
      <c r="AT29" s="321"/>
      <c r="AU29" s="322"/>
      <c r="AV29" s="146" t="s">
        <v>1236</v>
      </c>
      <c r="AW29" s="146">
        <f>IFERROR(VLOOKUP(G29,'[70]Detail Deprec_202508'!$D$33:$I$357,6,FALSE),0)</f>
        <v>185229166.66999999</v>
      </c>
      <c r="AX29" s="146">
        <f t="shared" si="22"/>
        <v>3.3333301544189453E-3</v>
      </c>
    </row>
    <row r="30" spans="1:59" outlineLevel="1">
      <c r="A30" s="303">
        <v>5</v>
      </c>
      <c r="B30" s="306" t="s">
        <v>142</v>
      </c>
      <c r="C30" s="344" t="s">
        <v>143</v>
      </c>
      <c r="D30" s="305">
        <v>152</v>
      </c>
      <c r="E30" s="305" t="s">
        <v>1706</v>
      </c>
      <c r="F30" s="306" t="s">
        <v>150</v>
      </c>
      <c r="G30" s="306" t="s">
        <v>156</v>
      </c>
      <c r="H30" s="307">
        <v>42387</v>
      </c>
      <c r="I30" s="308" t="s">
        <v>129</v>
      </c>
      <c r="J30" s="477" t="s">
        <v>152</v>
      </c>
      <c r="K30" s="309" t="s">
        <v>157</v>
      </c>
      <c r="L30" s="310" t="s">
        <v>140</v>
      </c>
      <c r="M30" s="310" t="s">
        <v>149</v>
      </c>
      <c r="N30" s="310">
        <v>2016</v>
      </c>
      <c r="O30" s="310"/>
      <c r="P30" s="310"/>
      <c r="Q30" s="310"/>
      <c r="R30" s="360">
        <v>1</v>
      </c>
      <c r="S30" s="360"/>
      <c r="T30" s="312">
        <v>49455000000</v>
      </c>
      <c r="U30" s="313">
        <f t="shared" si="15"/>
        <v>206062500</v>
      </c>
      <c r="V30" s="314">
        <v>240</v>
      </c>
      <c r="W30" s="315">
        <f t="shared" si="23"/>
        <v>120</v>
      </c>
      <c r="X30" s="314">
        <f t="shared" si="16"/>
        <v>12</v>
      </c>
      <c r="Y30" s="316">
        <f t="shared" si="17"/>
        <v>132</v>
      </c>
      <c r="Z30" s="317">
        <f t="shared" si="18"/>
        <v>108</v>
      </c>
      <c r="AA30" s="318">
        <v>24727500000</v>
      </c>
      <c r="AB30" s="318">
        <v>24727500000</v>
      </c>
      <c r="AC30" s="318">
        <f t="shared" si="19"/>
        <v>2472750000</v>
      </c>
      <c r="AD30" s="318">
        <v>206062500</v>
      </c>
      <c r="AE30" s="318">
        <v>206062500</v>
      </c>
      <c r="AF30" s="318">
        <v>206062500</v>
      </c>
      <c r="AG30" s="318">
        <v>206062500</v>
      </c>
      <c r="AH30" s="318">
        <v>206062500</v>
      </c>
      <c r="AI30" s="318">
        <v>206062500</v>
      </c>
      <c r="AJ30" s="318">
        <v>206062500</v>
      </c>
      <c r="AK30" s="318">
        <v>206062500</v>
      </c>
      <c r="AL30" s="318">
        <v>206062500</v>
      </c>
      <c r="AM30" s="318">
        <v>206062500</v>
      </c>
      <c r="AN30" s="318">
        <v>206062500</v>
      </c>
      <c r="AO30" s="318">
        <v>206062500</v>
      </c>
      <c r="AP30" s="318">
        <f t="shared" si="20"/>
        <v>27200250000</v>
      </c>
      <c r="AQ30" s="319">
        <f t="shared" si="21"/>
        <v>22254750000</v>
      </c>
      <c r="AR30" s="320"/>
      <c r="AS30" s="320"/>
      <c r="AT30" s="321"/>
      <c r="AU30" s="322"/>
      <c r="AV30" s="146" t="s">
        <v>1236</v>
      </c>
      <c r="AW30" s="146">
        <f>IFERROR(VLOOKUP(G30,'[70]Detail Deprec_202508'!$D$33:$I$357,6,FALSE),0)</f>
        <v>206062500</v>
      </c>
      <c r="AX30" s="146">
        <f t="shared" si="22"/>
        <v>0</v>
      </c>
    </row>
    <row r="31" spans="1:59" outlineLevel="1">
      <c r="A31" s="303">
        <v>6</v>
      </c>
      <c r="B31" s="306" t="s">
        <v>142</v>
      </c>
      <c r="C31" s="344" t="s">
        <v>143</v>
      </c>
      <c r="D31" s="305">
        <v>152</v>
      </c>
      <c r="E31" s="305" t="s">
        <v>1706</v>
      </c>
      <c r="F31" s="306" t="s">
        <v>150</v>
      </c>
      <c r="G31" s="306" t="s">
        <v>158</v>
      </c>
      <c r="H31" s="307">
        <v>42387</v>
      </c>
      <c r="I31" s="308" t="s">
        <v>129</v>
      </c>
      <c r="J31" s="477" t="s">
        <v>152</v>
      </c>
      <c r="K31" s="309" t="s">
        <v>159</v>
      </c>
      <c r="L31" s="310" t="s">
        <v>140</v>
      </c>
      <c r="M31" s="310" t="s">
        <v>149</v>
      </c>
      <c r="N31" s="310">
        <v>2016</v>
      </c>
      <c r="O31" s="310"/>
      <c r="P31" s="310"/>
      <c r="Q31" s="310"/>
      <c r="R31" s="360">
        <v>1</v>
      </c>
      <c r="S31" s="360"/>
      <c r="T31" s="312">
        <v>35325000000</v>
      </c>
      <c r="U31" s="313">
        <f t="shared" si="15"/>
        <v>147187500</v>
      </c>
      <c r="V31" s="314">
        <v>240</v>
      </c>
      <c r="W31" s="315">
        <f t="shared" si="23"/>
        <v>120</v>
      </c>
      <c r="X31" s="314">
        <f t="shared" si="16"/>
        <v>12</v>
      </c>
      <c r="Y31" s="316">
        <f t="shared" si="17"/>
        <v>132</v>
      </c>
      <c r="Z31" s="317">
        <f t="shared" si="18"/>
        <v>108</v>
      </c>
      <c r="AA31" s="318">
        <v>17662500000</v>
      </c>
      <c r="AB31" s="318">
        <v>17662500000</v>
      </c>
      <c r="AC31" s="318">
        <f t="shared" si="19"/>
        <v>1766250000</v>
      </c>
      <c r="AD31" s="318">
        <v>147187500</v>
      </c>
      <c r="AE31" s="318">
        <v>147187500</v>
      </c>
      <c r="AF31" s="318">
        <v>147187500</v>
      </c>
      <c r="AG31" s="318">
        <v>147187500</v>
      </c>
      <c r="AH31" s="318">
        <v>147187500</v>
      </c>
      <c r="AI31" s="318">
        <v>147187500</v>
      </c>
      <c r="AJ31" s="318">
        <v>147187500</v>
      </c>
      <c r="AK31" s="318">
        <v>147187500</v>
      </c>
      <c r="AL31" s="318">
        <v>147187500</v>
      </c>
      <c r="AM31" s="318">
        <v>147187500</v>
      </c>
      <c r="AN31" s="318">
        <v>147187500</v>
      </c>
      <c r="AO31" s="318">
        <v>147187500</v>
      </c>
      <c r="AP31" s="318">
        <f t="shared" si="20"/>
        <v>19428750000</v>
      </c>
      <c r="AQ31" s="319">
        <f t="shared" si="21"/>
        <v>15896250000</v>
      </c>
      <c r="AR31" s="320"/>
      <c r="AS31" s="320"/>
      <c r="AT31" s="321"/>
      <c r="AU31" s="322"/>
      <c r="AV31" s="146" t="s">
        <v>1236</v>
      </c>
      <c r="AW31" s="146">
        <f>IFERROR(VLOOKUP(G31,'[70]Detail Deprec_202508'!$D$33:$I$357,6,FALSE),0)</f>
        <v>147187500</v>
      </c>
      <c r="AX31" s="146">
        <f t="shared" si="22"/>
        <v>0</v>
      </c>
    </row>
    <row r="32" spans="1:59" outlineLevel="1">
      <c r="A32" s="303">
        <v>7</v>
      </c>
      <c r="B32" s="306" t="s">
        <v>142</v>
      </c>
      <c r="C32" s="344" t="s">
        <v>143</v>
      </c>
      <c r="D32" s="305">
        <v>152</v>
      </c>
      <c r="E32" s="305" t="s">
        <v>1706</v>
      </c>
      <c r="F32" s="306" t="s">
        <v>150</v>
      </c>
      <c r="G32" s="306" t="s">
        <v>160</v>
      </c>
      <c r="H32" s="307">
        <v>42387</v>
      </c>
      <c r="I32" s="308" t="s">
        <v>129</v>
      </c>
      <c r="J32" s="477" t="s">
        <v>152</v>
      </c>
      <c r="K32" s="309" t="s">
        <v>161</v>
      </c>
      <c r="L32" s="310" t="s">
        <v>140</v>
      </c>
      <c r="M32" s="310" t="s">
        <v>149</v>
      </c>
      <c r="N32" s="310">
        <v>2016</v>
      </c>
      <c r="O32" s="310"/>
      <c r="P32" s="310"/>
      <c r="Q32" s="310"/>
      <c r="R32" s="360">
        <v>1</v>
      </c>
      <c r="S32" s="478">
        <v>271320</v>
      </c>
      <c r="T32" s="312">
        <v>3375220800</v>
      </c>
      <c r="U32" s="313">
        <f t="shared" si="15"/>
        <v>14063420</v>
      </c>
      <c r="V32" s="314">
        <v>240</v>
      </c>
      <c r="W32" s="315">
        <f t="shared" si="23"/>
        <v>120</v>
      </c>
      <c r="X32" s="314">
        <f t="shared" si="16"/>
        <v>12</v>
      </c>
      <c r="Y32" s="316">
        <f t="shared" si="17"/>
        <v>132</v>
      </c>
      <c r="Z32" s="317">
        <f t="shared" si="18"/>
        <v>108</v>
      </c>
      <c r="AA32" s="318">
        <v>1687610400</v>
      </c>
      <c r="AB32" s="318">
        <v>1687610400</v>
      </c>
      <c r="AC32" s="318">
        <f t="shared" si="19"/>
        <v>168761040</v>
      </c>
      <c r="AD32" s="318">
        <v>14063420</v>
      </c>
      <c r="AE32" s="318">
        <v>14063420</v>
      </c>
      <c r="AF32" s="318">
        <v>14063420</v>
      </c>
      <c r="AG32" s="318">
        <v>14063420</v>
      </c>
      <c r="AH32" s="318">
        <v>14063420</v>
      </c>
      <c r="AI32" s="318">
        <v>14063420</v>
      </c>
      <c r="AJ32" s="318">
        <v>14063420</v>
      </c>
      <c r="AK32" s="318">
        <v>14063420</v>
      </c>
      <c r="AL32" s="318">
        <v>14063420</v>
      </c>
      <c r="AM32" s="318">
        <v>14063420</v>
      </c>
      <c r="AN32" s="318">
        <v>14063420</v>
      </c>
      <c r="AO32" s="318">
        <v>14063420</v>
      </c>
      <c r="AP32" s="318">
        <f t="shared" si="20"/>
        <v>1856371440</v>
      </c>
      <c r="AQ32" s="319">
        <f t="shared" si="21"/>
        <v>1518849360</v>
      </c>
      <c r="AR32" s="320"/>
      <c r="AS32" s="320"/>
      <c r="AT32" s="321"/>
      <c r="AU32" s="322"/>
      <c r="AV32" s="146" t="s">
        <v>1236</v>
      </c>
      <c r="AW32" s="146">
        <f>IFERROR(VLOOKUP(G32,'[70]Detail Deprec_202508'!$D$33:$I$357,6,FALSE),0)</f>
        <v>14063420</v>
      </c>
      <c r="AX32" s="146">
        <f t="shared" si="22"/>
        <v>0</v>
      </c>
    </row>
    <row r="33" spans="1:50" outlineLevel="1">
      <c r="A33" s="303">
        <v>8</v>
      </c>
      <c r="B33" s="306" t="s">
        <v>142</v>
      </c>
      <c r="C33" s="344" t="s">
        <v>143</v>
      </c>
      <c r="D33" s="305">
        <v>152</v>
      </c>
      <c r="E33" s="305" t="s">
        <v>1706</v>
      </c>
      <c r="F33" s="306" t="s">
        <v>162</v>
      </c>
      <c r="G33" s="306" t="s">
        <v>163</v>
      </c>
      <c r="H33" s="307">
        <v>42387</v>
      </c>
      <c r="I33" s="308" t="s">
        <v>129</v>
      </c>
      <c r="J33" s="477" t="s">
        <v>152</v>
      </c>
      <c r="K33" s="309" t="s">
        <v>161</v>
      </c>
      <c r="L33" s="310" t="s">
        <v>140</v>
      </c>
      <c r="M33" s="310" t="s">
        <v>149</v>
      </c>
      <c r="N33" s="310">
        <v>2016</v>
      </c>
      <c r="O33" s="310"/>
      <c r="P33" s="310"/>
      <c r="Q33" s="310"/>
      <c r="R33" s="360">
        <v>1</v>
      </c>
      <c r="S33" s="478">
        <v>271320</v>
      </c>
      <c r="T33" s="312">
        <v>3549950880</v>
      </c>
      <c r="U33" s="313">
        <f t="shared" si="15"/>
        <v>14791462</v>
      </c>
      <c r="V33" s="314">
        <v>240</v>
      </c>
      <c r="W33" s="315">
        <f t="shared" si="23"/>
        <v>120</v>
      </c>
      <c r="X33" s="314">
        <f t="shared" si="16"/>
        <v>12</v>
      </c>
      <c r="Y33" s="316">
        <f t="shared" si="17"/>
        <v>132</v>
      </c>
      <c r="Z33" s="317">
        <f t="shared" si="18"/>
        <v>108</v>
      </c>
      <c r="AA33" s="318">
        <v>1774975440</v>
      </c>
      <c r="AB33" s="318">
        <v>1774975440</v>
      </c>
      <c r="AC33" s="318">
        <f t="shared" si="19"/>
        <v>177497544</v>
      </c>
      <c r="AD33" s="318">
        <v>14791462</v>
      </c>
      <c r="AE33" s="318">
        <v>14791462</v>
      </c>
      <c r="AF33" s="318">
        <v>14791462</v>
      </c>
      <c r="AG33" s="318">
        <v>14791462</v>
      </c>
      <c r="AH33" s="318">
        <v>14791462</v>
      </c>
      <c r="AI33" s="318">
        <v>14791462</v>
      </c>
      <c r="AJ33" s="318">
        <v>14791462</v>
      </c>
      <c r="AK33" s="318">
        <v>14791462</v>
      </c>
      <c r="AL33" s="318">
        <v>14791462</v>
      </c>
      <c r="AM33" s="318">
        <v>14791462</v>
      </c>
      <c r="AN33" s="318">
        <v>14791462</v>
      </c>
      <c r="AO33" s="318">
        <v>14791462</v>
      </c>
      <c r="AP33" s="318">
        <f t="shared" si="20"/>
        <v>1952472984</v>
      </c>
      <c r="AQ33" s="319">
        <f t="shared" si="21"/>
        <v>1597477896</v>
      </c>
      <c r="AR33" s="320"/>
      <c r="AS33" s="320"/>
      <c r="AT33" s="321"/>
      <c r="AU33" s="322"/>
      <c r="AV33" s="146" t="s">
        <v>1236</v>
      </c>
      <c r="AW33" s="146">
        <f>IFERROR(VLOOKUP(G33,'[70]Detail Deprec_202508'!$D$33:$I$357,6,FALSE),0)</f>
        <v>14791462</v>
      </c>
      <c r="AX33" s="146">
        <f t="shared" si="22"/>
        <v>0</v>
      </c>
    </row>
    <row r="34" spans="1:50" outlineLevel="1">
      <c r="A34" s="303">
        <v>9</v>
      </c>
      <c r="B34" s="306" t="s">
        <v>142</v>
      </c>
      <c r="C34" s="344" t="s">
        <v>143</v>
      </c>
      <c r="D34" s="305">
        <v>152</v>
      </c>
      <c r="E34" s="305" t="s">
        <v>1706</v>
      </c>
      <c r="F34" s="306" t="s">
        <v>162</v>
      </c>
      <c r="G34" s="306" t="s">
        <v>164</v>
      </c>
      <c r="H34" s="307">
        <v>42387</v>
      </c>
      <c r="I34" s="308" t="s">
        <v>129</v>
      </c>
      <c r="J34" s="477" t="s">
        <v>152</v>
      </c>
      <c r="K34" s="309" t="s">
        <v>165</v>
      </c>
      <c r="L34" s="310" t="s">
        <v>140</v>
      </c>
      <c r="M34" s="310" t="s">
        <v>149</v>
      </c>
      <c r="N34" s="310">
        <v>2016</v>
      </c>
      <c r="O34" s="310"/>
      <c r="P34" s="310"/>
      <c r="Q34" s="310"/>
      <c r="R34" s="360">
        <v>1</v>
      </c>
      <c r="S34" s="478">
        <v>193800</v>
      </c>
      <c r="T34" s="312">
        <v>2612617800</v>
      </c>
      <c r="U34" s="313">
        <f t="shared" si="15"/>
        <v>10885907.5</v>
      </c>
      <c r="V34" s="314">
        <v>240</v>
      </c>
      <c r="W34" s="315">
        <f t="shared" si="23"/>
        <v>120</v>
      </c>
      <c r="X34" s="314">
        <f t="shared" si="16"/>
        <v>12</v>
      </c>
      <c r="Y34" s="316">
        <f t="shared" si="17"/>
        <v>132</v>
      </c>
      <c r="Z34" s="317">
        <f t="shared" si="18"/>
        <v>108</v>
      </c>
      <c r="AA34" s="318">
        <v>1306308900</v>
      </c>
      <c r="AB34" s="318">
        <v>1306308900</v>
      </c>
      <c r="AC34" s="318">
        <f t="shared" si="19"/>
        <v>130630890</v>
      </c>
      <c r="AD34" s="318">
        <v>10885907.5</v>
      </c>
      <c r="AE34" s="318">
        <v>10885907.5</v>
      </c>
      <c r="AF34" s="318">
        <v>10885907.5</v>
      </c>
      <c r="AG34" s="318">
        <v>10885907.5</v>
      </c>
      <c r="AH34" s="318">
        <v>10885907.5</v>
      </c>
      <c r="AI34" s="318">
        <v>10885907.5</v>
      </c>
      <c r="AJ34" s="318">
        <v>10885907.5</v>
      </c>
      <c r="AK34" s="318">
        <v>10885907.5</v>
      </c>
      <c r="AL34" s="318">
        <v>10885907.5</v>
      </c>
      <c r="AM34" s="318">
        <v>10885907.5</v>
      </c>
      <c r="AN34" s="318">
        <v>10885907.5</v>
      </c>
      <c r="AO34" s="318">
        <v>10885907.5</v>
      </c>
      <c r="AP34" s="318">
        <f t="shared" si="20"/>
        <v>1436939790</v>
      </c>
      <c r="AQ34" s="319">
        <f t="shared" si="21"/>
        <v>1175678010</v>
      </c>
      <c r="AR34" s="320"/>
      <c r="AS34" s="320"/>
      <c r="AT34" s="321"/>
      <c r="AU34" s="322"/>
      <c r="AV34" s="146" t="s">
        <v>1236</v>
      </c>
      <c r="AW34" s="146">
        <f>IFERROR(VLOOKUP(G34,'[70]Detail Deprec_202508'!$D$33:$I$357,6,FALSE),0)</f>
        <v>10885907.5</v>
      </c>
      <c r="AX34" s="146">
        <f t="shared" si="22"/>
        <v>0</v>
      </c>
    </row>
    <row r="35" spans="1:50" outlineLevel="1">
      <c r="A35" s="303">
        <v>10</v>
      </c>
      <c r="B35" s="306" t="s">
        <v>142</v>
      </c>
      <c r="C35" s="344" t="s">
        <v>143</v>
      </c>
      <c r="D35" s="305">
        <v>152</v>
      </c>
      <c r="E35" s="305" t="s">
        <v>1706</v>
      </c>
      <c r="F35" s="306" t="s">
        <v>162</v>
      </c>
      <c r="G35" s="306" t="s">
        <v>166</v>
      </c>
      <c r="H35" s="307">
        <v>42387</v>
      </c>
      <c r="I35" s="308" t="s">
        <v>129</v>
      </c>
      <c r="J35" s="477" t="s">
        <v>152</v>
      </c>
      <c r="K35" s="309" t="s">
        <v>167</v>
      </c>
      <c r="L35" s="310" t="s">
        <v>140</v>
      </c>
      <c r="M35" s="310" t="s">
        <v>149</v>
      </c>
      <c r="N35" s="310">
        <v>2016</v>
      </c>
      <c r="O35" s="310"/>
      <c r="P35" s="310"/>
      <c r="Q35" s="310"/>
      <c r="R35" s="360">
        <v>1</v>
      </c>
      <c r="S35" s="478"/>
      <c r="T35" s="312">
        <v>7065000000</v>
      </c>
      <c r="U35" s="313">
        <f t="shared" si="15"/>
        <v>29437500</v>
      </c>
      <c r="V35" s="314">
        <v>240</v>
      </c>
      <c r="W35" s="315">
        <f t="shared" si="23"/>
        <v>120</v>
      </c>
      <c r="X35" s="314">
        <f t="shared" si="16"/>
        <v>12</v>
      </c>
      <c r="Y35" s="316">
        <f t="shared" si="17"/>
        <v>132</v>
      </c>
      <c r="Z35" s="317">
        <f t="shared" si="18"/>
        <v>108</v>
      </c>
      <c r="AA35" s="318">
        <v>3532500000</v>
      </c>
      <c r="AB35" s="318">
        <v>3532500000</v>
      </c>
      <c r="AC35" s="318">
        <f t="shared" si="19"/>
        <v>353250000</v>
      </c>
      <c r="AD35" s="318">
        <v>29437500</v>
      </c>
      <c r="AE35" s="318">
        <v>29437500</v>
      </c>
      <c r="AF35" s="318">
        <v>29437500</v>
      </c>
      <c r="AG35" s="318">
        <v>29437500</v>
      </c>
      <c r="AH35" s="318">
        <v>29437500</v>
      </c>
      <c r="AI35" s="318">
        <v>29437500</v>
      </c>
      <c r="AJ35" s="318">
        <v>29437500</v>
      </c>
      <c r="AK35" s="318">
        <v>29437500</v>
      </c>
      <c r="AL35" s="318">
        <v>29437500</v>
      </c>
      <c r="AM35" s="318">
        <v>29437500</v>
      </c>
      <c r="AN35" s="318">
        <v>29437500</v>
      </c>
      <c r="AO35" s="318">
        <v>29437500</v>
      </c>
      <c r="AP35" s="318">
        <f t="shared" si="20"/>
        <v>3885750000</v>
      </c>
      <c r="AQ35" s="319">
        <f t="shared" si="21"/>
        <v>3179250000</v>
      </c>
      <c r="AR35" s="320"/>
      <c r="AS35" s="320"/>
      <c r="AT35" s="321"/>
      <c r="AU35" s="322"/>
      <c r="AV35" s="146" t="s">
        <v>1236</v>
      </c>
      <c r="AW35" s="146">
        <f>IFERROR(VLOOKUP(G35,'[70]Detail Deprec_202508'!$D$33:$I$357,6,FALSE),0)</f>
        <v>29437500</v>
      </c>
      <c r="AX35" s="146">
        <f t="shared" si="22"/>
        <v>0</v>
      </c>
    </row>
    <row r="36" spans="1:50" outlineLevel="1">
      <c r="A36" s="303">
        <v>11</v>
      </c>
      <c r="B36" s="306" t="s">
        <v>142</v>
      </c>
      <c r="C36" s="344" t="s">
        <v>143</v>
      </c>
      <c r="D36" s="305">
        <v>152</v>
      </c>
      <c r="E36" s="305" t="s">
        <v>1706</v>
      </c>
      <c r="F36" s="306" t="s">
        <v>162</v>
      </c>
      <c r="G36" s="306" t="s">
        <v>168</v>
      </c>
      <c r="H36" s="307">
        <v>42387</v>
      </c>
      <c r="I36" s="308" t="s">
        <v>129</v>
      </c>
      <c r="J36" s="477" t="s">
        <v>152</v>
      </c>
      <c r="K36" s="309" t="s">
        <v>167</v>
      </c>
      <c r="L36" s="310" t="s">
        <v>140</v>
      </c>
      <c r="M36" s="310" t="s">
        <v>149</v>
      </c>
      <c r="N36" s="310">
        <v>2016</v>
      </c>
      <c r="O36" s="310"/>
      <c r="P36" s="310"/>
      <c r="Q36" s="310"/>
      <c r="R36" s="360">
        <v>1</v>
      </c>
      <c r="S36" s="478">
        <v>38760</v>
      </c>
      <c r="T36" s="312">
        <v>534694200</v>
      </c>
      <c r="U36" s="313">
        <f t="shared" si="15"/>
        <v>2227892.5</v>
      </c>
      <c r="V36" s="314">
        <v>240</v>
      </c>
      <c r="W36" s="315">
        <f t="shared" si="23"/>
        <v>120</v>
      </c>
      <c r="X36" s="314">
        <f t="shared" si="16"/>
        <v>12</v>
      </c>
      <c r="Y36" s="316">
        <f t="shared" si="17"/>
        <v>132</v>
      </c>
      <c r="Z36" s="317">
        <f t="shared" si="18"/>
        <v>108</v>
      </c>
      <c r="AA36" s="318">
        <v>267347100</v>
      </c>
      <c r="AB36" s="318">
        <v>267347100</v>
      </c>
      <c r="AC36" s="318">
        <f t="shared" si="19"/>
        <v>26734710</v>
      </c>
      <c r="AD36" s="318">
        <v>2227892.5</v>
      </c>
      <c r="AE36" s="318">
        <v>2227892.5</v>
      </c>
      <c r="AF36" s="318">
        <v>2227892.5</v>
      </c>
      <c r="AG36" s="318">
        <v>2227892.5</v>
      </c>
      <c r="AH36" s="318">
        <v>2227892.5</v>
      </c>
      <c r="AI36" s="318">
        <v>2227892.5</v>
      </c>
      <c r="AJ36" s="318">
        <v>2227892.5</v>
      </c>
      <c r="AK36" s="318">
        <v>2227892.5</v>
      </c>
      <c r="AL36" s="318">
        <v>2227892.5</v>
      </c>
      <c r="AM36" s="318">
        <v>2227892.5</v>
      </c>
      <c r="AN36" s="318">
        <v>2227892.5</v>
      </c>
      <c r="AO36" s="318">
        <v>2227892.5</v>
      </c>
      <c r="AP36" s="318">
        <f t="shared" si="20"/>
        <v>294081810</v>
      </c>
      <c r="AQ36" s="319">
        <f t="shared" si="21"/>
        <v>240612390</v>
      </c>
      <c r="AR36" s="320"/>
      <c r="AS36" s="320"/>
      <c r="AT36" s="321"/>
      <c r="AU36" s="322"/>
      <c r="AV36" s="146" t="s">
        <v>1236</v>
      </c>
      <c r="AW36" s="146">
        <f>IFERROR(VLOOKUP(G36,'[70]Detail Deprec_202508'!$D$33:$I$357,6,FALSE),0)</f>
        <v>2227892.5</v>
      </c>
      <c r="AX36" s="146">
        <f t="shared" si="22"/>
        <v>0</v>
      </c>
    </row>
    <row r="37" spans="1:50" outlineLevel="1">
      <c r="A37" s="303">
        <v>12</v>
      </c>
      <c r="B37" s="306" t="s">
        <v>142</v>
      </c>
      <c r="C37" s="344" t="s">
        <v>143</v>
      </c>
      <c r="D37" s="305">
        <v>152</v>
      </c>
      <c r="E37" s="305" t="s">
        <v>1706</v>
      </c>
      <c r="F37" s="306" t="s">
        <v>162</v>
      </c>
      <c r="G37" s="306" t="s">
        <v>169</v>
      </c>
      <c r="H37" s="307">
        <v>42387</v>
      </c>
      <c r="I37" s="308" t="s">
        <v>129</v>
      </c>
      <c r="J37" s="477" t="s">
        <v>152</v>
      </c>
      <c r="K37" s="309" t="s">
        <v>170</v>
      </c>
      <c r="L37" s="310" t="s">
        <v>140</v>
      </c>
      <c r="M37" s="310" t="s">
        <v>149</v>
      </c>
      <c r="N37" s="310">
        <v>2016</v>
      </c>
      <c r="O37" s="310"/>
      <c r="P37" s="310"/>
      <c r="Q37" s="310"/>
      <c r="R37" s="360">
        <v>1</v>
      </c>
      <c r="S37" s="478"/>
      <c r="T37" s="312">
        <v>1338483845</v>
      </c>
      <c r="U37" s="313">
        <f t="shared" si="15"/>
        <v>5577016.020833333</v>
      </c>
      <c r="V37" s="314">
        <v>240</v>
      </c>
      <c r="W37" s="315">
        <f t="shared" si="23"/>
        <v>120</v>
      </c>
      <c r="X37" s="314">
        <f t="shared" si="16"/>
        <v>12.000000000000002</v>
      </c>
      <c r="Y37" s="316">
        <f t="shared" si="17"/>
        <v>132</v>
      </c>
      <c r="Z37" s="317">
        <f t="shared" si="18"/>
        <v>108</v>
      </c>
      <c r="AA37" s="318">
        <v>669241922.50000012</v>
      </c>
      <c r="AB37" s="318">
        <v>669241922.49999988</v>
      </c>
      <c r="AC37" s="318">
        <f t="shared" si="19"/>
        <v>66924192.250000007</v>
      </c>
      <c r="AD37" s="318">
        <v>5577016.020833333</v>
      </c>
      <c r="AE37" s="318">
        <v>5577016.020833333</v>
      </c>
      <c r="AF37" s="318">
        <v>5577016.020833333</v>
      </c>
      <c r="AG37" s="318">
        <v>5577016.020833333</v>
      </c>
      <c r="AH37" s="318">
        <v>5577016.020833333</v>
      </c>
      <c r="AI37" s="318">
        <v>5577016.020833333</v>
      </c>
      <c r="AJ37" s="318">
        <v>5577016.020833333</v>
      </c>
      <c r="AK37" s="318">
        <v>5577016.020833333</v>
      </c>
      <c r="AL37" s="318">
        <v>5577016.020833333</v>
      </c>
      <c r="AM37" s="318">
        <v>5577016.020833333</v>
      </c>
      <c r="AN37" s="318">
        <v>5577016.020833333</v>
      </c>
      <c r="AO37" s="318">
        <v>5577016.020833333</v>
      </c>
      <c r="AP37" s="318">
        <f t="shared" si="20"/>
        <v>736166114.75000012</v>
      </c>
      <c r="AQ37" s="319">
        <f t="shared" si="21"/>
        <v>602317730.24999988</v>
      </c>
      <c r="AR37" s="320"/>
      <c r="AS37" s="320"/>
      <c r="AT37" s="321"/>
      <c r="AU37" s="322"/>
      <c r="AV37" s="146" t="s">
        <v>1236</v>
      </c>
      <c r="AW37" s="146">
        <f>IFERROR(VLOOKUP(G37,'[70]Detail Deprec_202508'!$D$33:$I$357,6,FALSE),0)</f>
        <v>5577016.0199999996</v>
      </c>
      <c r="AX37" s="146">
        <f t="shared" si="22"/>
        <v>-8.3333346992731094E-4</v>
      </c>
    </row>
    <row r="38" spans="1:50" outlineLevel="1">
      <c r="A38" s="303">
        <v>13</v>
      </c>
      <c r="B38" s="459" t="s">
        <v>142</v>
      </c>
      <c r="C38" s="482" t="s">
        <v>143</v>
      </c>
      <c r="D38" s="458">
        <v>152</v>
      </c>
      <c r="E38" s="305" t="s">
        <v>1706</v>
      </c>
      <c r="F38" s="459" t="s">
        <v>172</v>
      </c>
      <c r="G38" s="459" t="s">
        <v>173</v>
      </c>
      <c r="H38" s="460">
        <v>43830</v>
      </c>
      <c r="I38" s="461" t="s">
        <v>129</v>
      </c>
      <c r="J38" s="462" t="s">
        <v>174</v>
      </c>
      <c r="K38" s="462" t="s">
        <v>175</v>
      </c>
      <c r="L38" s="463" t="s">
        <v>176</v>
      </c>
      <c r="M38" s="463" t="s">
        <v>177</v>
      </c>
      <c r="N38" s="463">
        <v>2019</v>
      </c>
      <c r="O38" s="463"/>
      <c r="P38" s="464"/>
      <c r="Q38" s="464"/>
      <c r="R38" s="465">
        <v>1</v>
      </c>
      <c r="S38" s="465"/>
      <c r="T38" s="466">
        <v>177294305</v>
      </c>
      <c r="U38" s="467">
        <f t="shared" si="15"/>
        <v>738726.27083333337</v>
      </c>
      <c r="V38" s="468">
        <v>240</v>
      </c>
      <c r="W38" s="315">
        <f>61+12</f>
        <v>73</v>
      </c>
      <c r="X38" s="468">
        <f t="shared" si="16"/>
        <v>11.999999999999996</v>
      </c>
      <c r="Y38" s="469">
        <f t="shared" si="17"/>
        <v>85</v>
      </c>
      <c r="Z38" s="470">
        <f t="shared" si="18"/>
        <v>155</v>
      </c>
      <c r="AA38" s="471">
        <v>53927017.770833328</v>
      </c>
      <c r="AB38" s="471">
        <v>123367287.22916667</v>
      </c>
      <c r="AC38" s="471">
        <f t="shared" si="19"/>
        <v>8864715.2499999981</v>
      </c>
      <c r="AD38" s="471">
        <v>738726.27083333337</v>
      </c>
      <c r="AE38" s="471">
        <v>738726.27083333337</v>
      </c>
      <c r="AF38" s="471">
        <v>738726.27083333337</v>
      </c>
      <c r="AG38" s="471">
        <v>738726.27083333337</v>
      </c>
      <c r="AH38" s="471">
        <v>738726.27083333337</v>
      </c>
      <c r="AI38" s="471">
        <v>738726.27083333337</v>
      </c>
      <c r="AJ38" s="471">
        <v>738726.27083333337</v>
      </c>
      <c r="AK38" s="471">
        <v>738726.27083333337</v>
      </c>
      <c r="AL38" s="471">
        <v>738726.27083333337</v>
      </c>
      <c r="AM38" s="471">
        <v>738726.27083333337</v>
      </c>
      <c r="AN38" s="471">
        <v>738726.27083333337</v>
      </c>
      <c r="AO38" s="471">
        <v>738726.27083333337</v>
      </c>
      <c r="AP38" s="471">
        <f t="shared" si="20"/>
        <v>62791733.020833328</v>
      </c>
      <c r="AQ38" s="472">
        <f t="shared" si="21"/>
        <v>114502571.97916667</v>
      </c>
      <c r="AR38" s="473"/>
      <c r="AS38" s="473"/>
      <c r="AT38" s="474"/>
      <c r="AU38" s="475"/>
      <c r="AV38" s="146" t="s">
        <v>1236</v>
      </c>
      <c r="AW38" s="146">
        <f>IFERROR(VLOOKUP(G38,'[70]Detail Deprec_202508'!$D$33:$I$357,6,FALSE),0)</f>
        <v>738726.27</v>
      </c>
      <c r="AX38" s="146">
        <f t="shared" si="22"/>
        <v>-8.3333335351198912E-4</v>
      </c>
    </row>
    <row r="39" spans="1:50" outlineLevel="1">
      <c r="A39" s="324">
        <v>14</v>
      </c>
      <c r="B39" s="306" t="s">
        <v>142</v>
      </c>
      <c r="C39" s="309" t="s">
        <v>143</v>
      </c>
      <c r="D39" s="304">
        <v>153</v>
      </c>
      <c r="E39" s="304" t="s">
        <v>1705</v>
      </c>
      <c r="F39" s="306" t="s">
        <v>178</v>
      </c>
      <c r="G39" s="306" t="s">
        <v>179</v>
      </c>
      <c r="H39" s="325">
        <v>41639</v>
      </c>
      <c r="I39" s="326" t="s">
        <v>9</v>
      </c>
      <c r="J39" s="309">
        <v>2005</v>
      </c>
      <c r="K39" s="309" t="s">
        <v>180</v>
      </c>
      <c r="L39" s="309" t="s">
        <v>181</v>
      </c>
      <c r="M39" s="309" t="s">
        <v>182</v>
      </c>
      <c r="N39" s="309">
        <v>2013</v>
      </c>
      <c r="O39" s="309"/>
      <c r="P39" s="309"/>
      <c r="Q39" s="309"/>
      <c r="R39" s="304">
        <v>1</v>
      </c>
      <c r="S39" s="337">
        <v>4082</v>
      </c>
      <c r="T39" s="327">
        <v>48890114</v>
      </c>
      <c r="U39" s="327">
        <f t="shared" ref="U39:U102" si="24">+T39/V39</f>
        <v>814835.23333333328</v>
      </c>
      <c r="V39" s="328">
        <v>60</v>
      </c>
      <c r="W39" s="329">
        <v>59.999999999999986</v>
      </c>
      <c r="X39" s="328">
        <f t="shared" ref="X39:X102" si="25">+AC39/U39</f>
        <v>0</v>
      </c>
      <c r="Y39" s="336">
        <f t="shared" ref="Y39:Y102" si="26">+W39+X39</f>
        <v>59.999999999999986</v>
      </c>
      <c r="Z39" s="330">
        <f t="shared" ref="Z39:Z102" si="27">+V39-Y39</f>
        <v>0</v>
      </c>
      <c r="AA39" s="331">
        <v>48890113.999999985</v>
      </c>
      <c r="AB39" s="331">
        <v>1.4901161193847656E-8</v>
      </c>
      <c r="AC39" s="331">
        <f t="shared" ref="AC39:AC61" si="28">SUM(AD39:AL39)</f>
        <v>0</v>
      </c>
      <c r="AD39" s="331"/>
      <c r="AE39" s="331"/>
      <c r="AF39" s="331"/>
      <c r="AG39" s="331"/>
      <c r="AH39" s="331"/>
      <c r="AI39" s="331"/>
      <c r="AJ39" s="331"/>
      <c r="AK39" s="331"/>
      <c r="AL39" s="331"/>
      <c r="AM39" s="331"/>
      <c r="AN39" s="331"/>
      <c r="AO39" s="331"/>
      <c r="AP39" s="331">
        <f t="shared" ref="AP39:AP102" si="29">+AA39+AC39</f>
        <v>48890113.999999985</v>
      </c>
      <c r="AQ39" s="332">
        <f t="shared" ref="AQ39:AQ102" si="30">IF(AS39=$AS$24,((T39-AP39)*0),T39-AP39)</f>
        <v>1.4901161193847656E-8</v>
      </c>
      <c r="AR39" s="333"/>
      <c r="AS39" s="333"/>
      <c r="AT39" s="321"/>
      <c r="AU39" s="334"/>
      <c r="AV39" s="146" t="s">
        <v>1236</v>
      </c>
      <c r="AW39" s="146">
        <f>IFERROR(VLOOKUP(G39,'[70]Detail Deprec_202508'!$D$33:$I$357,6,FALSE),0)</f>
        <v>0</v>
      </c>
      <c r="AX39" s="146">
        <f t="shared" si="22"/>
        <v>0</v>
      </c>
    </row>
    <row r="40" spans="1:50" outlineLevel="1">
      <c r="A40" s="324">
        <f t="shared" ref="A40:A103" si="31">+A39+1</f>
        <v>15</v>
      </c>
      <c r="B40" s="306" t="s">
        <v>142</v>
      </c>
      <c r="C40" s="309" t="s">
        <v>143</v>
      </c>
      <c r="D40" s="304">
        <v>153</v>
      </c>
      <c r="E40" s="304" t="s">
        <v>1705</v>
      </c>
      <c r="F40" s="306" t="s">
        <v>183</v>
      </c>
      <c r="G40" s="306" t="s">
        <v>184</v>
      </c>
      <c r="H40" s="325">
        <v>41639</v>
      </c>
      <c r="I40" s="326" t="s">
        <v>9</v>
      </c>
      <c r="J40" s="309">
        <v>2007</v>
      </c>
      <c r="K40" s="309" t="s">
        <v>185</v>
      </c>
      <c r="L40" s="309" t="s">
        <v>181</v>
      </c>
      <c r="M40" s="309" t="s">
        <v>182</v>
      </c>
      <c r="N40" s="309">
        <v>2013</v>
      </c>
      <c r="O40" s="309"/>
      <c r="P40" s="309"/>
      <c r="Q40" s="309"/>
      <c r="R40" s="304">
        <v>1</v>
      </c>
      <c r="S40" s="337">
        <v>40583.96</v>
      </c>
      <c r="T40" s="327">
        <v>486074088.92000002</v>
      </c>
      <c r="U40" s="327">
        <f t="shared" si="24"/>
        <v>8101234.8153333338</v>
      </c>
      <c r="V40" s="328">
        <v>60</v>
      </c>
      <c r="W40" s="329">
        <v>60.000000000000014</v>
      </c>
      <c r="X40" s="328">
        <f t="shared" si="25"/>
        <v>0</v>
      </c>
      <c r="Y40" s="336">
        <f t="shared" si="26"/>
        <v>60.000000000000014</v>
      </c>
      <c r="Z40" s="330">
        <f t="shared" si="27"/>
        <v>0</v>
      </c>
      <c r="AA40" s="331">
        <v>486074088.92000014</v>
      </c>
      <c r="AB40" s="331">
        <v>-1.1920928955078125E-7</v>
      </c>
      <c r="AC40" s="331">
        <f t="shared" si="28"/>
        <v>0</v>
      </c>
      <c r="AD40" s="331"/>
      <c r="AE40" s="331"/>
      <c r="AF40" s="331"/>
      <c r="AG40" s="331"/>
      <c r="AH40" s="331"/>
      <c r="AI40" s="331"/>
      <c r="AJ40" s="331"/>
      <c r="AK40" s="331"/>
      <c r="AL40" s="331"/>
      <c r="AM40" s="331"/>
      <c r="AN40" s="331"/>
      <c r="AO40" s="331"/>
      <c r="AP40" s="331">
        <f t="shared" si="29"/>
        <v>486074088.92000014</v>
      </c>
      <c r="AQ40" s="332">
        <f t="shared" si="30"/>
        <v>-1.1920928955078125E-7</v>
      </c>
      <c r="AR40" s="333"/>
      <c r="AS40" s="333"/>
      <c r="AT40" s="321"/>
      <c r="AU40" s="334"/>
      <c r="AV40" s="146" t="s">
        <v>1236</v>
      </c>
      <c r="AW40" s="146">
        <f>IFERROR(VLOOKUP(G40,'[70]Detail Deprec_202508'!$D$33:$I$357,6,FALSE),0)</f>
        <v>0</v>
      </c>
      <c r="AX40" s="146">
        <f t="shared" si="22"/>
        <v>0</v>
      </c>
    </row>
    <row r="41" spans="1:50" outlineLevel="1">
      <c r="A41" s="324">
        <f t="shared" si="31"/>
        <v>16</v>
      </c>
      <c r="B41" s="306" t="s">
        <v>142</v>
      </c>
      <c r="C41" s="309" t="s">
        <v>143</v>
      </c>
      <c r="D41" s="304">
        <v>153</v>
      </c>
      <c r="E41" s="304" t="s">
        <v>1705</v>
      </c>
      <c r="F41" s="306" t="s">
        <v>186</v>
      </c>
      <c r="G41" s="306" t="s">
        <v>187</v>
      </c>
      <c r="H41" s="325">
        <v>41639</v>
      </c>
      <c r="I41" s="326" t="s">
        <v>9</v>
      </c>
      <c r="J41" s="309">
        <v>2008</v>
      </c>
      <c r="K41" s="309" t="s">
        <v>188</v>
      </c>
      <c r="L41" s="309" t="s">
        <v>181</v>
      </c>
      <c r="M41" s="309" t="s">
        <v>182</v>
      </c>
      <c r="N41" s="309">
        <v>2013</v>
      </c>
      <c r="O41" s="309"/>
      <c r="P41" s="309"/>
      <c r="Q41" s="309"/>
      <c r="R41" s="304">
        <v>1</v>
      </c>
      <c r="S41" s="337">
        <v>4246</v>
      </c>
      <c r="T41" s="327">
        <v>50854342</v>
      </c>
      <c r="U41" s="327">
        <f t="shared" si="24"/>
        <v>847572.3666666667</v>
      </c>
      <c r="V41" s="328">
        <v>60</v>
      </c>
      <c r="W41" s="329">
        <v>60.000000000000021</v>
      </c>
      <c r="X41" s="328">
        <f t="shared" si="25"/>
        <v>0</v>
      </c>
      <c r="Y41" s="336">
        <f t="shared" si="26"/>
        <v>60.000000000000021</v>
      </c>
      <c r="Z41" s="330">
        <f t="shared" si="27"/>
        <v>0</v>
      </c>
      <c r="AA41" s="331">
        <v>50854342.000000022</v>
      </c>
      <c r="AB41" s="331">
        <v>-2.2351741790771484E-8</v>
      </c>
      <c r="AC41" s="331">
        <f t="shared" si="28"/>
        <v>0</v>
      </c>
      <c r="AD41" s="331"/>
      <c r="AE41" s="331"/>
      <c r="AF41" s="331"/>
      <c r="AG41" s="331"/>
      <c r="AH41" s="331"/>
      <c r="AI41" s="331"/>
      <c r="AJ41" s="331"/>
      <c r="AK41" s="331"/>
      <c r="AL41" s="331"/>
      <c r="AM41" s="331"/>
      <c r="AN41" s="331"/>
      <c r="AO41" s="331"/>
      <c r="AP41" s="331">
        <f t="shared" si="29"/>
        <v>50854342.000000022</v>
      </c>
      <c r="AQ41" s="332">
        <f t="shared" si="30"/>
        <v>-2.2351741790771484E-8</v>
      </c>
      <c r="AR41" s="333"/>
      <c r="AS41" s="333"/>
      <c r="AT41" s="321"/>
      <c r="AU41" s="334"/>
      <c r="AV41" s="146" t="s">
        <v>1236</v>
      </c>
      <c r="AW41" s="146">
        <f>IFERROR(VLOOKUP(G41,'[70]Detail Deprec_202508'!$D$33:$I$357,6,FALSE),0)</f>
        <v>0</v>
      </c>
      <c r="AX41" s="146">
        <f t="shared" si="22"/>
        <v>0</v>
      </c>
    </row>
    <row r="42" spans="1:50" outlineLevel="1">
      <c r="A42" s="324">
        <f t="shared" si="31"/>
        <v>17</v>
      </c>
      <c r="B42" s="306" t="s">
        <v>142</v>
      </c>
      <c r="C42" s="309" t="s">
        <v>143</v>
      </c>
      <c r="D42" s="304">
        <v>153</v>
      </c>
      <c r="E42" s="304" t="s">
        <v>1705</v>
      </c>
      <c r="F42" s="306" t="s">
        <v>189</v>
      </c>
      <c r="G42" s="306" t="s">
        <v>190</v>
      </c>
      <c r="H42" s="325">
        <v>41639</v>
      </c>
      <c r="I42" s="326" t="s">
        <v>9</v>
      </c>
      <c r="J42" s="309">
        <v>2011</v>
      </c>
      <c r="K42" s="309" t="s">
        <v>180</v>
      </c>
      <c r="L42" s="309" t="s">
        <v>181</v>
      </c>
      <c r="M42" s="309" t="s">
        <v>182</v>
      </c>
      <c r="N42" s="309">
        <v>2013</v>
      </c>
      <c r="O42" s="309"/>
      <c r="P42" s="309"/>
      <c r="Q42" s="309"/>
      <c r="R42" s="304">
        <v>1</v>
      </c>
      <c r="S42" s="337">
        <v>519</v>
      </c>
      <c r="T42" s="327">
        <v>6216063</v>
      </c>
      <c r="U42" s="327">
        <f t="shared" si="24"/>
        <v>103601.05</v>
      </c>
      <c r="V42" s="328">
        <v>60</v>
      </c>
      <c r="W42" s="329">
        <v>60.000000000000014</v>
      </c>
      <c r="X42" s="328">
        <f t="shared" si="25"/>
        <v>0</v>
      </c>
      <c r="Y42" s="336">
        <f t="shared" si="26"/>
        <v>60.000000000000014</v>
      </c>
      <c r="Z42" s="330">
        <f t="shared" si="27"/>
        <v>0</v>
      </c>
      <c r="AA42" s="331">
        <v>6216063.0000000019</v>
      </c>
      <c r="AB42" s="331">
        <v>-1.862645149230957E-9</v>
      </c>
      <c r="AC42" s="331">
        <f t="shared" si="28"/>
        <v>0</v>
      </c>
      <c r="AD42" s="331"/>
      <c r="AE42" s="331"/>
      <c r="AF42" s="331"/>
      <c r="AG42" s="331"/>
      <c r="AH42" s="331"/>
      <c r="AI42" s="331"/>
      <c r="AJ42" s="331"/>
      <c r="AK42" s="331"/>
      <c r="AL42" s="331"/>
      <c r="AM42" s="331"/>
      <c r="AN42" s="331"/>
      <c r="AO42" s="331"/>
      <c r="AP42" s="331">
        <f t="shared" si="29"/>
        <v>6216063.0000000019</v>
      </c>
      <c r="AQ42" s="332">
        <f t="shared" si="30"/>
        <v>-1.862645149230957E-9</v>
      </c>
      <c r="AR42" s="333"/>
      <c r="AS42" s="333"/>
      <c r="AT42" s="321"/>
      <c r="AU42" s="334"/>
      <c r="AV42" s="146" t="s">
        <v>1236</v>
      </c>
      <c r="AW42" s="146">
        <f>IFERROR(VLOOKUP(G42,'[70]Detail Deprec_202508'!$D$33:$I$357,6,FALSE),0)</f>
        <v>0</v>
      </c>
      <c r="AX42" s="146">
        <f t="shared" si="22"/>
        <v>0</v>
      </c>
    </row>
    <row r="43" spans="1:50" outlineLevel="1">
      <c r="A43" s="324">
        <f t="shared" si="31"/>
        <v>18</v>
      </c>
      <c r="B43" s="306" t="s">
        <v>142</v>
      </c>
      <c r="C43" s="309" t="s">
        <v>143</v>
      </c>
      <c r="D43" s="304">
        <v>153</v>
      </c>
      <c r="E43" s="304" t="s">
        <v>1705</v>
      </c>
      <c r="F43" s="306" t="s">
        <v>192</v>
      </c>
      <c r="G43" s="306" t="s">
        <v>193</v>
      </c>
      <c r="H43" s="325">
        <v>41759</v>
      </c>
      <c r="I43" s="326" t="s">
        <v>9</v>
      </c>
      <c r="J43" s="309">
        <v>64</v>
      </c>
      <c r="K43" s="309" t="s">
        <v>194</v>
      </c>
      <c r="L43" s="309" t="s">
        <v>195</v>
      </c>
      <c r="M43" s="309"/>
      <c r="N43" s="309">
        <v>2014</v>
      </c>
      <c r="O43" s="309"/>
      <c r="P43" s="309"/>
      <c r="Q43" s="309"/>
      <c r="R43" s="304">
        <v>1</v>
      </c>
      <c r="S43" s="337"/>
      <c r="T43" s="327">
        <v>156382893</v>
      </c>
      <c r="U43" s="327">
        <f t="shared" si="24"/>
        <v>2606381.5499999998</v>
      </c>
      <c r="V43" s="328">
        <v>60</v>
      </c>
      <c r="W43" s="329">
        <v>60.000000000000007</v>
      </c>
      <c r="X43" s="328">
        <f t="shared" si="25"/>
        <v>0</v>
      </c>
      <c r="Y43" s="336">
        <f t="shared" si="26"/>
        <v>60.000000000000007</v>
      </c>
      <c r="Z43" s="330">
        <f t="shared" si="27"/>
        <v>0</v>
      </c>
      <c r="AA43" s="331">
        <v>156382893</v>
      </c>
      <c r="AB43" s="331">
        <v>0</v>
      </c>
      <c r="AC43" s="331">
        <f t="shared" si="28"/>
        <v>0</v>
      </c>
      <c r="AD43" s="331"/>
      <c r="AE43" s="331"/>
      <c r="AF43" s="331"/>
      <c r="AG43" s="331"/>
      <c r="AH43" s="331"/>
      <c r="AI43" s="331"/>
      <c r="AJ43" s="331"/>
      <c r="AK43" s="331"/>
      <c r="AL43" s="331"/>
      <c r="AM43" s="331"/>
      <c r="AN43" s="331"/>
      <c r="AO43" s="331"/>
      <c r="AP43" s="331">
        <f t="shared" si="29"/>
        <v>156382893</v>
      </c>
      <c r="AQ43" s="332">
        <f t="shared" si="30"/>
        <v>0</v>
      </c>
      <c r="AR43" s="333"/>
      <c r="AS43" s="333"/>
      <c r="AT43" s="321"/>
      <c r="AU43" s="334"/>
      <c r="AV43" s="146" t="s">
        <v>1236</v>
      </c>
      <c r="AW43" s="146">
        <f>IFERROR(VLOOKUP(G43,'[70]Detail Deprec_202508'!$D$33:$I$357,6,FALSE),0)</f>
        <v>0</v>
      </c>
      <c r="AX43" s="146">
        <f t="shared" si="22"/>
        <v>0</v>
      </c>
    </row>
    <row r="44" spans="1:50" outlineLevel="1">
      <c r="A44" s="324">
        <f t="shared" si="31"/>
        <v>19</v>
      </c>
      <c r="B44" s="306" t="s">
        <v>197</v>
      </c>
      <c r="C44" s="344" t="s">
        <v>143</v>
      </c>
      <c r="D44" s="304">
        <v>153</v>
      </c>
      <c r="E44" s="304" t="s">
        <v>1087</v>
      </c>
      <c r="F44" s="306" t="s">
        <v>198</v>
      </c>
      <c r="G44" s="306" t="s">
        <v>199</v>
      </c>
      <c r="H44" s="325">
        <v>42366</v>
      </c>
      <c r="I44" s="326" t="s">
        <v>9</v>
      </c>
      <c r="J44" s="340" t="s">
        <v>200</v>
      </c>
      <c r="K44" s="309" t="s">
        <v>201</v>
      </c>
      <c r="L44" s="309" t="s">
        <v>191</v>
      </c>
      <c r="M44" s="309"/>
      <c r="N44" s="309">
        <v>2015</v>
      </c>
      <c r="O44" s="309"/>
      <c r="P44" s="309"/>
      <c r="Q44" s="309"/>
      <c r="R44" s="304">
        <v>1</v>
      </c>
      <c r="S44" s="337">
        <v>26310</v>
      </c>
      <c r="T44" s="338">
        <v>364130400</v>
      </c>
      <c r="U44" s="327">
        <f t="shared" si="24"/>
        <v>6068840</v>
      </c>
      <c r="V44" s="328">
        <v>60</v>
      </c>
      <c r="W44" s="329">
        <v>60</v>
      </c>
      <c r="X44" s="328">
        <f t="shared" si="25"/>
        <v>0</v>
      </c>
      <c r="Y44" s="330">
        <f t="shared" si="26"/>
        <v>60</v>
      </c>
      <c r="Z44" s="330">
        <f t="shared" si="27"/>
        <v>0</v>
      </c>
      <c r="AA44" s="331">
        <v>364130400</v>
      </c>
      <c r="AB44" s="331">
        <v>0</v>
      </c>
      <c r="AC44" s="331">
        <f t="shared" si="28"/>
        <v>0</v>
      </c>
      <c r="AD44" s="331"/>
      <c r="AE44" s="331"/>
      <c r="AF44" s="331"/>
      <c r="AG44" s="331"/>
      <c r="AH44" s="331"/>
      <c r="AI44" s="331"/>
      <c r="AJ44" s="331"/>
      <c r="AK44" s="331"/>
      <c r="AL44" s="331"/>
      <c r="AM44" s="331"/>
      <c r="AN44" s="331"/>
      <c r="AO44" s="331"/>
      <c r="AP44" s="331">
        <f t="shared" si="29"/>
        <v>364130400</v>
      </c>
      <c r="AQ44" s="332">
        <f t="shared" si="30"/>
        <v>0</v>
      </c>
      <c r="AR44" s="333"/>
      <c r="AS44" s="333"/>
      <c r="AT44" s="321"/>
      <c r="AU44" s="334"/>
      <c r="AV44" s="146" t="s">
        <v>1236</v>
      </c>
      <c r="AW44" s="146">
        <f>IFERROR(VLOOKUP(G44,'[70]Detail Deprec_202508'!$D$33:$I$357,6,FALSE),0)</f>
        <v>0</v>
      </c>
      <c r="AX44" s="146">
        <f t="shared" si="22"/>
        <v>0</v>
      </c>
    </row>
    <row r="45" spans="1:50" outlineLevel="1">
      <c r="A45" s="324">
        <f t="shared" si="31"/>
        <v>20</v>
      </c>
      <c r="B45" s="306" t="s">
        <v>142</v>
      </c>
      <c r="C45" s="344" t="s">
        <v>143</v>
      </c>
      <c r="D45" s="304">
        <v>153</v>
      </c>
      <c r="E45" s="304" t="s">
        <v>1705</v>
      </c>
      <c r="F45" s="306" t="s">
        <v>202</v>
      </c>
      <c r="G45" s="306" t="s">
        <v>203</v>
      </c>
      <c r="H45" s="325">
        <v>42366</v>
      </c>
      <c r="I45" s="326" t="s">
        <v>9</v>
      </c>
      <c r="J45" s="340" t="s">
        <v>204</v>
      </c>
      <c r="K45" s="309" t="s">
        <v>205</v>
      </c>
      <c r="L45" s="309" t="s">
        <v>196</v>
      </c>
      <c r="M45" s="309" t="s">
        <v>206</v>
      </c>
      <c r="N45" s="309">
        <v>2015</v>
      </c>
      <c r="O45" s="309"/>
      <c r="P45" s="309"/>
      <c r="Q45" s="309"/>
      <c r="R45" s="304">
        <v>1</v>
      </c>
      <c r="S45" s="337"/>
      <c r="T45" s="338">
        <v>227000000</v>
      </c>
      <c r="U45" s="327">
        <f t="shared" si="24"/>
        <v>3783333.3333333335</v>
      </c>
      <c r="V45" s="328">
        <v>60</v>
      </c>
      <c r="W45" s="329">
        <v>60.000000000000007</v>
      </c>
      <c r="X45" s="328">
        <f t="shared" si="25"/>
        <v>0</v>
      </c>
      <c r="Y45" s="330">
        <f t="shared" si="26"/>
        <v>60.000000000000007</v>
      </c>
      <c r="Z45" s="330">
        <f t="shared" si="27"/>
        <v>0</v>
      </c>
      <c r="AA45" s="331">
        <v>227000000.00000003</v>
      </c>
      <c r="AB45" s="331">
        <v>-2.9802322387695313E-8</v>
      </c>
      <c r="AC45" s="331">
        <f t="shared" si="28"/>
        <v>0</v>
      </c>
      <c r="AD45" s="331"/>
      <c r="AE45" s="331"/>
      <c r="AF45" s="331"/>
      <c r="AG45" s="331"/>
      <c r="AH45" s="331"/>
      <c r="AI45" s="331"/>
      <c r="AJ45" s="331"/>
      <c r="AK45" s="331"/>
      <c r="AL45" s="331"/>
      <c r="AM45" s="331"/>
      <c r="AN45" s="331"/>
      <c r="AO45" s="331"/>
      <c r="AP45" s="331">
        <f t="shared" si="29"/>
        <v>227000000.00000003</v>
      </c>
      <c r="AQ45" s="332">
        <f t="shared" si="30"/>
        <v>-2.9802322387695313E-8</v>
      </c>
      <c r="AR45" s="333"/>
      <c r="AS45" s="333"/>
      <c r="AT45" s="321"/>
      <c r="AU45" s="334"/>
      <c r="AV45" s="146" t="s">
        <v>1236</v>
      </c>
      <c r="AW45" s="146">
        <f>IFERROR(VLOOKUP(G45,'[70]Detail Deprec_202508'!$D$33:$I$357,6,FALSE),0)</f>
        <v>0</v>
      </c>
      <c r="AX45" s="146">
        <f t="shared" si="22"/>
        <v>0</v>
      </c>
    </row>
    <row r="46" spans="1:50" outlineLevel="1">
      <c r="A46" s="324">
        <f t="shared" si="31"/>
        <v>21</v>
      </c>
      <c r="B46" s="306" t="s">
        <v>142</v>
      </c>
      <c r="C46" s="344" t="s">
        <v>143</v>
      </c>
      <c r="D46" s="304">
        <v>153</v>
      </c>
      <c r="E46" s="304" t="s">
        <v>1706</v>
      </c>
      <c r="F46" s="306" t="s">
        <v>207</v>
      </c>
      <c r="G46" s="306" t="s">
        <v>208</v>
      </c>
      <c r="H46" s="325">
        <v>42397</v>
      </c>
      <c r="I46" s="326" t="s">
        <v>9</v>
      </c>
      <c r="J46" s="340" t="s">
        <v>209</v>
      </c>
      <c r="K46" s="309" t="s">
        <v>210</v>
      </c>
      <c r="L46" s="309" t="s">
        <v>191</v>
      </c>
      <c r="M46" s="309" t="s">
        <v>211</v>
      </c>
      <c r="N46" s="309">
        <v>2016</v>
      </c>
      <c r="O46" s="309"/>
      <c r="P46" s="309"/>
      <c r="Q46" s="309"/>
      <c r="R46" s="304">
        <v>1</v>
      </c>
      <c r="S46" s="337"/>
      <c r="T46" s="327">
        <v>745885600</v>
      </c>
      <c r="U46" s="327">
        <f t="shared" si="24"/>
        <v>12431426.666666666</v>
      </c>
      <c r="V46" s="328">
        <v>60</v>
      </c>
      <c r="W46" s="329">
        <v>60</v>
      </c>
      <c r="X46" s="328">
        <f t="shared" si="25"/>
        <v>0</v>
      </c>
      <c r="Y46" s="330">
        <f t="shared" si="26"/>
        <v>60</v>
      </c>
      <c r="Z46" s="330">
        <f t="shared" si="27"/>
        <v>0</v>
      </c>
      <c r="AA46" s="331">
        <v>745885600</v>
      </c>
      <c r="AB46" s="331">
        <v>0</v>
      </c>
      <c r="AC46" s="331">
        <f t="shared" si="28"/>
        <v>0</v>
      </c>
      <c r="AD46" s="331"/>
      <c r="AE46" s="331"/>
      <c r="AF46" s="331"/>
      <c r="AG46" s="331"/>
      <c r="AH46" s="331"/>
      <c r="AI46" s="331"/>
      <c r="AJ46" s="331"/>
      <c r="AK46" s="331"/>
      <c r="AL46" s="331"/>
      <c r="AM46" s="331"/>
      <c r="AN46" s="331"/>
      <c r="AO46" s="331"/>
      <c r="AP46" s="331">
        <f t="shared" si="29"/>
        <v>745885600</v>
      </c>
      <c r="AQ46" s="332">
        <f t="shared" si="30"/>
        <v>0</v>
      </c>
      <c r="AR46" s="333"/>
      <c r="AS46" s="333"/>
      <c r="AT46" s="321"/>
      <c r="AU46" s="334"/>
      <c r="AV46" s="146" t="s">
        <v>1236</v>
      </c>
      <c r="AW46" s="146">
        <f>IFERROR(VLOOKUP(G46,'[70]Detail Deprec_202508'!$D$33:$I$357,6,FALSE),0)</f>
        <v>0</v>
      </c>
      <c r="AX46" s="146">
        <f t="shared" si="22"/>
        <v>0</v>
      </c>
    </row>
    <row r="47" spans="1:50" outlineLevel="1">
      <c r="A47" s="324">
        <f t="shared" si="31"/>
        <v>22</v>
      </c>
      <c r="B47" s="306" t="s">
        <v>142</v>
      </c>
      <c r="C47" s="344" t="s">
        <v>143</v>
      </c>
      <c r="D47" s="304">
        <v>153</v>
      </c>
      <c r="E47" s="304" t="s">
        <v>1707</v>
      </c>
      <c r="F47" s="306" t="s">
        <v>212</v>
      </c>
      <c r="G47" s="306" t="s">
        <v>213</v>
      </c>
      <c r="H47" s="325">
        <v>42429</v>
      </c>
      <c r="I47" s="326" t="s">
        <v>9</v>
      </c>
      <c r="J47" s="340" t="s">
        <v>214</v>
      </c>
      <c r="K47" s="309" t="s">
        <v>215</v>
      </c>
      <c r="L47" s="309" t="s">
        <v>191</v>
      </c>
      <c r="M47" s="309" t="s">
        <v>216</v>
      </c>
      <c r="N47" s="309">
        <v>2016</v>
      </c>
      <c r="O47" s="309"/>
      <c r="P47" s="309"/>
      <c r="Q47" s="309"/>
      <c r="R47" s="304">
        <v>1</v>
      </c>
      <c r="S47" s="337"/>
      <c r="T47" s="327">
        <v>45560000</v>
      </c>
      <c r="U47" s="327">
        <f t="shared" si="24"/>
        <v>759333.33333333337</v>
      </c>
      <c r="V47" s="328">
        <v>60</v>
      </c>
      <c r="W47" s="329">
        <v>59.999999999999986</v>
      </c>
      <c r="X47" s="328">
        <f t="shared" si="25"/>
        <v>0</v>
      </c>
      <c r="Y47" s="330">
        <f t="shared" si="26"/>
        <v>59.999999999999986</v>
      </c>
      <c r="Z47" s="330">
        <f t="shared" si="27"/>
        <v>0</v>
      </c>
      <c r="AA47" s="331">
        <v>45559999.999999993</v>
      </c>
      <c r="AB47" s="331">
        <v>7.4505805969238281E-9</v>
      </c>
      <c r="AC47" s="331">
        <f t="shared" si="28"/>
        <v>0</v>
      </c>
      <c r="AD47" s="331"/>
      <c r="AE47" s="331"/>
      <c r="AF47" s="331"/>
      <c r="AG47" s="331"/>
      <c r="AH47" s="331"/>
      <c r="AI47" s="331"/>
      <c r="AJ47" s="331"/>
      <c r="AK47" s="331"/>
      <c r="AL47" s="331"/>
      <c r="AM47" s="331"/>
      <c r="AN47" s="331"/>
      <c r="AO47" s="331"/>
      <c r="AP47" s="331">
        <f t="shared" si="29"/>
        <v>45559999.999999993</v>
      </c>
      <c r="AQ47" s="332">
        <f t="shared" si="30"/>
        <v>7.4505805969238281E-9</v>
      </c>
      <c r="AR47" s="333"/>
      <c r="AS47" s="333"/>
      <c r="AT47" s="321"/>
      <c r="AU47" s="334"/>
      <c r="AV47" s="146" t="s">
        <v>1236</v>
      </c>
      <c r="AW47" s="146">
        <f>IFERROR(VLOOKUP(G47,'[70]Detail Deprec_202508'!$D$33:$I$357,6,FALSE),0)</f>
        <v>0</v>
      </c>
      <c r="AX47" s="146">
        <f t="shared" si="22"/>
        <v>0</v>
      </c>
    </row>
    <row r="48" spans="1:50" outlineLevel="1">
      <c r="A48" s="324">
        <f t="shared" si="31"/>
        <v>23</v>
      </c>
      <c r="B48" s="306" t="s">
        <v>142</v>
      </c>
      <c r="C48" s="344" t="s">
        <v>143</v>
      </c>
      <c r="D48" s="304">
        <v>153</v>
      </c>
      <c r="E48" s="304" t="s">
        <v>1706</v>
      </c>
      <c r="F48" s="306" t="s">
        <v>217</v>
      </c>
      <c r="G48" s="306" t="s">
        <v>218</v>
      </c>
      <c r="H48" s="325">
        <v>42489</v>
      </c>
      <c r="I48" s="326" t="s">
        <v>9</v>
      </c>
      <c r="J48" s="340" t="s">
        <v>219</v>
      </c>
      <c r="K48" s="309" t="s">
        <v>220</v>
      </c>
      <c r="L48" s="309" t="s">
        <v>181</v>
      </c>
      <c r="M48" s="309" t="s">
        <v>221</v>
      </c>
      <c r="N48" s="309">
        <v>2016</v>
      </c>
      <c r="O48" s="309"/>
      <c r="P48" s="309"/>
      <c r="Q48" s="309"/>
      <c r="R48" s="304">
        <v>1</v>
      </c>
      <c r="S48" s="337">
        <v>66652.350000000006</v>
      </c>
      <c r="T48" s="327">
        <v>884876598.60000002</v>
      </c>
      <c r="U48" s="327">
        <f t="shared" si="24"/>
        <v>14747943.310000001</v>
      </c>
      <c r="V48" s="328">
        <v>60</v>
      </c>
      <c r="W48" s="329">
        <v>60</v>
      </c>
      <c r="X48" s="328">
        <f t="shared" si="25"/>
        <v>0</v>
      </c>
      <c r="Y48" s="330">
        <f t="shared" si="26"/>
        <v>60</v>
      </c>
      <c r="Z48" s="330">
        <f t="shared" si="27"/>
        <v>0</v>
      </c>
      <c r="AA48" s="331">
        <v>884876598.60000002</v>
      </c>
      <c r="AB48" s="331">
        <v>0</v>
      </c>
      <c r="AC48" s="331">
        <f t="shared" si="28"/>
        <v>0</v>
      </c>
      <c r="AD48" s="331"/>
      <c r="AE48" s="331"/>
      <c r="AF48" s="331"/>
      <c r="AG48" s="331"/>
      <c r="AH48" s="331"/>
      <c r="AI48" s="331"/>
      <c r="AJ48" s="331"/>
      <c r="AK48" s="331"/>
      <c r="AL48" s="331"/>
      <c r="AM48" s="331"/>
      <c r="AN48" s="331"/>
      <c r="AO48" s="331"/>
      <c r="AP48" s="331">
        <f t="shared" si="29"/>
        <v>884876598.60000002</v>
      </c>
      <c r="AQ48" s="332">
        <f t="shared" si="30"/>
        <v>0</v>
      </c>
      <c r="AR48" s="333"/>
      <c r="AS48" s="333"/>
      <c r="AT48" s="321"/>
      <c r="AU48" s="334"/>
      <c r="AV48" s="146" t="s">
        <v>1236</v>
      </c>
      <c r="AW48" s="146">
        <f>IFERROR(VLOOKUP(G48,'[70]Detail Deprec_202508'!$D$33:$I$357,6,FALSE),0)</f>
        <v>0</v>
      </c>
      <c r="AX48" s="146">
        <f t="shared" si="22"/>
        <v>0</v>
      </c>
    </row>
    <row r="49" spans="1:50" outlineLevel="1">
      <c r="A49" s="324">
        <f t="shared" si="31"/>
        <v>24</v>
      </c>
      <c r="B49" s="306" t="s">
        <v>142</v>
      </c>
      <c r="C49" s="344" t="s">
        <v>143</v>
      </c>
      <c r="D49" s="304">
        <v>153</v>
      </c>
      <c r="E49" s="304" t="s">
        <v>1707</v>
      </c>
      <c r="F49" s="306" t="s">
        <v>222</v>
      </c>
      <c r="G49" s="306" t="s">
        <v>223</v>
      </c>
      <c r="H49" s="325">
        <v>42489</v>
      </c>
      <c r="I49" s="326" t="s">
        <v>9</v>
      </c>
      <c r="J49" s="340" t="s">
        <v>219</v>
      </c>
      <c r="K49" s="309" t="s">
        <v>224</v>
      </c>
      <c r="L49" s="309" t="s">
        <v>181</v>
      </c>
      <c r="M49" s="309"/>
      <c r="N49" s="309">
        <v>2016</v>
      </c>
      <c r="O49" s="309"/>
      <c r="P49" s="309"/>
      <c r="Q49" s="309"/>
      <c r="R49" s="304">
        <v>1</v>
      </c>
      <c r="S49" s="337"/>
      <c r="T49" s="327">
        <v>303068283</v>
      </c>
      <c r="U49" s="327">
        <f t="shared" si="24"/>
        <v>5051138.05</v>
      </c>
      <c r="V49" s="328">
        <v>60</v>
      </c>
      <c r="W49" s="329">
        <v>59.999999999999993</v>
      </c>
      <c r="X49" s="328">
        <f t="shared" si="25"/>
        <v>0</v>
      </c>
      <c r="Y49" s="330">
        <f t="shared" si="26"/>
        <v>59.999999999999993</v>
      </c>
      <c r="Z49" s="330">
        <f t="shared" si="27"/>
        <v>0</v>
      </c>
      <c r="AA49" s="331">
        <v>303068282.99999994</v>
      </c>
      <c r="AB49" s="331">
        <v>5.9604644775390625E-8</v>
      </c>
      <c r="AC49" s="331">
        <f t="shared" si="28"/>
        <v>0</v>
      </c>
      <c r="AD49" s="331"/>
      <c r="AE49" s="331"/>
      <c r="AF49" s="331"/>
      <c r="AG49" s="331"/>
      <c r="AH49" s="331"/>
      <c r="AI49" s="331"/>
      <c r="AJ49" s="331"/>
      <c r="AK49" s="331"/>
      <c r="AL49" s="331"/>
      <c r="AM49" s="331"/>
      <c r="AN49" s="331"/>
      <c r="AO49" s="331"/>
      <c r="AP49" s="331">
        <f t="shared" si="29"/>
        <v>303068282.99999994</v>
      </c>
      <c r="AQ49" s="332">
        <f t="shared" si="30"/>
        <v>5.9604644775390625E-8</v>
      </c>
      <c r="AR49" s="333"/>
      <c r="AS49" s="333"/>
      <c r="AT49" s="321"/>
      <c r="AU49" s="334"/>
      <c r="AV49" s="146" t="s">
        <v>1236</v>
      </c>
      <c r="AW49" s="146">
        <f>IFERROR(VLOOKUP(G49,'[70]Detail Deprec_202508'!$D$33:$I$357,6,FALSE),0)</f>
        <v>0</v>
      </c>
      <c r="AX49" s="146">
        <f t="shared" si="22"/>
        <v>0</v>
      </c>
    </row>
    <row r="50" spans="1:50" outlineLevel="1">
      <c r="A50" s="324">
        <f t="shared" si="31"/>
        <v>25</v>
      </c>
      <c r="B50" s="306" t="s">
        <v>142</v>
      </c>
      <c r="C50" s="344" t="s">
        <v>143</v>
      </c>
      <c r="D50" s="304">
        <v>153</v>
      </c>
      <c r="E50" s="304" t="s">
        <v>1706</v>
      </c>
      <c r="F50" s="306" t="s">
        <v>225</v>
      </c>
      <c r="G50" s="306" t="s">
        <v>226</v>
      </c>
      <c r="H50" s="325">
        <v>42719</v>
      </c>
      <c r="I50" s="326" t="s">
        <v>9</v>
      </c>
      <c r="J50" s="340" t="s">
        <v>227</v>
      </c>
      <c r="K50" s="309" t="s">
        <v>228</v>
      </c>
      <c r="L50" s="309" t="s">
        <v>181</v>
      </c>
      <c r="M50" s="309"/>
      <c r="N50" s="309">
        <v>2016</v>
      </c>
      <c r="O50" s="309"/>
      <c r="P50" s="309"/>
      <c r="Q50" s="309"/>
      <c r="R50" s="304">
        <v>1</v>
      </c>
      <c r="S50" s="337">
        <v>4947.09</v>
      </c>
      <c r="T50" s="327">
        <v>67097381.670000002</v>
      </c>
      <c r="U50" s="327">
        <f t="shared" si="24"/>
        <v>1118289.6945</v>
      </c>
      <c r="V50" s="328">
        <v>60</v>
      </c>
      <c r="W50" s="329">
        <v>59.999999999999986</v>
      </c>
      <c r="X50" s="328">
        <f t="shared" si="25"/>
        <v>0</v>
      </c>
      <c r="Y50" s="330">
        <f t="shared" si="26"/>
        <v>59.999999999999986</v>
      </c>
      <c r="Z50" s="330">
        <f t="shared" si="27"/>
        <v>0</v>
      </c>
      <c r="AA50" s="331">
        <v>67097381.669999987</v>
      </c>
      <c r="AB50" s="331">
        <v>1.4901161193847656E-8</v>
      </c>
      <c r="AC50" s="331">
        <f t="shared" si="28"/>
        <v>0</v>
      </c>
      <c r="AD50" s="331"/>
      <c r="AE50" s="331"/>
      <c r="AF50" s="331"/>
      <c r="AG50" s="331"/>
      <c r="AH50" s="331"/>
      <c r="AI50" s="331"/>
      <c r="AJ50" s="331"/>
      <c r="AK50" s="331"/>
      <c r="AL50" s="331"/>
      <c r="AM50" s="331"/>
      <c r="AN50" s="331"/>
      <c r="AO50" s="331"/>
      <c r="AP50" s="331">
        <f t="shared" si="29"/>
        <v>67097381.669999987</v>
      </c>
      <c r="AQ50" s="332">
        <f t="shared" si="30"/>
        <v>1.4901161193847656E-8</v>
      </c>
      <c r="AR50" s="333"/>
      <c r="AS50" s="333"/>
      <c r="AT50" s="321"/>
      <c r="AU50" s="334"/>
      <c r="AV50" s="146" t="s">
        <v>1236</v>
      </c>
      <c r="AW50" s="146">
        <f>IFERROR(VLOOKUP(G50,'[70]Detail Deprec_202508'!$D$33:$I$357,6,FALSE),0)</f>
        <v>0</v>
      </c>
      <c r="AX50" s="146">
        <f t="shared" si="22"/>
        <v>0</v>
      </c>
    </row>
    <row r="51" spans="1:50" outlineLevel="1">
      <c r="A51" s="324">
        <f t="shared" si="31"/>
        <v>26</v>
      </c>
      <c r="B51" s="306" t="s">
        <v>142</v>
      </c>
      <c r="C51" s="344" t="s">
        <v>143</v>
      </c>
      <c r="D51" s="304">
        <v>153</v>
      </c>
      <c r="E51" s="304" t="s">
        <v>1706</v>
      </c>
      <c r="F51" s="306" t="s">
        <v>229</v>
      </c>
      <c r="G51" s="306" t="s">
        <v>230</v>
      </c>
      <c r="H51" s="325">
        <v>42719</v>
      </c>
      <c r="I51" s="326" t="s">
        <v>9</v>
      </c>
      <c r="J51" s="340" t="s">
        <v>227</v>
      </c>
      <c r="K51" s="309" t="s">
        <v>231</v>
      </c>
      <c r="L51" s="309" t="s">
        <v>181</v>
      </c>
      <c r="M51" s="309"/>
      <c r="N51" s="309">
        <v>2016</v>
      </c>
      <c r="O51" s="309"/>
      <c r="P51" s="309"/>
      <c r="Q51" s="309"/>
      <c r="R51" s="304">
        <v>1</v>
      </c>
      <c r="S51" s="337"/>
      <c r="T51" s="327">
        <v>36326195</v>
      </c>
      <c r="U51" s="327">
        <f t="shared" si="24"/>
        <v>605436.58333333337</v>
      </c>
      <c r="V51" s="328">
        <v>60</v>
      </c>
      <c r="W51" s="329">
        <v>59.999999999999993</v>
      </c>
      <c r="X51" s="328">
        <f t="shared" si="25"/>
        <v>0</v>
      </c>
      <c r="Y51" s="330">
        <f t="shared" si="26"/>
        <v>59.999999999999993</v>
      </c>
      <c r="Z51" s="330">
        <f t="shared" si="27"/>
        <v>0</v>
      </c>
      <c r="AA51" s="331">
        <v>36326195</v>
      </c>
      <c r="AB51" s="331">
        <v>0</v>
      </c>
      <c r="AC51" s="331">
        <f t="shared" si="28"/>
        <v>0</v>
      </c>
      <c r="AD51" s="331"/>
      <c r="AE51" s="331"/>
      <c r="AF51" s="331"/>
      <c r="AG51" s="331"/>
      <c r="AH51" s="331"/>
      <c r="AI51" s="331"/>
      <c r="AJ51" s="331"/>
      <c r="AK51" s="331"/>
      <c r="AL51" s="331"/>
      <c r="AM51" s="331"/>
      <c r="AN51" s="331"/>
      <c r="AO51" s="331"/>
      <c r="AP51" s="331">
        <f t="shared" si="29"/>
        <v>36326195</v>
      </c>
      <c r="AQ51" s="332">
        <f t="shared" si="30"/>
        <v>0</v>
      </c>
      <c r="AR51" s="333"/>
      <c r="AS51" s="333"/>
      <c r="AT51" s="321"/>
      <c r="AU51" s="334"/>
      <c r="AV51" s="146" t="s">
        <v>1236</v>
      </c>
      <c r="AW51" s="146">
        <f>IFERROR(VLOOKUP(G51,'[70]Detail Deprec_202508'!$D$33:$I$357,6,FALSE),0)</f>
        <v>0</v>
      </c>
      <c r="AX51" s="146">
        <f t="shared" si="22"/>
        <v>0</v>
      </c>
    </row>
    <row r="52" spans="1:50" outlineLevel="1">
      <c r="A52" s="324">
        <f t="shared" si="31"/>
        <v>27</v>
      </c>
      <c r="B52" s="306" t="s">
        <v>142</v>
      </c>
      <c r="C52" s="344" t="s">
        <v>143</v>
      </c>
      <c r="D52" s="304">
        <v>153</v>
      </c>
      <c r="E52" s="304" t="s">
        <v>1707</v>
      </c>
      <c r="F52" s="306" t="s">
        <v>232</v>
      </c>
      <c r="G52" s="306" t="s">
        <v>233</v>
      </c>
      <c r="H52" s="325">
        <v>42733</v>
      </c>
      <c r="I52" s="326" t="s">
        <v>9</v>
      </c>
      <c r="J52" s="340">
        <v>18</v>
      </c>
      <c r="K52" s="309" t="s">
        <v>234</v>
      </c>
      <c r="L52" s="309" t="s">
        <v>181</v>
      </c>
      <c r="M52" s="309"/>
      <c r="N52" s="309">
        <v>2016</v>
      </c>
      <c r="O52" s="309"/>
      <c r="P52" s="309"/>
      <c r="Q52" s="309"/>
      <c r="R52" s="304">
        <v>1</v>
      </c>
      <c r="S52" s="337"/>
      <c r="T52" s="327">
        <v>92140414</v>
      </c>
      <c r="U52" s="327">
        <f t="shared" si="24"/>
        <v>1535673.5666666667</v>
      </c>
      <c r="V52" s="328">
        <v>60</v>
      </c>
      <c r="W52" s="329">
        <v>60</v>
      </c>
      <c r="X52" s="328">
        <f t="shared" si="25"/>
        <v>0</v>
      </c>
      <c r="Y52" s="330">
        <f t="shared" si="26"/>
        <v>60</v>
      </c>
      <c r="Z52" s="330">
        <f t="shared" si="27"/>
        <v>0</v>
      </c>
      <c r="AA52" s="331">
        <v>92140414</v>
      </c>
      <c r="AB52" s="331">
        <v>0</v>
      </c>
      <c r="AC52" s="331">
        <f t="shared" si="28"/>
        <v>0</v>
      </c>
      <c r="AD52" s="331"/>
      <c r="AE52" s="331"/>
      <c r="AF52" s="331"/>
      <c r="AG52" s="331"/>
      <c r="AH52" s="331"/>
      <c r="AI52" s="331"/>
      <c r="AJ52" s="331"/>
      <c r="AK52" s="331"/>
      <c r="AL52" s="331"/>
      <c r="AM52" s="331"/>
      <c r="AN52" s="331"/>
      <c r="AO52" s="331"/>
      <c r="AP52" s="331">
        <f t="shared" si="29"/>
        <v>92140414</v>
      </c>
      <c r="AQ52" s="332">
        <f t="shared" si="30"/>
        <v>0</v>
      </c>
      <c r="AR52" s="333"/>
      <c r="AS52" s="333"/>
      <c r="AT52" s="321"/>
      <c r="AU52" s="334"/>
      <c r="AV52" s="146" t="s">
        <v>1236</v>
      </c>
      <c r="AW52" s="146">
        <f>IFERROR(VLOOKUP(G52,'[70]Detail Deprec_202508'!$D$33:$I$357,6,FALSE),0)</f>
        <v>0</v>
      </c>
      <c r="AX52" s="146">
        <f t="shared" si="22"/>
        <v>0</v>
      </c>
    </row>
    <row r="53" spans="1:50" outlineLevel="1">
      <c r="A53" s="324">
        <f t="shared" si="31"/>
        <v>28</v>
      </c>
      <c r="B53" s="306" t="s">
        <v>142</v>
      </c>
      <c r="C53" s="344" t="s">
        <v>143</v>
      </c>
      <c r="D53" s="304">
        <v>153</v>
      </c>
      <c r="E53" s="304" t="s">
        <v>1705</v>
      </c>
      <c r="F53" s="306" t="s">
        <v>236</v>
      </c>
      <c r="G53" s="306" t="s">
        <v>237</v>
      </c>
      <c r="H53" s="325">
        <v>42885</v>
      </c>
      <c r="I53" s="326" t="s">
        <v>9</v>
      </c>
      <c r="J53" s="340">
        <v>15</v>
      </c>
      <c r="K53" s="309" t="s">
        <v>238</v>
      </c>
      <c r="L53" s="309" t="s">
        <v>235</v>
      </c>
      <c r="M53" s="309"/>
      <c r="N53" s="309">
        <v>2017</v>
      </c>
      <c r="O53" s="309"/>
      <c r="P53" s="309"/>
      <c r="Q53" s="309"/>
      <c r="R53" s="304">
        <v>1</v>
      </c>
      <c r="S53" s="337"/>
      <c r="T53" s="327">
        <v>80000000</v>
      </c>
      <c r="U53" s="327">
        <f t="shared" si="24"/>
        <v>1333333.3333333333</v>
      </c>
      <c r="V53" s="328">
        <v>60</v>
      </c>
      <c r="W53" s="329">
        <v>60</v>
      </c>
      <c r="X53" s="328">
        <f t="shared" si="25"/>
        <v>0</v>
      </c>
      <c r="Y53" s="330">
        <f t="shared" si="26"/>
        <v>60</v>
      </c>
      <c r="Z53" s="330">
        <f t="shared" si="27"/>
        <v>0</v>
      </c>
      <c r="AA53" s="331">
        <v>80000000</v>
      </c>
      <c r="AB53" s="331">
        <v>0</v>
      </c>
      <c r="AC53" s="331">
        <f t="shared" si="28"/>
        <v>0</v>
      </c>
      <c r="AD53" s="331"/>
      <c r="AE53" s="331"/>
      <c r="AF53" s="331"/>
      <c r="AG53" s="331"/>
      <c r="AH53" s="331"/>
      <c r="AI53" s="331"/>
      <c r="AJ53" s="331"/>
      <c r="AK53" s="331"/>
      <c r="AL53" s="331"/>
      <c r="AM53" s="331"/>
      <c r="AN53" s="331"/>
      <c r="AO53" s="331"/>
      <c r="AP53" s="331">
        <f t="shared" si="29"/>
        <v>80000000</v>
      </c>
      <c r="AQ53" s="332">
        <f t="shared" si="30"/>
        <v>0</v>
      </c>
      <c r="AR53" s="333"/>
      <c r="AS53" s="333"/>
      <c r="AT53" s="321"/>
      <c r="AU53" s="334"/>
      <c r="AV53" s="146" t="s">
        <v>1236</v>
      </c>
      <c r="AW53" s="146">
        <f>IFERROR(VLOOKUP(G53,'[70]Detail Deprec_202508'!$D$33:$I$357,6,FALSE),0)</f>
        <v>0</v>
      </c>
      <c r="AX53" s="146">
        <f t="shared" si="22"/>
        <v>0</v>
      </c>
    </row>
    <row r="54" spans="1:50" outlineLevel="1">
      <c r="A54" s="324">
        <f t="shared" si="31"/>
        <v>29</v>
      </c>
      <c r="B54" s="341" t="s">
        <v>142</v>
      </c>
      <c r="C54" s="344" t="s">
        <v>143</v>
      </c>
      <c r="D54" s="304">
        <v>153</v>
      </c>
      <c r="E54" s="304" t="s">
        <v>1708</v>
      </c>
      <c r="F54" s="306" t="s">
        <v>239</v>
      </c>
      <c r="G54" s="341" t="s">
        <v>240</v>
      </c>
      <c r="H54" s="342">
        <v>43006</v>
      </c>
      <c r="I54" s="326" t="s">
        <v>9</v>
      </c>
      <c r="J54" s="343" t="s">
        <v>152</v>
      </c>
      <c r="K54" s="309" t="s">
        <v>241</v>
      </c>
      <c r="L54" s="344" t="s">
        <v>191</v>
      </c>
      <c r="M54" s="344"/>
      <c r="N54" s="344">
        <v>2017</v>
      </c>
      <c r="O54" s="344"/>
      <c r="P54" s="344"/>
      <c r="Q54" s="344"/>
      <c r="R54" s="339">
        <v>1</v>
      </c>
      <c r="S54" s="348"/>
      <c r="T54" s="349">
        <v>94507530</v>
      </c>
      <c r="U54" s="349">
        <f t="shared" si="24"/>
        <v>1575125.5</v>
      </c>
      <c r="V54" s="350">
        <v>60</v>
      </c>
      <c r="W54" s="329">
        <v>60</v>
      </c>
      <c r="X54" s="328">
        <f t="shared" si="25"/>
        <v>0</v>
      </c>
      <c r="Y54" s="336">
        <f t="shared" si="26"/>
        <v>60</v>
      </c>
      <c r="Z54" s="330">
        <f t="shared" si="27"/>
        <v>0</v>
      </c>
      <c r="AA54" s="331">
        <v>94507530</v>
      </c>
      <c r="AB54" s="331">
        <v>0</v>
      </c>
      <c r="AC54" s="331">
        <f t="shared" si="28"/>
        <v>0</v>
      </c>
      <c r="AD54" s="331"/>
      <c r="AE54" s="331"/>
      <c r="AF54" s="331"/>
      <c r="AG54" s="331"/>
      <c r="AH54" s="331"/>
      <c r="AI54" s="331"/>
      <c r="AJ54" s="331"/>
      <c r="AK54" s="331"/>
      <c r="AL54" s="331"/>
      <c r="AM54" s="331"/>
      <c r="AN54" s="331"/>
      <c r="AO54" s="331"/>
      <c r="AP54" s="331">
        <f t="shared" si="29"/>
        <v>94507530</v>
      </c>
      <c r="AQ54" s="332">
        <f t="shared" si="30"/>
        <v>0</v>
      </c>
      <c r="AR54" s="333"/>
      <c r="AS54" s="345"/>
      <c r="AT54" s="346"/>
      <c r="AU54" s="347"/>
      <c r="AV54" s="146" t="s">
        <v>1236</v>
      </c>
      <c r="AW54" s="146">
        <f>IFERROR(VLOOKUP(G54,'[70]Detail Deprec_202508'!$D$33:$I$357,6,FALSE),0)</f>
        <v>0</v>
      </c>
      <c r="AX54" s="146">
        <f t="shared" si="22"/>
        <v>0</v>
      </c>
    </row>
    <row r="55" spans="1:50" outlineLevel="1">
      <c r="A55" s="324">
        <f t="shared" si="31"/>
        <v>30</v>
      </c>
      <c r="B55" s="355" t="s">
        <v>142</v>
      </c>
      <c r="C55" s="344" t="s">
        <v>143</v>
      </c>
      <c r="D55" s="304">
        <v>153</v>
      </c>
      <c r="E55" s="304" t="s">
        <v>1705</v>
      </c>
      <c r="F55" s="306" t="s">
        <v>243</v>
      </c>
      <c r="G55" s="336" t="s">
        <v>244</v>
      </c>
      <c r="H55" s="342">
        <v>43097</v>
      </c>
      <c r="I55" s="326" t="s">
        <v>9</v>
      </c>
      <c r="J55" s="351">
        <v>25</v>
      </c>
      <c r="K55" s="336" t="s">
        <v>245</v>
      </c>
      <c r="L55" s="336" t="s">
        <v>191</v>
      </c>
      <c r="M55" s="336"/>
      <c r="N55" s="351">
        <v>2017</v>
      </c>
      <c r="O55" s="351"/>
      <c r="P55" s="351"/>
      <c r="Q55" s="352"/>
      <c r="R55" s="335">
        <v>1</v>
      </c>
      <c r="S55" s="353"/>
      <c r="T55" s="354">
        <v>76595000</v>
      </c>
      <c r="U55" s="327">
        <f t="shared" si="24"/>
        <v>1276583.3333333333</v>
      </c>
      <c r="V55" s="355">
        <v>60</v>
      </c>
      <c r="W55" s="329">
        <v>60.000000000000007</v>
      </c>
      <c r="X55" s="328">
        <f t="shared" si="25"/>
        <v>0</v>
      </c>
      <c r="Y55" s="328">
        <f t="shared" si="26"/>
        <v>60.000000000000007</v>
      </c>
      <c r="Z55" s="330">
        <f t="shared" si="27"/>
        <v>0</v>
      </c>
      <c r="AA55" s="331">
        <v>76595000</v>
      </c>
      <c r="AB55" s="331">
        <v>0</v>
      </c>
      <c r="AC55" s="331">
        <f t="shared" si="28"/>
        <v>0</v>
      </c>
      <c r="AD55" s="331"/>
      <c r="AE55" s="331"/>
      <c r="AF55" s="331"/>
      <c r="AG55" s="331"/>
      <c r="AH55" s="331"/>
      <c r="AI55" s="331"/>
      <c r="AJ55" s="331"/>
      <c r="AK55" s="331"/>
      <c r="AL55" s="331"/>
      <c r="AM55" s="331"/>
      <c r="AN55" s="331"/>
      <c r="AO55" s="331"/>
      <c r="AP55" s="331">
        <f t="shared" si="29"/>
        <v>76595000</v>
      </c>
      <c r="AQ55" s="332">
        <f t="shared" si="30"/>
        <v>0</v>
      </c>
      <c r="AR55" s="333"/>
      <c r="AS55" s="345"/>
      <c r="AT55" s="356"/>
      <c r="AU55" s="347"/>
      <c r="AV55" s="146" t="s">
        <v>1236</v>
      </c>
      <c r="AW55" s="146">
        <f>IFERROR(VLOOKUP(G55,'[70]Detail Deprec_202508'!$D$33:$I$357,6,FALSE),0)</f>
        <v>0</v>
      </c>
      <c r="AX55" s="146">
        <f t="shared" si="22"/>
        <v>0</v>
      </c>
    </row>
    <row r="56" spans="1:50" outlineLevel="1">
      <c r="A56" s="324">
        <f t="shared" si="31"/>
        <v>31</v>
      </c>
      <c r="B56" s="355" t="s">
        <v>142</v>
      </c>
      <c r="C56" s="344" t="s">
        <v>143</v>
      </c>
      <c r="D56" s="304">
        <v>153</v>
      </c>
      <c r="E56" s="304" t="s">
        <v>1706</v>
      </c>
      <c r="F56" s="306" t="s">
        <v>246</v>
      </c>
      <c r="G56" s="336" t="s">
        <v>247</v>
      </c>
      <c r="H56" s="342">
        <v>43220</v>
      </c>
      <c r="I56" s="326" t="s">
        <v>9</v>
      </c>
      <c r="J56" s="351"/>
      <c r="K56" s="336" t="s">
        <v>248</v>
      </c>
      <c r="L56" s="336" t="s">
        <v>181</v>
      </c>
      <c r="M56" s="336"/>
      <c r="N56" s="351">
        <v>2018</v>
      </c>
      <c r="O56" s="351"/>
      <c r="P56" s="351"/>
      <c r="Q56" s="352"/>
      <c r="R56" s="335">
        <v>1</v>
      </c>
      <c r="S56" s="353"/>
      <c r="T56" s="354">
        <v>214296550</v>
      </c>
      <c r="U56" s="327">
        <f t="shared" si="24"/>
        <v>3571609.1666666665</v>
      </c>
      <c r="V56" s="355">
        <v>60</v>
      </c>
      <c r="W56" s="329">
        <v>60</v>
      </c>
      <c r="X56" s="328">
        <f t="shared" si="25"/>
        <v>0</v>
      </c>
      <c r="Y56" s="328">
        <f t="shared" si="26"/>
        <v>60</v>
      </c>
      <c r="Z56" s="330">
        <f t="shared" si="27"/>
        <v>0</v>
      </c>
      <c r="AA56" s="331">
        <v>214296550</v>
      </c>
      <c r="AB56" s="331">
        <v>0</v>
      </c>
      <c r="AC56" s="331">
        <f t="shared" si="28"/>
        <v>0</v>
      </c>
      <c r="AD56" s="331"/>
      <c r="AE56" s="331"/>
      <c r="AF56" s="331"/>
      <c r="AG56" s="331"/>
      <c r="AH56" s="331"/>
      <c r="AI56" s="331"/>
      <c r="AJ56" s="331"/>
      <c r="AK56" s="331"/>
      <c r="AL56" s="331"/>
      <c r="AM56" s="331"/>
      <c r="AN56" s="331"/>
      <c r="AO56" s="331"/>
      <c r="AP56" s="331">
        <f t="shared" si="29"/>
        <v>214296550</v>
      </c>
      <c r="AQ56" s="332">
        <f t="shared" si="30"/>
        <v>0</v>
      </c>
      <c r="AR56" s="333"/>
      <c r="AS56" s="345"/>
      <c r="AT56" s="356"/>
      <c r="AU56" s="347"/>
      <c r="AV56" s="146" t="s">
        <v>1236</v>
      </c>
      <c r="AX56">
        <f t="shared" si="22"/>
        <v>0</v>
      </c>
    </row>
    <row r="57" spans="1:50" outlineLevel="1">
      <c r="A57" s="324">
        <f t="shared" si="31"/>
        <v>32</v>
      </c>
      <c r="B57" s="355" t="s">
        <v>142</v>
      </c>
      <c r="C57" s="344" t="s">
        <v>143</v>
      </c>
      <c r="D57" s="304">
        <v>153</v>
      </c>
      <c r="E57" s="304" t="s">
        <v>1707</v>
      </c>
      <c r="F57" s="306" t="s">
        <v>249</v>
      </c>
      <c r="G57" s="336" t="s">
        <v>250</v>
      </c>
      <c r="H57" s="342">
        <v>43403</v>
      </c>
      <c r="I57" s="326" t="s">
        <v>9</v>
      </c>
      <c r="J57" s="351" t="s">
        <v>251</v>
      </c>
      <c r="K57" s="336" t="s">
        <v>252</v>
      </c>
      <c r="L57" s="336" t="s">
        <v>191</v>
      </c>
      <c r="M57" s="336"/>
      <c r="N57" s="351">
        <v>2018</v>
      </c>
      <c r="O57" s="351"/>
      <c r="P57" s="351"/>
      <c r="Q57" s="352"/>
      <c r="R57" s="335">
        <v>1</v>
      </c>
      <c r="S57" s="353"/>
      <c r="T57" s="354">
        <v>195741000</v>
      </c>
      <c r="U57" s="327">
        <f t="shared" si="24"/>
        <v>3262350</v>
      </c>
      <c r="V57" s="355">
        <v>60</v>
      </c>
      <c r="W57" s="329">
        <v>60</v>
      </c>
      <c r="X57" s="328">
        <f t="shared" si="25"/>
        <v>0</v>
      </c>
      <c r="Y57" s="328">
        <f t="shared" si="26"/>
        <v>60</v>
      </c>
      <c r="Z57" s="330">
        <f t="shared" si="27"/>
        <v>0</v>
      </c>
      <c r="AA57" s="331">
        <v>195741000</v>
      </c>
      <c r="AB57" s="331">
        <v>0</v>
      </c>
      <c r="AC57" s="331">
        <f t="shared" si="28"/>
        <v>0</v>
      </c>
      <c r="AD57" s="331"/>
      <c r="AE57" s="331"/>
      <c r="AF57" s="331"/>
      <c r="AG57" s="331"/>
      <c r="AH57" s="331"/>
      <c r="AI57" s="331"/>
      <c r="AJ57" s="331"/>
      <c r="AK57" s="331"/>
      <c r="AL57" s="331"/>
      <c r="AM57" s="331"/>
      <c r="AN57" s="331"/>
      <c r="AO57" s="331"/>
      <c r="AP57" s="331">
        <f t="shared" si="29"/>
        <v>195741000</v>
      </c>
      <c r="AQ57" s="332">
        <f t="shared" si="30"/>
        <v>0</v>
      </c>
      <c r="AR57" s="333"/>
      <c r="AS57" s="345"/>
      <c r="AT57" s="356"/>
      <c r="AU57" s="347"/>
      <c r="AV57" s="146" t="s">
        <v>1236</v>
      </c>
      <c r="AW57" s="146">
        <f>IFERROR(VLOOKUP(G57,'[70]Detail Deprec_202508'!$D$33:$I$357,6,FALSE),0)</f>
        <v>0</v>
      </c>
      <c r="AX57" s="146">
        <f t="shared" si="22"/>
        <v>0</v>
      </c>
    </row>
    <row r="58" spans="1:50" outlineLevel="1">
      <c r="A58" s="324">
        <f t="shared" si="31"/>
        <v>33</v>
      </c>
      <c r="B58" s="355" t="s">
        <v>142</v>
      </c>
      <c r="C58" s="344" t="s">
        <v>143</v>
      </c>
      <c r="D58" s="304">
        <v>153</v>
      </c>
      <c r="E58" s="304" t="s">
        <v>1708</v>
      </c>
      <c r="F58" s="306" t="s">
        <v>253</v>
      </c>
      <c r="G58" s="336" t="s">
        <v>254</v>
      </c>
      <c r="H58" s="342">
        <v>43570</v>
      </c>
      <c r="I58" s="326" t="s">
        <v>9</v>
      </c>
      <c r="J58" s="351" t="s">
        <v>255</v>
      </c>
      <c r="K58" s="336" t="s">
        <v>256</v>
      </c>
      <c r="L58" s="336" t="s">
        <v>191</v>
      </c>
      <c r="M58" s="336"/>
      <c r="N58" s="351">
        <v>2019</v>
      </c>
      <c r="O58" s="351"/>
      <c r="P58" s="351"/>
      <c r="Q58" s="352"/>
      <c r="R58" s="335">
        <v>1</v>
      </c>
      <c r="S58" s="353"/>
      <c r="T58" s="354">
        <v>109550000</v>
      </c>
      <c r="U58" s="327">
        <f t="shared" si="24"/>
        <v>1825833.3333333333</v>
      </c>
      <c r="V58" s="355">
        <v>60</v>
      </c>
      <c r="W58" s="329">
        <v>60</v>
      </c>
      <c r="X58" s="328">
        <f t="shared" si="25"/>
        <v>0</v>
      </c>
      <c r="Y58" s="336">
        <f t="shared" si="26"/>
        <v>60</v>
      </c>
      <c r="Z58" s="330">
        <f t="shared" si="27"/>
        <v>0</v>
      </c>
      <c r="AA58" s="331">
        <v>109550000</v>
      </c>
      <c r="AB58" s="331">
        <v>0</v>
      </c>
      <c r="AC58" s="331">
        <f t="shared" si="28"/>
        <v>0</v>
      </c>
      <c r="AD58" s="331"/>
      <c r="AE58" s="331"/>
      <c r="AF58" s="331"/>
      <c r="AG58" s="331"/>
      <c r="AH58" s="331"/>
      <c r="AI58" s="331"/>
      <c r="AJ58" s="331"/>
      <c r="AK58" s="331"/>
      <c r="AL58" s="331"/>
      <c r="AM58" s="331"/>
      <c r="AN58" s="331"/>
      <c r="AO58" s="331"/>
      <c r="AP58" s="331">
        <f t="shared" si="29"/>
        <v>109550000</v>
      </c>
      <c r="AQ58" s="332">
        <f t="shared" si="30"/>
        <v>0</v>
      </c>
      <c r="AR58" s="333"/>
      <c r="AS58" s="345"/>
      <c r="AT58" s="356"/>
      <c r="AU58" s="347"/>
      <c r="AV58" s="146" t="s">
        <v>1236</v>
      </c>
      <c r="AW58" s="146">
        <f>IFERROR(VLOOKUP(G58,'[70]Detail Deprec_202508'!$D$33:$I$357,6,FALSE),0)</f>
        <v>0</v>
      </c>
      <c r="AX58" s="146">
        <f t="shared" si="22"/>
        <v>0</v>
      </c>
    </row>
    <row r="59" spans="1:50" outlineLevel="1">
      <c r="A59" s="324">
        <f t="shared" si="31"/>
        <v>34</v>
      </c>
      <c r="B59" s="355" t="s">
        <v>142</v>
      </c>
      <c r="C59" s="425" t="s">
        <v>143</v>
      </c>
      <c r="D59" s="304">
        <v>153</v>
      </c>
      <c r="E59" s="304" t="s">
        <v>1709</v>
      </c>
      <c r="F59" s="336" t="s">
        <v>257</v>
      </c>
      <c r="G59" s="336" t="s">
        <v>258</v>
      </c>
      <c r="H59" s="342">
        <v>43827</v>
      </c>
      <c r="I59" s="326" t="s">
        <v>9</v>
      </c>
      <c r="J59" s="351" t="s">
        <v>259</v>
      </c>
      <c r="K59" s="336" t="s">
        <v>260</v>
      </c>
      <c r="L59" s="336" t="s">
        <v>191</v>
      </c>
      <c r="M59" s="336"/>
      <c r="N59" s="351">
        <v>2019</v>
      </c>
      <c r="O59" s="351"/>
      <c r="P59" s="351"/>
      <c r="Q59" s="352"/>
      <c r="R59" s="335">
        <v>1</v>
      </c>
      <c r="S59" s="353"/>
      <c r="T59" s="354">
        <v>103960000</v>
      </c>
      <c r="U59" s="327">
        <f t="shared" si="24"/>
        <v>1732666.6666666667</v>
      </c>
      <c r="V59" s="355">
        <v>60</v>
      </c>
      <c r="W59" s="329">
        <v>59.999999999999993</v>
      </c>
      <c r="X59" s="328">
        <f t="shared" si="25"/>
        <v>0</v>
      </c>
      <c r="Y59" s="336">
        <f t="shared" si="26"/>
        <v>59.999999999999993</v>
      </c>
      <c r="Z59" s="330">
        <f t="shared" si="27"/>
        <v>0</v>
      </c>
      <c r="AA59" s="331">
        <v>103960000</v>
      </c>
      <c r="AB59" s="331">
        <v>0</v>
      </c>
      <c r="AC59" s="331">
        <f t="shared" si="28"/>
        <v>0</v>
      </c>
      <c r="AD59" s="331"/>
      <c r="AE59" s="331"/>
      <c r="AF59" s="331"/>
      <c r="AG59" s="331"/>
      <c r="AH59" s="331"/>
      <c r="AI59" s="331"/>
      <c r="AJ59" s="331"/>
      <c r="AK59" s="331"/>
      <c r="AL59" s="331"/>
      <c r="AM59" s="331"/>
      <c r="AN59" s="331"/>
      <c r="AO59" s="331"/>
      <c r="AP59" s="331">
        <f t="shared" si="29"/>
        <v>103960000</v>
      </c>
      <c r="AQ59" s="332">
        <f t="shared" si="30"/>
        <v>0</v>
      </c>
      <c r="AR59" s="333"/>
      <c r="AS59" s="345"/>
      <c r="AT59" s="356"/>
      <c r="AU59" s="347"/>
      <c r="AV59" s="146" t="s">
        <v>1236</v>
      </c>
      <c r="AW59" s="146">
        <f>IFERROR(VLOOKUP(G59,'[70]Detail Deprec_202508'!$D$33:$I$357,6,FALSE),0)</f>
        <v>0</v>
      </c>
      <c r="AX59" s="146">
        <f t="shared" si="22"/>
        <v>0</v>
      </c>
    </row>
    <row r="60" spans="1:50" outlineLevel="1">
      <c r="A60" s="324">
        <f t="shared" si="31"/>
        <v>35</v>
      </c>
      <c r="B60" s="355" t="s">
        <v>142</v>
      </c>
      <c r="C60" s="425" t="s">
        <v>143</v>
      </c>
      <c r="D60" s="304">
        <v>153</v>
      </c>
      <c r="E60" s="304" t="s">
        <v>1705</v>
      </c>
      <c r="F60" s="336" t="s">
        <v>262</v>
      </c>
      <c r="G60" s="336" t="s">
        <v>263</v>
      </c>
      <c r="H60" s="342">
        <v>44560</v>
      </c>
      <c r="I60" s="326" t="s">
        <v>9</v>
      </c>
      <c r="J60" s="351" t="s">
        <v>264</v>
      </c>
      <c r="K60" s="336" t="s">
        <v>265</v>
      </c>
      <c r="L60" s="336" t="s">
        <v>235</v>
      </c>
      <c r="M60" s="336"/>
      <c r="N60" s="351">
        <v>2021</v>
      </c>
      <c r="O60" s="351"/>
      <c r="P60" s="351"/>
      <c r="Q60" s="351"/>
      <c r="R60" s="335">
        <v>1</v>
      </c>
      <c r="S60" s="353"/>
      <c r="T60" s="354">
        <v>120000000</v>
      </c>
      <c r="U60" s="327">
        <f t="shared" si="24"/>
        <v>3333333.3333333335</v>
      </c>
      <c r="V60" s="355">
        <v>36</v>
      </c>
      <c r="W60" s="329">
        <v>36</v>
      </c>
      <c r="X60" s="328">
        <f t="shared" si="25"/>
        <v>0</v>
      </c>
      <c r="Y60" s="336">
        <f t="shared" si="26"/>
        <v>36</v>
      </c>
      <c r="Z60" s="330">
        <f t="shared" si="27"/>
        <v>0</v>
      </c>
      <c r="AA60" s="331">
        <v>120000000</v>
      </c>
      <c r="AB60" s="331">
        <v>0</v>
      </c>
      <c r="AC60" s="331">
        <f t="shared" si="28"/>
        <v>0</v>
      </c>
      <c r="AD60" s="331"/>
      <c r="AE60" s="331"/>
      <c r="AF60" s="331"/>
      <c r="AG60" s="331"/>
      <c r="AH60" s="331"/>
      <c r="AI60" s="331"/>
      <c r="AJ60" s="331"/>
      <c r="AK60" s="331"/>
      <c r="AL60" s="331"/>
      <c r="AM60" s="331"/>
      <c r="AN60" s="331"/>
      <c r="AO60" s="331"/>
      <c r="AP60" s="331">
        <f t="shared" si="29"/>
        <v>120000000</v>
      </c>
      <c r="AQ60" s="332">
        <f t="shared" si="30"/>
        <v>0</v>
      </c>
      <c r="AR60" s="333"/>
      <c r="AS60" s="345"/>
      <c r="AT60" s="356"/>
      <c r="AU60" s="357"/>
      <c r="AV60" s="146" t="s">
        <v>1236</v>
      </c>
      <c r="AW60" s="146">
        <f>IFERROR(VLOOKUP(G60,'[70]Detail Deprec_202508'!$D$33:$I$357,6,FALSE),0)</f>
        <v>0</v>
      </c>
      <c r="AX60" s="146">
        <f t="shared" si="22"/>
        <v>0</v>
      </c>
    </row>
    <row r="61" spans="1:50" outlineLevel="1">
      <c r="A61" s="324">
        <f t="shared" si="31"/>
        <v>36</v>
      </c>
      <c r="B61" s="355" t="s">
        <v>142</v>
      </c>
      <c r="C61" s="425" t="s">
        <v>143</v>
      </c>
      <c r="D61" s="304">
        <v>153</v>
      </c>
      <c r="E61" s="304" t="s">
        <v>1706</v>
      </c>
      <c r="F61" s="336" t="s">
        <v>266</v>
      </c>
      <c r="G61" s="336" t="s">
        <v>267</v>
      </c>
      <c r="H61" s="342">
        <v>44560</v>
      </c>
      <c r="I61" s="326" t="s">
        <v>9</v>
      </c>
      <c r="J61" s="351" t="s">
        <v>268</v>
      </c>
      <c r="K61" s="336" t="s">
        <v>269</v>
      </c>
      <c r="L61" s="336" t="s">
        <v>235</v>
      </c>
      <c r="M61" s="336"/>
      <c r="N61" s="351">
        <v>2021</v>
      </c>
      <c r="O61" s="351"/>
      <c r="P61" s="351"/>
      <c r="Q61" s="351"/>
      <c r="R61" s="335">
        <v>1</v>
      </c>
      <c r="S61" s="353"/>
      <c r="T61" s="354">
        <v>122900000</v>
      </c>
      <c r="U61" s="327">
        <f t="shared" si="24"/>
        <v>3413888.888888889</v>
      </c>
      <c r="V61" s="355">
        <v>36</v>
      </c>
      <c r="W61" s="329">
        <v>36</v>
      </c>
      <c r="X61" s="328">
        <f t="shared" si="25"/>
        <v>0</v>
      </c>
      <c r="Y61" s="336">
        <f t="shared" si="26"/>
        <v>36</v>
      </c>
      <c r="Z61" s="330">
        <f t="shared" si="27"/>
        <v>0</v>
      </c>
      <c r="AA61" s="331">
        <v>122899999.99999999</v>
      </c>
      <c r="AB61" s="331">
        <v>1.4901161193847656E-8</v>
      </c>
      <c r="AC61" s="331">
        <f t="shared" si="28"/>
        <v>0</v>
      </c>
      <c r="AD61" s="331"/>
      <c r="AE61" s="331"/>
      <c r="AF61" s="331"/>
      <c r="AG61" s="331"/>
      <c r="AH61" s="331"/>
      <c r="AI61" s="331"/>
      <c r="AJ61" s="331"/>
      <c r="AK61" s="331"/>
      <c r="AL61" s="331"/>
      <c r="AM61" s="331"/>
      <c r="AN61" s="331"/>
      <c r="AO61" s="331"/>
      <c r="AP61" s="331">
        <f t="shared" si="29"/>
        <v>122899999.99999999</v>
      </c>
      <c r="AQ61" s="332">
        <f t="shared" si="30"/>
        <v>1.4901161193847656E-8</v>
      </c>
      <c r="AR61" s="333"/>
      <c r="AS61" s="345"/>
      <c r="AT61" s="356"/>
      <c r="AU61" s="357"/>
      <c r="AV61" s="146" t="s">
        <v>1236</v>
      </c>
      <c r="AW61" s="146">
        <f>IFERROR(VLOOKUP(G61,'[70]Detail Deprec_202508'!$D$33:$I$357,6,FALSE),0)</f>
        <v>0</v>
      </c>
      <c r="AX61" s="146">
        <f t="shared" si="22"/>
        <v>0</v>
      </c>
    </row>
    <row r="62" spans="1:50" outlineLevel="1">
      <c r="A62" s="324">
        <f t="shared" si="31"/>
        <v>37</v>
      </c>
      <c r="B62" s="336" t="s">
        <v>142</v>
      </c>
      <c r="C62" s="351" t="s">
        <v>143</v>
      </c>
      <c r="D62" s="304">
        <v>153</v>
      </c>
      <c r="E62" s="304" t="s">
        <v>1707</v>
      </c>
      <c r="F62" s="336" t="s">
        <v>278</v>
      </c>
      <c r="G62" s="336" t="s">
        <v>279</v>
      </c>
      <c r="H62" s="325">
        <v>44865</v>
      </c>
      <c r="I62" s="326" t="s">
        <v>9</v>
      </c>
      <c r="J62" s="351" t="s">
        <v>280</v>
      </c>
      <c r="K62" s="336" t="s">
        <v>281</v>
      </c>
      <c r="L62" s="336" t="s">
        <v>135</v>
      </c>
      <c r="M62" s="336"/>
      <c r="N62" s="351">
        <v>2022</v>
      </c>
      <c r="O62" s="351"/>
      <c r="P62" s="351"/>
      <c r="Q62" s="351"/>
      <c r="R62" s="335">
        <v>1</v>
      </c>
      <c r="S62" s="366"/>
      <c r="T62" s="419">
        <v>62500000</v>
      </c>
      <c r="U62" s="685">
        <f t="shared" si="24"/>
        <v>1041666.6666666666</v>
      </c>
      <c r="V62" s="336">
        <v>60</v>
      </c>
      <c r="W62" s="329">
        <f>27+12</f>
        <v>39</v>
      </c>
      <c r="X62" s="686">
        <f t="shared" si="25"/>
        <v>11.999999999999998</v>
      </c>
      <c r="Y62" s="336">
        <f t="shared" si="26"/>
        <v>51</v>
      </c>
      <c r="Z62" s="330">
        <f t="shared" si="27"/>
        <v>9</v>
      </c>
      <c r="AA62" s="687">
        <v>40624999.999999993</v>
      </c>
      <c r="AB62" s="687">
        <v>34375000</v>
      </c>
      <c r="AC62" s="687">
        <f>SUM(AD62:AO62)</f>
        <v>12499999.999999998</v>
      </c>
      <c r="AD62" s="687">
        <v>1041666.6666666666</v>
      </c>
      <c r="AE62" s="687">
        <v>1041666.6666666666</v>
      </c>
      <c r="AF62" s="687">
        <v>1041666.6666666666</v>
      </c>
      <c r="AG62" s="687">
        <v>1041666.6666666666</v>
      </c>
      <c r="AH62" s="687">
        <v>1041666.6666666666</v>
      </c>
      <c r="AI62" s="687">
        <v>1041666.6666666666</v>
      </c>
      <c r="AJ62" s="687">
        <v>1041666.6666666666</v>
      </c>
      <c r="AK62" s="687">
        <v>1041666.6666666666</v>
      </c>
      <c r="AL62" s="687">
        <v>1041666.6666666666</v>
      </c>
      <c r="AM62" s="687">
        <v>1041666.6666666666</v>
      </c>
      <c r="AN62" s="687">
        <v>1041666.6666666666</v>
      </c>
      <c r="AO62" s="687">
        <v>1041666.6666666666</v>
      </c>
      <c r="AP62" s="687">
        <f t="shared" si="29"/>
        <v>53124999.999999993</v>
      </c>
      <c r="AQ62" s="688">
        <f t="shared" si="30"/>
        <v>9375000.0000000075</v>
      </c>
      <c r="AR62" s="689"/>
      <c r="AS62" s="689"/>
      <c r="AT62" s="416"/>
      <c r="AU62" s="690"/>
      <c r="AV62" s="631" t="s">
        <v>1236</v>
      </c>
      <c r="AW62" s="631">
        <f>IFERROR(VLOOKUP(G62,'[70]Detail Deprec_202508'!$D$33:$I$357,6,FALSE),0)</f>
        <v>1041666.67</v>
      </c>
      <c r="AX62" s="631">
        <f t="shared" si="22"/>
        <v>3.3333334140479565E-3</v>
      </c>
    </row>
    <row r="63" spans="1:50" outlineLevel="1">
      <c r="A63" s="324">
        <f t="shared" si="31"/>
        <v>38</v>
      </c>
      <c r="B63" s="336" t="s">
        <v>142</v>
      </c>
      <c r="C63" s="351" t="s">
        <v>143</v>
      </c>
      <c r="D63" s="304">
        <v>153</v>
      </c>
      <c r="E63" s="304" t="s">
        <v>1707</v>
      </c>
      <c r="F63" s="336" t="s">
        <v>278</v>
      </c>
      <c r="G63" s="336" t="s">
        <v>282</v>
      </c>
      <c r="H63" s="325">
        <v>44865</v>
      </c>
      <c r="I63" s="326" t="s">
        <v>9</v>
      </c>
      <c r="J63" s="351" t="s">
        <v>280</v>
      </c>
      <c r="K63" s="336" t="s">
        <v>281</v>
      </c>
      <c r="L63" s="336" t="s">
        <v>135</v>
      </c>
      <c r="M63" s="336"/>
      <c r="N63" s="351">
        <v>2022</v>
      </c>
      <c r="O63" s="351"/>
      <c r="P63" s="351"/>
      <c r="Q63" s="351"/>
      <c r="R63" s="335">
        <v>1</v>
      </c>
      <c r="S63" s="366"/>
      <c r="T63" s="419">
        <v>62500000</v>
      </c>
      <c r="U63" s="685">
        <f t="shared" si="24"/>
        <v>1041666.6666666666</v>
      </c>
      <c r="V63" s="336">
        <v>60</v>
      </c>
      <c r="W63" s="329">
        <f>27+12</f>
        <v>39</v>
      </c>
      <c r="X63" s="686">
        <f t="shared" si="25"/>
        <v>11.999999999999998</v>
      </c>
      <c r="Y63" s="336">
        <f t="shared" si="26"/>
        <v>51</v>
      </c>
      <c r="Z63" s="330">
        <f t="shared" si="27"/>
        <v>9</v>
      </c>
      <c r="AA63" s="687">
        <v>40624999.999999993</v>
      </c>
      <c r="AB63" s="687">
        <v>34375000</v>
      </c>
      <c r="AC63" s="687">
        <f>SUM(AD63:AO63)</f>
        <v>12499999.999999998</v>
      </c>
      <c r="AD63" s="687">
        <v>1041666.6666666666</v>
      </c>
      <c r="AE63" s="687">
        <v>1041666.6666666666</v>
      </c>
      <c r="AF63" s="687">
        <v>1041666.6666666666</v>
      </c>
      <c r="AG63" s="687">
        <v>1041666.6666666666</v>
      </c>
      <c r="AH63" s="687">
        <v>1041666.6666666666</v>
      </c>
      <c r="AI63" s="687">
        <v>1041666.6666666666</v>
      </c>
      <c r="AJ63" s="687">
        <v>1041666.6666666666</v>
      </c>
      <c r="AK63" s="687">
        <v>1041666.6666666666</v>
      </c>
      <c r="AL63" s="687">
        <v>1041666.6666666666</v>
      </c>
      <c r="AM63" s="687">
        <v>1041666.6666666666</v>
      </c>
      <c r="AN63" s="687">
        <v>1041666.6666666666</v>
      </c>
      <c r="AO63" s="687">
        <v>1041666.6666666666</v>
      </c>
      <c r="AP63" s="687">
        <f t="shared" si="29"/>
        <v>53124999.999999993</v>
      </c>
      <c r="AQ63" s="688">
        <f t="shared" si="30"/>
        <v>9375000.0000000075</v>
      </c>
      <c r="AR63" s="689"/>
      <c r="AS63" s="689"/>
      <c r="AT63" s="416"/>
      <c r="AU63" s="690"/>
      <c r="AV63" s="631" t="s">
        <v>1236</v>
      </c>
      <c r="AW63" s="631">
        <f>IFERROR(VLOOKUP(G63,'[70]Detail Deprec_202508'!$D$33:$I$357,6,FALSE),0)</f>
        <v>1041666.67</v>
      </c>
      <c r="AX63" s="631">
        <f t="shared" si="22"/>
        <v>3.3333334140479565E-3</v>
      </c>
    </row>
    <row r="64" spans="1:50" outlineLevel="1">
      <c r="A64" s="324">
        <f t="shared" si="31"/>
        <v>39</v>
      </c>
      <c r="B64" s="306" t="s">
        <v>142</v>
      </c>
      <c r="C64" s="309" t="s">
        <v>143</v>
      </c>
      <c r="D64" s="304">
        <v>154</v>
      </c>
      <c r="E64" s="304" t="s">
        <v>1707</v>
      </c>
      <c r="F64" s="306" t="s">
        <v>293</v>
      </c>
      <c r="G64" s="306" t="s">
        <v>294</v>
      </c>
      <c r="H64" s="325">
        <v>36980</v>
      </c>
      <c r="I64" s="326" t="s">
        <v>284</v>
      </c>
      <c r="J64" s="309"/>
      <c r="K64" s="351" t="s">
        <v>295</v>
      </c>
      <c r="L64" s="309"/>
      <c r="M64" s="351" t="s">
        <v>296</v>
      </c>
      <c r="N64" s="309">
        <v>2001</v>
      </c>
      <c r="O64" s="309"/>
      <c r="P64" s="309"/>
      <c r="Q64" s="309"/>
      <c r="R64" s="304">
        <v>1</v>
      </c>
      <c r="S64" s="304"/>
      <c r="T64" s="358">
        <v>10000000</v>
      </c>
      <c r="U64" s="327">
        <f t="shared" si="24"/>
        <v>166666.66666666666</v>
      </c>
      <c r="V64" s="328">
        <v>60</v>
      </c>
      <c r="W64" s="329">
        <v>60</v>
      </c>
      <c r="X64" s="328">
        <f t="shared" si="25"/>
        <v>0</v>
      </c>
      <c r="Y64" s="336">
        <f t="shared" si="26"/>
        <v>60</v>
      </c>
      <c r="Z64" s="330">
        <f t="shared" si="27"/>
        <v>0</v>
      </c>
      <c r="AA64" s="331">
        <v>10000000</v>
      </c>
      <c r="AB64" s="331">
        <v>0</v>
      </c>
      <c r="AC64" s="331">
        <f t="shared" ref="AC64:AC96" si="32">SUM(AD64:AL64)</f>
        <v>0</v>
      </c>
      <c r="AD64" s="331"/>
      <c r="AE64" s="331"/>
      <c r="AF64" s="331"/>
      <c r="AG64" s="331"/>
      <c r="AH64" s="331"/>
      <c r="AI64" s="331"/>
      <c r="AJ64" s="331"/>
      <c r="AK64" s="331"/>
      <c r="AL64" s="331"/>
      <c r="AM64" s="331"/>
      <c r="AN64" s="331"/>
      <c r="AO64" s="331"/>
      <c r="AP64" s="331">
        <f t="shared" si="29"/>
        <v>10000000</v>
      </c>
      <c r="AQ64" s="332">
        <f t="shared" si="30"/>
        <v>0</v>
      </c>
      <c r="AR64" s="333"/>
      <c r="AS64" s="333"/>
      <c r="AT64" s="321"/>
      <c r="AU64" s="334"/>
      <c r="AV64" s="146" t="s">
        <v>1236</v>
      </c>
      <c r="AW64" s="146">
        <f>IFERROR(VLOOKUP(G64,'[70]Detail Deprec_202508'!$D$33:$I$357,6,FALSE),0)</f>
        <v>0</v>
      </c>
      <c r="AX64" s="146">
        <f t="shared" si="22"/>
        <v>0</v>
      </c>
    </row>
    <row r="65" spans="1:50" outlineLevel="1">
      <c r="A65" s="324">
        <f t="shared" si="31"/>
        <v>40</v>
      </c>
      <c r="B65" s="336" t="s">
        <v>142</v>
      </c>
      <c r="C65" s="309" t="s">
        <v>143</v>
      </c>
      <c r="D65" s="335">
        <v>154</v>
      </c>
      <c r="E65" s="335" t="s">
        <v>1705</v>
      </c>
      <c r="F65" s="306" t="s">
        <v>301</v>
      </c>
      <c r="G65" s="306" t="s">
        <v>302</v>
      </c>
      <c r="H65" s="368">
        <v>41726</v>
      </c>
      <c r="I65" s="326" t="s">
        <v>284</v>
      </c>
      <c r="J65" s="351">
        <v>25</v>
      </c>
      <c r="K65" s="351" t="s">
        <v>303</v>
      </c>
      <c r="L65" s="351" t="s">
        <v>304</v>
      </c>
      <c r="M65" s="351"/>
      <c r="N65" s="351">
        <v>2014</v>
      </c>
      <c r="O65" s="351"/>
      <c r="P65" s="351"/>
      <c r="Q65" s="352"/>
      <c r="R65" s="335">
        <v>1</v>
      </c>
      <c r="S65" s="361">
        <v>61170</v>
      </c>
      <c r="T65" s="354">
        <v>711651780</v>
      </c>
      <c r="U65" s="327">
        <f t="shared" si="24"/>
        <v>11860863</v>
      </c>
      <c r="V65" s="336">
        <v>60</v>
      </c>
      <c r="W65" s="329">
        <v>60</v>
      </c>
      <c r="X65" s="328">
        <f t="shared" si="25"/>
        <v>0</v>
      </c>
      <c r="Y65" s="328">
        <f t="shared" si="26"/>
        <v>60</v>
      </c>
      <c r="Z65" s="330">
        <f t="shared" si="27"/>
        <v>0</v>
      </c>
      <c r="AA65" s="331">
        <v>711651780</v>
      </c>
      <c r="AB65" s="331">
        <v>0</v>
      </c>
      <c r="AC65" s="331">
        <f t="shared" si="32"/>
        <v>0</v>
      </c>
      <c r="AD65" s="331"/>
      <c r="AE65" s="331"/>
      <c r="AF65" s="331"/>
      <c r="AG65" s="331"/>
      <c r="AH65" s="331"/>
      <c r="AI65" s="331"/>
      <c r="AJ65" s="331"/>
      <c r="AK65" s="331"/>
      <c r="AL65" s="331"/>
      <c r="AM65" s="331"/>
      <c r="AN65" s="331"/>
      <c r="AO65" s="331"/>
      <c r="AP65" s="331">
        <f t="shared" si="29"/>
        <v>711651780</v>
      </c>
      <c r="AQ65" s="332">
        <f t="shared" si="30"/>
        <v>0</v>
      </c>
      <c r="AR65" s="333"/>
      <c r="AS65" s="333"/>
      <c r="AT65" s="365"/>
      <c r="AU65" s="334"/>
      <c r="AV65" s="146" t="s">
        <v>1236</v>
      </c>
      <c r="AW65" s="146">
        <f>IFERROR(VLOOKUP(G65,'[70]Detail Deprec_202508'!$D$33:$I$357,6,FALSE),0)</f>
        <v>0</v>
      </c>
      <c r="AX65" s="146">
        <f t="shared" si="22"/>
        <v>0</v>
      </c>
    </row>
    <row r="66" spans="1:50" outlineLevel="1">
      <c r="A66" s="324">
        <f t="shared" si="31"/>
        <v>41</v>
      </c>
      <c r="B66" s="336" t="s">
        <v>142</v>
      </c>
      <c r="C66" s="309" t="s">
        <v>143</v>
      </c>
      <c r="D66" s="335">
        <v>154</v>
      </c>
      <c r="E66" s="335" t="s">
        <v>1707</v>
      </c>
      <c r="F66" s="306" t="s">
        <v>305</v>
      </c>
      <c r="G66" s="306" t="s">
        <v>306</v>
      </c>
      <c r="H66" s="368">
        <v>41759</v>
      </c>
      <c r="I66" s="326" t="s">
        <v>284</v>
      </c>
      <c r="J66" s="351">
        <v>115</v>
      </c>
      <c r="K66" s="351" t="s">
        <v>307</v>
      </c>
      <c r="L66" s="351" t="s">
        <v>308</v>
      </c>
      <c r="M66" s="351"/>
      <c r="N66" s="351">
        <v>2014</v>
      </c>
      <c r="O66" s="351"/>
      <c r="P66" s="351"/>
      <c r="Q66" s="352"/>
      <c r="R66" s="335">
        <v>1</v>
      </c>
      <c r="S66" s="361">
        <v>21840</v>
      </c>
      <c r="T66" s="354">
        <v>249063360</v>
      </c>
      <c r="U66" s="327">
        <f t="shared" si="24"/>
        <v>4151056</v>
      </c>
      <c r="V66" s="336">
        <v>60</v>
      </c>
      <c r="W66" s="329">
        <v>60</v>
      </c>
      <c r="X66" s="328">
        <f t="shared" si="25"/>
        <v>0</v>
      </c>
      <c r="Y66" s="328">
        <f t="shared" si="26"/>
        <v>60</v>
      </c>
      <c r="Z66" s="330">
        <f t="shared" si="27"/>
        <v>0</v>
      </c>
      <c r="AA66" s="331">
        <v>249063360</v>
      </c>
      <c r="AB66" s="331">
        <v>0</v>
      </c>
      <c r="AC66" s="331">
        <f t="shared" si="32"/>
        <v>0</v>
      </c>
      <c r="AD66" s="331"/>
      <c r="AE66" s="331"/>
      <c r="AF66" s="331"/>
      <c r="AG66" s="331"/>
      <c r="AH66" s="331"/>
      <c r="AI66" s="331"/>
      <c r="AJ66" s="331"/>
      <c r="AK66" s="331"/>
      <c r="AL66" s="331"/>
      <c r="AM66" s="331"/>
      <c r="AN66" s="331"/>
      <c r="AO66" s="331"/>
      <c r="AP66" s="331">
        <f t="shared" si="29"/>
        <v>249063360</v>
      </c>
      <c r="AQ66" s="332">
        <f t="shared" si="30"/>
        <v>0</v>
      </c>
      <c r="AR66" s="333"/>
      <c r="AS66" s="333"/>
      <c r="AT66" s="365"/>
      <c r="AU66" s="334"/>
      <c r="AV66" s="146" t="s">
        <v>1236</v>
      </c>
      <c r="AW66" s="146">
        <f>IFERROR(VLOOKUP(G66,'[70]Detail Deprec_202508'!$D$33:$I$357,6,FALSE),0)</f>
        <v>0</v>
      </c>
      <c r="AX66" s="146">
        <f t="shared" si="22"/>
        <v>0</v>
      </c>
    </row>
    <row r="67" spans="1:50" outlineLevel="1">
      <c r="A67" s="324">
        <f t="shared" si="31"/>
        <v>42</v>
      </c>
      <c r="B67" s="336" t="s">
        <v>142</v>
      </c>
      <c r="C67" s="309" t="s">
        <v>143</v>
      </c>
      <c r="D67" s="335">
        <v>154</v>
      </c>
      <c r="E67" s="335" t="s">
        <v>1707</v>
      </c>
      <c r="F67" s="306" t="s">
        <v>309</v>
      </c>
      <c r="G67" s="306" t="s">
        <v>310</v>
      </c>
      <c r="H67" s="368">
        <v>41764</v>
      </c>
      <c r="I67" s="326" t="s">
        <v>284</v>
      </c>
      <c r="J67" s="351">
        <v>7</v>
      </c>
      <c r="K67" s="351" t="s">
        <v>311</v>
      </c>
      <c r="L67" s="351" t="s">
        <v>312</v>
      </c>
      <c r="M67" s="351"/>
      <c r="N67" s="351">
        <v>2014</v>
      </c>
      <c r="O67" s="351"/>
      <c r="P67" s="351"/>
      <c r="Q67" s="352"/>
      <c r="R67" s="335">
        <v>1</v>
      </c>
      <c r="S67" s="361"/>
      <c r="T67" s="354">
        <v>66224000</v>
      </c>
      <c r="U67" s="327">
        <f t="shared" si="24"/>
        <v>1103733.3333333333</v>
      </c>
      <c r="V67" s="336">
        <v>60</v>
      </c>
      <c r="W67" s="329">
        <v>60.000000000000007</v>
      </c>
      <c r="X67" s="328">
        <f t="shared" si="25"/>
        <v>0</v>
      </c>
      <c r="Y67" s="328">
        <f t="shared" si="26"/>
        <v>60.000000000000007</v>
      </c>
      <c r="Z67" s="330">
        <f t="shared" si="27"/>
        <v>0</v>
      </c>
      <c r="AA67" s="331">
        <v>66224000</v>
      </c>
      <c r="AB67" s="331">
        <v>0</v>
      </c>
      <c r="AC67" s="331">
        <f t="shared" si="32"/>
        <v>0</v>
      </c>
      <c r="AD67" s="331"/>
      <c r="AE67" s="331"/>
      <c r="AF67" s="331"/>
      <c r="AG67" s="331"/>
      <c r="AH67" s="331"/>
      <c r="AI67" s="331"/>
      <c r="AJ67" s="331"/>
      <c r="AK67" s="331"/>
      <c r="AL67" s="331"/>
      <c r="AM67" s="331"/>
      <c r="AN67" s="331"/>
      <c r="AO67" s="331"/>
      <c r="AP67" s="331">
        <f t="shared" si="29"/>
        <v>66224000</v>
      </c>
      <c r="AQ67" s="332">
        <f t="shared" si="30"/>
        <v>0</v>
      </c>
      <c r="AR67" s="333"/>
      <c r="AS67" s="333"/>
      <c r="AT67" s="365"/>
      <c r="AU67" s="334"/>
      <c r="AV67" s="146" t="s">
        <v>1236</v>
      </c>
      <c r="AW67" s="146">
        <f>IFERROR(VLOOKUP(G67,'[70]Detail Deprec_202508'!$D$33:$I$357,6,FALSE),0)</f>
        <v>0</v>
      </c>
      <c r="AX67" s="146">
        <f t="shared" si="22"/>
        <v>0</v>
      </c>
    </row>
    <row r="68" spans="1:50" outlineLevel="1">
      <c r="A68" s="324">
        <f t="shared" si="31"/>
        <v>43</v>
      </c>
      <c r="B68" s="336" t="s">
        <v>142</v>
      </c>
      <c r="C68" s="309" t="s">
        <v>143</v>
      </c>
      <c r="D68" s="335">
        <v>154</v>
      </c>
      <c r="E68" s="335" t="s">
        <v>1707</v>
      </c>
      <c r="F68" s="306" t="s">
        <v>313</v>
      </c>
      <c r="G68" s="306" t="s">
        <v>314</v>
      </c>
      <c r="H68" s="368">
        <v>41789</v>
      </c>
      <c r="I68" s="326" t="s">
        <v>284</v>
      </c>
      <c r="J68" s="351">
        <v>112</v>
      </c>
      <c r="K68" s="351" t="s">
        <v>307</v>
      </c>
      <c r="L68" s="351" t="s">
        <v>304</v>
      </c>
      <c r="M68" s="351"/>
      <c r="N68" s="351">
        <v>2014</v>
      </c>
      <c r="O68" s="351"/>
      <c r="P68" s="351"/>
      <c r="Q68" s="352"/>
      <c r="R68" s="335">
        <v>1</v>
      </c>
      <c r="S68" s="361">
        <v>99500</v>
      </c>
      <c r="T68" s="354">
        <v>1117783000</v>
      </c>
      <c r="U68" s="327">
        <f t="shared" si="24"/>
        <v>18629716.666666668</v>
      </c>
      <c r="V68" s="336">
        <v>60</v>
      </c>
      <c r="W68" s="329">
        <v>59.999999999999993</v>
      </c>
      <c r="X68" s="328">
        <f t="shared" si="25"/>
        <v>0</v>
      </c>
      <c r="Y68" s="328">
        <f t="shared" si="26"/>
        <v>59.999999999999993</v>
      </c>
      <c r="Z68" s="330">
        <f t="shared" si="27"/>
        <v>0</v>
      </c>
      <c r="AA68" s="331">
        <v>1117783000</v>
      </c>
      <c r="AB68" s="331">
        <v>0</v>
      </c>
      <c r="AC68" s="331">
        <f t="shared" si="32"/>
        <v>0</v>
      </c>
      <c r="AD68" s="331"/>
      <c r="AE68" s="331"/>
      <c r="AF68" s="331"/>
      <c r="AG68" s="331"/>
      <c r="AH68" s="331"/>
      <c r="AI68" s="331"/>
      <c r="AJ68" s="331"/>
      <c r="AK68" s="331"/>
      <c r="AL68" s="331"/>
      <c r="AM68" s="331"/>
      <c r="AN68" s="331"/>
      <c r="AO68" s="331"/>
      <c r="AP68" s="331">
        <f t="shared" si="29"/>
        <v>1117783000</v>
      </c>
      <c r="AQ68" s="332">
        <f t="shared" si="30"/>
        <v>0</v>
      </c>
      <c r="AR68" s="333"/>
      <c r="AS68" s="333"/>
      <c r="AT68" s="365"/>
      <c r="AU68" s="334"/>
      <c r="AV68" s="146" t="s">
        <v>1236</v>
      </c>
      <c r="AW68" s="146">
        <f>IFERROR(VLOOKUP(G68,'[70]Detail Deprec_202508'!$D$33:$I$357,6,FALSE),0)</f>
        <v>0</v>
      </c>
      <c r="AX68" s="146">
        <f t="shared" si="22"/>
        <v>0</v>
      </c>
    </row>
    <row r="69" spans="1:50" outlineLevel="1">
      <c r="A69" s="324">
        <f t="shared" si="31"/>
        <v>44</v>
      </c>
      <c r="B69" s="336" t="s">
        <v>142</v>
      </c>
      <c r="C69" s="309" t="s">
        <v>143</v>
      </c>
      <c r="D69" s="335">
        <v>154</v>
      </c>
      <c r="E69" s="335" t="s">
        <v>1707</v>
      </c>
      <c r="F69" s="306" t="s">
        <v>315</v>
      </c>
      <c r="G69" s="306" t="s">
        <v>316</v>
      </c>
      <c r="H69" s="368">
        <v>41820</v>
      </c>
      <c r="I69" s="326" t="s">
        <v>284</v>
      </c>
      <c r="J69" s="351">
        <v>2008</v>
      </c>
      <c r="K69" s="351" t="s">
        <v>307</v>
      </c>
      <c r="L69" s="351"/>
      <c r="M69" s="351" t="s">
        <v>308</v>
      </c>
      <c r="N69" s="351">
        <v>2014</v>
      </c>
      <c r="O69" s="351"/>
      <c r="P69" s="351"/>
      <c r="Q69" s="352"/>
      <c r="R69" s="335">
        <v>1</v>
      </c>
      <c r="S69" s="361">
        <v>31716</v>
      </c>
      <c r="T69" s="354">
        <v>368254476</v>
      </c>
      <c r="U69" s="327">
        <f t="shared" si="24"/>
        <v>6137574.5999999996</v>
      </c>
      <c r="V69" s="336">
        <v>60</v>
      </c>
      <c r="W69" s="329">
        <v>60.000000000000007</v>
      </c>
      <c r="X69" s="328">
        <f t="shared" si="25"/>
        <v>0</v>
      </c>
      <c r="Y69" s="328">
        <f t="shared" si="26"/>
        <v>60.000000000000007</v>
      </c>
      <c r="Z69" s="330">
        <f t="shared" si="27"/>
        <v>0</v>
      </c>
      <c r="AA69" s="331">
        <v>368254476</v>
      </c>
      <c r="AB69" s="331">
        <v>0</v>
      </c>
      <c r="AC69" s="331">
        <f t="shared" si="32"/>
        <v>0</v>
      </c>
      <c r="AD69" s="331"/>
      <c r="AE69" s="331"/>
      <c r="AF69" s="331"/>
      <c r="AG69" s="331"/>
      <c r="AH69" s="331"/>
      <c r="AI69" s="331"/>
      <c r="AJ69" s="331"/>
      <c r="AK69" s="331"/>
      <c r="AL69" s="331"/>
      <c r="AM69" s="331"/>
      <c r="AN69" s="331"/>
      <c r="AO69" s="331"/>
      <c r="AP69" s="331">
        <f t="shared" si="29"/>
        <v>368254476</v>
      </c>
      <c r="AQ69" s="332">
        <f t="shared" si="30"/>
        <v>0</v>
      </c>
      <c r="AR69" s="333"/>
      <c r="AS69" s="333"/>
      <c r="AT69" s="365"/>
      <c r="AU69" s="334"/>
      <c r="AV69" s="146" t="s">
        <v>1236</v>
      </c>
      <c r="AW69" s="146">
        <f>IFERROR(VLOOKUP(G69,'[70]Detail Deprec_202508'!$D$33:$I$357,6,FALSE),0)</f>
        <v>0</v>
      </c>
      <c r="AX69" s="146">
        <f t="shared" si="22"/>
        <v>0</v>
      </c>
    </row>
    <row r="70" spans="1:50" outlineLevel="1">
      <c r="A70" s="324">
        <f t="shared" si="31"/>
        <v>45</v>
      </c>
      <c r="B70" s="336" t="s">
        <v>142</v>
      </c>
      <c r="C70" s="309" t="s">
        <v>143</v>
      </c>
      <c r="D70" s="335">
        <v>154</v>
      </c>
      <c r="E70" s="335" t="s">
        <v>1707</v>
      </c>
      <c r="F70" s="336" t="s">
        <v>317</v>
      </c>
      <c r="G70" s="336" t="s">
        <v>318</v>
      </c>
      <c r="H70" s="368">
        <v>41828</v>
      </c>
      <c r="I70" s="326" t="s">
        <v>284</v>
      </c>
      <c r="J70" s="351">
        <v>8</v>
      </c>
      <c r="K70" s="351" t="s">
        <v>307</v>
      </c>
      <c r="L70" s="336" t="s">
        <v>319</v>
      </c>
      <c r="M70" s="336"/>
      <c r="N70" s="351">
        <v>2014</v>
      </c>
      <c r="O70" s="351"/>
      <c r="P70" s="351"/>
      <c r="Q70" s="352"/>
      <c r="R70" s="335">
        <v>1</v>
      </c>
      <c r="S70" s="369">
        <v>209350</v>
      </c>
      <c r="T70" s="354">
        <v>2505710150</v>
      </c>
      <c r="U70" s="327">
        <f t="shared" si="24"/>
        <v>41761835.833333336</v>
      </c>
      <c r="V70" s="336">
        <v>60</v>
      </c>
      <c r="W70" s="329">
        <v>59.999999999999993</v>
      </c>
      <c r="X70" s="328">
        <f t="shared" si="25"/>
        <v>0</v>
      </c>
      <c r="Y70" s="328">
        <f t="shared" si="26"/>
        <v>59.999999999999993</v>
      </c>
      <c r="Z70" s="330">
        <f t="shared" si="27"/>
        <v>0</v>
      </c>
      <c r="AA70" s="331">
        <v>2505710150</v>
      </c>
      <c r="AB70" s="331">
        <v>0</v>
      </c>
      <c r="AC70" s="331">
        <f t="shared" si="32"/>
        <v>0</v>
      </c>
      <c r="AD70" s="331"/>
      <c r="AE70" s="331"/>
      <c r="AF70" s="331"/>
      <c r="AG70" s="331"/>
      <c r="AH70" s="331"/>
      <c r="AI70" s="331"/>
      <c r="AJ70" s="331"/>
      <c r="AK70" s="331"/>
      <c r="AL70" s="331"/>
      <c r="AM70" s="331"/>
      <c r="AN70" s="331"/>
      <c r="AO70" s="331"/>
      <c r="AP70" s="331">
        <f t="shared" si="29"/>
        <v>2505710150</v>
      </c>
      <c r="AQ70" s="332">
        <f t="shared" si="30"/>
        <v>0</v>
      </c>
      <c r="AR70" s="333"/>
      <c r="AS70" s="333"/>
      <c r="AT70" s="365"/>
      <c r="AU70" s="334"/>
      <c r="AV70" s="146" t="s">
        <v>1236</v>
      </c>
      <c r="AW70" s="146">
        <f>IFERROR(VLOOKUP(G70,'[70]Detail Deprec_202508'!$D$33:$I$357,6,FALSE),0)</f>
        <v>0</v>
      </c>
      <c r="AX70" s="146">
        <f t="shared" si="22"/>
        <v>0</v>
      </c>
    </row>
    <row r="71" spans="1:50" outlineLevel="1">
      <c r="A71" s="324">
        <f t="shared" si="31"/>
        <v>46</v>
      </c>
      <c r="B71" s="336" t="s">
        <v>142</v>
      </c>
      <c r="C71" s="309" t="s">
        <v>143</v>
      </c>
      <c r="D71" s="335">
        <v>154</v>
      </c>
      <c r="E71" s="335" t="s">
        <v>1707</v>
      </c>
      <c r="F71" s="336" t="s">
        <v>320</v>
      </c>
      <c r="G71" s="336" t="s">
        <v>321</v>
      </c>
      <c r="H71" s="368">
        <v>41866</v>
      </c>
      <c r="I71" s="326" t="s">
        <v>284</v>
      </c>
      <c r="J71" s="351"/>
      <c r="K71" s="351" t="s">
        <v>322</v>
      </c>
      <c r="L71" s="336" t="s">
        <v>323</v>
      </c>
      <c r="M71" s="336"/>
      <c r="N71" s="351">
        <v>2014</v>
      </c>
      <c r="O71" s="351"/>
      <c r="P71" s="351"/>
      <c r="Q71" s="352"/>
      <c r="R71" s="335">
        <v>1</v>
      </c>
      <c r="S71" s="366"/>
      <c r="T71" s="354">
        <v>41472000</v>
      </c>
      <c r="U71" s="327">
        <f t="shared" si="24"/>
        <v>691200</v>
      </c>
      <c r="V71" s="336">
        <v>60</v>
      </c>
      <c r="W71" s="329">
        <v>60</v>
      </c>
      <c r="X71" s="328">
        <f t="shared" si="25"/>
        <v>0</v>
      </c>
      <c r="Y71" s="328">
        <f t="shared" si="26"/>
        <v>60</v>
      </c>
      <c r="Z71" s="330">
        <f t="shared" si="27"/>
        <v>0</v>
      </c>
      <c r="AA71" s="331">
        <v>41472000</v>
      </c>
      <c r="AB71" s="331">
        <v>0</v>
      </c>
      <c r="AC71" s="331">
        <f t="shared" si="32"/>
        <v>0</v>
      </c>
      <c r="AD71" s="331"/>
      <c r="AE71" s="331"/>
      <c r="AF71" s="331"/>
      <c r="AG71" s="331"/>
      <c r="AH71" s="331"/>
      <c r="AI71" s="331"/>
      <c r="AJ71" s="331"/>
      <c r="AK71" s="331"/>
      <c r="AL71" s="331"/>
      <c r="AM71" s="331"/>
      <c r="AN71" s="331"/>
      <c r="AO71" s="331"/>
      <c r="AP71" s="331">
        <f t="shared" si="29"/>
        <v>41472000</v>
      </c>
      <c r="AQ71" s="332">
        <f t="shared" si="30"/>
        <v>0</v>
      </c>
      <c r="AR71" s="333"/>
      <c r="AS71" s="333"/>
      <c r="AT71" s="365"/>
      <c r="AU71" s="334"/>
      <c r="AV71" s="146" t="s">
        <v>1236</v>
      </c>
      <c r="AW71" s="146">
        <f>IFERROR(VLOOKUP(G71,'[70]Detail Deprec_202508'!$D$33:$I$357,6,FALSE),0)</f>
        <v>0</v>
      </c>
      <c r="AX71" s="146">
        <f t="shared" si="22"/>
        <v>0</v>
      </c>
    </row>
    <row r="72" spans="1:50" outlineLevel="1">
      <c r="A72" s="324">
        <f t="shared" si="31"/>
        <v>47</v>
      </c>
      <c r="B72" s="336" t="s">
        <v>142</v>
      </c>
      <c r="C72" s="309" t="s">
        <v>143</v>
      </c>
      <c r="D72" s="335">
        <v>154</v>
      </c>
      <c r="E72" s="335" t="s">
        <v>1707</v>
      </c>
      <c r="F72" s="336" t="s">
        <v>324</v>
      </c>
      <c r="G72" s="336" t="s">
        <v>325</v>
      </c>
      <c r="H72" s="368">
        <v>41879</v>
      </c>
      <c r="I72" s="326" t="s">
        <v>284</v>
      </c>
      <c r="J72" s="351"/>
      <c r="K72" s="351" t="s">
        <v>307</v>
      </c>
      <c r="L72" s="336" t="s">
        <v>196</v>
      </c>
      <c r="M72" s="336"/>
      <c r="N72" s="351">
        <v>2014</v>
      </c>
      <c r="O72" s="351"/>
      <c r="P72" s="351"/>
      <c r="Q72" s="352"/>
      <c r="R72" s="335">
        <v>1</v>
      </c>
      <c r="S72" s="361">
        <v>20895</v>
      </c>
      <c r="T72" s="354">
        <v>242193945</v>
      </c>
      <c r="U72" s="327">
        <f t="shared" si="24"/>
        <v>4036565.75</v>
      </c>
      <c r="V72" s="336">
        <v>60</v>
      </c>
      <c r="W72" s="329">
        <v>60</v>
      </c>
      <c r="X72" s="328">
        <f t="shared" si="25"/>
        <v>0</v>
      </c>
      <c r="Y72" s="328">
        <f t="shared" si="26"/>
        <v>60</v>
      </c>
      <c r="Z72" s="330">
        <f t="shared" si="27"/>
        <v>0</v>
      </c>
      <c r="AA72" s="331">
        <v>242193945</v>
      </c>
      <c r="AB72" s="331">
        <v>0</v>
      </c>
      <c r="AC72" s="331">
        <f t="shared" si="32"/>
        <v>0</v>
      </c>
      <c r="AD72" s="331"/>
      <c r="AE72" s="331"/>
      <c r="AF72" s="331"/>
      <c r="AG72" s="331"/>
      <c r="AH72" s="331"/>
      <c r="AI72" s="331"/>
      <c r="AJ72" s="331"/>
      <c r="AK72" s="331"/>
      <c r="AL72" s="331"/>
      <c r="AM72" s="331"/>
      <c r="AN72" s="331"/>
      <c r="AO72" s="331"/>
      <c r="AP72" s="331">
        <f t="shared" si="29"/>
        <v>242193945</v>
      </c>
      <c r="AQ72" s="332">
        <f t="shared" si="30"/>
        <v>0</v>
      </c>
      <c r="AR72" s="333"/>
      <c r="AS72" s="333"/>
      <c r="AT72" s="365"/>
      <c r="AU72" s="334"/>
      <c r="AV72" s="146" t="s">
        <v>1236</v>
      </c>
      <c r="AW72" s="146">
        <f>IFERROR(VLOOKUP(G72,'[70]Detail Deprec_202508'!$D$33:$I$357,6,FALSE),0)</f>
        <v>0</v>
      </c>
      <c r="AX72" s="146">
        <f t="shared" si="22"/>
        <v>0</v>
      </c>
    </row>
    <row r="73" spans="1:50" outlineLevel="1">
      <c r="A73" s="324">
        <f t="shared" si="31"/>
        <v>48</v>
      </c>
      <c r="B73" s="336" t="s">
        <v>142</v>
      </c>
      <c r="C73" s="309" t="s">
        <v>143</v>
      </c>
      <c r="D73" s="335">
        <v>154</v>
      </c>
      <c r="E73" s="335" t="s">
        <v>1707</v>
      </c>
      <c r="F73" s="336" t="s">
        <v>326</v>
      </c>
      <c r="G73" s="336" t="s">
        <v>327</v>
      </c>
      <c r="H73" s="368">
        <v>41911</v>
      </c>
      <c r="I73" s="326" t="s">
        <v>284</v>
      </c>
      <c r="J73" s="351">
        <v>17</v>
      </c>
      <c r="K73" s="351" t="s">
        <v>307</v>
      </c>
      <c r="L73" s="336" t="s">
        <v>308</v>
      </c>
      <c r="M73" s="336"/>
      <c r="N73" s="351">
        <v>2014</v>
      </c>
      <c r="O73" s="351"/>
      <c r="P73" s="351"/>
      <c r="Q73" s="352"/>
      <c r="R73" s="335">
        <v>1</v>
      </c>
      <c r="S73" s="366"/>
      <c r="T73" s="354">
        <v>259871343</v>
      </c>
      <c r="U73" s="327">
        <f t="shared" si="24"/>
        <v>4331189.05</v>
      </c>
      <c r="V73" s="336">
        <v>60</v>
      </c>
      <c r="W73" s="329">
        <v>59.999999999999986</v>
      </c>
      <c r="X73" s="328">
        <f t="shared" si="25"/>
        <v>0</v>
      </c>
      <c r="Y73" s="328">
        <f t="shared" si="26"/>
        <v>59.999999999999986</v>
      </c>
      <c r="Z73" s="330">
        <f t="shared" si="27"/>
        <v>0</v>
      </c>
      <c r="AA73" s="331">
        <v>259871342.99999994</v>
      </c>
      <c r="AB73" s="331">
        <v>5.9604644775390625E-8</v>
      </c>
      <c r="AC73" s="331">
        <f t="shared" si="32"/>
        <v>0</v>
      </c>
      <c r="AD73" s="331"/>
      <c r="AE73" s="331"/>
      <c r="AF73" s="331"/>
      <c r="AG73" s="331"/>
      <c r="AH73" s="331"/>
      <c r="AI73" s="331"/>
      <c r="AJ73" s="331"/>
      <c r="AK73" s="331"/>
      <c r="AL73" s="331"/>
      <c r="AM73" s="331"/>
      <c r="AN73" s="331"/>
      <c r="AO73" s="331"/>
      <c r="AP73" s="331">
        <f t="shared" si="29"/>
        <v>259871342.99999994</v>
      </c>
      <c r="AQ73" s="332">
        <f t="shared" si="30"/>
        <v>5.9604644775390625E-8</v>
      </c>
      <c r="AR73" s="333"/>
      <c r="AS73" s="333"/>
      <c r="AT73" s="554"/>
      <c r="AU73" s="334"/>
      <c r="AV73" s="146" t="s">
        <v>1236</v>
      </c>
      <c r="AW73" s="146">
        <f>IFERROR(VLOOKUP(G73,'[70]Detail Deprec_202508'!$D$33:$I$357,6,FALSE),0)</f>
        <v>0</v>
      </c>
      <c r="AX73" s="146">
        <f t="shared" si="22"/>
        <v>0</v>
      </c>
    </row>
    <row r="74" spans="1:50" outlineLevel="1">
      <c r="A74" s="324">
        <f t="shared" si="31"/>
        <v>49</v>
      </c>
      <c r="B74" s="336" t="s">
        <v>142</v>
      </c>
      <c r="C74" s="344" t="s">
        <v>143</v>
      </c>
      <c r="D74" s="335">
        <v>154</v>
      </c>
      <c r="E74" s="335" t="s">
        <v>1707</v>
      </c>
      <c r="F74" s="336" t="s">
        <v>328</v>
      </c>
      <c r="G74" s="336" t="s">
        <v>329</v>
      </c>
      <c r="H74" s="368">
        <v>42143</v>
      </c>
      <c r="I74" s="326" t="s">
        <v>284</v>
      </c>
      <c r="J74" s="351">
        <v>5</v>
      </c>
      <c r="K74" s="351" t="s">
        <v>330</v>
      </c>
      <c r="L74" s="336" t="s">
        <v>331</v>
      </c>
      <c r="M74" s="336"/>
      <c r="N74" s="351">
        <v>2015</v>
      </c>
      <c r="O74" s="351"/>
      <c r="P74" s="351"/>
      <c r="Q74" s="352"/>
      <c r="R74" s="335">
        <v>381</v>
      </c>
      <c r="S74" s="366"/>
      <c r="T74" s="370">
        <v>344590000</v>
      </c>
      <c r="U74" s="327">
        <f t="shared" si="24"/>
        <v>5743166.666666667</v>
      </c>
      <c r="V74" s="336">
        <v>60</v>
      </c>
      <c r="W74" s="329">
        <v>60</v>
      </c>
      <c r="X74" s="328">
        <f t="shared" si="25"/>
        <v>0</v>
      </c>
      <c r="Y74" s="328">
        <f t="shared" si="26"/>
        <v>60</v>
      </c>
      <c r="Z74" s="330">
        <f t="shared" si="27"/>
        <v>0</v>
      </c>
      <c r="AA74" s="331">
        <v>344590000</v>
      </c>
      <c r="AB74" s="331">
        <v>0</v>
      </c>
      <c r="AC74" s="331">
        <f t="shared" si="32"/>
        <v>0</v>
      </c>
      <c r="AD74" s="331"/>
      <c r="AE74" s="331"/>
      <c r="AF74" s="331"/>
      <c r="AG74" s="331"/>
      <c r="AH74" s="331"/>
      <c r="AI74" s="331"/>
      <c r="AJ74" s="331"/>
      <c r="AK74" s="331"/>
      <c r="AL74" s="331"/>
      <c r="AM74" s="331"/>
      <c r="AN74" s="331"/>
      <c r="AO74" s="331"/>
      <c r="AP74" s="331">
        <f t="shared" si="29"/>
        <v>344590000</v>
      </c>
      <c r="AQ74" s="332">
        <f t="shared" si="30"/>
        <v>0</v>
      </c>
      <c r="AR74" s="333"/>
      <c r="AS74" s="333"/>
      <c r="AT74" s="365"/>
      <c r="AU74" s="334"/>
      <c r="AV74" s="146" t="s">
        <v>1236</v>
      </c>
      <c r="AW74" s="146">
        <f>IFERROR(VLOOKUP(G74,'[70]Detail Deprec_202508'!$D$33:$I$357,6,FALSE),0)</f>
        <v>0</v>
      </c>
      <c r="AX74" s="146">
        <f t="shared" si="22"/>
        <v>0</v>
      </c>
    </row>
    <row r="75" spans="1:50" outlineLevel="1">
      <c r="A75" s="324">
        <f t="shared" si="31"/>
        <v>50</v>
      </c>
      <c r="B75" s="336" t="s">
        <v>142</v>
      </c>
      <c r="C75" s="344" t="s">
        <v>143</v>
      </c>
      <c r="D75" s="335">
        <v>154</v>
      </c>
      <c r="E75" s="335" t="s">
        <v>1087</v>
      </c>
      <c r="F75" s="351" t="s">
        <v>333</v>
      </c>
      <c r="G75" s="351" t="s">
        <v>334</v>
      </c>
      <c r="H75" s="368">
        <v>42338</v>
      </c>
      <c r="I75" s="326" t="s">
        <v>284</v>
      </c>
      <c r="J75" s="362" t="s">
        <v>171</v>
      </c>
      <c r="K75" t="s">
        <v>335</v>
      </c>
      <c r="L75" s="309" t="s">
        <v>336</v>
      </c>
      <c r="M75" s="351" t="s">
        <v>337</v>
      </c>
      <c r="N75" s="309">
        <v>2015</v>
      </c>
      <c r="O75" s="309"/>
      <c r="P75" s="351"/>
      <c r="Q75" s="309"/>
      <c r="R75" s="304">
        <v>1</v>
      </c>
      <c r="S75" s="369"/>
      <c r="T75" s="370">
        <v>17300000</v>
      </c>
      <c r="U75" s="327">
        <f t="shared" si="24"/>
        <v>288333.33333333331</v>
      </c>
      <c r="V75" s="336">
        <v>60</v>
      </c>
      <c r="W75" s="329">
        <v>60.000000000000007</v>
      </c>
      <c r="X75" s="328">
        <f t="shared" si="25"/>
        <v>0</v>
      </c>
      <c r="Y75" s="328">
        <f t="shared" si="26"/>
        <v>60.000000000000007</v>
      </c>
      <c r="Z75" s="330">
        <f t="shared" si="27"/>
        <v>0</v>
      </c>
      <c r="AA75" s="331">
        <v>17300000</v>
      </c>
      <c r="AB75" s="331">
        <v>0</v>
      </c>
      <c r="AC75" s="331">
        <f t="shared" si="32"/>
        <v>0</v>
      </c>
      <c r="AD75" s="331"/>
      <c r="AE75" s="331"/>
      <c r="AF75" s="331"/>
      <c r="AG75" s="331"/>
      <c r="AH75" s="331"/>
      <c r="AI75" s="331"/>
      <c r="AJ75" s="331"/>
      <c r="AK75" s="331"/>
      <c r="AL75" s="331"/>
      <c r="AM75" s="331"/>
      <c r="AN75" s="331"/>
      <c r="AO75" s="331"/>
      <c r="AP75" s="331">
        <f t="shared" si="29"/>
        <v>17300000</v>
      </c>
      <c r="AQ75" s="332">
        <f t="shared" si="30"/>
        <v>0</v>
      </c>
      <c r="AR75" s="333"/>
      <c r="AS75" s="333"/>
      <c r="AT75" s="365"/>
      <c r="AU75" s="334"/>
      <c r="AV75" s="146" t="s">
        <v>1236</v>
      </c>
      <c r="AW75" s="146">
        <f>IFERROR(VLOOKUP(G75,'[70]Detail Deprec_202508'!$D$33:$I$357,6,FALSE),0)</f>
        <v>0</v>
      </c>
      <c r="AX75" s="146">
        <f t="shared" si="22"/>
        <v>0</v>
      </c>
    </row>
    <row r="76" spans="1:50" outlineLevel="1">
      <c r="A76" s="324">
        <f t="shared" si="31"/>
        <v>51</v>
      </c>
      <c r="B76" s="336" t="s">
        <v>142</v>
      </c>
      <c r="C76" s="344" t="s">
        <v>143</v>
      </c>
      <c r="D76" s="335">
        <v>154</v>
      </c>
      <c r="E76" s="335" t="s">
        <v>1087</v>
      </c>
      <c r="F76" s="351" t="s">
        <v>338</v>
      </c>
      <c r="G76" s="351" t="s">
        <v>339</v>
      </c>
      <c r="H76" s="368">
        <v>42338</v>
      </c>
      <c r="I76" s="326" t="s">
        <v>284</v>
      </c>
      <c r="J76" s="362" t="s">
        <v>171</v>
      </c>
      <c r="K76" s="351" t="s">
        <v>340</v>
      </c>
      <c r="L76" s="309" t="s">
        <v>341</v>
      </c>
      <c r="M76" s="351" t="s">
        <v>337</v>
      </c>
      <c r="N76" s="309">
        <v>2015</v>
      </c>
      <c r="O76" s="309"/>
      <c r="P76" s="351"/>
      <c r="Q76" s="309"/>
      <c r="R76" s="304">
        <v>1</v>
      </c>
      <c r="S76" s="369"/>
      <c r="T76" s="370">
        <v>41500000</v>
      </c>
      <c r="U76" s="327">
        <f t="shared" si="24"/>
        <v>691666.66666666663</v>
      </c>
      <c r="V76" s="336">
        <v>60</v>
      </c>
      <c r="W76" s="329">
        <v>60</v>
      </c>
      <c r="X76" s="328">
        <f t="shared" si="25"/>
        <v>0</v>
      </c>
      <c r="Y76" s="328">
        <f t="shared" si="26"/>
        <v>60</v>
      </c>
      <c r="Z76" s="330">
        <f t="shared" si="27"/>
        <v>0</v>
      </c>
      <c r="AA76" s="331">
        <v>41500000</v>
      </c>
      <c r="AB76" s="331">
        <v>0</v>
      </c>
      <c r="AC76" s="331">
        <f t="shared" si="32"/>
        <v>0</v>
      </c>
      <c r="AD76" s="331"/>
      <c r="AE76" s="331"/>
      <c r="AF76" s="331"/>
      <c r="AG76" s="331"/>
      <c r="AH76" s="331"/>
      <c r="AI76" s="331"/>
      <c r="AJ76" s="331"/>
      <c r="AK76" s="331"/>
      <c r="AL76" s="331"/>
      <c r="AM76" s="331"/>
      <c r="AN76" s="331"/>
      <c r="AO76" s="331"/>
      <c r="AP76" s="331">
        <f t="shared" si="29"/>
        <v>41500000</v>
      </c>
      <c r="AQ76" s="332">
        <f t="shared" si="30"/>
        <v>0</v>
      </c>
      <c r="AR76" s="333"/>
      <c r="AS76" s="333"/>
      <c r="AT76" s="365"/>
      <c r="AU76" s="334"/>
      <c r="AV76" s="146" t="s">
        <v>1236</v>
      </c>
      <c r="AW76" s="146">
        <f>IFERROR(VLOOKUP(G76,'[70]Detail Deprec_202508'!$D$33:$I$357,6,FALSE),0)</f>
        <v>0</v>
      </c>
      <c r="AX76" s="146">
        <f t="shared" si="22"/>
        <v>0</v>
      </c>
    </row>
    <row r="77" spans="1:50" outlineLevel="1">
      <c r="A77" s="324">
        <f t="shared" si="31"/>
        <v>52</v>
      </c>
      <c r="B77" s="336" t="s">
        <v>142</v>
      </c>
      <c r="C77" s="344" t="s">
        <v>143</v>
      </c>
      <c r="D77" s="335">
        <v>154</v>
      </c>
      <c r="E77" s="335" t="s">
        <v>1705</v>
      </c>
      <c r="F77" s="351" t="s">
        <v>342</v>
      </c>
      <c r="G77" s="351" t="s">
        <v>343</v>
      </c>
      <c r="H77" s="368">
        <v>42338</v>
      </c>
      <c r="I77" s="326" t="s">
        <v>284</v>
      </c>
      <c r="J77" s="362" t="s">
        <v>171</v>
      </c>
      <c r="K77" s="351" t="s">
        <v>344</v>
      </c>
      <c r="L77" s="309"/>
      <c r="M77" s="351"/>
      <c r="N77" s="309">
        <v>2015</v>
      </c>
      <c r="O77" s="309"/>
      <c r="P77" s="351"/>
      <c r="Q77" s="309"/>
      <c r="R77" s="304">
        <v>1</v>
      </c>
      <c r="S77" s="369"/>
      <c r="T77" s="370">
        <v>23100000</v>
      </c>
      <c r="U77" s="327">
        <f t="shared" si="24"/>
        <v>385000</v>
      </c>
      <c r="V77" s="336">
        <v>60</v>
      </c>
      <c r="W77" s="329">
        <v>60</v>
      </c>
      <c r="X77" s="328">
        <f t="shared" si="25"/>
        <v>0</v>
      </c>
      <c r="Y77" s="328">
        <f t="shared" si="26"/>
        <v>60</v>
      </c>
      <c r="Z77" s="330">
        <f t="shared" si="27"/>
        <v>0</v>
      </c>
      <c r="AA77" s="331">
        <v>23100000</v>
      </c>
      <c r="AB77" s="331">
        <v>0</v>
      </c>
      <c r="AC77" s="331">
        <f t="shared" si="32"/>
        <v>0</v>
      </c>
      <c r="AD77" s="331"/>
      <c r="AE77" s="331"/>
      <c r="AF77" s="331"/>
      <c r="AG77" s="331"/>
      <c r="AH77" s="331"/>
      <c r="AI77" s="331"/>
      <c r="AJ77" s="331"/>
      <c r="AK77" s="331"/>
      <c r="AL77" s="331"/>
      <c r="AM77" s="331"/>
      <c r="AN77" s="331"/>
      <c r="AO77" s="331"/>
      <c r="AP77" s="331">
        <f t="shared" si="29"/>
        <v>23100000</v>
      </c>
      <c r="AQ77" s="332">
        <f t="shared" si="30"/>
        <v>0</v>
      </c>
      <c r="AR77" s="333"/>
      <c r="AS77" s="333"/>
      <c r="AT77" s="365"/>
      <c r="AU77" s="334"/>
      <c r="AV77" s="146" t="s">
        <v>1236</v>
      </c>
      <c r="AW77" s="146">
        <f>IFERROR(VLOOKUP(G77,'[70]Detail Deprec_202508'!$D$33:$I$357,6,FALSE),0)</f>
        <v>0</v>
      </c>
      <c r="AX77" s="146">
        <f t="shared" si="22"/>
        <v>0</v>
      </c>
    </row>
    <row r="78" spans="1:50" outlineLevel="1">
      <c r="A78" s="324">
        <f t="shared" si="31"/>
        <v>53</v>
      </c>
      <c r="B78" s="336" t="s">
        <v>142</v>
      </c>
      <c r="C78" s="344" t="s">
        <v>143</v>
      </c>
      <c r="D78" s="335">
        <v>154</v>
      </c>
      <c r="E78" s="335" t="s">
        <v>1707</v>
      </c>
      <c r="F78" s="351" t="s">
        <v>347</v>
      </c>
      <c r="G78" s="351" t="s">
        <v>348</v>
      </c>
      <c r="H78" s="368">
        <v>42398</v>
      </c>
      <c r="I78" s="326" t="s">
        <v>284</v>
      </c>
      <c r="J78" s="362" t="s">
        <v>349</v>
      </c>
      <c r="K78" s="351" t="s">
        <v>330</v>
      </c>
      <c r="L78" s="309" t="s">
        <v>350</v>
      </c>
      <c r="M78" s="351"/>
      <c r="N78" s="309">
        <v>2016</v>
      </c>
      <c r="O78" s="309"/>
      <c r="P78" s="351"/>
      <c r="Q78" s="309"/>
      <c r="R78" s="304">
        <v>1</v>
      </c>
      <c r="S78" s="369"/>
      <c r="T78" s="371">
        <v>202500000</v>
      </c>
      <c r="U78" s="327">
        <f t="shared" si="24"/>
        <v>3375000</v>
      </c>
      <c r="V78" s="336">
        <v>60</v>
      </c>
      <c r="W78" s="329">
        <v>60</v>
      </c>
      <c r="X78" s="328">
        <f t="shared" si="25"/>
        <v>0</v>
      </c>
      <c r="Y78" s="328">
        <f t="shared" si="26"/>
        <v>60</v>
      </c>
      <c r="Z78" s="330">
        <f t="shared" si="27"/>
        <v>0</v>
      </c>
      <c r="AA78" s="331">
        <v>202500000</v>
      </c>
      <c r="AB78" s="331">
        <v>0</v>
      </c>
      <c r="AC78" s="331">
        <f t="shared" si="32"/>
        <v>0</v>
      </c>
      <c r="AD78" s="331"/>
      <c r="AE78" s="331"/>
      <c r="AF78" s="331"/>
      <c r="AG78" s="331"/>
      <c r="AH78" s="331"/>
      <c r="AI78" s="331"/>
      <c r="AJ78" s="331"/>
      <c r="AK78" s="331"/>
      <c r="AL78" s="331"/>
      <c r="AM78" s="331"/>
      <c r="AN78" s="331"/>
      <c r="AO78" s="331"/>
      <c r="AP78" s="331">
        <f t="shared" si="29"/>
        <v>202500000</v>
      </c>
      <c r="AQ78" s="332">
        <f t="shared" si="30"/>
        <v>0</v>
      </c>
      <c r="AR78" s="333"/>
      <c r="AS78" s="333"/>
      <c r="AT78" s="365"/>
      <c r="AU78" s="334"/>
      <c r="AV78" s="146" t="s">
        <v>1236</v>
      </c>
      <c r="AW78" s="146">
        <f>IFERROR(VLOOKUP(G78,'[70]Detail Deprec_202508'!$D$33:$I$357,6,FALSE),0)</f>
        <v>0</v>
      </c>
      <c r="AX78" s="146">
        <f t="shared" si="22"/>
        <v>0</v>
      </c>
    </row>
    <row r="79" spans="1:50" outlineLevel="1">
      <c r="A79" s="324">
        <f t="shared" si="31"/>
        <v>54</v>
      </c>
      <c r="B79" s="336" t="s">
        <v>142</v>
      </c>
      <c r="C79" s="344" t="s">
        <v>143</v>
      </c>
      <c r="D79" s="335">
        <v>154</v>
      </c>
      <c r="E79" s="335" t="s">
        <v>1707</v>
      </c>
      <c r="F79" s="351" t="s">
        <v>351</v>
      </c>
      <c r="G79" s="351" t="s">
        <v>352</v>
      </c>
      <c r="H79" s="368">
        <v>42398</v>
      </c>
      <c r="I79" s="326" t="s">
        <v>284</v>
      </c>
      <c r="J79" s="362" t="s">
        <v>349</v>
      </c>
      <c r="K79" s="351" t="s">
        <v>330</v>
      </c>
      <c r="L79" s="309" t="s">
        <v>350</v>
      </c>
      <c r="M79" s="351"/>
      <c r="N79" s="309">
        <v>2016</v>
      </c>
      <c r="O79" s="309"/>
      <c r="P79" s="351"/>
      <c r="Q79" s="309"/>
      <c r="R79" s="304">
        <v>1</v>
      </c>
      <c r="S79" s="369"/>
      <c r="T79" s="371">
        <v>179250000</v>
      </c>
      <c r="U79" s="327">
        <f t="shared" si="24"/>
        <v>2987500</v>
      </c>
      <c r="V79" s="336">
        <v>60</v>
      </c>
      <c r="W79" s="329">
        <v>60</v>
      </c>
      <c r="X79" s="328">
        <f t="shared" si="25"/>
        <v>0</v>
      </c>
      <c r="Y79" s="328">
        <f t="shared" si="26"/>
        <v>60</v>
      </c>
      <c r="Z79" s="330">
        <f t="shared" si="27"/>
        <v>0</v>
      </c>
      <c r="AA79" s="331">
        <v>179250000</v>
      </c>
      <c r="AB79" s="331">
        <v>0</v>
      </c>
      <c r="AC79" s="331">
        <f t="shared" si="32"/>
        <v>0</v>
      </c>
      <c r="AD79" s="331"/>
      <c r="AE79" s="331"/>
      <c r="AF79" s="331"/>
      <c r="AG79" s="331"/>
      <c r="AH79" s="331"/>
      <c r="AI79" s="331"/>
      <c r="AJ79" s="331"/>
      <c r="AK79" s="331"/>
      <c r="AL79" s="331"/>
      <c r="AM79" s="331"/>
      <c r="AN79" s="331"/>
      <c r="AO79" s="331"/>
      <c r="AP79" s="331">
        <f t="shared" si="29"/>
        <v>179250000</v>
      </c>
      <c r="AQ79" s="332">
        <f t="shared" si="30"/>
        <v>0</v>
      </c>
      <c r="AR79" s="333"/>
      <c r="AS79" s="333"/>
      <c r="AT79" s="365"/>
      <c r="AU79" s="334"/>
      <c r="AV79" s="146" t="s">
        <v>1236</v>
      </c>
      <c r="AW79" s="146">
        <f>IFERROR(VLOOKUP(G79,'[70]Detail Deprec_202508'!$D$33:$I$357,6,FALSE),0)</f>
        <v>0</v>
      </c>
      <c r="AX79" s="146">
        <f t="shared" si="22"/>
        <v>0</v>
      </c>
    </row>
    <row r="80" spans="1:50" outlineLevel="1">
      <c r="A80" s="324">
        <f t="shared" si="31"/>
        <v>55</v>
      </c>
      <c r="B80" s="306" t="s">
        <v>142</v>
      </c>
      <c r="C80" s="344" t="s">
        <v>143</v>
      </c>
      <c r="D80" s="304">
        <v>154</v>
      </c>
      <c r="E80" s="335" t="s">
        <v>1707</v>
      </c>
      <c r="F80" s="351" t="s">
        <v>353</v>
      </c>
      <c r="G80" s="351" t="s">
        <v>354</v>
      </c>
      <c r="H80" s="325">
        <v>42612</v>
      </c>
      <c r="I80" s="326" t="s">
        <v>284</v>
      </c>
      <c r="J80" s="340" t="s">
        <v>204</v>
      </c>
      <c r="K80" s="351" t="s">
        <v>355</v>
      </c>
      <c r="L80" s="363" t="s">
        <v>331</v>
      </c>
      <c r="M80" s="367"/>
      <c r="N80" s="351">
        <v>2016</v>
      </c>
      <c r="O80" s="351"/>
      <c r="P80" s="351"/>
      <c r="Q80" s="351"/>
      <c r="R80" s="304">
        <v>50</v>
      </c>
      <c r="S80" s="361"/>
      <c r="T80" s="364">
        <v>82500000</v>
      </c>
      <c r="U80" s="327">
        <f t="shared" si="24"/>
        <v>1375000</v>
      </c>
      <c r="V80" s="328">
        <v>60</v>
      </c>
      <c r="W80" s="329">
        <v>60</v>
      </c>
      <c r="X80" s="328">
        <f t="shared" si="25"/>
        <v>0</v>
      </c>
      <c r="Y80" s="328">
        <f t="shared" si="26"/>
        <v>60</v>
      </c>
      <c r="Z80" s="330">
        <f t="shared" si="27"/>
        <v>0</v>
      </c>
      <c r="AA80" s="331">
        <v>82500000</v>
      </c>
      <c r="AB80" s="331">
        <v>0</v>
      </c>
      <c r="AC80" s="331">
        <f t="shared" si="32"/>
        <v>0</v>
      </c>
      <c r="AD80" s="331"/>
      <c r="AE80" s="331"/>
      <c r="AF80" s="331"/>
      <c r="AG80" s="331"/>
      <c r="AH80" s="331"/>
      <c r="AI80" s="331"/>
      <c r="AJ80" s="331"/>
      <c r="AK80" s="331"/>
      <c r="AL80" s="331"/>
      <c r="AM80" s="331"/>
      <c r="AN80" s="331"/>
      <c r="AO80" s="331"/>
      <c r="AP80" s="331">
        <f t="shared" si="29"/>
        <v>82500000</v>
      </c>
      <c r="AQ80" s="332">
        <f t="shared" si="30"/>
        <v>0</v>
      </c>
      <c r="AR80" s="333"/>
      <c r="AS80" s="333"/>
      <c r="AT80" s="365"/>
      <c r="AU80" s="334"/>
      <c r="AV80" s="146" t="s">
        <v>1236</v>
      </c>
      <c r="AW80" s="146">
        <f>IFERROR(VLOOKUP(G80,'[70]Detail Deprec_202508'!$D$33:$I$357,6,FALSE),0)</f>
        <v>0</v>
      </c>
      <c r="AX80" s="146">
        <f t="shared" si="22"/>
        <v>0</v>
      </c>
    </row>
    <row r="81" spans="1:50" outlineLevel="1">
      <c r="A81" s="324">
        <f t="shared" si="31"/>
        <v>56</v>
      </c>
      <c r="B81" s="306" t="s">
        <v>142</v>
      </c>
      <c r="C81" s="344" t="s">
        <v>143</v>
      </c>
      <c r="D81" s="304">
        <v>154</v>
      </c>
      <c r="E81" s="335" t="s">
        <v>1707</v>
      </c>
      <c r="F81" s="351" t="s">
        <v>356</v>
      </c>
      <c r="G81" s="351" t="s">
        <v>357</v>
      </c>
      <c r="H81" s="325">
        <v>42613</v>
      </c>
      <c r="I81" s="326" t="s">
        <v>284</v>
      </c>
      <c r="J81" s="340" t="s">
        <v>358</v>
      </c>
      <c r="K81" s="351" t="s">
        <v>330</v>
      </c>
      <c r="L81" s="363" t="s">
        <v>331</v>
      </c>
      <c r="M81" s="367"/>
      <c r="N81" s="351">
        <v>2016</v>
      </c>
      <c r="O81" s="351"/>
      <c r="P81" s="351"/>
      <c r="Q81" s="351"/>
      <c r="R81" s="304">
        <v>230</v>
      </c>
      <c r="S81" s="361"/>
      <c r="T81" s="364">
        <v>173355000</v>
      </c>
      <c r="U81" s="327">
        <f t="shared" si="24"/>
        <v>2889250</v>
      </c>
      <c r="V81" s="328">
        <v>60</v>
      </c>
      <c r="W81" s="329">
        <v>60</v>
      </c>
      <c r="X81" s="328">
        <f t="shared" si="25"/>
        <v>0</v>
      </c>
      <c r="Y81" s="328">
        <f t="shared" si="26"/>
        <v>60</v>
      </c>
      <c r="Z81" s="330">
        <f t="shared" si="27"/>
        <v>0</v>
      </c>
      <c r="AA81" s="331">
        <v>173355000</v>
      </c>
      <c r="AB81" s="331">
        <v>0</v>
      </c>
      <c r="AC81" s="331">
        <f t="shared" si="32"/>
        <v>0</v>
      </c>
      <c r="AD81" s="331"/>
      <c r="AE81" s="331"/>
      <c r="AF81" s="331"/>
      <c r="AG81" s="331"/>
      <c r="AH81" s="331"/>
      <c r="AI81" s="331"/>
      <c r="AJ81" s="331"/>
      <c r="AK81" s="331"/>
      <c r="AL81" s="331"/>
      <c r="AM81" s="331"/>
      <c r="AN81" s="331"/>
      <c r="AO81" s="331"/>
      <c r="AP81" s="331">
        <f t="shared" si="29"/>
        <v>173355000</v>
      </c>
      <c r="AQ81" s="332">
        <f t="shared" si="30"/>
        <v>0</v>
      </c>
      <c r="AR81" s="333"/>
      <c r="AS81" s="333"/>
      <c r="AT81" s="365"/>
      <c r="AU81" s="334"/>
      <c r="AV81" s="146" t="s">
        <v>1236</v>
      </c>
      <c r="AW81" s="146">
        <f>IFERROR(VLOOKUP(G81,'[70]Detail Deprec_202508'!$D$33:$I$357,6,FALSE),0)</f>
        <v>0</v>
      </c>
      <c r="AX81" s="146">
        <f t="shared" si="22"/>
        <v>0</v>
      </c>
    </row>
    <row r="82" spans="1:50" outlineLevel="1">
      <c r="A82" s="324">
        <f t="shared" si="31"/>
        <v>57</v>
      </c>
      <c r="B82" s="306" t="s">
        <v>142</v>
      </c>
      <c r="C82" s="344" t="s">
        <v>143</v>
      </c>
      <c r="D82" s="304">
        <v>154</v>
      </c>
      <c r="E82" s="335" t="s">
        <v>1707</v>
      </c>
      <c r="F82" s="351" t="s">
        <v>359</v>
      </c>
      <c r="G82" s="306" t="s">
        <v>360</v>
      </c>
      <c r="H82" s="325">
        <v>42733</v>
      </c>
      <c r="I82" s="326" t="s">
        <v>284</v>
      </c>
      <c r="J82" s="340">
        <v>18</v>
      </c>
      <c r="K82" s="351" t="s">
        <v>361</v>
      </c>
      <c r="L82" s="363" t="s">
        <v>331</v>
      </c>
      <c r="M82" s="372"/>
      <c r="N82" s="351">
        <v>2016</v>
      </c>
      <c r="O82" s="351"/>
      <c r="P82" s="351"/>
      <c r="Q82" s="351"/>
      <c r="R82" s="304">
        <v>1</v>
      </c>
      <c r="S82" s="361"/>
      <c r="T82" s="364">
        <v>29600000</v>
      </c>
      <c r="U82" s="327">
        <f t="shared" si="24"/>
        <v>493333.33333333331</v>
      </c>
      <c r="V82" s="328">
        <v>60</v>
      </c>
      <c r="W82" s="329">
        <v>59.999999999999993</v>
      </c>
      <c r="X82" s="328">
        <f t="shared" si="25"/>
        <v>0</v>
      </c>
      <c r="Y82" s="328">
        <f t="shared" si="26"/>
        <v>59.999999999999993</v>
      </c>
      <c r="Z82" s="330">
        <f t="shared" si="27"/>
        <v>0</v>
      </c>
      <c r="AA82" s="331">
        <v>29599999.999999996</v>
      </c>
      <c r="AB82" s="331">
        <v>3.7252902984619141E-9</v>
      </c>
      <c r="AC82" s="331">
        <f t="shared" si="32"/>
        <v>0</v>
      </c>
      <c r="AD82" s="331"/>
      <c r="AE82" s="331"/>
      <c r="AF82" s="331"/>
      <c r="AG82" s="331"/>
      <c r="AH82" s="331"/>
      <c r="AI82" s="331"/>
      <c r="AJ82" s="331"/>
      <c r="AK82" s="331"/>
      <c r="AL82" s="331"/>
      <c r="AM82" s="331"/>
      <c r="AN82" s="331"/>
      <c r="AO82" s="331"/>
      <c r="AP82" s="331">
        <f t="shared" si="29"/>
        <v>29599999.999999996</v>
      </c>
      <c r="AQ82" s="332">
        <f t="shared" si="30"/>
        <v>3.7252902984619141E-9</v>
      </c>
      <c r="AR82" s="333"/>
      <c r="AS82" s="333"/>
      <c r="AT82" s="365"/>
      <c r="AU82" s="334"/>
      <c r="AV82" s="146" t="s">
        <v>1236</v>
      </c>
      <c r="AW82" s="146">
        <f>IFERROR(VLOOKUP(G82,'[70]Detail Deprec_202508'!$D$33:$I$357,6,FALSE),0)</f>
        <v>0</v>
      </c>
      <c r="AX82" s="146">
        <f t="shared" si="22"/>
        <v>0</v>
      </c>
    </row>
    <row r="83" spans="1:50" outlineLevel="1">
      <c r="A83" s="324">
        <f t="shared" si="31"/>
        <v>58</v>
      </c>
      <c r="B83" s="306" t="s">
        <v>142</v>
      </c>
      <c r="C83" s="344" t="s">
        <v>143</v>
      </c>
      <c r="D83" s="304">
        <v>154</v>
      </c>
      <c r="E83" s="335" t="s">
        <v>1707</v>
      </c>
      <c r="F83" s="306" t="s">
        <v>363</v>
      </c>
      <c r="G83" s="306" t="s">
        <v>364</v>
      </c>
      <c r="H83" s="325">
        <v>42860</v>
      </c>
      <c r="I83" s="326" t="s">
        <v>284</v>
      </c>
      <c r="J83" s="340" t="s">
        <v>292</v>
      </c>
      <c r="K83" s="351" t="s">
        <v>365</v>
      </c>
      <c r="L83" s="363" t="s">
        <v>331</v>
      </c>
      <c r="M83" s="372"/>
      <c r="N83" s="351">
        <v>2017</v>
      </c>
      <c r="O83" s="351"/>
      <c r="P83" s="351"/>
      <c r="Q83" s="351"/>
      <c r="R83" s="304">
        <v>1</v>
      </c>
      <c r="S83" s="361"/>
      <c r="T83" s="364">
        <v>72000000</v>
      </c>
      <c r="U83" s="327">
        <f t="shared" si="24"/>
        <v>1200000</v>
      </c>
      <c r="V83" s="328">
        <v>60</v>
      </c>
      <c r="W83" s="329">
        <v>60</v>
      </c>
      <c r="X83" s="328">
        <f t="shared" si="25"/>
        <v>0</v>
      </c>
      <c r="Y83" s="328">
        <f t="shared" si="26"/>
        <v>60</v>
      </c>
      <c r="Z83" s="330">
        <f t="shared" si="27"/>
        <v>0</v>
      </c>
      <c r="AA83" s="331">
        <v>72000000</v>
      </c>
      <c r="AB83" s="331">
        <v>0</v>
      </c>
      <c r="AC83" s="331">
        <f t="shared" si="32"/>
        <v>0</v>
      </c>
      <c r="AD83" s="331"/>
      <c r="AE83" s="331"/>
      <c r="AF83" s="331"/>
      <c r="AG83" s="331"/>
      <c r="AH83" s="331"/>
      <c r="AI83" s="331"/>
      <c r="AJ83" s="331"/>
      <c r="AK83" s="331"/>
      <c r="AL83" s="331"/>
      <c r="AM83" s="331"/>
      <c r="AN83" s="331"/>
      <c r="AO83" s="331"/>
      <c r="AP83" s="331">
        <f t="shared" si="29"/>
        <v>72000000</v>
      </c>
      <c r="AQ83" s="332">
        <f t="shared" si="30"/>
        <v>0</v>
      </c>
      <c r="AR83" s="333"/>
      <c r="AS83" s="333"/>
      <c r="AT83" s="365"/>
      <c r="AU83" s="334"/>
      <c r="AV83" s="146" t="s">
        <v>1236</v>
      </c>
      <c r="AW83" s="146">
        <f>IFERROR(VLOOKUP(G83,'[70]Detail Deprec_202508'!$D$33:$I$357,6,FALSE),0)</f>
        <v>0</v>
      </c>
      <c r="AX83" s="146">
        <f t="shared" si="22"/>
        <v>0</v>
      </c>
    </row>
    <row r="84" spans="1:50" outlineLevel="1">
      <c r="A84" s="324">
        <f t="shared" si="31"/>
        <v>59</v>
      </c>
      <c r="B84" s="306" t="s">
        <v>142</v>
      </c>
      <c r="C84" s="344" t="s">
        <v>143</v>
      </c>
      <c r="D84" s="304">
        <v>154</v>
      </c>
      <c r="E84" s="304" t="s">
        <v>1705</v>
      </c>
      <c r="F84" s="306" t="s">
        <v>366</v>
      </c>
      <c r="G84" s="306" t="s">
        <v>367</v>
      </c>
      <c r="H84" s="325">
        <v>42885</v>
      </c>
      <c r="I84" s="326" t="s">
        <v>284</v>
      </c>
      <c r="J84" s="340" t="s">
        <v>368</v>
      </c>
      <c r="K84" s="351" t="s">
        <v>369</v>
      </c>
      <c r="L84" s="363" t="s">
        <v>235</v>
      </c>
      <c r="M84" s="372"/>
      <c r="N84" s="351">
        <v>2017</v>
      </c>
      <c r="O84" s="351"/>
      <c r="P84" s="351"/>
      <c r="Q84" s="351"/>
      <c r="R84" s="304">
        <v>1</v>
      </c>
      <c r="S84" s="361"/>
      <c r="T84" s="364">
        <v>180000000</v>
      </c>
      <c r="U84" s="327">
        <f t="shared" si="24"/>
        <v>3000000</v>
      </c>
      <c r="V84" s="328">
        <v>60</v>
      </c>
      <c r="W84" s="329">
        <v>60</v>
      </c>
      <c r="X84" s="328">
        <f t="shared" si="25"/>
        <v>0</v>
      </c>
      <c r="Y84" s="328">
        <f t="shared" si="26"/>
        <v>60</v>
      </c>
      <c r="Z84" s="330">
        <f t="shared" si="27"/>
        <v>0</v>
      </c>
      <c r="AA84" s="331">
        <v>180000000</v>
      </c>
      <c r="AB84" s="331">
        <v>0</v>
      </c>
      <c r="AC84" s="331">
        <f t="shared" si="32"/>
        <v>0</v>
      </c>
      <c r="AD84" s="331"/>
      <c r="AE84" s="331"/>
      <c r="AF84" s="331"/>
      <c r="AG84" s="331"/>
      <c r="AH84" s="331"/>
      <c r="AI84" s="331"/>
      <c r="AJ84" s="331"/>
      <c r="AK84" s="331"/>
      <c r="AL84" s="331"/>
      <c r="AM84" s="331"/>
      <c r="AN84" s="331"/>
      <c r="AO84" s="331"/>
      <c r="AP84" s="331">
        <f t="shared" si="29"/>
        <v>180000000</v>
      </c>
      <c r="AQ84" s="332">
        <f t="shared" si="30"/>
        <v>0</v>
      </c>
      <c r="AR84" s="333"/>
      <c r="AS84" s="333"/>
      <c r="AT84" s="365"/>
      <c r="AU84" s="334"/>
      <c r="AV84" s="146" t="s">
        <v>1236</v>
      </c>
      <c r="AW84" s="146">
        <f>IFERROR(VLOOKUP(G84,'[70]Detail Deprec_202508'!$D$33:$I$357,6,FALSE),0)</f>
        <v>0</v>
      </c>
      <c r="AX84" s="146">
        <f t="shared" si="22"/>
        <v>0</v>
      </c>
    </row>
    <row r="85" spans="1:50" outlineLevel="1">
      <c r="A85" s="324">
        <f t="shared" si="31"/>
        <v>60</v>
      </c>
      <c r="B85" s="306" t="s">
        <v>142</v>
      </c>
      <c r="C85" s="344" t="s">
        <v>143</v>
      </c>
      <c r="D85" s="304">
        <v>154</v>
      </c>
      <c r="E85" s="304" t="s">
        <v>1707</v>
      </c>
      <c r="F85" s="306" t="s">
        <v>370</v>
      </c>
      <c r="G85" s="306" t="s">
        <v>371</v>
      </c>
      <c r="H85" s="325">
        <v>42908</v>
      </c>
      <c r="I85" s="326" t="s">
        <v>284</v>
      </c>
      <c r="J85" s="340">
        <v>19</v>
      </c>
      <c r="K85" s="351" t="s">
        <v>365</v>
      </c>
      <c r="L85" s="363" t="s">
        <v>331</v>
      </c>
      <c r="M85" s="372"/>
      <c r="N85" s="351">
        <v>2017</v>
      </c>
      <c r="O85" s="351"/>
      <c r="P85" s="351"/>
      <c r="Q85" s="351"/>
      <c r="R85" s="304">
        <v>393</v>
      </c>
      <c r="S85" s="361"/>
      <c r="T85" s="364">
        <v>417780000</v>
      </c>
      <c r="U85" s="327">
        <f t="shared" si="24"/>
        <v>6963000</v>
      </c>
      <c r="V85" s="328">
        <v>60</v>
      </c>
      <c r="W85" s="329">
        <v>60</v>
      </c>
      <c r="X85" s="328">
        <f t="shared" si="25"/>
        <v>0</v>
      </c>
      <c r="Y85" s="328">
        <f t="shared" si="26"/>
        <v>60</v>
      </c>
      <c r="Z85" s="330">
        <f t="shared" si="27"/>
        <v>0</v>
      </c>
      <c r="AA85" s="331">
        <v>417780000</v>
      </c>
      <c r="AB85" s="331">
        <v>0</v>
      </c>
      <c r="AC85" s="331">
        <f t="shared" si="32"/>
        <v>0</v>
      </c>
      <c r="AD85" s="331"/>
      <c r="AE85" s="331"/>
      <c r="AF85" s="331"/>
      <c r="AG85" s="331"/>
      <c r="AH85" s="331"/>
      <c r="AI85" s="331"/>
      <c r="AJ85" s="331"/>
      <c r="AK85" s="331"/>
      <c r="AL85" s="331"/>
      <c r="AM85" s="331"/>
      <c r="AN85" s="331"/>
      <c r="AO85" s="331"/>
      <c r="AP85" s="331">
        <f t="shared" si="29"/>
        <v>417780000</v>
      </c>
      <c r="AQ85" s="332">
        <f t="shared" si="30"/>
        <v>0</v>
      </c>
      <c r="AR85" s="333"/>
      <c r="AS85" s="333"/>
      <c r="AT85" s="365"/>
      <c r="AU85" s="334"/>
      <c r="AV85" s="146" t="s">
        <v>1236</v>
      </c>
      <c r="AW85" s="146">
        <f>IFERROR(VLOOKUP(G85,'[70]Detail Deprec_202508'!$D$33:$I$357,6,FALSE),0)</f>
        <v>0</v>
      </c>
      <c r="AX85" s="146">
        <f t="shared" si="22"/>
        <v>0</v>
      </c>
    </row>
    <row r="86" spans="1:50" outlineLevel="1">
      <c r="A86" s="324">
        <f t="shared" si="31"/>
        <v>61</v>
      </c>
      <c r="B86" s="336" t="s">
        <v>142</v>
      </c>
      <c r="C86" s="344" t="s">
        <v>143</v>
      </c>
      <c r="D86" s="335">
        <v>154</v>
      </c>
      <c r="E86" s="335" t="s">
        <v>1707</v>
      </c>
      <c r="F86" s="336" t="s">
        <v>372</v>
      </c>
      <c r="G86" s="336" t="s">
        <v>373</v>
      </c>
      <c r="H86" s="368">
        <v>43097</v>
      </c>
      <c r="I86" s="326" t="s">
        <v>284</v>
      </c>
      <c r="J86" s="351">
        <v>23</v>
      </c>
      <c r="K86" s="351" t="s">
        <v>361</v>
      </c>
      <c r="L86" s="363" t="s">
        <v>331</v>
      </c>
      <c r="M86" s="336"/>
      <c r="N86" s="351">
        <v>2017</v>
      </c>
      <c r="O86" s="351"/>
      <c r="P86" s="351"/>
      <c r="Q86" s="352"/>
      <c r="R86" s="335">
        <v>454</v>
      </c>
      <c r="S86" s="366"/>
      <c r="T86" s="354">
        <v>588744000</v>
      </c>
      <c r="U86" s="327">
        <f t="shared" si="24"/>
        <v>9812400</v>
      </c>
      <c r="V86" s="336">
        <v>60</v>
      </c>
      <c r="W86" s="329">
        <v>60</v>
      </c>
      <c r="X86" s="328">
        <f t="shared" si="25"/>
        <v>0</v>
      </c>
      <c r="Y86" s="328">
        <f t="shared" si="26"/>
        <v>60</v>
      </c>
      <c r="Z86" s="330">
        <f t="shared" si="27"/>
        <v>0</v>
      </c>
      <c r="AA86" s="331">
        <v>588744000</v>
      </c>
      <c r="AB86" s="331">
        <v>0</v>
      </c>
      <c r="AC86" s="331">
        <f t="shared" si="32"/>
        <v>0</v>
      </c>
      <c r="AD86" s="331"/>
      <c r="AE86" s="331"/>
      <c r="AF86" s="331"/>
      <c r="AG86" s="331"/>
      <c r="AH86" s="331"/>
      <c r="AI86" s="331"/>
      <c r="AJ86" s="331"/>
      <c r="AK86" s="331"/>
      <c r="AL86" s="331"/>
      <c r="AM86" s="331"/>
      <c r="AN86" s="331"/>
      <c r="AO86" s="331"/>
      <c r="AP86" s="331">
        <f t="shared" si="29"/>
        <v>588744000</v>
      </c>
      <c r="AQ86" s="332">
        <f t="shared" si="30"/>
        <v>0</v>
      </c>
      <c r="AR86" s="333"/>
      <c r="AS86" s="333"/>
      <c r="AT86" s="365"/>
      <c r="AU86" s="334"/>
      <c r="AV86" s="146" t="s">
        <v>1236</v>
      </c>
      <c r="AW86" s="146">
        <f>IFERROR(VLOOKUP(G86,'[70]Detail Deprec_202508'!$D$33:$I$357,6,FALSE),0)</f>
        <v>0</v>
      </c>
      <c r="AX86" s="146">
        <f t="shared" si="22"/>
        <v>0</v>
      </c>
    </row>
    <row r="87" spans="1:50" outlineLevel="1">
      <c r="A87" s="324">
        <f t="shared" si="31"/>
        <v>62</v>
      </c>
      <c r="B87" s="336" t="s">
        <v>142</v>
      </c>
      <c r="C87" s="344" t="s">
        <v>143</v>
      </c>
      <c r="D87" s="335">
        <v>154</v>
      </c>
      <c r="E87" s="335" t="s">
        <v>1707</v>
      </c>
      <c r="F87" s="336" t="s">
        <v>374</v>
      </c>
      <c r="G87" s="336" t="s">
        <v>375</v>
      </c>
      <c r="H87" s="368">
        <v>43158</v>
      </c>
      <c r="I87" s="326" t="s">
        <v>284</v>
      </c>
      <c r="J87" s="351" t="s">
        <v>376</v>
      </c>
      <c r="K87" s="351" t="s">
        <v>365</v>
      </c>
      <c r="L87" s="363" t="s">
        <v>331</v>
      </c>
      <c r="M87" s="336"/>
      <c r="N87" s="351">
        <v>2018</v>
      </c>
      <c r="O87" s="351"/>
      <c r="P87" s="351"/>
      <c r="Q87" s="352"/>
      <c r="R87" s="335">
        <v>848</v>
      </c>
      <c r="S87" s="366"/>
      <c r="T87" s="354">
        <v>865600000</v>
      </c>
      <c r="U87" s="327">
        <f t="shared" si="24"/>
        <v>14426666.666666666</v>
      </c>
      <c r="V87" s="336">
        <v>60</v>
      </c>
      <c r="W87" s="329">
        <v>60</v>
      </c>
      <c r="X87" s="328">
        <f t="shared" si="25"/>
        <v>0</v>
      </c>
      <c r="Y87" s="328">
        <f t="shared" si="26"/>
        <v>60</v>
      </c>
      <c r="Z87" s="330">
        <f t="shared" si="27"/>
        <v>0</v>
      </c>
      <c r="AA87" s="331">
        <v>865600000</v>
      </c>
      <c r="AB87" s="331">
        <v>0</v>
      </c>
      <c r="AC87" s="331">
        <f t="shared" si="32"/>
        <v>0</v>
      </c>
      <c r="AD87" s="331"/>
      <c r="AE87" s="331"/>
      <c r="AF87" s="331"/>
      <c r="AG87" s="331"/>
      <c r="AH87" s="331"/>
      <c r="AI87" s="331"/>
      <c r="AJ87" s="331"/>
      <c r="AK87" s="331"/>
      <c r="AL87" s="331"/>
      <c r="AM87" s="331"/>
      <c r="AN87" s="331"/>
      <c r="AO87" s="331"/>
      <c r="AP87" s="331">
        <f t="shared" si="29"/>
        <v>865600000</v>
      </c>
      <c r="AQ87" s="332">
        <f t="shared" si="30"/>
        <v>0</v>
      </c>
      <c r="AR87" s="333"/>
      <c r="AS87" s="333"/>
      <c r="AT87" s="365"/>
      <c r="AU87" s="334" t="s">
        <v>377</v>
      </c>
      <c r="AV87" s="146" t="s">
        <v>1236</v>
      </c>
      <c r="AW87" s="146">
        <f>IFERROR(VLOOKUP(G87,'[70]Detail Deprec_202508'!$D$33:$I$357,6,FALSE),0)</f>
        <v>0</v>
      </c>
      <c r="AX87" s="146">
        <f t="shared" si="22"/>
        <v>0</v>
      </c>
    </row>
    <row r="88" spans="1:50" outlineLevel="1">
      <c r="A88" s="324">
        <f t="shared" si="31"/>
        <v>63</v>
      </c>
      <c r="B88" s="355" t="s">
        <v>142</v>
      </c>
      <c r="C88" s="351" t="s">
        <v>143</v>
      </c>
      <c r="D88" s="335">
        <v>154</v>
      </c>
      <c r="E88" s="335" t="s">
        <v>1707</v>
      </c>
      <c r="F88" s="336" t="s">
        <v>381</v>
      </c>
      <c r="G88" s="336" t="s">
        <v>382</v>
      </c>
      <c r="H88" s="373">
        <v>43220</v>
      </c>
      <c r="I88" s="326" t="s">
        <v>284</v>
      </c>
      <c r="J88" s="351"/>
      <c r="K88" s="351" t="s">
        <v>379</v>
      </c>
      <c r="L88" s="363" t="s">
        <v>380</v>
      </c>
      <c r="M88" s="336"/>
      <c r="N88" s="351">
        <v>2018</v>
      </c>
      <c r="O88" s="351"/>
      <c r="P88" s="351"/>
      <c r="Q88" s="352"/>
      <c r="R88" s="335">
        <v>1</v>
      </c>
      <c r="S88" s="353"/>
      <c r="T88" s="374">
        <v>29500000</v>
      </c>
      <c r="U88" s="327">
        <f t="shared" si="24"/>
        <v>819444.4444444445</v>
      </c>
      <c r="V88" s="336">
        <v>36</v>
      </c>
      <c r="W88" s="329">
        <v>35.999999999999993</v>
      </c>
      <c r="X88" s="328">
        <f t="shared" si="25"/>
        <v>0</v>
      </c>
      <c r="Y88" s="328">
        <f t="shared" si="26"/>
        <v>35.999999999999993</v>
      </c>
      <c r="Z88" s="330">
        <f t="shared" si="27"/>
        <v>0</v>
      </c>
      <c r="AA88" s="331">
        <v>29499999.999999996</v>
      </c>
      <c r="AB88" s="331">
        <v>3.7252902984619141E-9</v>
      </c>
      <c r="AC88" s="331">
        <f t="shared" si="32"/>
        <v>0</v>
      </c>
      <c r="AD88" s="331"/>
      <c r="AE88" s="331"/>
      <c r="AF88" s="331"/>
      <c r="AG88" s="331"/>
      <c r="AH88" s="331"/>
      <c r="AI88" s="331"/>
      <c r="AJ88" s="331"/>
      <c r="AK88" s="331"/>
      <c r="AL88" s="331"/>
      <c r="AM88" s="331"/>
      <c r="AN88" s="331"/>
      <c r="AO88" s="331"/>
      <c r="AP88" s="331">
        <f t="shared" si="29"/>
        <v>29499999.999999996</v>
      </c>
      <c r="AQ88" s="332">
        <f t="shared" si="30"/>
        <v>3.7252902984619141E-9</v>
      </c>
      <c r="AR88" s="333"/>
      <c r="AS88" s="345"/>
      <c r="AT88" s="356"/>
      <c r="AU88" s="347"/>
      <c r="AV88" s="146" t="s">
        <v>1236</v>
      </c>
      <c r="AW88" s="146">
        <f>IFERROR(VLOOKUP(G88,'[70]Detail Deprec_202508'!$D$33:$I$357,6,FALSE),0)</f>
        <v>0</v>
      </c>
      <c r="AX88" s="146">
        <f t="shared" ref="AX88:AX151" si="33">AW88-AK88</f>
        <v>0</v>
      </c>
    </row>
    <row r="89" spans="1:50" outlineLevel="1">
      <c r="A89" s="324">
        <f t="shared" si="31"/>
        <v>64</v>
      </c>
      <c r="B89" s="355" t="s">
        <v>142</v>
      </c>
      <c r="C89" s="351" t="s">
        <v>143</v>
      </c>
      <c r="D89" s="335">
        <v>154</v>
      </c>
      <c r="E89" s="335" t="s">
        <v>1707</v>
      </c>
      <c r="F89" s="336" t="s">
        <v>383</v>
      </c>
      <c r="G89" s="336" t="s">
        <v>384</v>
      </c>
      <c r="H89" s="373">
        <v>43220</v>
      </c>
      <c r="I89" s="326" t="s">
        <v>284</v>
      </c>
      <c r="J89" s="351"/>
      <c r="K89" s="351" t="s">
        <v>379</v>
      </c>
      <c r="L89" s="363" t="s">
        <v>380</v>
      </c>
      <c r="M89" s="336"/>
      <c r="N89" s="351">
        <v>2018</v>
      </c>
      <c r="O89" s="351"/>
      <c r="P89" s="351"/>
      <c r="Q89" s="352"/>
      <c r="R89" s="335">
        <v>1</v>
      </c>
      <c r="S89" s="353"/>
      <c r="T89" s="374">
        <v>29500000</v>
      </c>
      <c r="U89" s="327">
        <f t="shared" si="24"/>
        <v>819444.4444444445</v>
      </c>
      <c r="V89" s="336">
        <v>36</v>
      </c>
      <c r="W89" s="329">
        <v>35.999999999999993</v>
      </c>
      <c r="X89" s="328">
        <f t="shared" si="25"/>
        <v>0</v>
      </c>
      <c r="Y89" s="328">
        <f t="shared" si="26"/>
        <v>35.999999999999993</v>
      </c>
      <c r="Z89" s="330">
        <f t="shared" si="27"/>
        <v>0</v>
      </c>
      <c r="AA89" s="331">
        <v>29499999.999999996</v>
      </c>
      <c r="AB89" s="331">
        <v>3.7252902984619141E-9</v>
      </c>
      <c r="AC89" s="331">
        <f t="shared" si="32"/>
        <v>0</v>
      </c>
      <c r="AD89" s="331"/>
      <c r="AE89" s="331"/>
      <c r="AF89" s="331"/>
      <c r="AG89" s="331"/>
      <c r="AH89" s="331"/>
      <c r="AI89" s="331"/>
      <c r="AJ89" s="331"/>
      <c r="AK89" s="331"/>
      <c r="AL89" s="331"/>
      <c r="AM89" s="331"/>
      <c r="AN89" s="331"/>
      <c r="AO89" s="331"/>
      <c r="AP89" s="331">
        <f t="shared" si="29"/>
        <v>29499999.999999996</v>
      </c>
      <c r="AQ89" s="332">
        <f t="shared" si="30"/>
        <v>3.7252902984619141E-9</v>
      </c>
      <c r="AR89" s="333"/>
      <c r="AS89" s="345"/>
      <c r="AT89" s="356"/>
      <c r="AU89" s="347"/>
      <c r="AV89" s="146" t="s">
        <v>1236</v>
      </c>
      <c r="AW89" s="146">
        <f>IFERROR(VLOOKUP(G89,'[70]Detail Deprec_202508'!$D$33:$I$357,6,FALSE),0)</f>
        <v>0</v>
      </c>
      <c r="AX89" s="146">
        <f t="shared" si="33"/>
        <v>0</v>
      </c>
    </row>
    <row r="90" spans="1:50" outlineLevel="1">
      <c r="A90" s="324">
        <f t="shared" si="31"/>
        <v>65</v>
      </c>
      <c r="B90" s="355" t="s">
        <v>142</v>
      </c>
      <c r="C90" s="351" t="s">
        <v>143</v>
      </c>
      <c r="D90" s="335">
        <v>154</v>
      </c>
      <c r="E90" s="335" t="s">
        <v>1707</v>
      </c>
      <c r="F90" s="336" t="s">
        <v>385</v>
      </c>
      <c r="G90" s="336" t="s">
        <v>386</v>
      </c>
      <c r="H90" s="373">
        <v>43220</v>
      </c>
      <c r="I90" s="326" t="s">
        <v>284</v>
      </c>
      <c r="J90" s="351"/>
      <c r="K90" s="351" t="s">
        <v>379</v>
      </c>
      <c r="L90" s="363" t="s">
        <v>380</v>
      </c>
      <c r="M90" s="336"/>
      <c r="N90" s="351">
        <v>2018</v>
      </c>
      <c r="O90" s="351"/>
      <c r="P90" s="351"/>
      <c r="Q90" s="352"/>
      <c r="R90" s="335">
        <v>1</v>
      </c>
      <c r="S90" s="353"/>
      <c r="T90" s="374">
        <v>29500000</v>
      </c>
      <c r="U90" s="327">
        <f t="shared" si="24"/>
        <v>819444.4444444445</v>
      </c>
      <c r="V90" s="336">
        <v>36</v>
      </c>
      <c r="W90" s="329">
        <v>35.999999999999993</v>
      </c>
      <c r="X90" s="328">
        <f t="shared" si="25"/>
        <v>0</v>
      </c>
      <c r="Y90" s="328">
        <f t="shared" si="26"/>
        <v>35.999999999999993</v>
      </c>
      <c r="Z90" s="330">
        <f t="shared" si="27"/>
        <v>0</v>
      </c>
      <c r="AA90" s="331">
        <v>29499999.999999996</v>
      </c>
      <c r="AB90" s="331">
        <v>3.7252902984619141E-9</v>
      </c>
      <c r="AC90" s="331">
        <f t="shared" si="32"/>
        <v>0</v>
      </c>
      <c r="AD90" s="331"/>
      <c r="AE90" s="331"/>
      <c r="AF90" s="331"/>
      <c r="AG90" s="331"/>
      <c r="AH90" s="331"/>
      <c r="AI90" s="331"/>
      <c r="AJ90" s="331"/>
      <c r="AK90" s="331"/>
      <c r="AL90" s="331"/>
      <c r="AM90" s="331"/>
      <c r="AN90" s="331"/>
      <c r="AO90" s="331"/>
      <c r="AP90" s="331">
        <f t="shared" si="29"/>
        <v>29499999.999999996</v>
      </c>
      <c r="AQ90" s="332">
        <f t="shared" si="30"/>
        <v>3.7252902984619141E-9</v>
      </c>
      <c r="AR90" s="333"/>
      <c r="AS90" s="345"/>
      <c r="AT90" s="356"/>
      <c r="AU90" s="347"/>
      <c r="AV90" s="146" t="s">
        <v>1236</v>
      </c>
      <c r="AW90" s="146">
        <f>IFERROR(VLOOKUP(G90,'[70]Detail Deprec_202508'!$D$33:$I$357,6,FALSE),0)</f>
        <v>0</v>
      </c>
      <c r="AX90" s="146">
        <f t="shared" si="33"/>
        <v>0</v>
      </c>
    </row>
    <row r="91" spans="1:50" outlineLevel="1">
      <c r="A91" s="324">
        <f t="shared" si="31"/>
        <v>66</v>
      </c>
      <c r="B91" s="355" t="s">
        <v>142</v>
      </c>
      <c r="C91" s="351" t="s">
        <v>143</v>
      </c>
      <c r="D91" s="335">
        <v>154</v>
      </c>
      <c r="E91" s="335" t="s">
        <v>1707</v>
      </c>
      <c r="F91" s="336" t="s">
        <v>387</v>
      </c>
      <c r="G91" s="336" t="s">
        <v>388</v>
      </c>
      <c r="H91" s="373">
        <v>43220</v>
      </c>
      <c r="I91" s="326" t="s">
        <v>284</v>
      </c>
      <c r="J91" s="351"/>
      <c r="K91" s="351" t="s">
        <v>379</v>
      </c>
      <c r="L91" s="363" t="s">
        <v>380</v>
      </c>
      <c r="M91" s="336"/>
      <c r="N91" s="351">
        <v>2018</v>
      </c>
      <c r="O91" s="351"/>
      <c r="P91" s="351"/>
      <c r="Q91" s="352"/>
      <c r="R91" s="335">
        <v>1</v>
      </c>
      <c r="S91" s="353"/>
      <c r="T91" s="374">
        <v>29500000</v>
      </c>
      <c r="U91" s="327">
        <f t="shared" si="24"/>
        <v>819444.4444444445</v>
      </c>
      <c r="V91" s="336">
        <v>36</v>
      </c>
      <c r="W91" s="329">
        <v>35.999999999999993</v>
      </c>
      <c r="X91" s="328">
        <f t="shared" si="25"/>
        <v>0</v>
      </c>
      <c r="Y91" s="328">
        <f t="shared" si="26"/>
        <v>35.999999999999993</v>
      </c>
      <c r="Z91" s="330">
        <f t="shared" si="27"/>
        <v>0</v>
      </c>
      <c r="AA91" s="331">
        <v>29499999.999999996</v>
      </c>
      <c r="AB91" s="331">
        <v>3.7252902984619141E-9</v>
      </c>
      <c r="AC91" s="331">
        <f t="shared" si="32"/>
        <v>0</v>
      </c>
      <c r="AD91" s="331"/>
      <c r="AE91" s="331"/>
      <c r="AF91" s="331"/>
      <c r="AG91" s="331"/>
      <c r="AH91" s="331"/>
      <c r="AI91" s="331"/>
      <c r="AJ91" s="331"/>
      <c r="AK91" s="331"/>
      <c r="AL91" s="331"/>
      <c r="AM91" s="331"/>
      <c r="AN91" s="331"/>
      <c r="AO91" s="331"/>
      <c r="AP91" s="331">
        <f t="shared" si="29"/>
        <v>29499999.999999996</v>
      </c>
      <c r="AQ91" s="332">
        <f t="shared" si="30"/>
        <v>3.7252902984619141E-9</v>
      </c>
      <c r="AR91" s="333"/>
      <c r="AS91" s="345"/>
      <c r="AT91" s="356"/>
      <c r="AU91" s="347"/>
      <c r="AV91" s="146" t="s">
        <v>1236</v>
      </c>
      <c r="AW91" s="146">
        <f>IFERROR(VLOOKUP(G91,'[70]Detail Deprec_202508'!$D$33:$I$357,6,FALSE),0)</f>
        <v>0</v>
      </c>
      <c r="AX91" s="146">
        <f t="shared" si="33"/>
        <v>0</v>
      </c>
    </row>
    <row r="92" spans="1:50" outlineLevel="1">
      <c r="A92" s="324">
        <f t="shared" si="31"/>
        <v>67</v>
      </c>
      <c r="B92" s="355" t="s">
        <v>142</v>
      </c>
      <c r="C92" s="344" t="s">
        <v>143</v>
      </c>
      <c r="D92" s="335">
        <v>154</v>
      </c>
      <c r="E92" s="335" t="s">
        <v>1707</v>
      </c>
      <c r="F92" s="336" t="s">
        <v>389</v>
      </c>
      <c r="G92" s="336" t="s">
        <v>390</v>
      </c>
      <c r="H92" s="373">
        <v>43343</v>
      </c>
      <c r="I92" s="326" t="s">
        <v>284</v>
      </c>
      <c r="J92" s="351" t="s">
        <v>391</v>
      </c>
      <c r="K92" s="351" t="s">
        <v>365</v>
      </c>
      <c r="L92" s="363" t="s">
        <v>331</v>
      </c>
      <c r="M92" s="336"/>
      <c r="N92" s="351">
        <v>2018</v>
      </c>
      <c r="O92" s="351"/>
      <c r="P92" s="351"/>
      <c r="Q92" s="352"/>
      <c r="R92" s="335">
        <v>701</v>
      </c>
      <c r="S92" s="353"/>
      <c r="T92" s="374">
        <v>847200000</v>
      </c>
      <c r="U92" s="327">
        <f t="shared" si="24"/>
        <v>14120000</v>
      </c>
      <c r="V92" s="336">
        <v>60</v>
      </c>
      <c r="W92" s="329">
        <v>60</v>
      </c>
      <c r="X92" s="328">
        <f t="shared" si="25"/>
        <v>0</v>
      </c>
      <c r="Y92" s="328">
        <f t="shared" si="26"/>
        <v>60</v>
      </c>
      <c r="Z92" s="330">
        <f t="shared" si="27"/>
        <v>0</v>
      </c>
      <c r="AA92" s="331">
        <v>847200000</v>
      </c>
      <c r="AB92" s="331">
        <v>0</v>
      </c>
      <c r="AC92" s="331">
        <f t="shared" si="32"/>
        <v>0</v>
      </c>
      <c r="AD92" s="331"/>
      <c r="AE92" s="331"/>
      <c r="AF92" s="331"/>
      <c r="AG92" s="331"/>
      <c r="AH92" s="331"/>
      <c r="AI92" s="331"/>
      <c r="AJ92" s="331"/>
      <c r="AK92" s="331"/>
      <c r="AL92" s="331"/>
      <c r="AM92" s="331"/>
      <c r="AN92" s="331"/>
      <c r="AO92" s="331"/>
      <c r="AP92" s="331">
        <f t="shared" si="29"/>
        <v>847200000</v>
      </c>
      <c r="AQ92" s="332">
        <f t="shared" si="30"/>
        <v>0</v>
      </c>
      <c r="AR92" s="333"/>
      <c r="AS92" s="345"/>
      <c r="AT92" s="356"/>
      <c r="AU92" s="347"/>
      <c r="AV92" s="146" t="s">
        <v>1236</v>
      </c>
      <c r="AW92" s="146">
        <f>IFERROR(VLOOKUP(G92,'[70]Detail Deprec_202508'!$D$33:$I$357,6,FALSE),0)</f>
        <v>0</v>
      </c>
      <c r="AX92" s="146">
        <f t="shared" si="33"/>
        <v>0</v>
      </c>
    </row>
    <row r="93" spans="1:50" outlineLevel="1">
      <c r="A93" s="324">
        <f t="shared" si="31"/>
        <v>68</v>
      </c>
      <c r="B93" s="355" t="s">
        <v>142</v>
      </c>
      <c r="C93" s="344" t="s">
        <v>143</v>
      </c>
      <c r="D93" s="335">
        <v>154</v>
      </c>
      <c r="E93" s="335" t="s">
        <v>1707</v>
      </c>
      <c r="F93" s="336" t="s">
        <v>392</v>
      </c>
      <c r="G93" s="336" t="s">
        <v>393</v>
      </c>
      <c r="H93" s="373">
        <v>43343</v>
      </c>
      <c r="I93" s="326" t="s">
        <v>284</v>
      </c>
      <c r="J93" s="351" t="s">
        <v>394</v>
      </c>
      <c r="K93" s="351" t="s">
        <v>365</v>
      </c>
      <c r="L93" s="363" t="s">
        <v>331</v>
      </c>
      <c r="M93" s="336"/>
      <c r="N93" s="351">
        <v>2018</v>
      </c>
      <c r="O93" s="351"/>
      <c r="P93" s="351"/>
      <c r="Q93" s="352"/>
      <c r="R93" s="335">
        <v>255</v>
      </c>
      <c r="S93" s="353"/>
      <c r="T93" s="374">
        <v>636750000</v>
      </c>
      <c r="U93" s="327">
        <f t="shared" si="24"/>
        <v>10612500</v>
      </c>
      <c r="V93" s="336">
        <v>60</v>
      </c>
      <c r="W93" s="329">
        <v>60</v>
      </c>
      <c r="X93" s="328">
        <f t="shared" si="25"/>
        <v>0</v>
      </c>
      <c r="Y93" s="328">
        <f t="shared" si="26"/>
        <v>60</v>
      </c>
      <c r="Z93" s="330">
        <f t="shared" si="27"/>
        <v>0</v>
      </c>
      <c r="AA93" s="331">
        <v>636750000</v>
      </c>
      <c r="AB93" s="331">
        <v>0</v>
      </c>
      <c r="AC93" s="331">
        <f t="shared" si="32"/>
        <v>0</v>
      </c>
      <c r="AD93" s="331"/>
      <c r="AE93" s="331"/>
      <c r="AF93" s="331"/>
      <c r="AG93" s="331"/>
      <c r="AH93" s="331"/>
      <c r="AI93" s="331"/>
      <c r="AJ93" s="331"/>
      <c r="AK93" s="331"/>
      <c r="AL93" s="331"/>
      <c r="AM93" s="331"/>
      <c r="AN93" s="331"/>
      <c r="AO93" s="331"/>
      <c r="AP93" s="331">
        <f t="shared" si="29"/>
        <v>636750000</v>
      </c>
      <c r="AQ93" s="332">
        <f t="shared" si="30"/>
        <v>0</v>
      </c>
      <c r="AR93" s="333"/>
      <c r="AS93" s="345"/>
      <c r="AT93" s="356"/>
      <c r="AU93" s="347"/>
      <c r="AV93" s="146" t="s">
        <v>1236</v>
      </c>
      <c r="AW93" s="146">
        <f>IFERROR(VLOOKUP(G93,'[70]Detail Deprec_202508'!$D$33:$I$357,6,FALSE),0)</f>
        <v>0</v>
      </c>
      <c r="AX93" s="146">
        <f t="shared" si="33"/>
        <v>0</v>
      </c>
    </row>
    <row r="94" spans="1:50" outlineLevel="1">
      <c r="A94" s="324">
        <f t="shared" si="31"/>
        <v>69</v>
      </c>
      <c r="B94" s="355" t="s">
        <v>197</v>
      </c>
      <c r="C94" s="344" t="s">
        <v>143</v>
      </c>
      <c r="D94" s="335">
        <v>154</v>
      </c>
      <c r="E94" s="335" t="s">
        <v>1087</v>
      </c>
      <c r="F94" s="336" t="s">
        <v>396</v>
      </c>
      <c r="G94" s="336" t="s">
        <v>397</v>
      </c>
      <c r="H94" s="373">
        <v>43370</v>
      </c>
      <c r="I94" s="326" t="s">
        <v>284</v>
      </c>
      <c r="J94" s="351" t="s">
        <v>398</v>
      </c>
      <c r="K94" s="351" t="s">
        <v>399</v>
      </c>
      <c r="L94" s="363" t="s">
        <v>400</v>
      </c>
      <c r="M94" s="336" t="s">
        <v>401</v>
      </c>
      <c r="N94" s="351">
        <v>2018</v>
      </c>
      <c r="O94" s="351"/>
      <c r="P94" s="351"/>
      <c r="Q94" s="352"/>
      <c r="R94" s="335">
        <v>1</v>
      </c>
      <c r="S94" s="353"/>
      <c r="T94" s="374">
        <v>70726150</v>
      </c>
      <c r="U94" s="327">
        <f t="shared" si="24"/>
        <v>1178769.1666666667</v>
      </c>
      <c r="V94" s="336">
        <v>60</v>
      </c>
      <c r="W94" s="329">
        <v>59.999999999999993</v>
      </c>
      <c r="X94" s="328">
        <f t="shared" si="25"/>
        <v>0</v>
      </c>
      <c r="Y94" s="328">
        <f t="shared" si="26"/>
        <v>59.999999999999993</v>
      </c>
      <c r="Z94" s="330">
        <f t="shared" si="27"/>
        <v>0</v>
      </c>
      <c r="AA94" s="331">
        <v>70726150</v>
      </c>
      <c r="AB94" s="331">
        <v>0</v>
      </c>
      <c r="AC94" s="331">
        <f t="shared" si="32"/>
        <v>0</v>
      </c>
      <c r="AD94" s="331"/>
      <c r="AE94" s="331"/>
      <c r="AF94" s="331"/>
      <c r="AG94" s="331"/>
      <c r="AH94" s="331"/>
      <c r="AI94" s="331"/>
      <c r="AJ94" s="331"/>
      <c r="AK94" s="331"/>
      <c r="AL94" s="331"/>
      <c r="AM94" s="331"/>
      <c r="AN94" s="331"/>
      <c r="AO94" s="331"/>
      <c r="AP94" s="331">
        <f t="shared" si="29"/>
        <v>70726150</v>
      </c>
      <c r="AQ94" s="332">
        <f t="shared" si="30"/>
        <v>0</v>
      </c>
      <c r="AR94" s="333"/>
      <c r="AS94" s="345"/>
      <c r="AT94" s="356"/>
      <c r="AU94" s="347"/>
      <c r="AV94" s="146" t="s">
        <v>1236</v>
      </c>
      <c r="AW94" s="146">
        <f>IFERROR(VLOOKUP(G94,'[70]Detail Deprec_202508'!$D$33:$I$357,6,FALSE),0)</f>
        <v>0</v>
      </c>
      <c r="AX94" s="146">
        <f t="shared" si="33"/>
        <v>0</v>
      </c>
    </row>
    <row r="95" spans="1:50" outlineLevel="1">
      <c r="A95" s="324">
        <f t="shared" si="31"/>
        <v>70</v>
      </c>
      <c r="B95" s="355" t="s">
        <v>197</v>
      </c>
      <c r="C95" s="344" t="s">
        <v>143</v>
      </c>
      <c r="D95" s="335">
        <v>154</v>
      </c>
      <c r="E95" s="335" t="s">
        <v>1087</v>
      </c>
      <c r="F95" s="336" t="s">
        <v>402</v>
      </c>
      <c r="G95" s="336" t="s">
        <v>403</v>
      </c>
      <c r="H95" s="373">
        <v>43370</v>
      </c>
      <c r="I95" s="326" t="s">
        <v>284</v>
      </c>
      <c r="J95" s="351" t="s">
        <v>398</v>
      </c>
      <c r="K95" s="351" t="s">
        <v>404</v>
      </c>
      <c r="L95" s="363" t="s">
        <v>400</v>
      </c>
      <c r="M95" s="336" t="s">
        <v>401</v>
      </c>
      <c r="N95" s="351">
        <v>2018</v>
      </c>
      <c r="O95" s="351"/>
      <c r="P95" s="351"/>
      <c r="Q95" s="352"/>
      <c r="R95" s="335">
        <v>1</v>
      </c>
      <c r="S95" s="353"/>
      <c r="T95" s="374">
        <v>32227800</v>
      </c>
      <c r="U95" s="327">
        <f t="shared" si="24"/>
        <v>537130</v>
      </c>
      <c r="V95" s="336">
        <v>60</v>
      </c>
      <c r="W95" s="329">
        <v>60</v>
      </c>
      <c r="X95" s="328">
        <f t="shared" si="25"/>
        <v>0</v>
      </c>
      <c r="Y95" s="328">
        <f t="shared" si="26"/>
        <v>60</v>
      </c>
      <c r="Z95" s="330">
        <f t="shared" si="27"/>
        <v>0</v>
      </c>
      <c r="AA95" s="331">
        <v>32227800</v>
      </c>
      <c r="AB95" s="331">
        <v>0</v>
      </c>
      <c r="AC95" s="331">
        <f t="shared" si="32"/>
        <v>0</v>
      </c>
      <c r="AD95" s="331"/>
      <c r="AE95" s="331"/>
      <c r="AF95" s="331"/>
      <c r="AG95" s="331"/>
      <c r="AH95" s="331"/>
      <c r="AI95" s="331"/>
      <c r="AJ95" s="331"/>
      <c r="AK95" s="331"/>
      <c r="AL95" s="331"/>
      <c r="AM95" s="331"/>
      <c r="AN95" s="331"/>
      <c r="AO95" s="331"/>
      <c r="AP95" s="331">
        <f t="shared" si="29"/>
        <v>32227800</v>
      </c>
      <c r="AQ95" s="332">
        <f t="shared" si="30"/>
        <v>0</v>
      </c>
      <c r="AR95" s="333"/>
      <c r="AS95" s="345"/>
      <c r="AT95" s="356"/>
      <c r="AU95" s="347"/>
      <c r="AV95" s="146" t="s">
        <v>1236</v>
      </c>
      <c r="AW95" s="146">
        <f>IFERROR(VLOOKUP(G95,'[70]Detail Deprec_202508'!$D$33:$I$357,6,FALSE),0)</f>
        <v>0</v>
      </c>
      <c r="AX95" s="146">
        <f t="shared" si="33"/>
        <v>0</v>
      </c>
    </row>
    <row r="96" spans="1:50" outlineLevel="1">
      <c r="A96" s="324">
        <f t="shared" si="31"/>
        <v>71</v>
      </c>
      <c r="B96" s="355" t="s">
        <v>197</v>
      </c>
      <c r="C96" s="344" t="s">
        <v>143</v>
      </c>
      <c r="D96" s="335">
        <v>154</v>
      </c>
      <c r="E96" s="335" t="s">
        <v>1087</v>
      </c>
      <c r="F96" s="336" t="s">
        <v>405</v>
      </c>
      <c r="G96" s="336" t="s">
        <v>406</v>
      </c>
      <c r="H96" s="373">
        <v>43370</v>
      </c>
      <c r="I96" s="326" t="s">
        <v>284</v>
      </c>
      <c r="J96" s="351" t="s">
        <v>398</v>
      </c>
      <c r="K96" s="351" t="s">
        <v>407</v>
      </c>
      <c r="L96" s="363" t="s">
        <v>400</v>
      </c>
      <c r="M96" s="336" t="s">
        <v>401</v>
      </c>
      <c r="N96" s="351">
        <v>2018</v>
      </c>
      <c r="O96" s="351"/>
      <c r="P96" s="351"/>
      <c r="Q96" s="352"/>
      <c r="R96" s="335">
        <v>1</v>
      </c>
      <c r="S96" s="353"/>
      <c r="T96" s="374">
        <v>228315940</v>
      </c>
      <c r="U96" s="327">
        <f t="shared" si="24"/>
        <v>3805265.6666666665</v>
      </c>
      <c r="V96" s="336">
        <v>60</v>
      </c>
      <c r="W96" s="329">
        <v>60</v>
      </c>
      <c r="X96" s="328">
        <f t="shared" si="25"/>
        <v>0</v>
      </c>
      <c r="Y96" s="328">
        <f t="shared" si="26"/>
        <v>60</v>
      </c>
      <c r="Z96" s="330">
        <f t="shared" si="27"/>
        <v>0</v>
      </c>
      <c r="AA96" s="331">
        <v>228315940</v>
      </c>
      <c r="AB96" s="331">
        <v>0</v>
      </c>
      <c r="AC96" s="331">
        <f t="shared" si="32"/>
        <v>0</v>
      </c>
      <c r="AD96" s="331"/>
      <c r="AE96" s="331"/>
      <c r="AF96" s="331"/>
      <c r="AG96" s="331"/>
      <c r="AH96" s="331"/>
      <c r="AI96" s="331"/>
      <c r="AJ96" s="331"/>
      <c r="AK96" s="331"/>
      <c r="AL96" s="331"/>
      <c r="AM96" s="331"/>
      <c r="AN96" s="331"/>
      <c r="AO96" s="331"/>
      <c r="AP96" s="331">
        <f t="shared" si="29"/>
        <v>228315940</v>
      </c>
      <c r="AQ96" s="332">
        <f t="shared" si="30"/>
        <v>0</v>
      </c>
      <c r="AR96" s="333"/>
      <c r="AS96" s="345"/>
      <c r="AT96" s="356"/>
      <c r="AU96" s="347"/>
      <c r="AV96" s="146" t="s">
        <v>1236</v>
      </c>
      <c r="AW96" s="146">
        <f>IFERROR(VLOOKUP(G96,'[70]Detail Deprec_202508'!$D$33:$I$357,6,FALSE),0)</f>
        <v>0</v>
      </c>
      <c r="AX96" s="146">
        <f t="shared" si="33"/>
        <v>0</v>
      </c>
    </row>
    <row r="97" spans="1:50" outlineLevel="1">
      <c r="A97" s="324">
        <f t="shared" si="31"/>
        <v>72</v>
      </c>
      <c r="B97" s="336" t="s">
        <v>142</v>
      </c>
      <c r="C97" s="351" t="s">
        <v>143</v>
      </c>
      <c r="D97" s="335">
        <v>154</v>
      </c>
      <c r="E97" s="335" t="s">
        <v>1707</v>
      </c>
      <c r="F97" s="336" t="s">
        <v>408</v>
      </c>
      <c r="G97" s="336" t="s">
        <v>409</v>
      </c>
      <c r="H97" s="368">
        <v>44027</v>
      </c>
      <c r="I97" s="326" t="s">
        <v>284</v>
      </c>
      <c r="J97" s="351" t="s">
        <v>410</v>
      </c>
      <c r="K97" s="351" t="s">
        <v>411</v>
      </c>
      <c r="L97" s="363" t="s">
        <v>331</v>
      </c>
      <c r="M97" s="336"/>
      <c r="N97" s="351">
        <v>2020</v>
      </c>
      <c r="O97" s="351" t="s">
        <v>412</v>
      </c>
      <c r="P97" s="351" t="s">
        <v>413</v>
      </c>
      <c r="Q97" s="376" t="s">
        <v>414</v>
      </c>
      <c r="R97" s="335">
        <v>344</v>
      </c>
      <c r="S97" s="717"/>
      <c r="T97" s="419">
        <v>412700000</v>
      </c>
      <c r="U97" s="685">
        <f t="shared" si="24"/>
        <v>6878333.333333333</v>
      </c>
      <c r="V97" s="336">
        <v>60</v>
      </c>
      <c r="W97" s="329">
        <v>60</v>
      </c>
      <c r="X97" s="686">
        <f t="shared" si="25"/>
        <v>0</v>
      </c>
      <c r="Y97" s="330">
        <f>+W97+X97</f>
        <v>60</v>
      </c>
      <c r="Z97" s="330">
        <v>0</v>
      </c>
      <c r="AA97" s="687">
        <v>412700000</v>
      </c>
      <c r="AB97" s="687">
        <v>0</v>
      </c>
      <c r="AC97" s="687">
        <f>SUM(AD97:AO97)</f>
        <v>0</v>
      </c>
      <c r="AD97" s="687"/>
      <c r="AE97" s="687"/>
      <c r="AF97" s="687"/>
      <c r="AG97" s="687"/>
      <c r="AH97" s="687"/>
      <c r="AI97" s="687"/>
      <c r="AJ97" s="687"/>
      <c r="AK97" s="687"/>
      <c r="AL97" s="687"/>
      <c r="AM97" s="687"/>
      <c r="AN97" s="687"/>
      <c r="AO97" s="687"/>
      <c r="AP97" s="687">
        <f t="shared" si="29"/>
        <v>412700000</v>
      </c>
      <c r="AQ97" s="688">
        <f t="shared" si="30"/>
        <v>0</v>
      </c>
      <c r="AR97" s="689"/>
      <c r="AS97" s="689"/>
      <c r="AT97" s="416"/>
      <c r="AU97" s="718"/>
      <c r="AV97" s="631" t="s">
        <v>1236</v>
      </c>
      <c r="AW97" s="631">
        <f>IFERROR(VLOOKUP(G97,'[70]Detail Deprec_202508'!$D$33:$I$357,6,FALSE),0)</f>
        <v>0</v>
      </c>
      <c r="AX97" s="631">
        <f t="shared" si="33"/>
        <v>0</v>
      </c>
    </row>
    <row r="98" spans="1:50" outlineLevel="1">
      <c r="A98" s="324">
        <f t="shared" si="31"/>
        <v>73</v>
      </c>
      <c r="B98" s="355" t="s">
        <v>142</v>
      </c>
      <c r="C98" s="425" t="s">
        <v>143</v>
      </c>
      <c r="D98" s="335">
        <v>154</v>
      </c>
      <c r="E98" s="335" t="s">
        <v>1707</v>
      </c>
      <c r="F98" s="336" t="s">
        <v>416</v>
      </c>
      <c r="G98" s="336" t="s">
        <v>417</v>
      </c>
      <c r="H98" s="373">
        <v>44042</v>
      </c>
      <c r="I98" s="326" t="s">
        <v>284</v>
      </c>
      <c r="J98" s="351" t="s">
        <v>418</v>
      </c>
      <c r="K98" s="351" t="s">
        <v>419</v>
      </c>
      <c r="L98" s="363" t="s">
        <v>395</v>
      </c>
      <c r="M98" s="336"/>
      <c r="N98" s="351">
        <v>2020</v>
      </c>
      <c r="O98" s="351" t="s">
        <v>415</v>
      </c>
      <c r="P98" s="351"/>
      <c r="Q98" s="376"/>
      <c r="R98" s="335">
        <v>1</v>
      </c>
      <c r="S98" s="375"/>
      <c r="T98" s="374">
        <v>35180636</v>
      </c>
      <c r="U98" s="327">
        <f t="shared" si="24"/>
        <v>586343.93333333335</v>
      </c>
      <c r="V98" s="336">
        <v>60</v>
      </c>
      <c r="W98" s="329">
        <v>60.000000000000014</v>
      </c>
      <c r="X98" s="328">
        <f t="shared" si="25"/>
        <v>0</v>
      </c>
      <c r="Y98" s="330">
        <f t="shared" si="26"/>
        <v>60.000000000000014</v>
      </c>
      <c r="Z98" s="330">
        <f t="shared" si="27"/>
        <v>0</v>
      </c>
      <c r="AA98" s="331">
        <v>35180636.000000007</v>
      </c>
      <c r="AB98" s="331">
        <v>-7.4505805969238281E-9</v>
      </c>
      <c r="AC98" s="331">
        <f t="shared" ref="AC98" si="34">SUM(AD98:AL98)</f>
        <v>0</v>
      </c>
      <c r="AD98" s="331"/>
      <c r="AE98" s="331"/>
      <c r="AF98" s="331"/>
      <c r="AG98" s="331"/>
      <c r="AH98" s="331"/>
      <c r="AI98" s="331"/>
      <c r="AJ98" s="331"/>
      <c r="AK98" s="331"/>
      <c r="AL98" s="331"/>
      <c r="AM98" s="331"/>
      <c r="AN98" s="331"/>
      <c r="AO98" s="331"/>
      <c r="AP98" s="331">
        <f t="shared" si="29"/>
        <v>35180636.000000007</v>
      </c>
      <c r="AQ98" s="332">
        <f t="shared" si="30"/>
        <v>-7.4505805969238281E-9</v>
      </c>
      <c r="AR98" s="333"/>
      <c r="AS98" s="345"/>
      <c r="AT98" s="356"/>
      <c r="AU98" s="347"/>
      <c r="AV98" s="146" t="s">
        <v>1236</v>
      </c>
      <c r="AW98" s="146">
        <f>IFERROR(VLOOKUP(G98,'[70]Detail Deprec_202508'!$D$33:$I$357,6,FALSE),0)</f>
        <v>0</v>
      </c>
      <c r="AX98" s="146">
        <f t="shared" si="33"/>
        <v>0</v>
      </c>
    </row>
    <row r="99" spans="1:50" s="522" customFormat="1" outlineLevel="1">
      <c r="A99" s="719">
        <f t="shared" si="31"/>
        <v>74</v>
      </c>
      <c r="B99" s="609" t="s">
        <v>142</v>
      </c>
      <c r="C99" s="610" t="s">
        <v>143</v>
      </c>
      <c r="D99" s="772">
        <v>154</v>
      </c>
      <c r="E99" s="772" t="s">
        <v>1707</v>
      </c>
      <c r="F99" s="609" t="s">
        <v>420</v>
      </c>
      <c r="G99" s="609" t="s">
        <v>421</v>
      </c>
      <c r="H99" s="773">
        <v>44286</v>
      </c>
      <c r="I99" s="774" t="s">
        <v>284</v>
      </c>
      <c r="J99" s="610" t="s">
        <v>422</v>
      </c>
      <c r="K99" s="610" t="s">
        <v>423</v>
      </c>
      <c r="L99" s="775" t="s">
        <v>135</v>
      </c>
      <c r="M99" s="609"/>
      <c r="N99" s="610">
        <v>2021</v>
      </c>
      <c r="O99" s="610" t="s">
        <v>424</v>
      </c>
      <c r="P99" s="610" t="s">
        <v>425</v>
      </c>
      <c r="Q99" s="610" t="s">
        <v>426</v>
      </c>
      <c r="R99" s="772">
        <v>905</v>
      </c>
      <c r="S99" s="786"/>
      <c r="T99" s="611">
        <v>1487754320</v>
      </c>
      <c r="U99" s="778">
        <f t="shared" si="24"/>
        <v>24795905.333333332</v>
      </c>
      <c r="V99" s="609">
        <v>60</v>
      </c>
      <c r="W99" s="779">
        <f>46+12</f>
        <v>58</v>
      </c>
      <c r="X99" s="780">
        <f>+AC99/U99</f>
        <v>2</v>
      </c>
      <c r="Y99" s="781">
        <f t="shared" si="26"/>
        <v>60</v>
      </c>
      <c r="Z99" s="781">
        <f t="shared" si="27"/>
        <v>0</v>
      </c>
      <c r="AA99" s="782">
        <v>1438162509.3333335</v>
      </c>
      <c r="AB99" s="782">
        <v>49591810.666666508</v>
      </c>
      <c r="AC99" s="782">
        <f>SUM(AD99:AE99)</f>
        <v>49591810.666666664</v>
      </c>
      <c r="AD99" s="782">
        <v>24795905.333333332</v>
      </c>
      <c r="AE99" s="782">
        <v>24795905.333333332</v>
      </c>
      <c r="AF99" s="782"/>
      <c r="AG99" s="782"/>
      <c r="AH99" s="782"/>
      <c r="AI99" s="782"/>
      <c r="AJ99" s="782"/>
      <c r="AK99" s="782"/>
      <c r="AL99" s="782"/>
      <c r="AM99" s="782"/>
      <c r="AN99" s="782"/>
      <c r="AO99" s="782"/>
      <c r="AP99" s="782">
        <f t="shared" si="29"/>
        <v>1487754320.0000002</v>
      </c>
      <c r="AQ99" s="783">
        <f t="shared" si="30"/>
        <v>-2.384185791015625E-7</v>
      </c>
      <c r="AR99" s="784"/>
      <c r="AS99" s="784"/>
      <c r="AT99" s="612"/>
      <c r="AU99" s="613">
        <v>44286</v>
      </c>
      <c r="AV99" s="655" t="s">
        <v>1236</v>
      </c>
      <c r="AW99" s="655">
        <f>IFERROR(VLOOKUP(G99,'[70]Detail Deprec_202508'!$D$33:$I$357,6,FALSE),0)</f>
        <v>24795905.329999998</v>
      </c>
      <c r="AX99" s="655">
        <f t="shared" si="33"/>
        <v>24795905.329999998</v>
      </c>
    </row>
    <row r="100" spans="1:50" outlineLevel="1">
      <c r="A100" s="324">
        <f t="shared" si="31"/>
        <v>75</v>
      </c>
      <c r="B100" s="355" t="s">
        <v>142</v>
      </c>
      <c r="C100" s="481" t="s">
        <v>143</v>
      </c>
      <c r="D100" s="335">
        <v>154</v>
      </c>
      <c r="E100" s="633" t="s">
        <v>1707</v>
      </c>
      <c r="F100" s="336" t="s">
        <v>459</v>
      </c>
      <c r="G100" s="336" t="s">
        <v>460</v>
      </c>
      <c r="H100" s="373">
        <v>44957</v>
      </c>
      <c r="I100" s="326" t="s">
        <v>284</v>
      </c>
      <c r="J100" s="351" t="s">
        <v>461</v>
      </c>
      <c r="K100" s="351" t="s">
        <v>307</v>
      </c>
      <c r="L100" s="363" t="s">
        <v>395</v>
      </c>
      <c r="M100" s="336" t="s">
        <v>462</v>
      </c>
      <c r="N100" s="351">
        <v>2023</v>
      </c>
      <c r="O100" s="336" t="s">
        <v>463</v>
      </c>
      <c r="P100" s="336" t="s">
        <v>464</v>
      </c>
      <c r="Q100" s="336"/>
      <c r="R100" s="335">
        <v>445</v>
      </c>
      <c r="S100" s="353"/>
      <c r="T100" s="374">
        <v>929200000</v>
      </c>
      <c r="U100" s="327">
        <f t="shared" si="24"/>
        <v>15486666.666666666</v>
      </c>
      <c r="V100" s="336">
        <v>60</v>
      </c>
      <c r="W100" s="329">
        <f>24+12</f>
        <v>36</v>
      </c>
      <c r="X100" s="328">
        <f t="shared" si="25"/>
        <v>11.999999999999998</v>
      </c>
      <c r="Y100" s="330">
        <f t="shared" si="26"/>
        <v>48</v>
      </c>
      <c r="Z100" s="330">
        <f t="shared" si="27"/>
        <v>12</v>
      </c>
      <c r="AA100" s="331">
        <v>557519999.99999988</v>
      </c>
      <c r="AB100" s="331">
        <v>371680000.00000012</v>
      </c>
      <c r="AC100" s="331">
        <f>SUM(AD100:AO100)</f>
        <v>185839999.99999997</v>
      </c>
      <c r="AD100" s="331">
        <v>15486666.666666666</v>
      </c>
      <c r="AE100" s="331">
        <v>15486666.666666666</v>
      </c>
      <c r="AF100" s="331">
        <v>15486666.666666666</v>
      </c>
      <c r="AG100" s="331">
        <v>15486666.666666666</v>
      </c>
      <c r="AH100" s="331">
        <v>15486666.666666666</v>
      </c>
      <c r="AI100" s="331">
        <v>15486666.666666666</v>
      </c>
      <c r="AJ100" s="331">
        <v>15486666.666666666</v>
      </c>
      <c r="AK100" s="331">
        <v>15486666.666666666</v>
      </c>
      <c r="AL100" s="331">
        <v>15486666.666666666</v>
      </c>
      <c r="AM100" s="331">
        <v>15486666.666666666</v>
      </c>
      <c r="AN100" s="331">
        <v>15486666.666666666</v>
      </c>
      <c r="AO100" s="331">
        <v>15486666.666666666</v>
      </c>
      <c r="AP100" s="331">
        <f t="shared" si="29"/>
        <v>743359999.99999988</v>
      </c>
      <c r="AQ100" s="332">
        <f t="shared" si="30"/>
        <v>185840000.00000012</v>
      </c>
      <c r="AR100" s="333"/>
      <c r="AS100" s="345"/>
      <c r="AT100" s="356"/>
      <c r="AU100" s="357">
        <v>44925</v>
      </c>
      <c r="AV100" s="146" t="s">
        <v>1236</v>
      </c>
      <c r="AW100" s="146">
        <f>IFERROR(VLOOKUP(G100,'[70]Detail Deprec_202508'!$D$33:$I$357,6,FALSE),0)</f>
        <v>15486666.67</v>
      </c>
      <c r="AX100" s="146">
        <f t="shared" si="33"/>
        <v>3.3333338797092438E-3</v>
      </c>
    </row>
    <row r="101" spans="1:50" outlineLevel="1">
      <c r="A101" s="324">
        <f t="shared" si="31"/>
        <v>76</v>
      </c>
      <c r="B101" s="459" t="s">
        <v>142</v>
      </c>
      <c r="C101" s="692" t="s">
        <v>1743</v>
      </c>
      <c r="D101" s="304">
        <v>154</v>
      </c>
      <c r="E101" s="574" t="s">
        <v>1710</v>
      </c>
      <c r="F101" s="459" t="s">
        <v>1634</v>
      </c>
      <c r="G101" s="336" t="s">
        <v>1635</v>
      </c>
      <c r="H101" s="614">
        <v>45838</v>
      </c>
      <c r="I101" s="575" t="s">
        <v>284</v>
      </c>
      <c r="J101" s="462"/>
      <c r="K101" s="624" t="s">
        <v>1636</v>
      </c>
      <c r="L101" s="462" t="s">
        <v>1683</v>
      </c>
      <c r="M101" s="548" t="s">
        <v>1603</v>
      </c>
      <c r="N101" s="462">
        <v>2025</v>
      </c>
      <c r="O101" s="548" t="s">
        <v>1637</v>
      </c>
      <c r="P101" s="548" t="s">
        <v>1638</v>
      </c>
      <c r="Q101" s="548" t="s">
        <v>1639</v>
      </c>
      <c r="R101" s="574">
        <v>1</v>
      </c>
      <c r="S101" s="574"/>
      <c r="T101" s="693">
        <v>145223481</v>
      </c>
      <c r="U101" s="685">
        <f t="shared" si="24"/>
        <v>4033985.5833333335</v>
      </c>
      <c r="V101" s="686">
        <v>36</v>
      </c>
      <c r="W101" s="576">
        <f>7+12</f>
        <v>19</v>
      </c>
      <c r="X101" s="694">
        <f t="shared" si="25"/>
        <v>12.000000000000002</v>
      </c>
      <c r="Y101" s="577">
        <f>+W101+X101</f>
        <v>31</v>
      </c>
      <c r="Z101" s="577">
        <f t="shared" si="27"/>
        <v>5</v>
      </c>
      <c r="AA101" s="695">
        <v>28237899.083333332</v>
      </c>
      <c r="AB101" s="695">
        <v>116985581.91666667</v>
      </c>
      <c r="AC101" s="687">
        <f>SUM(AD101:AO101)</f>
        <v>48407827.000000007</v>
      </c>
      <c r="AD101" s="695">
        <v>4033985.5833333335</v>
      </c>
      <c r="AE101" s="695">
        <v>4033985.5833333335</v>
      </c>
      <c r="AF101" s="695">
        <v>4033985.5833333335</v>
      </c>
      <c r="AG101" s="695">
        <v>4033985.5833333335</v>
      </c>
      <c r="AH101" s="695">
        <v>4033985.5833333335</v>
      </c>
      <c r="AI101" s="695">
        <v>4033985.5833333335</v>
      </c>
      <c r="AJ101" s="695">
        <v>4033985.5833333335</v>
      </c>
      <c r="AK101" s="695">
        <v>4033985.5833333335</v>
      </c>
      <c r="AL101" s="695">
        <v>4033985.5833333335</v>
      </c>
      <c r="AM101" s="695">
        <v>4033985.5833333335</v>
      </c>
      <c r="AN101" s="695">
        <v>4033985.5833333335</v>
      </c>
      <c r="AO101" s="695">
        <v>4033985.5833333335</v>
      </c>
      <c r="AP101" s="687">
        <f t="shared" si="29"/>
        <v>76645726.083333343</v>
      </c>
      <c r="AQ101" s="688">
        <f t="shared" si="30"/>
        <v>68577754.916666657</v>
      </c>
      <c r="AR101" s="689" t="s">
        <v>38</v>
      </c>
      <c r="AS101" s="696"/>
      <c r="AT101" s="697"/>
      <c r="AU101" s="698"/>
      <c r="AV101" s="631" t="s">
        <v>1241</v>
      </c>
      <c r="AW101" s="631">
        <f>IFERROR(VLOOKUP(G101,'[70]Detail Deprec_202508'!$D$33:$I$357,6,FALSE),0)</f>
        <v>4033985.56</v>
      </c>
      <c r="AX101" s="631">
        <f t="shared" si="33"/>
        <v>-2.3333333432674408E-2</v>
      </c>
    </row>
    <row r="102" spans="1:50" s="753" customFormat="1" ht="12.9" customHeight="1" outlineLevel="1">
      <c r="A102" s="730">
        <f t="shared" si="31"/>
        <v>77</v>
      </c>
      <c r="B102" s="731" t="s">
        <v>142</v>
      </c>
      <c r="C102" s="732" t="s">
        <v>474</v>
      </c>
      <c r="D102" s="733">
        <v>155</v>
      </c>
      <c r="E102" s="733" t="s">
        <v>1711</v>
      </c>
      <c r="F102" s="731" t="s">
        <v>475</v>
      </c>
      <c r="G102" s="731" t="s">
        <v>476</v>
      </c>
      <c r="H102" s="734">
        <v>38541</v>
      </c>
      <c r="I102" s="735" t="s">
        <v>11</v>
      </c>
      <c r="J102" s="736">
        <v>8006</v>
      </c>
      <c r="K102" s="737" t="s">
        <v>472</v>
      </c>
      <c r="L102" s="737" t="s">
        <v>473</v>
      </c>
      <c r="M102" s="737" t="s">
        <v>477</v>
      </c>
      <c r="N102" s="737">
        <v>2005</v>
      </c>
      <c r="O102" s="738" t="s">
        <v>478</v>
      </c>
      <c r="P102" s="738" t="s">
        <v>479</v>
      </c>
      <c r="Q102" s="738" t="s">
        <v>480</v>
      </c>
      <c r="R102" s="739">
        <v>1</v>
      </c>
      <c r="S102" s="740"/>
      <c r="T102" s="741">
        <v>505454546</v>
      </c>
      <c r="U102" s="741">
        <f t="shared" si="24"/>
        <v>8424242.4333333336</v>
      </c>
      <c r="V102" s="742">
        <v>60</v>
      </c>
      <c r="W102" s="743">
        <v>60</v>
      </c>
      <c r="X102" s="742">
        <f t="shared" si="25"/>
        <v>0</v>
      </c>
      <c r="Y102" s="744">
        <f t="shared" si="26"/>
        <v>60</v>
      </c>
      <c r="Z102" s="745">
        <f t="shared" si="27"/>
        <v>0</v>
      </c>
      <c r="AA102" s="746">
        <v>505454546</v>
      </c>
      <c r="AB102" s="746">
        <v>0</v>
      </c>
      <c r="AC102" s="746">
        <f t="shared" ref="AC102:AC137" si="35">SUM(AD102:AL102)</f>
        <v>0</v>
      </c>
      <c r="AD102" s="746"/>
      <c r="AE102" s="746"/>
      <c r="AF102" s="746"/>
      <c r="AG102" s="746"/>
      <c r="AH102" s="746"/>
      <c r="AI102" s="746"/>
      <c r="AJ102" s="746"/>
      <c r="AK102" s="746"/>
      <c r="AL102" s="746"/>
      <c r="AM102" s="746"/>
      <c r="AN102" s="746"/>
      <c r="AO102" s="746"/>
      <c r="AP102" s="746">
        <f t="shared" si="29"/>
        <v>505454546</v>
      </c>
      <c r="AQ102" s="747">
        <f t="shared" si="30"/>
        <v>0</v>
      </c>
      <c r="AR102" s="748"/>
      <c r="AS102" s="748" t="s">
        <v>39</v>
      </c>
      <c r="AT102" s="749"/>
      <c r="AU102" s="750">
        <v>45838</v>
      </c>
      <c r="AV102" s="751" t="s">
        <v>1236</v>
      </c>
      <c r="AW102" s="751">
        <f>IFERROR(VLOOKUP(G102,'[71]Detail Deprec_202501'!$D$246:$I$393,6,FALSE),0)</f>
        <v>0</v>
      </c>
      <c r="AX102" s="752">
        <f t="shared" si="33"/>
        <v>0</v>
      </c>
    </row>
    <row r="103" spans="1:50" s="753" customFormat="1" ht="12.9" customHeight="1" outlineLevel="1">
      <c r="A103" s="730">
        <f t="shared" si="31"/>
        <v>78</v>
      </c>
      <c r="B103" s="731" t="s">
        <v>142</v>
      </c>
      <c r="C103" s="732" t="s">
        <v>474</v>
      </c>
      <c r="D103" s="733">
        <v>155</v>
      </c>
      <c r="E103" s="733" t="s">
        <v>1711</v>
      </c>
      <c r="F103" s="731" t="s">
        <v>481</v>
      </c>
      <c r="G103" s="731" t="s">
        <v>482</v>
      </c>
      <c r="H103" s="734">
        <v>38541</v>
      </c>
      <c r="I103" s="735" t="s">
        <v>11</v>
      </c>
      <c r="J103" s="736">
        <v>8006</v>
      </c>
      <c r="K103" s="737" t="s">
        <v>472</v>
      </c>
      <c r="L103" s="737" t="s">
        <v>473</v>
      </c>
      <c r="M103" s="737" t="s">
        <v>483</v>
      </c>
      <c r="N103" s="737">
        <v>2005</v>
      </c>
      <c r="O103" s="738" t="s">
        <v>484</v>
      </c>
      <c r="P103" s="738" t="s">
        <v>485</v>
      </c>
      <c r="Q103" s="738" t="s">
        <v>486</v>
      </c>
      <c r="R103" s="739">
        <v>1</v>
      </c>
      <c r="S103" s="740"/>
      <c r="T103" s="741">
        <v>505454546</v>
      </c>
      <c r="U103" s="741">
        <f t="shared" ref="U103:U166" si="36">+T103/V103</f>
        <v>8424242.4333333336</v>
      </c>
      <c r="V103" s="742">
        <v>60</v>
      </c>
      <c r="W103" s="743">
        <v>60</v>
      </c>
      <c r="X103" s="742">
        <f t="shared" ref="X103:X166" si="37">+AC103/U103</f>
        <v>0</v>
      </c>
      <c r="Y103" s="744">
        <f t="shared" ref="Y103:Y166" si="38">+W103+X103</f>
        <v>60</v>
      </c>
      <c r="Z103" s="745">
        <f t="shared" ref="Z103:Z166" si="39">+V103-Y103</f>
        <v>0</v>
      </c>
      <c r="AA103" s="746">
        <v>505454546</v>
      </c>
      <c r="AB103" s="746">
        <v>0</v>
      </c>
      <c r="AC103" s="746">
        <f t="shared" si="35"/>
        <v>0</v>
      </c>
      <c r="AD103" s="746"/>
      <c r="AE103" s="746"/>
      <c r="AF103" s="746"/>
      <c r="AG103" s="746"/>
      <c r="AH103" s="746"/>
      <c r="AI103" s="746"/>
      <c r="AJ103" s="746"/>
      <c r="AK103" s="746"/>
      <c r="AL103" s="746"/>
      <c r="AM103" s="746"/>
      <c r="AN103" s="746"/>
      <c r="AO103" s="746"/>
      <c r="AP103" s="746">
        <f t="shared" ref="AP103:AP166" si="40">+AA103+AC103</f>
        <v>505454546</v>
      </c>
      <c r="AQ103" s="747">
        <f t="shared" ref="AQ103:AQ166" si="41">IF(AS103=$AS$24,((T103-AP103)*0),T103-AP103)</f>
        <v>0</v>
      </c>
      <c r="AR103" s="748"/>
      <c r="AS103" s="748" t="s">
        <v>39</v>
      </c>
      <c r="AT103" s="749"/>
      <c r="AU103" s="750">
        <v>45838</v>
      </c>
      <c r="AV103" s="751" t="s">
        <v>1236</v>
      </c>
      <c r="AW103" s="751">
        <f>IFERROR(VLOOKUP(G103,'[71]Detail Deprec_202501'!$D$246:$I$393,6,FALSE),0)</f>
        <v>0</v>
      </c>
      <c r="AX103" s="752">
        <f t="shared" si="33"/>
        <v>0</v>
      </c>
    </row>
    <row r="104" spans="1:50" s="753" customFormat="1" ht="12.9" customHeight="1" outlineLevel="1">
      <c r="A104" s="730">
        <f t="shared" ref="A104:A167" si="42">+A103+1</f>
        <v>79</v>
      </c>
      <c r="B104" s="731" t="s">
        <v>142</v>
      </c>
      <c r="C104" s="732" t="s">
        <v>474</v>
      </c>
      <c r="D104" s="733">
        <v>155</v>
      </c>
      <c r="E104" s="733" t="s">
        <v>1711</v>
      </c>
      <c r="F104" s="731" t="s">
        <v>488</v>
      </c>
      <c r="G104" s="731" t="s">
        <v>489</v>
      </c>
      <c r="H104" s="734">
        <v>38541</v>
      </c>
      <c r="I104" s="735" t="s">
        <v>11</v>
      </c>
      <c r="J104" s="736">
        <v>8006</v>
      </c>
      <c r="K104" s="737" t="s">
        <v>472</v>
      </c>
      <c r="L104" s="737" t="s">
        <v>473</v>
      </c>
      <c r="M104" s="737" t="s">
        <v>477</v>
      </c>
      <c r="N104" s="737">
        <v>2005</v>
      </c>
      <c r="O104" s="738" t="s">
        <v>490</v>
      </c>
      <c r="P104" s="738" t="s">
        <v>491</v>
      </c>
      <c r="Q104" s="738" t="s">
        <v>492</v>
      </c>
      <c r="R104" s="739">
        <v>1</v>
      </c>
      <c r="S104" s="740"/>
      <c r="T104" s="741">
        <v>505454546</v>
      </c>
      <c r="U104" s="741">
        <f t="shared" si="36"/>
        <v>8424242.4333333336</v>
      </c>
      <c r="V104" s="742">
        <v>60</v>
      </c>
      <c r="W104" s="743">
        <v>60</v>
      </c>
      <c r="X104" s="742">
        <f t="shared" si="37"/>
        <v>0</v>
      </c>
      <c r="Y104" s="744">
        <f t="shared" si="38"/>
        <v>60</v>
      </c>
      <c r="Z104" s="745">
        <f t="shared" si="39"/>
        <v>0</v>
      </c>
      <c r="AA104" s="746">
        <v>505454546</v>
      </c>
      <c r="AB104" s="746">
        <v>0</v>
      </c>
      <c r="AC104" s="746">
        <f t="shared" si="35"/>
        <v>0</v>
      </c>
      <c r="AD104" s="746"/>
      <c r="AE104" s="746"/>
      <c r="AF104" s="746"/>
      <c r="AG104" s="746"/>
      <c r="AH104" s="746"/>
      <c r="AI104" s="746"/>
      <c r="AJ104" s="746"/>
      <c r="AK104" s="746"/>
      <c r="AL104" s="746"/>
      <c r="AM104" s="746"/>
      <c r="AN104" s="746"/>
      <c r="AO104" s="746"/>
      <c r="AP104" s="746">
        <f t="shared" si="40"/>
        <v>505454546</v>
      </c>
      <c r="AQ104" s="747">
        <f t="shared" si="41"/>
        <v>0</v>
      </c>
      <c r="AR104" s="748"/>
      <c r="AS104" s="748" t="s">
        <v>39</v>
      </c>
      <c r="AT104" s="749"/>
      <c r="AU104" s="750">
        <v>45838</v>
      </c>
      <c r="AV104" s="751" t="s">
        <v>1236</v>
      </c>
      <c r="AW104" s="751">
        <f>IFERROR(VLOOKUP(G104,'[71]Detail Deprec_202501'!$D$246:$I$393,6,FALSE),0)</f>
        <v>0</v>
      </c>
      <c r="AX104" s="752">
        <f t="shared" si="33"/>
        <v>0</v>
      </c>
    </row>
    <row r="105" spans="1:50" s="753" customFormat="1" ht="12.9" customHeight="1" outlineLevel="1">
      <c r="A105" s="730">
        <f t="shared" si="42"/>
        <v>80</v>
      </c>
      <c r="B105" s="754" t="s">
        <v>142</v>
      </c>
      <c r="C105" s="755" t="s">
        <v>474</v>
      </c>
      <c r="D105" s="733">
        <v>155</v>
      </c>
      <c r="E105" s="733" t="s">
        <v>1711</v>
      </c>
      <c r="F105" s="754" t="s">
        <v>493</v>
      </c>
      <c r="G105" s="754" t="s">
        <v>494</v>
      </c>
      <c r="H105" s="734">
        <v>38548</v>
      </c>
      <c r="I105" s="735" t="s">
        <v>11</v>
      </c>
      <c r="J105" s="736">
        <v>8013</v>
      </c>
      <c r="K105" s="737" t="s">
        <v>298</v>
      </c>
      <c r="L105" s="737" t="s">
        <v>495</v>
      </c>
      <c r="M105" s="737" t="s">
        <v>496</v>
      </c>
      <c r="N105" s="737">
        <v>2005</v>
      </c>
      <c r="O105" s="738" t="s">
        <v>497</v>
      </c>
      <c r="P105" s="737"/>
      <c r="Q105" s="737"/>
      <c r="R105" s="739">
        <v>1</v>
      </c>
      <c r="S105" s="740"/>
      <c r="T105" s="741">
        <v>105000000</v>
      </c>
      <c r="U105" s="741">
        <f t="shared" si="36"/>
        <v>1750000</v>
      </c>
      <c r="V105" s="742">
        <v>60</v>
      </c>
      <c r="W105" s="743">
        <v>60</v>
      </c>
      <c r="X105" s="742">
        <f t="shared" si="37"/>
        <v>0</v>
      </c>
      <c r="Y105" s="744">
        <f t="shared" si="38"/>
        <v>60</v>
      </c>
      <c r="Z105" s="745">
        <f t="shared" si="39"/>
        <v>0</v>
      </c>
      <c r="AA105" s="746">
        <v>105000000</v>
      </c>
      <c r="AB105" s="746">
        <v>0</v>
      </c>
      <c r="AC105" s="746">
        <f t="shared" si="35"/>
        <v>0</v>
      </c>
      <c r="AD105" s="746"/>
      <c r="AE105" s="746"/>
      <c r="AF105" s="746"/>
      <c r="AG105" s="746"/>
      <c r="AH105" s="746"/>
      <c r="AI105" s="746"/>
      <c r="AJ105" s="746"/>
      <c r="AK105" s="746"/>
      <c r="AL105" s="746"/>
      <c r="AM105" s="746"/>
      <c r="AN105" s="746"/>
      <c r="AO105" s="746"/>
      <c r="AP105" s="746">
        <f t="shared" si="40"/>
        <v>105000000</v>
      </c>
      <c r="AQ105" s="747">
        <f t="shared" si="41"/>
        <v>0</v>
      </c>
      <c r="AR105" s="748"/>
      <c r="AS105" s="748" t="s">
        <v>39</v>
      </c>
      <c r="AT105" s="749"/>
      <c r="AU105" s="750">
        <v>45838</v>
      </c>
      <c r="AV105" s="751" t="s">
        <v>1236</v>
      </c>
      <c r="AW105" s="751">
        <f>IFERROR(VLOOKUP(G105,'[71]Detail Deprec_202501'!$D$246:$I$393,6,FALSE),0)</f>
        <v>0</v>
      </c>
      <c r="AX105" s="752">
        <f t="shared" si="33"/>
        <v>0</v>
      </c>
    </row>
    <row r="106" spans="1:50" s="753" customFormat="1" ht="12.9" customHeight="1" outlineLevel="1">
      <c r="A106" s="730">
        <f t="shared" si="42"/>
        <v>81</v>
      </c>
      <c r="B106" s="731" t="s">
        <v>142</v>
      </c>
      <c r="C106" s="732" t="s">
        <v>474</v>
      </c>
      <c r="D106" s="733">
        <v>155</v>
      </c>
      <c r="E106" s="733" t="s">
        <v>1711</v>
      </c>
      <c r="F106" s="731" t="s">
        <v>498</v>
      </c>
      <c r="G106" s="731" t="s">
        <v>499</v>
      </c>
      <c r="H106" s="734">
        <v>38548</v>
      </c>
      <c r="I106" s="735" t="s">
        <v>11</v>
      </c>
      <c r="J106" s="736">
        <v>8013</v>
      </c>
      <c r="K106" s="737" t="s">
        <v>298</v>
      </c>
      <c r="L106" s="737" t="s">
        <v>495</v>
      </c>
      <c r="M106" s="737" t="s">
        <v>496</v>
      </c>
      <c r="N106" s="737">
        <v>2005</v>
      </c>
      <c r="O106" s="737" t="s">
        <v>500</v>
      </c>
      <c r="P106" s="737"/>
      <c r="Q106" s="737"/>
      <c r="R106" s="739">
        <v>1</v>
      </c>
      <c r="S106" s="740"/>
      <c r="T106" s="741">
        <v>105000000</v>
      </c>
      <c r="U106" s="741">
        <f t="shared" si="36"/>
        <v>1750000</v>
      </c>
      <c r="V106" s="742">
        <v>60</v>
      </c>
      <c r="W106" s="743">
        <v>60</v>
      </c>
      <c r="X106" s="742">
        <f t="shared" si="37"/>
        <v>0</v>
      </c>
      <c r="Y106" s="744">
        <f t="shared" si="38"/>
        <v>60</v>
      </c>
      <c r="Z106" s="745">
        <f t="shared" si="39"/>
        <v>0</v>
      </c>
      <c r="AA106" s="746">
        <v>105000000</v>
      </c>
      <c r="AB106" s="746">
        <v>0</v>
      </c>
      <c r="AC106" s="746">
        <f t="shared" si="35"/>
        <v>0</v>
      </c>
      <c r="AD106" s="746"/>
      <c r="AE106" s="746"/>
      <c r="AF106" s="746"/>
      <c r="AG106" s="746"/>
      <c r="AH106" s="746"/>
      <c r="AI106" s="746"/>
      <c r="AJ106" s="746"/>
      <c r="AK106" s="746"/>
      <c r="AL106" s="746"/>
      <c r="AM106" s="746"/>
      <c r="AN106" s="746"/>
      <c r="AO106" s="746"/>
      <c r="AP106" s="746">
        <f t="shared" si="40"/>
        <v>105000000</v>
      </c>
      <c r="AQ106" s="747">
        <f t="shared" si="41"/>
        <v>0</v>
      </c>
      <c r="AR106" s="748"/>
      <c r="AS106" s="748" t="s">
        <v>39</v>
      </c>
      <c r="AT106" s="749"/>
      <c r="AU106" s="750">
        <v>45838</v>
      </c>
      <c r="AV106" s="751" t="s">
        <v>1236</v>
      </c>
      <c r="AW106" s="751">
        <f>IFERROR(VLOOKUP(G106,'[71]Detail Deprec_202501'!$D$246:$I$393,6,FALSE),0)</f>
        <v>0</v>
      </c>
      <c r="AX106" s="752">
        <f t="shared" si="33"/>
        <v>0</v>
      </c>
    </row>
    <row r="107" spans="1:50" ht="12.9" customHeight="1" outlineLevel="1">
      <c r="A107" s="324">
        <f t="shared" si="42"/>
        <v>82</v>
      </c>
      <c r="B107" s="385" t="s">
        <v>142</v>
      </c>
      <c r="C107" s="484" t="s">
        <v>474</v>
      </c>
      <c r="D107" s="382">
        <v>155</v>
      </c>
      <c r="E107" s="382" t="s">
        <v>1711</v>
      </c>
      <c r="F107" s="385" t="s">
        <v>501</v>
      </c>
      <c r="G107" s="385" t="s">
        <v>502</v>
      </c>
      <c r="H107" s="391">
        <v>38548</v>
      </c>
      <c r="I107" s="392" t="s">
        <v>11</v>
      </c>
      <c r="J107" s="386">
        <v>8013</v>
      </c>
      <c r="K107" s="379" t="s">
        <v>298</v>
      </c>
      <c r="L107" s="379" t="s">
        <v>495</v>
      </c>
      <c r="M107" s="379" t="s">
        <v>496</v>
      </c>
      <c r="N107" s="379">
        <v>2005</v>
      </c>
      <c r="O107" s="379" t="s">
        <v>503</v>
      </c>
      <c r="P107" s="379"/>
      <c r="Q107" s="379" t="s">
        <v>504</v>
      </c>
      <c r="R107" s="387">
        <v>1</v>
      </c>
      <c r="S107" s="388"/>
      <c r="T107" s="313">
        <v>105000000</v>
      </c>
      <c r="U107" s="313">
        <f t="shared" si="36"/>
        <v>1750000</v>
      </c>
      <c r="V107" s="314">
        <v>60</v>
      </c>
      <c r="W107" s="315">
        <v>60</v>
      </c>
      <c r="X107" s="314">
        <f t="shared" si="37"/>
        <v>0</v>
      </c>
      <c r="Y107" s="316">
        <f t="shared" si="38"/>
        <v>60</v>
      </c>
      <c r="Z107" s="317">
        <f t="shared" si="39"/>
        <v>0</v>
      </c>
      <c r="AA107" s="318">
        <v>105000000</v>
      </c>
      <c r="AB107" s="318">
        <v>0</v>
      </c>
      <c r="AC107" s="318">
        <f t="shared" si="35"/>
        <v>0</v>
      </c>
      <c r="AD107" s="318"/>
      <c r="AE107" s="318"/>
      <c r="AF107" s="318"/>
      <c r="AG107" s="318"/>
      <c r="AH107" s="318"/>
      <c r="AI107" s="318"/>
      <c r="AJ107" s="318"/>
      <c r="AK107" s="318"/>
      <c r="AL107" s="318"/>
      <c r="AM107" s="318"/>
      <c r="AN107" s="318"/>
      <c r="AO107" s="318"/>
      <c r="AP107" s="318">
        <f t="shared" si="40"/>
        <v>105000000</v>
      </c>
      <c r="AQ107" s="319">
        <f t="shared" si="41"/>
        <v>0</v>
      </c>
      <c r="AR107" s="320"/>
      <c r="AS107" s="320"/>
      <c r="AT107" s="384"/>
      <c r="AU107" s="322"/>
      <c r="AV107" s="146" t="s">
        <v>1236</v>
      </c>
      <c r="AW107" s="146">
        <f>IFERROR(VLOOKUP(G107,'[71]Detail Deprec_202501'!$D$246:$I$393,6,FALSE),0)</f>
        <v>0</v>
      </c>
      <c r="AX107" s="501">
        <f t="shared" si="33"/>
        <v>0</v>
      </c>
    </row>
    <row r="108" spans="1:50" s="753" customFormat="1" ht="12.9" customHeight="1" outlineLevel="1">
      <c r="A108" s="730">
        <f t="shared" si="42"/>
        <v>83</v>
      </c>
      <c r="B108" s="731" t="s">
        <v>142</v>
      </c>
      <c r="C108" s="732" t="s">
        <v>474</v>
      </c>
      <c r="D108" s="733">
        <v>155</v>
      </c>
      <c r="E108" s="733" t="s">
        <v>1711</v>
      </c>
      <c r="F108" s="731" t="s">
        <v>505</v>
      </c>
      <c r="G108" s="731" t="s">
        <v>506</v>
      </c>
      <c r="H108" s="734">
        <v>38548</v>
      </c>
      <c r="I108" s="735" t="s">
        <v>11</v>
      </c>
      <c r="J108" s="736">
        <v>8013</v>
      </c>
      <c r="K108" s="737" t="s">
        <v>298</v>
      </c>
      <c r="L108" s="737" t="s">
        <v>495</v>
      </c>
      <c r="M108" s="737" t="s">
        <v>496</v>
      </c>
      <c r="N108" s="737">
        <v>2005</v>
      </c>
      <c r="O108" s="737" t="s">
        <v>507</v>
      </c>
      <c r="P108" s="737"/>
      <c r="Q108" s="737" t="s">
        <v>508</v>
      </c>
      <c r="R108" s="739">
        <v>1</v>
      </c>
      <c r="S108" s="740"/>
      <c r="T108" s="741">
        <v>105000000</v>
      </c>
      <c r="U108" s="741">
        <f t="shared" si="36"/>
        <v>1750000</v>
      </c>
      <c r="V108" s="742">
        <v>60</v>
      </c>
      <c r="W108" s="743">
        <v>60</v>
      </c>
      <c r="X108" s="742">
        <f t="shared" si="37"/>
        <v>0</v>
      </c>
      <c r="Y108" s="744">
        <f t="shared" si="38"/>
        <v>60</v>
      </c>
      <c r="Z108" s="745">
        <f t="shared" si="39"/>
        <v>0</v>
      </c>
      <c r="AA108" s="746">
        <v>105000000</v>
      </c>
      <c r="AB108" s="746">
        <v>0</v>
      </c>
      <c r="AC108" s="746">
        <f t="shared" si="35"/>
        <v>0</v>
      </c>
      <c r="AD108" s="746"/>
      <c r="AE108" s="746"/>
      <c r="AF108" s="746"/>
      <c r="AG108" s="746"/>
      <c r="AH108" s="746"/>
      <c r="AI108" s="746"/>
      <c r="AJ108" s="746"/>
      <c r="AK108" s="746"/>
      <c r="AL108" s="746"/>
      <c r="AM108" s="746"/>
      <c r="AN108" s="746"/>
      <c r="AO108" s="746"/>
      <c r="AP108" s="746">
        <f t="shared" si="40"/>
        <v>105000000</v>
      </c>
      <c r="AQ108" s="747">
        <f t="shared" si="41"/>
        <v>0</v>
      </c>
      <c r="AR108" s="748"/>
      <c r="AS108" s="748" t="s">
        <v>39</v>
      </c>
      <c r="AT108" s="749"/>
      <c r="AU108" s="750">
        <v>45838</v>
      </c>
      <c r="AV108" s="751" t="s">
        <v>1236</v>
      </c>
      <c r="AW108" s="751">
        <f>IFERROR(VLOOKUP(G108,'[71]Detail Deprec_202501'!$D$246:$I$393,6,FALSE),0)</f>
        <v>0</v>
      </c>
      <c r="AX108" s="752">
        <f t="shared" si="33"/>
        <v>0</v>
      </c>
    </row>
    <row r="109" spans="1:50" s="753" customFormat="1" ht="12.9" customHeight="1" outlineLevel="1">
      <c r="A109" s="730">
        <f t="shared" si="42"/>
        <v>84</v>
      </c>
      <c r="B109" s="731" t="s">
        <v>142</v>
      </c>
      <c r="C109" s="732" t="s">
        <v>474</v>
      </c>
      <c r="D109" s="733">
        <v>155</v>
      </c>
      <c r="E109" s="733" t="s">
        <v>1711</v>
      </c>
      <c r="F109" s="731" t="s">
        <v>509</v>
      </c>
      <c r="G109" s="731" t="s">
        <v>510</v>
      </c>
      <c r="H109" s="734">
        <v>38548</v>
      </c>
      <c r="I109" s="735" t="s">
        <v>11</v>
      </c>
      <c r="J109" s="736">
        <v>8013</v>
      </c>
      <c r="K109" s="737" t="s">
        <v>298</v>
      </c>
      <c r="L109" s="737" t="s">
        <v>495</v>
      </c>
      <c r="M109" s="737" t="s">
        <v>496</v>
      </c>
      <c r="N109" s="737">
        <v>2005</v>
      </c>
      <c r="O109" s="737" t="s">
        <v>511</v>
      </c>
      <c r="P109" s="737"/>
      <c r="Q109" s="737" t="s">
        <v>512</v>
      </c>
      <c r="R109" s="739">
        <v>1</v>
      </c>
      <c r="S109" s="740"/>
      <c r="T109" s="741">
        <v>105000000</v>
      </c>
      <c r="U109" s="741">
        <f t="shared" si="36"/>
        <v>1750000</v>
      </c>
      <c r="V109" s="742">
        <v>60</v>
      </c>
      <c r="W109" s="743">
        <v>60</v>
      </c>
      <c r="X109" s="742">
        <f t="shared" si="37"/>
        <v>0</v>
      </c>
      <c r="Y109" s="744">
        <f t="shared" si="38"/>
        <v>60</v>
      </c>
      <c r="Z109" s="745">
        <f t="shared" si="39"/>
        <v>0</v>
      </c>
      <c r="AA109" s="746">
        <v>105000000</v>
      </c>
      <c r="AB109" s="746">
        <v>0</v>
      </c>
      <c r="AC109" s="746">
        <f t="shared" si="35"/>
        <v>0</v>
      </c>
      <c r="AD109" s="746"/>
      <c r="AE109" s="746"/>
      <c r="AF109" s="746"/>
      <c r="AG109" s="746"/>
      <c r="AH109" s="746"/>
      <c r="AI109" s="746"/>
      <c r="AJ109" s="746"/>
      <c r="AK109" s="746"/>
      <c r="AL109" s="746"/>
      <c r="AM109" s="746"/>
      <c r="AN109" s="746"/>
      <c r="AO109" s="746"/>
      <c r="AP109" s="746">
        <f t="shared" si="40"/>
        <v>105000000</v>
      </c>
      <c r="AQ109" s="747">
        <f t="shared" si="41"/>
        <v>0</v>
      </c>
      <c r="AR109" s="748"/>
      <c r="AS109" s="748" t="s">
        <v>39</v>
      </c>
      <c r="AT109" s="749"/>
      <c r="AU109" s="750">
        <v>45838</v>
      </c>
      <c r="AV109" s="751" t="s">
        <v>1236</v>
      </c>
      <c r="AW109" s="751">
        <f>IFERROR(VLOOKUP(G109,'[71]Detail Deprec_202501'!$D$246:$I$393,6,FALSE),0)</f>
        <v>0</v>
      </c>
      <c r="AX109" s="752">
        <f t="shared" si="33"/>
        <v>0</v>
      </c>
    </row>
    <row r="110" spans="1:50" s="753" customFormat="1" ht="12.9" customHeight="1" outlineLevel="1">
      <c r="A110" s="730">
        <f t="shared" si="42"/>
        <v>85</v>
      </c>
      <c r="B110" s="754" t="s">
        <v>142</v>
      </c>
      <c r="C110" s="755" t="s">
        <v>474</v>
      </c>
      <c r="D110" s="733">
        <v>155</v>
      </c>
      <c r="E110" s="733" t="s">
        <v>1711</v>
      </c>
      <c r="F110" s="754" t="s">
        <v>513</v>
      </c>
      <c r="G110" s="754" t="s">
        <v>514</v>
      </c>
      <c r="H110" s="734">
        <v>38548</v>
      </c>
      <c r="I110" s="735" t="s">
        <v>11</v>
      </c>
      <c r="J110" s="736">
        <v>8013</v>
      </c>
      <c r="K110" s="737" t="s">
        <v>298</v>
      </c>
      <c r="L110" s="737" t="s">
        <v>495</v>
      </c>
      <c r="M110" s="737" t="s">
        <v>496</v>
      </c>
      <c r="N110" s="737">
        <v>2005</v>
      </c>
      <c r="O110" s="738" t="s">
        <v>497</v>
      </c>
      <c r="P110" s="737"/>
      <c r="Q110" s="737"/>
      <c r="R110" s="739">
        <v>1</v>
      </c>
      <c r="S110" s="740"/>
      <c r="T110" s="741">
        <v>105000000</v>
      </c>
      <c r="U110" s="741">
        <f t="shared" si="36"/>
        <v>1750000</v>
      </c>
      <c r="V110" s="742">
        <v>60</v>
      </c>
      <c r="W110" s="743">
        <v>60</v>
      </c>
      <c r="X110" s="742">
        <f t="shared" si="37"/>
        <v>0</v>
      </c>
      <c r="Y110" s="744">
        <f t="shared" si="38"/>
        <v>60</v>
      </c>
      <c r="Z110" s="745">
        <f t="shared" si="39"/>
        <v>0</v>
      </c>
      <c r="AA110" s="746">
        <v>105000000</v>
      </c>
      <c r="AB110" s="746">
        <v>0</v>
      </c>
      <c r="AC110" s="746">
        <f t="shared" si="35"/>
        <v>0</v>
      </c>
      <c r="AD110" s="746"/>
      <c r="AE110" s="746"/>
      <c r="AF110" s="746"/>
      <c r="AG110" s="746"/>
      <c r="AH110" s="746"/>
      <c r="AI110" s="746"/>
      <c r="AJ110" s="746"/>
      <c r="AK110" s="746"/>
      <c r="AL110" s="746"/>
      <c r="AM110" s="746"/>
      <c r="AN110" s="746"/>
      <c r="AO110" s="746"/>
      <c r="AP110" s="746">
        <f t="shared" si="40"/>
        <v>105000000</v>
      </c>
      <c r="AQ110" s="747">
        <f t="shared" si="41"/>
        <v>0</v>
      </c>
      <c r="AR110" s="748"/>
      <c r="AS110" s="748" t="s">
        <v>39</v>
      </c>
      <c r="AT110" s="749"/>
      <c r="AU110" s="750">
        <v>45838</v>
      </c>
      <c r="AV110" s="751" t="s">
        <v>1236</v>
      </c>
      <c r="AW110" s="751">
        <f>IFERROR(VLOOKUP(G110,'[71]Detail Deprec_202501'!$D$246:$I$393,6,FALSE),0)</f>
        <v>0</v>
      </c>
      <c r="AX110" s="752">
        <f t="shared" si="33"/>
        <v>0</v>
      </c>
    </row>
    <row r="111" spans="1:50" ht="12.9" customHeight="1" outlineLevel="1">
      <c r="A111" s="324">
        <f t="shared" si="42"/>
        <v>86</v>
      </c>
      <c r="B111" s="389" t="s">
        <v>142</v>
      </c>
      <c r="C111" s="359" t="s">
        <v>474</v>
      </c>
      <c r="D111" s="382">
        <v>155</v>
      </c>
      <c r="E111" s="382" t="s">
        <v>1711</v>
      </c>
      <c r="F111" s="389" t="s">
        <v>515</v>
      </c>
      <c r="G111" s="389" t="s">
        <v>516</v>
      </c>
      <c r="H111" s="391">
        <v>38559</v>
      </c>
      <c r="I111" s="392" t="s">
        <v>11</v>
      </c>
      <c r="J111" s="386">
        <v>6077</v>
      </c>
      <c r="K111" s="379" t="s">
        <v>298</v>
      </c>
      <c r="L111" s="379"/>
      <c r="M111" s="379" t="s">
        <v>517</v>
      </c>
      <c r="N111" s="379">
        <v>2005</v>
      </c>
      <c r="O111" s="393" t="s">
        <v>518</v>
      </c>
      <c r="P111" s="379"/>
      <c r="Q111" s="379"/>
      <c r="R111" s="387">
        <v>1</v>
      </c>
      <c r="S111" s="388"/>
      <c r="T111" s="313">
        <v>24000000</v>
      </c>
      <c r="U111" s="313">
        <f t="shared" si="36"/>
        <v>400000</v>
      </c>
      <c r="V111" s="314">
        <v>60</v>
      </c>
      <c r="W111" s="315">
        <v>60</v>
      </c>
      <c r="X111" s="314">
        <f t="shared" si="37"/>
        <v>0</v>
      </c>
      <c r="Y111" s="316">
        <f t="shared" si="38"/>
        <v>60</v>
      </c>
      <c r="Z111" s="317">
        <f t="shared" si="39"/>
        <v>0</v>
      </c>
      <c r="AA111" s="318">
        <v>24000000</v>
      </c>
      <c r="AB111" s="318">
        <v>0</v>
      </c>
      <c r="AC111" s="318">
        <f t="shared" si="35"/>
        <v>0</v>
      </c>
      <c r="AD111" s="318"/>
      <c r="AE111" s="318"/>
      <c r="AF111" s="318"/>
      <c r="AG111" s="318"/>
      <c r="AH111" s="318"/>
      <c r="AI111" s="318"/>
      <c r="AJ111" s="318"/>
      <c r="AK111" s="318"/>
      <c r="AL111" s="318"/>
      <c r="AM111" s="318"/>
      <c r="AN111" s="318"/>
      <c r="AO111" s="318"/>
      <c r="AP111" s="318">
        <f t="shared" si="40"/>
        <v>24000000</v>
      </c>
      <c r="AQ111" s="319">
        <f t="shared" si="41"/>
        <v>0</v>
      </c>
      <c r="AR111" s="320"/>
      <c r="AS111" s="320"/>
      <c r="AT111" s="384"/>
      <c r="AU111" s="322"/>
      <c r="AV111" s="146" t="s">
        <v>1236</v>
      </c>
      <c r="AW111" s="146">
        <f>IFERROR(VLOOKUP(G111,'[71]Detail Deprec_202501'!$D$246:$I$393,6,FALSE),0)</f>
        <v>0</v>
      </c>
      <c r="AX111" s="501">
        <f t="shared" si="33"/>
        <v>0</v>
      </c>
    </row>
    <row r="112" spans="1:50" ht="12.9" customHeight="1" outlineLevel="1">
      <c r="A112" s="324">
        <f t="shared" si="42"/>
        <v>87</v>
      </c>
      <c r="B112" s="336" t="s">
        <v>142</v>
      </c>
      <c r="C112" s="359" t="s">
        <v>474</v>
      </c>
      <c r="D112" s="382">
        <v>155</v>
      </c>
      <c r="E112" s="382" t="s">
        <v>1711</v>
      </c>
      <c r="F112" s="389" t="s">
        <v>520</v>
      </c>
      <c r="G112" s="336" t="s">
        <v>521</v>
      </c>
      <c r="H112" s="383">
        <v>40358</v>
      </c>
      <c r="I112" s="392" t="s">
        <v>11</v>
      </c>
      <c r="J112" s="379">
        <v>5055</v>
      </c>
      <c r="K112" s="351" t="s">
        <v>522</v>
      </c>
      <c r="L112" s="351" t="s">
        <v>300</v>
      </c>
      <c r="M112" s="379" t="s">
        <v>477</v>
      </c>
      <c r="N112" s="379">
        <v>2010</v>
      </c>
      <c r="O112" s="379" t="s">
        <v>523</v>
      </c>
      <c r="P112" s="379" t="s">
        <v>524</v>
      </c>
      <c r="Q112" s="351" t="s">
        <v>525</v>
      </c>
      <c r="R112" s="377">
        <v>1</v>
      </c>
      <c r="S112" s="396"/>
      <c r="T112" s="354">
        <v>635181818</v>
      </c>
      <c r="U112" s="313">
        <f t="shared" si="36"/>
        <v>10586363.633333333</v>
      </c>
      <c r="V112" s="316">
        <v>60</v>
      </c>
      <c r="W112" s="315">
        <v>59.999999999999979</v>
      </c>
      <c r="X112" s="314">
        <f t="shared" si="37"/>
        <v>0</v>
      </c>
      <c r="Y112" s="316">
        <f t="shared" si="38"/>
        <v>59.999999999999979</v>
      </c>
      <c r="Z112" s="317">
        <f t="shared" si="39"/>
        <v>0</v>
      </c>
      <c r="AA112" s="318">
        <v>635181817.99999976</v>
      </c>
      <c r="AB112" s="318">
        <v>2.384185791015625E-7</v>
      </c>
      <c r="AC112" s="318">
        <f t="shared" si="35"/>
        <v>0</v>
      </c>
      <c r="AD112" s="318"/>
      <c r="AE112" s="318"/>
      <c r="AF112" s="318"/>
      <c r="AG112" s="318"/>
      <c r="AH112" s="318"/>
      <c r="AI112" s="318"/>
      <c r="AJ112" s="318"/>
      <c r="AK112" s="318"/>
      <c r="AL112" s="318"/>
      <c r="AM112" s="318"/>
      <c r="AN112" s="318"/>
      <c r="AO112" s="318"/>
      <c r="AP112" s="318">
        <f t="shared" si="40"/>
        <v>635181817.99999976</v>
      </c>
      <c r="AQ112" s="319">
        <f t="shared" si="41"/>
        <v>2.384185791015625E-7</v>
      </c>
      <c r="AR112" s="320"/>
      <c r="AS112" s="320"/>
      <c r="AT112" s="365"/>
      <c r="AU112" s="322"/>
      <c r="AV112" s="146" t="s">
        <v>1236</v>
      </c>
      <c r="AW112" s="146">
        <f>IFERROR(VLOOKUP(G112,'[71]Detail Deprec_202501'!$D$246:$I$393,6,FALSE),0)</f>
        <v>0</v>
      </c>
      <c r="AX112" s="501">
        <f t="shared" si="33"/>
        <v>0</v>
      </c>
    </row>
    <row r="113" spans="1:50" ht="12.9" customHeight="1" outlineLevel="1">
      <c r="A113" s="324">
        <f t="shared" si="42"/>
        <v>88</v>
      </c>
      <c r="B113" s="385" t="s">
        <v>142</v>
      </c>
      <c r="C113" s="483" t="s">
        <v>474</v>
      </c>
      <c r="D113" s="382">
        <v>155</v>
      </c>
      <c r="E113" s="382" t="s">
        <v>1711</v>
      </c>
      <c r="F113" s="398" t="s">
        <v>526</v>
      </c>
      <c r="G113" s="398" t="s">
        <v>527</v>
      </c>
      <c r="H113" s="383">
        <v>41016</v>
      </c>
      <c r="I113" s="392" t="s">
        <v>11</v>
      </c>
      <c r="J113" s="379">
        <v>15</v>
      </c>
      <c r="K113" s="351" t="s">
        <v>487</v>
      </c>
      <c r="L113" s="351" t="s">
        <v>300</v>
      </c>
      <c r="M113" s="379" t="s">
        <v>477</v>
      </c>
      <c r="N113" s="379">
        <v>2012</v>
      </c>
      <c r="O113" s="399" t="s">
        <v>528</v>
      </c>
      <c r="P113" s="399" t="s">
        <v>529</v>
      </c>
      <c r="Q113" s="399" t="s">
        <v>530</v>
      </c>
      <c r="R113" s="377">
        <v>1</v>
      </c>
      <c r="S113" s="397"/>
      <c r="T113" s="354">
        <v>832727273</v>
      </c>
      <c r="U113" s="313">
        <f t="shared" si="36"/>
        <v>13878787.883333333</v>
      </c>
      <c r="V113" s="316">
        <v>60</v>
      </c>
      <c r="W113" s="315">
        <v>59.999999999999979</v>
      </c>
      <c r="X113" s="314">
        <f t="shared" si="37"/>
        <v>0</v>
      </c>
      <c r="Y113" s="314">
        <f t="shared" si="38"/>
        <v>59.999999999999979</v>
      </c>
      <c r="Z113" s="317">
        <f t="shared" si="39"/>
        <v>0</v>
      </c>
      <c r="AA113" s="318">
        <v>832727272.99999964</v>
      </c>
      <c r="AB113" s="318">
        <v>3.5762786865234375E-7</v>
      </c>
      <c r="AC113" s="318">
        <f t="shared" si="35"/>
        <v>0</v>
      </c>
      <c r="AD113" s="318"/>
      <c r="AE113" s="318"/>
      <c r="AF113" s="318"/>
      <c r="AG113" s="318"/>
      <c r="AH113" s="318"/>
      <c r="AI113" s="318"/>
      <c r="AJ113" s="318"/>
      <c r="AK113" s="318"/>
      <c r="AL113" s="318"/>
      <c r="AM113" s="318"/>
      <c r="AN113" s="318"/>
      <c r="AO113" s="318"/>
      <c r="AP113" s="318">
        <f t="shared" si="40"/>
        <v>832727272.99999964</v>
      </c>
      <c r="AQ113" s="319">
        <f t="shared" si="41"/>
        <v>3.5762786865234375E-7</v>
      </c>
      <c r="AR113" s="320"/>
      <c r="AS113" s="320"/>
      <c r="AT113" s="365"/>
      <c r="AU113" s="322"/>
      <c r="AV113" s="146" t="s">
        <v>1236</v>
      </c>
      <c r="AW113" s="146">
        <f>IFERROR(VLOOKUP(G113,'[71]Detail Deprec_202501'!$D$246:$I$393,6,FALSE),0)</f>
        <v>0</v>
      </c>
      <c r="AX113" s="501">
        <f t="shared" si="33"/>
        <v>0</v>
      </c>
    </row>
    <row r="114" spans="1:50" s="753" customFormat="1" ht="12.9" customHeight="1" outlineLevel="1">
      <c r="A114" s="730">
        <f t="shared" si="42"/>
        <v>89</v>
      </c>
      <c r="B114" s="731" t="s">
        <v>142</v>
      </c>
      <c r="C114" s="756" t="s">
        <v>474</v>
      </c>
      <c r="D114" s="733">
        <v>155</v>
      </c>
      <c r="E114" s="733" t="s">
        <v>1711</v>
      </c>
      <c r="F114" s="757" t="s">
        <v>533</v>
      </c>
      <c r="G114" s="757" t="s">
        <v>534</v>
      </c>
      <c r="H114" s="758">
        <v>41045</v>
      </c>
      <c r="I114" s="735" t="s">
        <v>11</v>
      </c>
      <c r="J114" s="737">
        <v>3</v>
      </c>
      <c r="K114" s="759" t="s">
        <v>298</v>
      </c>
      <c r="L114" s="759" t="s">
        <v>531</v>
      </c>
      <c r="M114" s="737" t="s">
        <v>532</v>
      </c>
      <c r="N114" s="737">
        <v>2012</v>
      </c>
      <c r="O114" s="737" t="s">
        <v>535</v>
      </c>
      <c r="P114" s="759"/>
      <c r="Q114" s="760" t="s">
        <v>536</v>
      </c>
      <c r="R114" s="761">
        <v>1</v>
      </c>
      <c r="S114" s="762"/>
      <c r="T114" s="763">
        <v>210000000</v>
      </c>
      <c r="U114" s="741">
        <f t="shared" si="36"/>
        <v>3500000</v>
      </c>
      <c r="V114" s="744">
        <v>60</v>
      </c>
      <c r="W114" s="743">
        <v>60</v>
      </c>
      <c r="X114" s="742">
        <f t="shared" si="37"/>
        <v>0</v>
      </c>
      <c r="Y114" s="742">
        <f t="shared" si="38"/>
        <v>60</v>
      </c>
      <c r="Z114" s="745">
        <f t="shared" si="39"/>
        <v>0</v>
      </c>
      <c r="AA114" s="746">
        <v>210000000</v>
      </c>
      <c r="AB114" s="746">
        <v>0</v>
      </c>
      <c r="AC114" s="746">
        <f t="shared" si="35"/>
        <v>0</v>
      </c>
      <c r="AD114" s="746"/>
      <c r="AE114" s="746"/>
      <c r="AF114" s="746"/>
      <c r="AG114" s="746"/>
      <c r="AH114" s="746"/>
      <c r="AI114" s="746"/>
      <c r="AJ114" s="746"/>
      <c r="AK114" s="746"/>
      <c r="AL114" s="746"/>
      <c r="AM114" s="746"/>
      <c r="AN114" s="746"/>
      <c r="AO114" s="746"/>
      <c r="AP114" s="746">
        <f t="shared" si="40"/>
        <v>210000000</v>
      </c>
      <c r="AQ114" s="747">
        <f t="shared" si="41"/>
        <v>0</v>
      </c>
      <c r="AR114" s="748"/>
      <c r="AS114" s="748" t="s">
        <v>39</v>
      </c>
      <c r="AT114" s="323"/>
      <c r="AU114" s="750">
        <v>45838</v>
      </c>
      <c r="AV114" s="751" t="s">
        <v>1236</v>
      </c>
      <c r="AW114" s="751">
        <f>IFERROR(VLOOKUP(G114,'[71]Detail Deprec_202501'!$D$246:$I$393,6,FALSE),0)</f>
        <v>0</v>
      </c>
      <c r="AX114" s="752">
        <f t="shared" si="33"/>
        <v>0</v>
      </c>
    </row>
    <row r="115" spans="1:50" s="753" customFormat="1" ht="12.9" customHeight="1" outlineLevel="1">
      <c r="A115" s="730">
        <f t="shared" si="42"/>
        <v>90</v>
      </c>
      <c r="B115" s="764" t="s">
        <v>142</v>
      </c>
      <c r="C115" s="765" t="s">
        <v>143</v>
      </c>
      <c r="D115" s="733">
        <v>155</v>
      </c>
      <c r="E115" s="733" t="s">
        <v>1707</v>
      </c>
      <c r="F115" s="764" t="s">
        <v>539</v>
      </c>
      <c r="G115" s="764" t="s">
        <v>540</v>
      </c>
      <c r="H115" s="758">
        <v>41639</v>
      </c>
      <c r="I115" s="735" t="s">
        <v>11</v>
      </c>
      <c r="J115" s="737">
        <v>181</v>
      </c>
      <c r="K115" s="759" t="s">
        <v>541</v>
      </c>
      <c r="L115" s="759" t="s">
        <v>542</v>
      </c>
      <c r="M115" s="744" t="s">
        <v>470</v>
      </c>
      <c r="N115" s="737">
        <v>2013</v>
      </c>
      <c r="O115" s="737"/>
      <c r="P115" s="737" t="s">
        <v>543</v>
      </c>
      <c r="Q115" s="737" t="s">
        <v>544</v>
      </c>
      <c r="R115" s="761">
        <v>1</v>
      </c>
      <c r="S115" s="766">
        <v>30900</v>
      </c>
      <c r="T115" s="763">
        <v>347130600</v>
      </c>
      <c r="U115" s="741">
        <f t="shared" si="36"/>
        <v>5785510</v>
      </c>
      <c r="V115" s="744">
        <v>60</v>
      </c>
      <c r="W115" s="743">
        <v>60</v>
      </c>
      <c r="X115" s="742">
        <f t="shared" si="37"/>
        <v>0</v>
      </c>
      <c r="Y115" s="742">
        <f t="shared" si="38"/>
        <v>60</v>
      </c>
      <c r="Z115" s="745">
        <f t="shared" si="39"/>
        <v>0</v>
      </c>
      <c r="AA115" s="746">
        <v>347130600</v>
      </c>
      <c r="AB115" s="746">
        <v>0</v>
      </c>
      <c r="AC115" s="746">
        <f t="shared" si="35"/>
        <v>0</v>
      </c>
      <c r="AD115" s="746"/>
      <c r="AE115" s="746"/>
      <c r="AF115" s="746"/>
      <c r="AG115" s="746"/>
      <c r="AH115" s="746"/>
      <c r="AI115" s="746"/>
      <c r="AJ115" s="746"/>
      <c r="AK115" s="746"/>
      <c r="AL115" s="746"/>
      <c r="AM115" s="746"/>
      <c r="AN115" s="746"/>
      <c r="AO115" s="746"/>
      <c r="AP115" s="746">
        <f t="shared" si="40"/>
        <v>347130600</v>
      </c>
      <c r="AQ115" s="747">
        <f t="shared" si="41"/>
        <v>0</v>
      </c>
      <c r="AR115" s="748"/>
      <c r="AS115" s="748" t="s">
        <v>39</v>
      </c>
      <c r="AT115" s="323"/>
      <c r="AU115" s="767">
        <v>45744</v>
      </c>
      <c r="AV115" s="751" t="s">
        <v>1236</v>
      </c>
      <c r="AW115" s="751">
        <f>IFERROR(VLOOKUP(G115,'[70]Detail Deprec_202508'!$D$33:$I$357,6,FALSE),0)</f>
        <v>0</v>
      </c>
      <c r="AX115" s="751">
        <f t="shared" si="33"/>
        <v>0</v>
      </c>
    </row>
    <row r="116" spans="1:50" s="753" customFormat="1" ht="12.9" customHeight="1" outlineLevel="1">
      <c r="A116" s="730">
        <f t="shared" si="42"/>
        <v>91</v>
      </c>
      <c r="B116" s="764" t="s">
        <v>142</v>
      </c>
      <c r="C116" s="765" t="s">
        <v>143</v>
      </c>
      <c r="D116" s="733">
        <v>155</v>
      </c>
      <c r="E116" s="733" t="s">
        <v>1707</v>
      </c>
      <c r="F116" s="764" t="s">
        <v>546</v>
      </c>
      <c r="G116" s="764" t="s">
        <v>547</v>
      </c>
      <c r="H116" s="758">
        <v>41639</v>
      </c>
      <c r="I116" s="735" t="s">
        <v>11</v>
      </c>
      <c r="J116" s="737">
        <v>181</v>
      </c>
      <c r="K116" s="759" t="s">
        <v>545</v>
      </c>
      <c r="L116" s="759" t="s">
        <v>542</v>
      </c>
      <c r="M116" s="744" t="s">
        <v>470</v>
      </c>
      <c r="N116" s="737">
        <v>2013</v>
      </c>
      <c r="O116" s="737" t="s">
        <v>401</v>
      </c>
      <c r="P116" s="737" t="s">
        <v>543</v>
      </c>
      <c r="Q116" s="737" t="s">
        <v>548</v>
      </c>
      <c r="R116" s="761">
        <v>1</v>
      </c>
      <c r="S116" s="766">
        <v>30900</v>
      </c>
      <c r="T116" s="763">
        <v>347130600</v>
      </c>
      <c r="U116" s="741">
        <f t="shared" si="36"/>
        <v>5785510</v>
      </c>
      <c r="V116" s="744">
        <v>60</v>
      </c>
      <c r="W116" s="743">
        <v>60</v>
      </c>
      <c r="X116" s="742">
        <f t="shared" si="37"/>
        <v>0</v>
      </c>
      <c r="Y116" s="742">
        <f t="shared" si="38"/>
        <v>60</v>
      </c>
      <c r="Z116" s="745">
        <f t="shared" si="39"/>
        <v>0</v>
      </c>
      <c r="AA116" s="746">
        <v>347130600</v>
      </c>
      <c r="AB116" s="746">
        <v>0</v>
      </c>
      <c r="AC116" s="746">
        <f t="shared" si="35"/>
        <v>0</v>
      </c>
      <c r="AD116" s="746"/>
      <c r="AE116" s="746"/>
      <c r="AF116" s="746"/>
      <c r="AG116" s="746"/>
      <c r="AH116" s="746"/>
      <c r="AI116" s="746"/>
      <c r="AJ116" s="746"/>
      <c r="AK116" s="746"/>
      <c r="AL116" s="746"/>
      <c r="AM116" s="746"/>
      <c r="AN116" s="746"/>
      <c r="AO116" s="746"/>
      <c r="AP116" s="746">
        <f t="shared" si="40"/>
        <v>347130600</v>
      </c>
      <c r="AQ116" s="747">
        <f t="shared" si="41"/>
        <v>0</v>
      </c>
      <c r="AR116" s="748"/>
      <c r="AS116" s="748" t="s">
        <v>39</v>
      </c>
      <c r="AT116" s="323"/>
      <c r="AU116" s="767">
        <v>45744</v>
      </c>
      <c r="AV116" s="751" t="s">
        <v>1236</v>
      </c>
      <c r="AW116" s="751">
        <f>IFERROR(VLOOKUP(G116,'[70]Detail Deprec_202508'!$D$33:$I$357,6,FALSE),0)</f>
        <v>0</v>
      </c>
      <c r="AX116" s="751">
        <f t="shared" si="33"/>
        <v>0</v>
      </c>
    </row>
    <row r="117" spans="1:50" s="753" customFormat="1" ht="12.9" customHeight="1" outlineLevel="1">
      <c r="A117" s="730">
        <f t="shared" si="42"/>
        <v>92</v>
      </c>
      <c r="B117" s="764" t="s">
        <v>142</v>
      </c>
      <c r="C117" s="765" t="s">
        <v>143</v>
      </c>
      <c r="D117" s="733">
        <v>155</v>
      </c>
      <c r="E117" s="733" t="s">
        <v>1707</v>
      </c>
      <c r="F117" s="764" t="s">
        <v>549</v>
      </c>
      <c r="G117" s="764" t="s">
        <v>550</v>
      </c>
      <c r="H117" s="758">
        <v>41639</v>
      </c>
      <c r="I117" s="735" t="s">
        <v>11</v>
      </c>
      <c r="J117" s="737">
        <v>182</v>
      </c>
      <c r="K117" s="759" t="s">
        <v>545</v>
      </c>
      <c r="L117" s="759" t="s">
        <v>542</v>
      </c>
      <c r="M117" s="744" t="s">
        <v>551</v>
      </c>
      <c r="N117" s="737">
        <v>2013</v>
      </c>
      <c r="O117" s="737"/>
      <c r="P117" s="737" t="s">
        <v>552</v>
      </c>
      <c r="Q117" s="737" t="s">
        <v>553</v>
      </c>
      <c r="R117" s="761">
        <v>1</v>
      </c>
      <c r="S117" s="766">
        <v>24700</v>
      </c>
      <c r="T117" s="763">
        <v>277479800</v>
      </c>
      <c r="U117" s="741">
        <f t="shared" si="36"/>
        <v>4624663.333333333</v>
      </c>
      <c r="V117" s="744">
        <v>60</v>
      </c>
      <c r="W117" s="743">
        <v>60.000000000000014</v>
      </c>
      <c r="X117" s="742">
        <f t="shared" si="37"/>
        <v>0</v>
      </c>
      <c r="Y117" s="742">
        <f t="shared" si="38"/>
        <v>60.000000000000014</v>
      </c>
      <c r="Z117" s="745">
        <f t="shared" si="39"/>
        <v>0</v>
      </c>
      <c r="AA117" s="746">
        <v>277479800.00000006</v>
      </c>
      <c r="AB117" s="746">
        <v>-5.9604644775390625E-8</v>
      </c>
      <c r="AC117" s="746">
        <f t="shared" si="35"/>
        <v>0</v>
      </c>
      <c r="AD117" s="746"/>
      <c r="AE117" s="746"/>
      <c r="AF117" s="746"/>
      <c r="AG117" s="746"/>
      <c r="AH117" s="746"/>
      <c r="AI117" s="746"/>
      <c r="AJ117" s="746"/>
      <c r="AK117" s="746"/>
      <c r="AL117" s="746"/>
      <c r="AM117" s="746"/>
      <c r="AN117" s="746"/>
      <c r="AO117" s="746"/>
      <c r="AP117" s="746">
        <f t="shared" si="40"/>
        <v>277479800.00000006</v>
      </c>
      <c r="AQ117" s="747">
        <f t="shared" si="41"/>
        <v>0</v>
      </c>
      <c r="AR117" s="748"/>
      <c r="AS117" s="748" t="s">
        <v>39</v>
      </c>
      <c r="AT117" s="323"/>
      <c r="AU117" s="767">
        <v>45744</v>
      </c>
      <c r="AV117" s="751" t="s">
        <v>1236</v>
      </c>
      <c r="AW117" s="751">
        <f>IFERROR(VLOOKUP(G117,'[70]Detail Deprec_202508'!$D$33:$I$357,6,FALSE),0)</f>
        <v>0</v>
      </c>
      <c r="AX117" s="751">
        <f t="shared" si="33"/>
        <v>0</v>
      </c>
    </row>
    <row r="118" spans="1:50" s="753" customFormat="1" ht="12.9" customHeight="1" outlineLevel="1">
      <c r="A118" s="730">
        <f t="shared" si="42"/>
        <v>93</v>
      </c>
      <c r="B118" s="764" t="s">
        <v>142</v>
      </c>
      <c r="C118" s="765" t="s">
        <v>143</v>
      </c>
      <c r="D118" s="733">
        <v>155</v>
      </c>
      <c r="E118" s="733" t="s">
        <v>1707</v>
      </c>
      <c r="F118" s="764" t="s">
        <v>554</v>
      </c>
      <c r="G118" s="764" t="s">
        <v>555</v>
      </c>
      <c r="H118" s="758">
        <v>41639</v>
      </c>
      <c r="I118" s="735" t="s">
        <v>11</v>
      </c>
      <c r="J118" s="737">
        <v>182</v>
      </c>
      <c r="K118" s="759" t="s">
        <v>545</v>
      </c>
      <c r="L118" s="759" t="s">
        <v>542</v>
      </c>
      <c r="M118" s="744" t="s">
        <v>551</v>
      </c>
      <c r="N118" s="737">
        <v>2013</v>
      </c>
      <c r="O118" s="737"/>
      <c r="P118" s="737" t="s">
        <v>556</v>
      </c>
      <c r="Q118" s="737" t="s">
        <v>553</v>
      </c>
      <c r="R118" s="761">
        <v>1</v>
      </c>
      <c r="S118" s="766">
        <v>24700</v>
      </c>
      <c r="T118" s="763">
        <v>277479800</v>
      </c>
      <c r="U118" s="741">
        <f t="shared" si="36"/>
        <v>4624663.333333333</v>
      </c>
      <c r="V118" s="744">
        <v>60</v>
      </c>
      <c r="W118" s="743">
        <v>60.000000000000014</v>
      </c>
      <c r="X118" s="742">
        <f t="shared" si="37"/>
        <v>0</v>
      </c>
      <c r="Y118" s="742">
        <f t="shared" si="38"/>
        <v>60.000000000000014</v>
      </c>
      <c r="Z118" s="745">
        <f t="shared" si="39"/>
        <v>0</v>
      </c>
      <c r="AA118" s="746">
        <v>277479800.00000006</v>
      </c>
      <c r="AB118" s="746">
        <v>-5.9604644775390625E-8</v>
      </c>
      <c r="AC118" s="746">
        <f t="shared" si="35"/>
        <v>0</v>
      </c>
      <c r="AD118" s="746"/>
      <c r="AE118" s="746"/>
      <c r="AF118" s="746"/>
      <c r="AG118" s="746"/>
      <c r="AH118" s="746"/>
      <c r="AI118" s="746"/>
      <c r="AJ118" s="746"/>
      <c r="AK118" s="746"/>
      <c r="AL118" s="746"/>
      <c r="AM118" s="746"/>
      <c r="AN118" s="746"/>
      <c r="AO118" s="746"/>
      <c r="AP118" s="746">
        <f t="shared" si="40"/>
        <v>277479800.00000006</v>
      </c>
      <c r="AQ118" s="747">
        <f t="shared" si="41"/>
        <v>0</v>
      </c>
      <c r="AR118" s="748"/>
      <c r="AS118" s="748" t="s">
        <v>39</v>
      </c>
      <c r="AT118" s="323"/>
      <c r="AU118" s="767">
        <v>45744</v>
      </c>
      <c r="AV118" s="751" t="s">
        <v>1236</v>
      </c>
      <c r="AW118" s="751">
        <f>IFERROR(VLOOKUP(G118,'[70]Detail Deprec_202508'!$D$33:$I$357,6,FALSE),0)</f>
        <v>0</v>
      </c>
      <c r="AX118" s="751">
        <f t="shared" si="33"/>
        <v>0</v>
      </c>
    </row>
    <row r="119" spans="1:50" ht="12.9" customHeight="1" outlineLevel="1">
      <c r="A119" s="324">
        <f t="shared" si="42"/>
        <v>94</v>
      </c>
      <c r="B119" s="336" t="s">
        <v>142</v>
      </c>
      <c r="C119" s="309" t="s">
        <v>474</v>
      </c>
      <c r="D119" s="382">
        <v>155</v>
      </c>
      <c r="E119" s="382" t="s">
        <v>1711</v>
      </c>
      <c r="F119" s="336" t="s">
        <v>559</v>
      </c>
      <c r="G119" s="336" t="s">
        <v>560</v>
      </c>
      <c r="H119" s="383">
        <v>41696</v>
      </c>
      <c r="I119" s="392" t="s">
        <v>11</v>
      </c>
      <c r="J119" s="379">
        <v>6</v>
      </c>
      <c r="K119" s="351" t="s">
        <v>561</v>
      </c>
      <c r="L119" s="351" t="s">
        <v>300</v>
      </c>
      <c r="M119" s="379" t="s">
        <v>562</v>
      </c>
      <c r="N119" s="379">
        <v>2014</v>
      </c>
      <c r="O119" s="379" t="s">
        <v>563</v>
      </c>
      <c r="P119" s="379" t="s">
        <v>564</v>
      </c>
      <c r="Q119" s="379" t="s">
        <v>565</v>
      </c>
      <c r="R119" s="377">
        <v>1</v>
      </c>
      <c r="S119" s="400"/>
      <c r="T119" s="354">
        <v>564090910</v>
      </c>
      <c r="U119" s="313">
        <f t="shared" si="36"/>
        <v>9401515.166666666</v>
      </c>
      <c r="V119" s="316">
        <v>60</v>
      </c>
      <c r="W119" s="315">
        <v>60.000000000000007</v>
      </c>
      <c r="X119" s="314">
        <f t="shared" si="37"/>
        <v>0</v>
      </c>
      <c r="Y119" s="314">
        <f t="shared" si="38"/>
        <v>60.000000000000007</v>
      </c>
      <c r="Z119" s="317">
        <f t="shared" si="39"/>
        <v>0</v>
      </c>
      <c r="AA119" s="318">
        <v>564090910</v>
      </c>
      <c r="AB119" s="318">
        <v>0</v>
      </c>
      <c r="AC119" s="318">
        <f t="shared" si="35"/>
        <v>0</v>
      </c>
      <c r="AD119" s="318"/>
      <c r="AE119" s="318"/>
      <c r="AF119" s="318"/>
      <c r="AG119" s="318"/>
      <c r="AH119" s="318"/>
      <c r="AI119" s="318"/>
      <c r="AJ119" s="318"/>
      <c r="AK119" s="318"/>
      <c r="AL119" s="318"/>
      <c r="AM119" s="318"/>
      <c r="AN119" s="318"/>
      <c r="AO119" s="318"/>
      <c r="AP119" s="318">
        <f t="shared" si="40"/>
        <v>564090910</v>
      </c>
      <c r="AQ119" s="319">
        <f t="shared" si="41"/>
        <v>0</v>
      </c>
      <c r="AR119" s="320"/>
      <c r="AS119" s="320"/>
      <c r="AT119" s="365"/>
      <c r="AU119" s="322"/>
      <c r="AV119" s="146" t="s">
        <v>1236</v>
      </c>
      <c r="AW119" s="146">
        <f>IFERROR(VLOOKUP(G119,'[71]Detail Deprec_202501'!$D$246:$I$393,6,FALSE),0)</f>
        <v>0</v>
      </c>
      <c r="AX119" s="501">
        <f t="shared" si="33"/>
        <v>0</v>
      </c>
    </row>
    <row r="120" spans="1:50" ht="12.9" customHeight="1" outlineLevel="1">
      <c r="A120" s="324">
        <f t="shared" si="42"/>
        <v>95</v>
      </c>
      <c r="B120" s="336" t="s">
        <v>142</v>
      </c>
      <c r="C120" s="359" t="s">
        <v>474</v>
      </c>
      <c r="D120" s="382">
        <v>155</v>
      </c>
      <c r="E120" s="382" t="s">
        <v>1711</v>
      </c>
      <c r="F120" s="336" t="s">
        <v>559</v>
      </c>
      <c r="G120" s="336" t="s">
        <v>566</v>
      </c>
      <c r="H120" s="383">
        <v>41708</v>
      </c>
      <c r="I120" s="392" t="s">
        <v>11</v>
      </c>
      <c r="J120" s="379">
        <v>7</v>
      </c>
      <c r="K120" s="351" t="s">
        <v>567</v>
      </c>
      <c r="L120" s="351" t="s">
        <v>568</v>
      </c>
      <c r="M120" s="379" t="s">
        <v>477</v>
      </c>
      <c r="N120" s="379">
        <v>2014</v>
      </c>
      <c r="O120" s="379" t="s">
        <v>563</v>
      </c>
      <c r="P120" s="379" t="s">
        <v>564</v>
      </c>
      <c r="Q120" s="379" t="s">
        <v>565</v>
      </c>
      <c r="R120" s="377">
        <v>1</v>
      </c>
      <c r="S120" s="400"/>
      <c r="T120" s="354">
        <v>180500000</v>
      </c>
      <c r="U120" s="313">
        <f t="shared" si="36"/>
        <v>3008333.3333333335</v>
      </c>
      <c r="V120" s="316">
        <v>60</v>
      </c>
      <c r="W120" s="315">
        <v>59.999999999999986</v>
      </c>
      <c r="X120" s="314">
        <f t="shared" si="37"/>
        <v>0</v>
      </c>
      <c r="Y120" s="314">
        <f t="shared" si="38"/>
        <v>59.999999999999986</v>
      </c>
      <c r="Z120" s="317">
        <f t="shared" si="39"/>
        <v>0</v>
      </c>
      <c r="AA120" s="318">
        <v>180499999.99999997</v>
      </c>
      <c r="AB120" s="318">
        <v>2.9802322387695313E-8</v>
      </c>
      <c r="AC120" s="318">
        <f t="shared" si="35"/>
        <v>0</v>
      </c>
      <c r="AD120" s="318"/>
      <c r="AE120" s="318"/>
      <c r="AF120" s="318"/>
      <c r="AG120" s="318"/>
      <c r="AH120" s="318"/>
      <c r="AI120" s="318"/>
      <c r="AJ120" s="318"/>
      <c r="AK120" s="318"/>
      <c r="AL120" s="318"/>
      <c r="AM120" s="318"/>
      <c r="AN120" s="318"/>
      <c r="AO120" s="318"/>
      <c r="AP120" s="318">
        <f t="shared" si="40"/>
        <v>180499999.99999997</v>
      </c>
      <c r="AQ120" s="319">
        <f t="shared" si="41"/>
        <v>2.9802322387695313E-8</v>
      </c>
      <c r="AR120" s="320"/>
      <c r="AS120" s="320"/>
      <c r="AT120" s="365"/>
      <c r="AU120" s="322"/>
      <c r="AV120" s="146" t="s">
        <v>1236</v>
      </c>
      <c r="AW120" s="146">
        <f>IFERROR(VLOOKUP(G120,'[71]Detail Deprec_202501'!$D$246:$I$393,6,FALSE),0)</f>
        <v>0</v>
      </c>
      <c r="AX120" s="501">
        <f t="shared" si="33"/>
        <v>0</v>
      </c>
    </row>
    <row r="121" spans="1:50" ht="12.9" customHeight="1" outlineLevel="1">
      <c r="A121" s="324">
        <f t="shared" si="42"/>
        <v>96</v>
      </c>
      <c r="B121" s="336" t="s">
        <v>142</v>
      </c>
      <c r="C121" s="309" t="s">
        <v>143</v>
      </c>
      <c r="D121" s="382">
        <v>155</v>
      </c>
      <c r="E121" s="382" t="s">
        <v>1707</v>
      </c>
      <c r="F121" s="336" t="s">
        <v>570</v>
      </c>
      <c r="G121" s="336" t="s">
        <v>571</v>
      </c>
      <c r="H121" s="383">
        <v>41715</v>
      </c>
      <c r="I121" s="392" t="s">
        <v>11</v>
      </c>
      <c r="J121" s="379">
        <v>26</v>
      </c>
      <c r="K121" s="351" t="s">
        <v>569</v>
      </c>
      <c r="L121" s="351" t="s">
        <v>471</v>
      </c>
      <c r="M121" s="316" t="s">
        <v>551</v>
      </c>
      <c r="N121" s="379">
        <v>2014</v>
      </c>
      <c r="O121" s="379"/>
      <c r="P121" s="379" t="s">
        <v>572</v>
      </c>
      <c r="Q121" s="379" t="s">
        <v>573</v>
      </c>
      <c r="R121" s="377">
        <v>1</v>
      </c>
      <c r="S121" s="397">
        <v>2217996</v>
      </c>
      <c r="T121" s="354">
        <v>253184243</v>
      </c>
      <c r="U121" s="313">
        <f t="shared" si="36"/>
        <v>4219737.3833333338</v>
      </c>
      <c r="V121" s="316">
        <v>60</v>
      </c>
      <c r="W121" s="315">
        <v>59.999999999999993</v>
      </c>
      <c r="X121" s="314">
        <f t="shared" si="37"/>
        <v>0</v>
      </c>
      <c r="Y121" s="314">
        <f t="shared" si="38"/>
        <v>59.999999999999993</v>
      </c>
      <c r="Z121" s="317">
        <f t="shared" si="39"/>
        <v>0</v>
      </c>
      <c r="AA121" s="318">
        <v>253184243</v>
      </c>
      <c r="AB121" s="318">
        <v>0</v>
      </c>
      <c r="AC121" s="318">
        <f t="shared" si="35"/>
        <v>0</v>
      </c>
      <c r="AD121" s="318"/>
      <c r="AE121" s="318"/>
      <c r="AF121" s="318"/>
      <c r="AG121" s="318"/>
      <c r="AH121" s="318"/>
      <c r="AI121" s="318"/>
      <c r="AJ121" s="318"/>
      <c r="AK121" s="318"/>
      <c r="AL121" s="318"/>
      <c r="AM121" s="318"/>
      <c r="AN121" s="318"/>
      <c r="AO121" s="318"/>
      <c r="AP121" s="318">
        <f t="shared" si="40"/>
        <v>253184243</v>
      </c>
      <c r="AQ121" s="319">
        <f t="shared" si="41"/>
        <v>0</v>
      </c>
      <c r="AR121" s="320"/>
      <c r="AS121" s="320"/>
      <c r="AT121" s="365"/>
      <c r="AU121" s="322"/>
      <c r="AV121" s="146" t="s">
        <v>1236</v>
      </c>
      <c r="AW121" s="146">
        <f>IFERROR(VLOOKUP(G121,'[70]Detail Deprec_202508'!$D$33:$I$357,6,FALSE),0)</f>
        <v>0</v>
      </c>
      <c r="AX121" s="146">
        <f t="shared" si="33"/>
        <v>0</v>
      </c>
    </row>
    <row r="122" spans="1:50" ht="12.9" customHeight="1" outlineLevel="1">
      <c r="A122" s="324">
        <f t="shared" si="42"/>
        <v>97</v>
      </c>
      <c r="B122" s="336" t="s">
        <v>142</v>
      </c>
      <c r="C122" s="309" t="s">
        <v>143</v>
      </c>
      <c r="D122" s="382">
        <v>155</v>
      </c>
      <c r="E122" s="382" t="s">
        <v>1707</v>
      </c>
      <c r="F122" s="336" t="s">
        <v>574</v>
      </c>
      <c r="G122" s="336" t="s">
        <v>575</v>
      </c>
      <c r="H122" s="383">
        <v>41715</v>
      </c>
      <c r="I122" s="392" t="s">
        <v>11</v>
      </c>
      <c r="J122" s="379">
        <v>26</v>
      </c>
      <c r="K122" s="351" t="s">
        <v>468</v>
      </c>
      <c r="L122" s="351" t="s">
        <v>471</v>
      </c>
      <c r="M122" s="316" t="s">
        <v>551</v>
      </c>
      <c r="N122" s="379">
        <v>2014</v>
      </c>
      <c r="O122" s="379"/>
      <c r="P122" s="379" t="s">
        <v>576</v>
      </c>
      <c r="Q122" s="379" t="s">
        <v>577</v>
      </c>
      <c r="R122" s="377">
        <v>1</v>
      </c>
      <c r="S122" s="397">
        <v>2217996</v>
      </c>
      <c r="T122" s="354">
        <v>253184243</v>
      </c>
      <c r="U122" s="313">
        <f t="shared" si="36"/>
        <v>4219737.3833333338</v>
      </c>
      <c r="V122" s="316">
        <v>60</v>
      </c>
      <c r="W122" s="315">
        <v>59.999999999999993</v>
      </c>
      <c r="X122" s="314">
        <f t="shared" si="37"/>
        <v>0</v>
      </c>
      <c r="Y122" s="314">
        <f t="shared" si="38"/>
        <v>59.999999999999993</v>
      </c>
      <c r="Z122" s="317">
        <f t="shared" si="39"/>
        <v>0</v>
      </c>
      <c r="AA122" s="318">
        <v>253184243</v>
      </c>
      <c r="AB122" s="318">
        <v>0</v>
      </c>
      <c r="AC122" s="318">
        <f t="shared" si="35"/>
        <v>0</v>
      </c>
      <c r="AD122" s="318"/>
      <c r="AE122" s="318"/>
      <c r="AF122" s="318"/>
      <c r="AG122" s="318"/>
      <c r="AH122" s="318"/>
      <c r="AI122" s="318"/>
      <c r="AJ122" s="318"/>
      <c r="AK122" s="318"/>
      <c r="AL122" s="318"/>
      <c r="AM122" s="318"/>
      <c r="AN122" s="318"/>
      <c r="AO122" s="318"/>
      <c r="AP122" s="318">
        <f t="shared" si="40"/>
        <v>253184243</v>
      </c>
      <c r="AQ122" s="319">
        <f t="shared" si="41"/>
        <v>0</v>
      </c>
      <c r="AR122" s="320"/>
      <c r="AS122" s="320"/>
      <c r="AT122" s="365"/>
      <c r="AU122" s="322"/>
      <c r="AV122" s="146" t="s">
        <v>1236</v>
      </c>
      <c r="AW122" s="146">
        <f>IFERROR(VLOOKUP(G122,'[70]Detail Deprec_202508'!$D$33:$I$357,6,FALSE),0)</f>
        <v>0</v>
      </c>
      <c r="AX122" s="146">
        <f t="shared" si="33"/>
        <v>0</v>
      </c>
    </row>
    <row r="123" spans="1:50" ht="12.9" customHeight="1" outlineLevel="1">
      <c r="A123" s="324">
        <f t="shared" si="42"/>
        <v>98</v>
      </c>
      <c r="B123" s="336" t="s">
        <v>142</v>
      </c>
      <c r="C123" s="309" t="s">
        <v>143</v>
      </c>
      <c r="D123" s="382">
        <v>155</v>
      </c>
      <c r="E123" s="382" t="s">
        <v>1707</v>
      </c>
      <c r="F123" s="336" t="s">
        <v>578</v>
      </c>
      <c r="G123" s="336" t="s">
        <v>579</v>
      </c>
      <c r="H123" s="383">
        <v>41715</v>
      </c>
      <c r="I123" s="392" t="s">
        <v>11</v>
      </c>
      <c r="J123" s="379">
        <v>26</v>
      </c>
      <c r="K123" s="351" t="s">
        <v>569</v>
      </c>
      <c r="L123" s="351" t="s">
        <v>471</v>
      </c>
      <c r="M123" s="316" t="s">
        <v>551</v>
      </c>
      <c r="N123" s="379">
        <v>2014</v>
      </c>
      <c r="O123" s="379"/>
      <c r="P123" s="379" t="s">
        <v>580</v>
      </c>
      <c r="Q123" s="379" t="s">
        <v>581</v>
      </c>
      <c r="R123" s="377">
        <v>1</v>
      </c>
      <c r="S123" s="397">
        <v>2217996</v>
      </c>
      <c r="T123" s="354">
        <v>253184243</v>
      </c>
      <c r="U123" s="313">
        <f t="shared" si="36"/>
        <v>4219737.3833333338</v>
      </c>
      <c r="V123" s="316">
        <v>60</v>
      </c>
      <c r="W123" s="315">
        <v>59.999999999999993</v>
      </c>
      <c r="X123" s="314">
        <f t="shared" si="37"/>
        <v>0</v>
      </c>
      <c r="Y123" s="314">
        <f t="shared" si="38"/>
        <v>59.999999999999993</v>
      </c>
      <c r="Z123" s="317">
        <f t="shared" si="39"/>
        <v>0</v>
      </c>
      <c r="AA123" s="318">
        <v>253184243</v>
      </c>
      <c r="AB123" s="318">
        <v>0</v>
      </c>
      <c r="AC123" s="318">
        <f t="shared" si="35"/>
        <v>0</v>
      </c>
      <c r="AD123" s="318"/>
      <c r="AE123" s="318"/>
      <c r="AF123" s="318"/>
      <c r="AG123" s="318"/>
      <c r="AH123" s="318"/>
      <c r="AI123" s="318"/>
      <c r="AJ123" s="318"/>
      <c r="AK123" s="318"/>
      <c r="AL123" s="318"/>
      <c r="AM123" s="318"/>
      <c r="AN123" s="318"/>
      <c r="AO123" s="318"/>
      <c r="AP123" s="318">
        <f t="shared" si="40"/>
        <v>253184243</v>
      </c>
      <c r="AQ123" s="319">
        <f t="shared" si="41"/>
        <v>0</v>
      </c>
      <c r="AR123" s="320"/>
      <c r="AS123" s="320"/>
      <c r="AT123" s="365"/>
      <c r="AU123" s="322"/>
      <c r="AV123" s="146" t="s">
        <v>1236</v>
      </c>
      <c r="AW123" s="146">
        <f>IFERROR(VLOOKUP(G123,'[70]Detail Deprec_202508'!$D$33:$I$357,6,FALSE),0)</f>
        <v>0</v>
      </c>
      <c r="AX123" s="146">
        <f t="shared" si="33"/>
        <v>0</v>
      </c>
    </row>
    <row r="124" spans="1:50" s="753" customFormat="1" ht="12.9" customHeight="1" outlineLevel="1">
      <c r="A124" s="730">
        <f t="shared" si="42"/>
        <v>99</v>
      </c>
      <c r="B124" s="764" t="s">
        <v>142</v>
      </c>
      <c r="C124" s="765" t="s">
        <v>143</v>
      </c>
      <c r="D124" s="733">
        <v>155</v>
      </c>
      <c r="E124" s="733" t="s">
        <v>1707</v>
      </c>
      <c r="F124" s="764" t="s">
        <v>582</v>
      </c>
      <c r="G124" s="764" t="s">
        <v>583</v>
      </c>
      <c r="H124" s="758">
        <v>41715</v>
      </c>
      <c r="I124" s="735" t="s">
        <v>11</v>
      </c>
      <c r="J124" s="737">
        <v>26</v>
      </c>
      <c r="K124" s="759" t="s">
        <v>569</v>
      </c>
      <c r="L124" s="759" t="s">
        <v>471</v>
      </c>
      <c r="M124" s="744" t="s">
        <v>551</v>
      </c>
      <c r="N124" s="737">
        <v>2014</v>
      </c>
      <c r="O124" s="737"/>
      <c r="P124" s="737" t="s">
        <v>584</v>
      </c>
      <c r="Q124" s="737" t="s">
        <v>585</v>
      </c>
      <c r="R124" s="761">
        <v>1</v>
      </c>
      <c r="S124" s="762">
        <v>2650000</v>
      </c>
      <c r="T124" s="763">
        <v>302497500</v>
      </c>
      <c r="U124" s="741">
        <f t="shared" si="36"/>
        <v>5041625</v>
      </c>
      <c r="V124" s="744">
        <v>60</v>
      </c>
      <c r="W124" s="743">
        <v>60</v>
      </c>
      <c r="X124" s="742">
        <f t="shared" si="37"/>
        <v>0</v>
      </c>
      <c r="Y124" s="742">
        <f t="shared" si="38"/>
        <v>60</v>
      </c>
      <c r="Z124" s="745">
        <f t="shared" si="39"/>
        <v>0</v>
      </c>
      <c r="AA124" s="746">
        <v>302497500</v>
      </c>
      <c r="AB124" s="746">
        <v>0</v>
      </c>
      <c r="AC124" s="746">
        <f t="shared" si="35"/>
        <v>0</v>
      </c>
      <c r="AD124" s="746"/>
      <c r="AE124" s="746"/>
      <c r="AF124" s="746"/>
      <c r="AG124" s="746"/>
      <c r="AH124" s="746"/>
      <c r="AI124" s="746"/>
      <c r="AJ124" s="746"/>
      <c r="AK124" s="746"/>
      <c r="AL124" s="746"/>
      <c r="AM124" s="746"/>
      <c r="AN124" s="746"/>
      <c r="AO124" s="746"/>
      <c r="AP124" s="746">
        <f t="shared" si="40"/>
        <v>302497500</v>
      </c>
      <c r="AQ124" s="747">
        <f t="shared" si="41"/>
        <v>0</v>
      </c>
      <c r="AR124" s="748"/>
      <c r="AS124" s="748" t="s">
        <v>39</v>
      </c>
      <c r="AT124" s="323"/>
      <c r="AU124" s="767">
        <v>45744</v>
      </c>
      <c r="AV124" s="751" t="s">
        <v>1236</v>
      </c>
      <c r="AW124" s="751">
        <f>IFERROR(VLOOKUP(G124,'[70]Detail Deprec_202508'!$D$33:$I$357,6,FALSE),0)</f>
        <v>0</v>
      </c>
      <c r="AX124" s="751">
        <f t="shared" si="33"/>
        <v>0</v>
      </c>
    </row>
    <row r="125" spans="1:50" ht="12.9" customHeight="1" outlineLevel="1">
      <c r="A125" s="324">
        <f t="shared" si="42"/>
        <v>100</v>
      </c>
      <c r="B125" s="336" t="s">
        <v>142</v>
      </c>
      <c r="C125" s="359" t="s">
        <v>474</v>
      </c>
      <c r="D125" s="382">
        <v>155</v>
      </c>
      <c r="E125" s="382" t="s">
        <v>1711</v>
      </c>
      <c r="F125" s="336" t="s">
        <v>586</v>
      </c>
      <c r="G125" s="336" t="s">
        <v>587</v>
      </c>
      <c r="H125" s="383">
        <v>41768</v>
      </c>
      <c r="I125" s="392" t="s">
        <v>11</v>
      </c>
      <c r="J125" s="379">
        <v>6</v>
      </c>
      <c r="K125" s="351" t="s">
        <v>537</v>
      </c>
      <c r="L125" s="351" t="s">
        <v>588</v>
      </c>
      <c r="M125" s="379" t="s">
        <v>589</v>
      </c>
      <c r="N125" s="379">
        <v>2014</v>
      </c>
      <c r="O125" s="379" t="s">
        <v>590</v>
      </c>
      <c r="P125" s="351" t="s">
        <v>591</v>
      </c>
      <c r="Q125" s="351" t="s">
        <v>592</v>
      </c>
      <c r="R125" s="377">
        <v>1</v>
      </c>
      <c r="S125" s="400"/>
      <c r="T125" s="354">
        <v>110400000</v>
      </c>
      <c r="U125" s="313">
        <f t="shared" si="36"/>
        <v>1840000</v>
      </c>
      <c r="V125" s="316">
        <v>60</v>
      </c>
      <c r="W125" s="315">
        <v>60</v>
      </c>
      <c r="X125" s="314">
        <f t="shared" si="37"/>
        <v>0</v>
      </c>
      <c r="Y125" s="314">
        <f t="shared" si="38"/>
        <v>60</v>
      </c>
      <c r="Z125" s="317">
        <f t="shared" si="39"/>
        <v>0</v>
      </c>
      <c r="AA125" s="318">
        <v>110400000</v>
      </c>
      <c r="AB125" s="318">
        <v>0</v>
      </c>
      <c r="AC125" s="318">
        <f t="shared" si="35"/>
        <v>0</v>
      </c>
      <c r="AD125" s="318"/>
      <c r="AE125" s="318"/>
      <c r="AF125" s="318"/>
      <c r="AG125" s="318"/>
      <c r="AH125" s="318"/>
      <c r="AI125" s="318"/>
      <c r="AJ125" s="318"/>
      <c r="AK125" s="318"/>
      <c r="AL125" s="318"/>
      <c r="AM125" s="318"/>
      <c r="AN125" s="318"/>
      <c r="AO125" s="318"/>
      <c r="AP125" s="318">
        <f t="shared" si="40"/>
        <v>110400000</v>
      </c>
      <c r="AQ125" s="319">
        <f t="shared" si="41"/>
        <v>0</v>
      </c>
      <c r="AR125" s="320"/>
      <c r="AS125" s="320"/>
      <c r="AT125" s="365"/>
      <c r="AU125" s="322"/>
      <c r="AV125" s="146" t="s">
        <v>1236</v>
      </c>
      <c r="AW125" s="146">
        <f>IFERROR(VLOOKUP(G125,'[71]Detail Deprec_202501'!$D$246:$I$393,6,FALSE),0)</f>
        <v>0</v>
      </c>
      <c r="AX125" s="501">
        <f t="shared" si="33"/>
        <v>0</v>
      </c>
    </row>
    <row r="126" spans="1:50" ht="12.9" customHeight="1" outlineLevel="1">
      <c r="A126" s="324">
        <f t="shared" si="42"/>
        <v>101</v>
      </c>
      <c r="B126" s="336" t="s">
        <v>142</v>
      </c>
      <c r="C126" s="309" t="s">
        <v>143</v>
      </c>
      <c r="D126" s="382">
        <v>155</v>
      </c>
      <c r="E126" s="382" t="s">
        <v>1707</v>
      </c>
      <c r="F126" s="336" t="s">
        <v>595</v>
      </c>
      <c r="G126" s="336" t="s">
        <v>596</v>
      </c>
      <c r="H126" s="383">
        <v>41821</v>
      </c>
      <c r="I126" s="392" t="s">
        <v>11</v>
      </c>
      <c r="J126" s="379">
        <v>8</v>
      </c>
      <c r="K126" s="316" t="s">
        <v>593</v>
      </c>
      <c r="L126" s="316" t="s">
        <v>594</v>
      </c>
      <c r="M126" s="316" t="s">
        <v>551</v>
      </c>
      <c r="N126" s="379">
        <v>2014</v>
      </c>
      <c r="O126" s="379"/>
      <c r="P126" s="379">
        <v>38370</v>
      </c>
      <c r="Q126" s="379">
        <v>38370</v>
      </c>
      <c r="R126" s="377">
        <v>1</v>
      </c>
      <c r="S126" s="402">
        <v>61090</v>
      </c>
      <c r="T126" s="403">
        <v>997777472</v>
      </c>
      <c r="U126" s="313">
        <f t="shared" si="36"/>
        <v>16629624.533333333</v>
      </c>
      <c r="V126" s="404">
        <v>60</v>
      </c>
      <c r="W126" s="315">
        <v>60</v>
      </c>
      <c r="X126" s="314">
        <f t="shared" si="37"/>
        <v>0</v>
      </c>
      <c r="Y126" s="314">
        <f t="shared" si="38"/>
        <v>60</v>
      </c>
      <c r="Z126" s="317">
        <f t="shared" si="39"/>
        <v>0</v>
      </c>
      <c r="AA126" s="318">
        <v>997777472</v>
      </c>
      <c r="AB126" s="318">
        <v>0</v>
      </c>
      <c r="AC126" s="318">
        <f t="shared" si="35"/>
        <v>0</v>
      </c>
      <c r="AD126" s="318"/>
      <c r="AE126" s="318"/>
      <c r="AF126" s="318"/>
      <c r="AG126" s="318"/>
      <c r="AH126" s="318"/>
      <c r="AI126" s="318"/>
      <c r="AJ126" s="318"/>
      <c r="AK126" s="318"/>
      <c r="AL126" s="318"/>
      <c r="AM126" s="318"/>
      <c r="AN126" s="318"/>
      <c r="AO126" s="318"/>
      <c r="AP126" s="318">
        <f t="shared" si="40"/>
        <v>997777472</v>
      </c>
      <c r="AQ126" s="319">
        <f t="shared" si="41"/>
        <v>0</v>
      </c>
      <c r="AR126" s="320"/>
      <c r="AS126" s="320"/>
      <c r="AT126" s="365"/>
      <c r="AU126" s="322"/>
      <c r="AV126" s="146" t="s">
        <v>1241</v>
      </c>
      <c r="AW126" s="146">
        <f>IFERROR(VLOOKUP(G126,'[70]Detail Deprec_202508'!$D$33:$I$357,6,FALSE),0)</f>
        <v>0</v>
      </c>
      <c r="AX126" s="146">
        <f t="shared" si="33"/>
        <v>0</v>
      </c>
    </row>
    <row r="127" spans="1:50" ht="12.9" customHeight="1" outlineLevel="1">
      <c r="A127" s="324">
        <f t="shared" si="42"/>
        <v>102</v>
      </c>
      <c r="B127" s="336" t="s">
        <v>142</v>
      </c>
      <c r="C127" s="309" t="s">
        <v>143</v>
      </c>
      <c r="D127" s="382">
        <v>155</v>
      </c>
      <c r="E127" s="382" t="s">
        <v>1707</v>
      </c>
      <c r="F127" s="336" t="s">
        <v>597</v>
      </c>
      <c r="G127" s="336" t="s">
        <v>598</v>
      </c>
      <c r="H127" s="383">
        <v>41821</v>
      </c>
      <c r="I127" s="392" t="s">
        <v>11</v>
      </c>
      <c r="J127" s="379">
        <v>8</v>
      </c>
      <c r="K127" s="316" t="s">
        <v>593</v>
      </c>
      <c r="L127" s="316" t="s">
        <v>594</v>
      </c>
      <c r="M127" s="316" t="s">
        <v>551</v>
      </c>
      <c r="N127" s="379">
        <v>2014</v>
      </c>
      <c r="O127" s="379"/>
      <c r="P127" s="379">
        <v>38368</v>
      </c>
      <c r="Q127" s="379">
        <v>38368</v>
      </c>
      <c r="R127" s="377">
        <v>1</v>
      </c>
      <c r="S127" s="402">
        <v>61090</v>
      </c>
      <c r="T127" s="403">
        <v>997777472</v>
      </c>
      <c r="U127" s="313">
        <f t="shared" si="36"/>
        <v>16629624.533333333</v>
      </c>
      <c r="V127" s="404">
        <v>60</v>
      </c>
      <c r="W127" s="315">
        <v>60</v>
      </c>
      <c r="X127" s="314">
        <f t="shared" si="37"/>
        <v>0</v>
      </c>
      <c r="Y127" s="314">
        <f t="shared" si="38"/>
        <v>60</v>
      </c>
      <c r="Z127" s="317">
        <f t="shared" si="39"/>
        <v>0</v>
      </c>
      <c r="AA127" s="318">
        <v>997777472</v>
      </c>
      <c r="AB127" s="318">
        <v>0</v>
      </c>
      <c r="AC127" s="318">
        <f t="shared" si="35"/>
        <v>0</v>
      </c>
      <c r="AD127" s="318"/>
      <c r="AE127" s="318"/>
      <c r="AF127" s="318"/>
      <c r="AG127" s="318"/>
      <c r="AH127" s="318"/>
      <c r="AI127" s="318"/>
      <c r="AJ127" s="318"/>
      <c r="AK127" s="318"/>
      <c r="AL127" s="318"/>
      <c r="AM127" s="318"/>
      <c r="AN127" s="318"/>
      <c r="AO127" s="318"/>
      <c r="AP127" s="318">
        <f t="shared" si="40"/>
        <v>997777472</v>
      </c>
      <c r="AQ127" s="319">
        <f t="shared" si="41"/>
        <v>0</v>
      </c>
      <c r="AR127" s="320"/>
      <c r="AS127" s="320"/>
      <c r="AT127" s="365"/>
      <c r="AU127" s="322"/>
      <c r="AV127" s="146" t="s">
        <v>1236</v>
      </c>
      <c r="AW127" s="146">
        <f>IFERROR(VLOOKUP(G127,'[70]Detail Deprec_202508'!$D$33:$I$357,6,FALSE),0)</f>
        <v>0</v>
      </c>
      <c r="AX127" s="146">
        <f t="shared" si="33"/>
        <v>0</v>
      </c>
    </row>
    <row r="128" spans="1:50" ht="12.9" customHeight="1" outlineLevel="1">
      <c r="A128" s="324">
        <f t="shared" si="42"/>
        <v>103</v>
      </c>
      <c r="B128" s="336" t="s">
        <v>142</v>
      </c>
      <c r="C128" s="359" t="s">
        <v>474</v>
      </c>
      <c r="D128" s="382">
        <v>155</v>
      </c>
      <c r="E128" s="382" t="s">
        <v>1711</v>
      </c>
      <c r="F128" s="336" t="s">
        <v>599</v>
      </c>
      <c r="G128" s="336" t="s">
        <v>600</v>
      </c>
      <c r="H128" s="383">
        <v>41911</v>
      </c>
      <c r="I128" s="392" t="s">
        <v>11</v>
      </c>
      <c r="J128" s="379">
        <v>18</v>
      </c>
      <c r="K128" s="351" t="s">
        <v>601</v>
      </c>
      <c r="L128" s="351" t="s">
        <v>300</v>
      </c>
      <c r="M128" s="379" t="s">
        <v>477</v>
      </c>
      <c r="N128" s="379">
        <v>2014</v>
      </c>
      <c r="O128" s="379" t="s">
        <v>602</v>
      </c>
      <c r="P128" s="351" t="s">
        <v>603</v>
      </c>
      <c r="Q128" s="351" t="s">
        <v>604</v>
      </c>
      <c r="R128" s="377">
        <v>1</v>
      </c>
      <c r="S128" s="400"/>
      <c r="T128" s="354">
        <v>656000000</v>
      </c>
      <c r="U128" s="313">
        <f t="shared" si="36"/>
        <v>10933333.333333334</v>
      </c>
      <c r="V128" s="404">
        <v>60</v>
      </c>
      <c r="W128" s="315">
        <v>60</v>
      </c>
      <c r="X128" s="314">
        <f t="shared" si="37"/>
        <v>0</v>
      </c>
      <c r="Y128" s="314">
        <f t="shared" si="38"/>
        <v>60</v>
      </c>
      <c r="Z128" s="317">
        <f t="shared" si="39"/>
        <v>0</v>
      </c>
      <c r="AA128" s="318">
        <v>656000000</v>
      </c>
      <c r="AB128" s="318">
        <v>0</v>
      </c>
      <c r="AC128" s="318">
        <f t="shared" si="35"/>
        <v>0</v>
      </c>
      <c r="AD128" s="318"/>
      <c r="AE128" s="318"/>
      <c r="AF128" s="318"/>
      <c r="AG128" s="318"/>
      <c r="AH128" s="318"/>
      <c r="AI128" s="318"/>
      <c r="AJ128" s="318"/>
      <c r="AK128" s="318"/>
      <c r="AL128" s="318"/>
      <c r="AM128" s="318"/>
      <c r="AN128" s="318"/>
      <c r="AO128" s="318"/>
      <c r="AP128" s="318">
        <f t="shared" si="40"/>
        <v>656000000</v>
      </c>
      <c r="AQ128" s="319">
        <f t="shared" si="41"/>
        <v>0</v>
      </c>
      <c r="AR128" s="320"/>
      <c r="AS128" s="320"/>
      <c r="AT128" s="365"/>
      <c r="AU128" s="322"/>
      <c r="AV128" s="146" t="s">
        <v>1236</v>
      </c>
      <c r="AW128" s="146">
        <f>IFERROR(VLOOKUP(G128,'[71]Detail Deprec_202501'!$D$246:$I$393,6,FALSE),0)</f>
        <v>0</v>
      </c>
      <c r="AX128" s="501">
        <f t="shared" si="33"/>
        <v>0</v>
      </c>
    </row>
    <row r="129" spans="1:50" ht="12.9" customHeight="1" outlineLevel="1">
      <c r="A129" s="324">
        <f t="shared" si="42"/>
        <v>104</v>
      </c>
      <c r="B129" s="336" t="s">
        <v>142</v>
      </c>
      <c r="C129" s="359" t="s">
        <v>474</v>
      </c>
      <c r="D129" s="382">
        <v>155</v>
      </c>
      <c r="E129" s="382" t="s">
        <v>1711</v>
      </c>
      <c r="F129" s="336" t="s">
        <v>599</v>
      </c>
      <c r="G129" s="336" t="s">
        <v>605</v>
      </c>
      <c r="H129" s="383">
        <v>41928</v>
      </c>
      <c r="I129" s="392" t="s">
        <v>11</v>
      </c>
      <c r="J129" s="379">
        <v>14</v>
      </c>
      <c r="K129" s="351" t="s">
        <v>606</v>
      </c>
      <c r="L129" s="351"/>
      <c r="M129" s="379" t="s">
        <v>477</v>
      </c>
      <c r="N129" s="379">
        <v>2014</v>
      </c>
      <c r="O129" s="379" t="s">
        <v>602</v>
      </c>
      <c r="P129" s="351"/>
      <c r="Q129" s="351">
        <v>22479</v>
      </c>
      <c r="R129" s="377">
        <v>1</v>
      </c>
      <c r="S129" s="400"/>
      <c r="T129" s="354">
        <v>186500000</v>
      </c>
      <c r="U129" s="313">
        <f t="shared" si="36"/>
        <v>3108333.3333333335</v>
      </c>
      <c r="V129" s="316">
        <v>60</v>
      </c>
      <c r="W129" s="315">
        <v>60</v>
      </c>
      <c r="X129" s="314">
        <f t="shared" si="37"/>
        <v>0</v>
      </c>
      <c r="Y129" s="314">
        <f t="shared" si="38"/>
        <v>60</v>
      </c>
      <c r="Z129" s="317">
        <f t="shared" si="39"/>
        <v>0</v>
      </c>
      <c r="AA129" s="318">
        <v>186500000</v>
      </c>
      <c r="AB129" s="318">
        <v>0</v>
      </c>
      <c r="AC129" s="318">
        <f t="shared" si="35"/>
        <v>0</v>
      </c>
      <c r="AD129" s="318"/>
      <c r="AE129" s="318"/>
      <c r="AF129" s="318"/>
      <c r="AG129" s="318"/>
      <c r="AH129" s="318"/>
      <c r="AI129" s="318"/>
      <c r="AJ129" s="318"/>
      <c r="AK129" s="318"/>
      <c r="AL129" s="318"/>
      <c r="AM129" s="318"/>
      <c r="AN129" s="318"/>
      <c r="AO129" s="318"/>
      <c r="AP129" s="318">
        <f t="shared" si="40"/>
        <v>186500000</v>
      </c>
      <c r="AQ129" s="319">
        <f t="shared" si="41"/>
        <v>0</v>
      </c>
      <c r="AR129" s="320"/>
      <c r="AS129" s="320"/>
      <c r="AT129" s="365"/>
      <c r="AU129" s="322"/>
      <c r="AV129" s="146" t="s">
        <v>1236</v>
      </c>
      <c r="AW129" s="146">
        <f>IFERROR(VLOOKUP(G129,'[71]Detail Deprec_202501'!$D$246:$I$393,6,FALSE),0)</f>
        <v>0</v>
      </c>
      <c r="AX129" s="501">
        <f t="shared" si="33"/>
        <v>0</v>
      </c>
    </row>
    <row r="130" spans="1:50" ht="12.9" customHeight="1" outlineLevel="1">
      <c r="A130" s="324">
        <f t="shared" si="42"/>
        <v>105</v>
      </c>
      <c r="B130" s="306" t="s">
        <v>142</v>
      </c>
      <c r="C130" s="344" t="s">
        <v>474</v>
      </c>
      <c r="D130" s="382">
        <v>155</v>
      </c>
      <c r="E130" s="382" t="s">
        <v>1711</v>
      </c>
      <c r="F130" s="336" t="s">
        <v>607</v>
      </c>
      <c r="G130" s="336" t="s">
        <v>608</v>
      </c>
      <c r="H130" s="383">
        <v>42051</v>
      </c>
      <c r="I130" s="392" t="s">
        <v>11</v>
      </c>
      <c r="J130" s="379">
        <v>14</v>
      </c>
      <c r="K130" s="351" t="s">
        <v>609</v>
      </c>
      <c r="L130" s="351"/>
      <c r="M130" s="379" t="s">
        <v>610</v>
      </c>
      <c r="N130" s="379">
        <v>2015</v>
      </c>
      <c r="O130" s="379" t="s">
        <v>611</v>
      </c>
      <c r="P130" s="351"/>
      <c r="Q130" s="351" t="s">
        <v>612</v>
      </c>
      <c r="R130" s="377">
        <v>1</v>
      </c>
      <c r="S130" s="400"/>
      <c r="T130" s="370">
        <v>156500000</v>
      </c>
      <c r="U130" s="313">
        <f t="shared" si="36"/>
        <v>2608333.3333333335</v>
      </c>
      <c r="V130" s="316">
        <v>60</v>
      </c>
      <c r="W130" s="315">
        <v>59.999999999999993</v>
      </c>
      <c r="X130" s="314">
        <f t="shared" si="37"/>
        <v>0</v>
      </c>
      <c r="Y130" s="314">
        <f t="shared" si="38"/>
        <v>59.999999999999993</v>
      </c>
      <c r="Z130" s="317">
        <f t="shared" si="39"/>
        <v>0</v>
      </c>
      <c r="AA130" s="318">
        <v>156500000</v>
      </c>
      <c r="AB130" s="318">
        <v>0</v>
      </c>
      <c r="AC130" s="318">
        <f t="shared" si="35"/>
        <v>0</v>
      </c>
      <c r="AD130" s="318"/>
      <c r="AE130" s="318"/>
      <c r="AF130" s="318"/>
      <c r="AG130" s="318"/>
      <c r="AH130" s="318"/>
      <c r="AI130" s="318"/>
      <c r="AJ130" s="318"/>
      <c r="AK130" s="318"/>
      <c r="AL130" s="318"/>
      <c r="AM130" s="318"/>
      <c r="AN130" s="318"/>
      <c r="AO130" s="318"/>
      <c r="AP130" s="318">
        <f t="shared" si="40"/>
        <v>156500000</v>
      </c>
      <c r="AQ130" s="319">
        <f t="shared" si="41"/>
        <v>0</v>
      </c>
      <c r="AR130" s="320"/>
      <c r="AS130" s="320"/>
      <c r="AT130" s="365"/>
      <c r="AU130" s="405"/>
      <c r="AV130" s="146" t="s">
        <v>1236</v>
      </c>
      <c r="AW130" s="146">
        <f>IFERROR(VLOOKUP(G130,'[71]Detail Deprec_202501'!$D$246:$I$393,6,FALSE),0)</f>
        <v>0</v>
      </c>
      <c r="AX130" s="501">
        <f t="shared" si="33"/>
        <v>0</v>
      </c>
    </row>
    <row r="131" spans="1:50" ht="12.9" customHeight="1" outlineLevel="1">
      <c r="A131" s="324">
        <f t="shared" si="42"/>
        <v>106</v>
      </c>
      <c r="B131" s="306" t="s">
        <v>142</v>
      </c>
      <c r="C131" s="344" t="s">
        <v>474</v>
      </c>
      <c r="D131" s="382">
        <v>155</v>
      </c>
      <c r="E131" s="382" t="s">
        <v>1711</v>
      </c>
      <c r="F131" s="336" t="s">
        <v>613</v>
      </c>
      <c r="G131" s="336" t="s">
        <v>614</v>
      </c>
      <c r="H131" s="383">
        <v>42051</v>
      </c>
      <c r="I131" s="392" t="s">
        <v>11</v>
      </c>
      <c r="J131" s="379">
        <v>14</v>
      </c>
      <c r="K131" s="351" t="s">
        <v>615</v>
      </c>
      <c r="L131" s="351"/>
      <c r="M131" s="379" t="s">
        <v>610</v>
      </c>
      <c r="N131" s="379">
        <v>2015</v>
      </c>
      <c r="O131" s="379" t="s">
        <v>616</v>
      </c>
      <c r="P131" s="351"/>
      <c r="Q131" s="351" t="s">
        <v>617</v>
      </c>
      <c r="R131" s="377">
        <v>1</v>
      </c>
      <c r="S131" s="400"/>
      <c r="T131" s="370">
        <v>156500000</v>
      </c>
      <c r="U131" s="313">
        <f t="shared" si="36"/>
        <v>2608333.3333333335</v>
      </c>
      <c r="V131" s="316">
        <v>60</v>
      </c>
      <c r="W131" s="315">
        <v>59.999999999999993</v>
      </c>
      <c r="X131" s="314">
        <f t="shared" si="37"/>
        <v>0</v>
      </c>
      <c r="Y131" s="314">
        <f t="shared" si="38"/>
        <v>59.999999999999993</v>
      </c>
      <c r="Z131" s="317">
        <f t="shared" si="39"/>
        <v>0</v>
      </c>
      <c r="AA131" s="318">
        <v>156500000</v>
      </c>
      <c r="AB131" s="318">
        <v>0</v>
      </c>
      <c r="AC131" s="318">
        <f t="shared" si="35"/>
        <v>0</v>
      </c>
      <c r="AD131" s="318"/>
      <c r="AE131" s="318"/>
      <c r="AF131" s="318"/>
      <c r="AG131" s="318"/>
      <c r="AH131" s="318"/>
      <c r="AI131" s="318"/>
      <c r="AJ131" s="318"/>
      <c r="AK131" s="318"/>
      <c r="AL131" s="318"/>
      <c r="AM131" s="318"/>
      <c r="AN131" s="318"/>
      <c r="AO131" s="318"/>
      <c r="AP131" s="318">
        <f t="shared" si="40"/>
        <v>156500000</v>
      </c>
      <c r="AQ131" s="319">
        <f t="shared" si="41"/>
        <v>0</v>
      </c>
      <c r="AR131" s="320"/>
      <c r="AS131" s="320"/>
      <c r="AT131" s="365"/>
      <c r="AU131" s="405"/>
      <c r="AV131" s="146" t="s">
        <v>1236</v>
      </c>
      <c r="AW131" s="146">
        <f>IFERROR(VLOOKUP(G131,'[71]Detail Deprec_202501'!$D$246:$I$393,6,FALSE),0)</f>
        <v>0</v>
      </c>
      <c r="AX131" s="501">
        <f t="shared" si="33"/>
        <v>0</v>
      </c>
    </row>
    <row r="132" spans="1:50" ht="12.9" customHeight="1" outlineLevel="1">
      <c r="A132" s="324">
        <f t="shared" si="42"/>
        <v>107</v>
      </c>
      <c r="B132" s="306" t="s">
        <v>142</v>
      </c>
      <c r="C132" s="344" t="s">
        <v>474</v>
      </c>
      <c r="D132" s="382">
        <v>155</v>
      </c>
      <c r="E132" s="382" t="s">
        <v>1711</v>
      </c>
      <c r="F132" s="336" t="s">
        <v>607</v>
      </c>
      <c r="G132" s="336" t="s">
        <v>618</v>
      </c>
      <c r="H132" s="383">
        <v>42051</v>
      </c>
      <c r="I132" s="392" t="s">
        <v>11</v>
      </c>
      <c r="J132" s="379">
        <v>13</v>
      </c>
      <c r="K132" s="351" t="s">
        <v>619</v>
      </c>
      <c r="L132" s="351" t="s">
        <v>620</v>
      </c>
      <c r="M132" s="379" t="s">
        <v>610</v>
      </c>
      <c r="N132" s="379">
        <v>2015</v>
      </c>
      <c r="O132" s="379" t="s">
        <v>611</v>
      </c>
      <c r="P132" s="351" t="s">
        <v>621</v>
      </c>
      <c r="Q132" s="351" t="s">
        <v>612</v>
      </c>
      <c r="R132" s="377">
        <v>1</v>
      </c>
      <c r="S132" s="400"/>
      <c r="T132" s="370">
        <v>433000000</v>
      </c>
      <c r="U132" s="313">
        <f t="shared" si="36"/>
        <v>7216666.666666667</v>
      </c>
      <c r="V132" s="316">
        <v>60</v>
      </c>
      <c r="W132" s="315">
        <v>60</v>
      </c>
      <c r="X132" s="314">
        <f t="shared" si="37"/>
        <v>0</v>
      </c>
      <c r="Y132" s="314">
        <f t="shared" si="38"/>
        <v>60</v>
      </c>
      <c r="Z132" s="317">
        <f t="shared" si="39"/>
        <v>0</v>
      </c>
      <c r="AA132" s="318">
        <v>433000000</v>
      </c>
      <c r="AB132" s="318">
        <v>0</v>
      </c>
      <c r="AC132" s="318">
        <f t="shared" si="35"/>
        <v>0</v>
      </c>
      <c r="AD132" s="318"/>
      <c r="AE132" s="318"/>
      <c r="AF132" s="318"/>
      <c r="AG132" s="318"/>
      <c r="AH132" s="318"/>
      <c r="AI132" s="318"/>
      <c r="AJ132" s="318"/>
      <c r="AK132" s="318"/>
      <c r="AL132" s="318"/>
      <c r="AM132" s="318"/>
      <c r="AN132" s="318"/>
      <c r="AO132" s="318"/>
      <c r="AP132" s="318">
        <f t="shared" si="40"/>
        <v>433000000</v>
      </c>
      <c r="AQ132" s="319">
        <f t="shared" si="41"/>
        <v>0</v>
      </c>
      <c r="AR132" s="320"/>
      <c r="AS132" s="320"/>
      <c r="AT132" s="365"/>
      <c r="AU132" s="405"/>
      <c r="AV132" s="146" t="s">
        <v>1236</v>
      </c>
      <c r="AW132" s="146">
        <f>IFERROR(VLOOKUP(G132,'[71]Detail Deprec_202501'!$D$246:$I$393,6,FALSE),0)</f>
        <v>0</v>
      </c>
      <c r="AX132" s="501">
        <f t="shared" si="33"/>
        <v>0</v>
      </c>
    </row>
    <row r="133" spans="1:50" ht="12.9" customHeight="1" outlineLevel="1">
      <c r="A133" s="324">
        <f t="shared" si="42"/>
        <v>108</v>
      </c>
      <c r="B133" s="306" t="s">
        <v>142</v>
      </c>
      <c r="C133" s="344" t="s">
        <v>474</v>
      </c>
      <c r="D133" s="382">
        <v>155</v>
      </c>
      <c r="E133" s="382" t="s">
        <v>1711</v>
      </c>
      <c r="F133" s="336" t="s">
        <v>613</v>
      </c>
      <c r="G133" s="336" t="s">
        <v>622</v>
      </c>
      <c r="H133" s="383">
        <v>42051</v>
      </c>
      <c r="I133" s="392" t="s">
        <v>11</v>
      </c>
      <c r="J133" s="379">
        <v>13</v>
      </c>
      <c r="K133" s="351" t="s">
        <v>619</v>
      </c>
      <c r="L133" s="351" t="s">
        <v>620</v>
      </c>
      <c r="M133" s="379" t="s">
        <v>610</v>
      </c>
      <c r="N133" s="379">
        <v>2015</v>
      </c>
      <c r="O133" s="379" t="s">
        <v>616</v>
      </c>
      <c r="P133" s="351" t="s">
        <v>623</v>
      </c>
      <c r="Q133" s="351" t="s">
        <v>617</v>
      </c>
      <c r="R133" s="377">
        <v>1</v>
      </c>
      <c r="S133" s="400"/>
      <c r="T133" s="370">
        <v>433000000</v>
      </c>
      <c r="U133" s="313">
        <f t="shared" si="36"/>
        <v>7216666.666666667</v>
      </c>
      <c r="V133" s="316">
        <v>60</v>
      </c>
      <c r="W133" s="315">
        <v>60</v>
      </c>
      <c r="X133" s="314">
        <f t="shared" si="37"/>
        <v>0</v>
      </c>
      <c r="Y133" s="314">
        <f t="shared" si="38"/>
        <v>60</v>
      </c>
      <c r="Z133" s="317">
        <f t="shared" si="39"/>
        <v>0</v>
      </c>
      <c r="AA133" s="318">
        <v>433000000</v>
      </c>
      <c r="AB133" s="318">
        <v>0</v>
      </c>
      <c r="AC133" s="318">
        <f t="shared" si="35"/>
        <v>0</v>
      </c>
      <c r="AD133" s="318"/>
      <c r="AE133" s="318"/>
      <c r="AF133" s="318"/>
      <c r="AG133" s="318"/>
      <c r="AH133" s="318"/>
      <c r="AI133" s="318"/>
      <c r="AJ133" s="318"/>
      <c r="AK133" s="318"/>
      <c r="AL133" s="318"/>
      <c r="AM133" s="318"/>
      <c r="AN133" s="318"/>
      <c r="AO133" s="318"/>
      <c r="AP133" s="318">
        <f t="shared" si="40"/>
        <v>433000000</v>
      </c>
      <c r="AQ133" s="319">
        <f t="shared" si="41"/>
        <v>0</v>
      </c>
      <c r="AR133" s="320"/>
      <c r="AS133" s="320"/>
      <c r="AT133" s="365"/>
      <c r="AU133" s="405"/>
      <c r="AV133" s="146" t="s">
        <v>1236</v>
      </c>
      <c r="AW133" s="146">
        <f>IFERROR(VLOOKUP(G133,'[71]Detail Deprec_202501'!$D$246:$I$393,6,FALSE),0)</f>
        <v>0</v>
      </c>
      <c r="AX133" s="501">
        <f t="shared" si="33"/>
        <v>0</v>
      </c>
    </row>
    <row r="134" spans="1:50" s="753" customFormat="1" ht="12.9" customHeight="1" outlineLevel="1">
      <c r="A134" s="730">
        <f t="shared" si="42"/>
        <v>109</v>
      </c>
      <c r="B134" s="768" t="s">
        <v>142</v>
      </c>
      <c r="C134" s="765" t="s">
        <v>474</v>
      </c>
      <c r="D134" s="733">
        <v>155</v>
      </c>
      <c r="E134" s="733" t="s">
        <v>1711</v>
      </c>
      <c r="F134" s="764" t="s">
        <v>624</v>
      </c>
      <c r="G134" s="764" t="s">
        <v>625</v>
      </c>
      <c r="H134" s="758">
        <v>42109</v>
      </c>
      <c r="I134" s="735" t="s">
        <v>11</v>
      </c>
      <c r="J134" s="737">
        <v>11</v>
      </c>
      <c r="K134" s="759" t="s">
        <v>626</v>
      </c>
      <c r="L134" s="759" t="s">
        <v>588</v>
      </c>
      <c r="M134" s="737" t="s">
        <v>589</v>
      </c>
      <c r="N134" s="737">
        <v>2015</v>
      </c>
      <c r="O134" s="737" t="s">
        <v>627</v>
      </c>
      <c r="P134" s="759" t="s">
        <v>628</v>
      </c>
      <c r="Q134" s="759" t="s">
        <v>629</v>
      </c>
      <c r="R134" s="761">
        <v>1</v>
      </c>
      <c r="S134" s="766"/>
      <c r="T134" s="769">
        <v>134000000</v>
      </c>
      <c r="U134" s="741">
        <f t="shared" si="36"/>
        <v>2233333.3333333335</v>
      </c>
      <c r="V134" s="744">
        <v>60</v>
      </c>
      <c r="W134" s="743">
        <v>59.999999999999986</v>
      </c>
      <c r="X134" s="742">
        <f t="shared" si="37"/>
        <v>0</v>
      </c>
      <c r="Y134" s="742">
        <f t="shared" si="38"/>
        <v>59.999999999999986</v>
      </c>
      <c r="Z134" s="745">
        <f t="shared" si="39"/>
        <v>0</v>
      </c>
      <c r="AA134" s="746">
        <v>133999999.99999999</v>
      </c>
      <c r="AB134" s="746">
        <v>1.4901161193847656E-8</v>
      </c>
      <c r="AC134" s="746">
        <f t="shared" si="35"/>
        <v>0</v>
      </c>
      <c r="AD134" s="746"/>
      <c r="AE134" s="746"/>
      <c r="AF134" s="746"/>
      <c r="AG134" s="746"/>
      <c r="AH134" s="746"/>
      <c r="AI134" s="746"/>
      <c r="AJ134" s="746"/>
      <c r="AK134" s="746"/>
      <c r="AL134" s="746"/>
      <c r="AM134" s="746"/>
      <c r="AN134" s="746"/>
      <c r="AO134" s="746"/>
      <c r="AP134" s="746">
        <f t="shared" si="40"/>
        <v>133999999.99999999</v>
      </c>
      <c r="AQ134" s="747">
        <f t="shared" si="41"/>
        <v>0</v>
      </c>
      <c r="AR134" s="748"/>
      <c r="AS134" s="748" t="s">
        <v>39</v>
      </c>
      <c r="AT134" s="323"/>
      <c r="AU134" s="750">
        <v>45838</v>
      </c>
      <c r="AV134" s="751" t="s">
        <v>1236</v>
      </c>
      <c r="AW134" s="751">
        <f>IFERROR(VLOOKUP(G134,'[71]Detail Deprec_202501'!$D$246:$I$393,6,FALSE),0)</f>
        <v>0</v>
      </c>
      <c r="AX134" s="752">
        <f t="shared" si="33"/>
        <v>0</v>
      </c>
    </row>
    <row r="135" spans="1:50" ht="12.9" customHeight="1" outlineLevel="1">
      <c r="A135" s="324">
        <f t="shared" si="42"/>
        <v>110</v>
      </c>
      <c r="B135" s="306" t="s">
        <v>142</v>
      </c>
      <c r="C135" s="344" t="s">
        <v>474</v>
      </c>
      <c r="D135" s="382">
        <v>155</v>
      </c>
      <c r="E135" s="382" t="s">
        <v>1711</v>
      </c>
      <c r="F135" s="336" t="s">
        <v>630</v>
      </c>
      <c r="G135" s="336" t="s">
        <v>631</v>
      </c>
      <c r="H135" s="383">
        <v>42109</v>
      </c>
      <c r="I135" s="392" t="s">
        <v>11</v>
      </c>
      <c r="J135" s="379">
        <v>12</v>
      </c>
      <c r="K135" s="351" t="s">
        <v>632</v>
      </c>
      <c r="L135" s="351" t="s">
        <v>633</v>
      </c>
      <c r="M135" s="379" t="s">
        <v>610</v>
      </c>
      <c r="N135" s="379">
        <v>2015</v>
      </c>
      <c r="O135" s="379" t="s">
        <v>634</v>
      </c>
      <c r="P135" s="351" t="s">
        <v>635</v>
      </c>
      <c r="Q135" s="351" t="s">
        <v>636</v>
      </c>
      <c r="R135" s="377">
        <v>1</v>
      </c>
      <c r="S135" s="400"/>
      <c r="T135" s="407">
        <v>626000000</v>
      </c>
      <c r="U135" s="313">
        <f t="shared" si="36"/>
        <v>10433333.333333334</v>
      </c>
      <c r="V135" s="316">
        <v>60</v>
      </c>
      <c r="W135" s="315">
        <v>59.999999999999993</v>
      </c>
      <c r="X135" s="314">
        <f t="shared" si="37"/>
        <v>0</v>
      </c>
      <c r="Y135" s="314">
        <f t="shared" si="38"/>
        <v>59.999999999999993</v>
      </c>
      <c r="Z135" s="317">
        <f t="shared" si="39"/>
        <v>0</v>
      </c>
      <c r="AA135" s="318">
        <v>626000000</v>
      </c>
      <c r="AB135" s="318">
        <v>0</v>
      </c>
      <c r="AC135" s="318">
        <f t="shared" si="35"/>
        <v>0</v>
      </c>
      <c r="AD135" s="318"/>
      <c r="AE135" s="318"/>
      <c r="AF135" s="318"/>
      <c r="AG135" s="318"/>
      <c r="AH135" s="318"/>
      <c r="AI135" s="318"/>
      <c r="AJ135" s="318"/>
      <c r="AK135" s="318"/>
      <c r="AL135" s="318"/>
      <c r="AM135" s="318"/>
      <c r="AN135" s="318"/>
      <c r="AO135" s="318"/>
      <c r="AP135" s="318">
        <f t="shared" si="40"/>
        <v>626000000</v>
      </c>
      <c r="AQ135" s="319">
        <f t="shared" si="41"/>
        <v>0</v>
      </c>
      <c r="AR135" s="320"/>
      <c r="AS135" s="320"/>
      <c r="AT135" s="365"/>
      <c r="AU135" s="405"/>
      <c r="AV135" s="146" t="s">
        <v>1236</v>
      </c>
      <c r="AW135" s="146">
        <f>IFERROR(VLOOKUP(G135,'[71]Detail Deprec_202501'!$D$246:$I$393,6,FALSE),0)</f>
        <v>0</v>
      </c>
      <c r="AX135" s="501">
        <f t="shared" si="33"/>
        <v>0</v>
      </c>
    </row>
    <row r="136" spans="1:50" ht="12.9" customHeight="1" outlineLevel="1">
      <c r="A136" s="324">
        <f t="shared" si="42"/>
        <v>111</v>
      </c>
      <c r="B136" s="306" t="s">
        <v>142</v>
      </c>
      <c r="C136" s="344" t="s">
        <v>474</v>
      </c>
      <c r="D136" s="382">
        <v>155</v>
      </c>
      <c r="E136" s="382" t="s">
        <v>1711</v>
      </c>
      <c r="F136" s="336" t="s">
        <v>637</v>
      </c>
      <c r="G136" s="336" t="s">
        <v>638</v>
      </c>
      <c r="H136" s="383">
        <v>42109</v>
      </c>
      <c r="I136" s="392" t="s">
        <v>11</v>
      </c>
      <c r="J136" s="379">
        <v>12</v>
      </c>
      <c r="K136" s="351" t="s">
        <v>639</v>
      </c>
      <c r="L136" s="351" t="s">
        <v>633</v>
      </c>
      <c r="M136" s="379" t="s">
        <v>346</v>
      </c>
      <c r="N136" s="379">
        <v>2015</v>
      </c>
      <c r="O136" s="379" t="s">
        <v>640</v>
      </c>
      <c r="P136" s="351" t="s">
        <v>641</v>
      </c>
      <c r="Q136" s="351" t="s">
        <v>642</v>
      </c>
      <c r="R136" s="377">
        <v>1</v>
      </c>
      <c r="S136" s="400"/>
      <c r="T136" s="407">
        <v>626000000</v>
      </c>
      <c r="U136" s="313">
        <f t="shared" si="36"/>
        <v>10433333.333333334</v>
      </c>
      <c r="V136" s="316">
        <v>60</v>
      </c>
      <c r="W136" s="315">
        <v>59.999999999999993</v>
      </c>
      <c r="X136" s="314">
        <f t="shared" si="37"/>
        <v>0</v>
      </c>
      <c r="Y136" s="314">
        <f t="shared" si="38"/>
        <v>59.999999999999993</v>
      </c>
      <c r="Z136" s="317">
        <f t="shared" si="39"/>
        <v>0</v>
      </c>
      <c r="AA136" s="318">
        <v>626000000</v>
      </c>
      <c r="AB136" s="318">
        <v>0</v>
      </c>
      <c r="AC136" s="318">
        <f t="shared" si="35"/>
        <v>0</v>
      </c>
      <c r="AD136" s="318"/>
      <c r="AE136" s="318"/>
      <c r="AF136" s="318"/>
      <c r="AG136" s="318"/>
      <c r="AH136" s="318"/>
      <c r="AI136" s="318"/>
      <c r="AJ136" s="318"/>
      <c r="AK136" s="318"/>
      <c r="AL136" s="318"/>
      <c r="AM136" s="318"/>
      <c r="AN136" s="318"/>
      <c r="AO136" s="318"/>
      <c r="AP136" s="318">
        <f t="shared" si="40"/>
        <v>626000000</v>
      </c>
      <c r="AQ136" s="319">
        <f t="shared" si="41"/>
        <v>0</v>
      </c>
      <c r="AR136" s="320"/>
      <c r="AS136" s="320"/>
      <c r="AT136" s="365"/>
      <c r="AU136" s="405"/>
      <c r="AV136" s="146" t="s">
        <v>1236</v>
      </c>
      <c r="AW136" s="146">
        <f>IFERROR(VLOOKUP(G136,'[71]Detail Deprec_202501'!$D$246:$I$393,6,FALSE),0)</f>
        <v>0</v>
      </c>
      <c r="AX136" s="501">
        <f t="shared" si="33"/>
        <v>0</v>
      </c>
    </row>
    <row r="137" spans="1:50" ht="12.9" customHeight="1" outlineLevel="1">
      <c r="A137" s="324">
        <f t="shared" si="42"/>
        <v>112</v>
      </c>
      <c r="B137" s="306" t="s">
        <v>142</v>
      </c>
      <c r="C137" s="344" t="s">
        <v>474</v>
      </c>
      <c r="D137" s="382">
        <v>155</v>
      </c>
      <c r="E137" s="382" t="s">
        <v>1711</v>
      </c>
      <c r="F137" s="336" t="s">
        <v>643</v>
      </c>
      <c r="G137" s="336" t="s">
        <v>644</v>
      </c>
      <c r="H137" s="383">
        <v>42109</v>
      </c>
      <c r="I137" s="392" t="s">
        <v>11</v>
      </c>
      <c r="J137" s="379">
        <v>12</v>
      </c>
      <c r="K137" s="351" t="s">
        <v>639</v>
      </c>
      <c r="L137" s="351" t="s">
        <v>645</v>
      </c>
      <c r="M137" s="379" t="s">
        <v>610</v>
      </c>
      <c r="N137" s="379">
        <v>2015</v>
      </c>
      <c r="O137" s="379" t="s">
        <v>646</v>
      </c>
      <c r="P137" s="351" t="s">
        <v>647</v>
      </c>
      <c r="Q137" s="351" t="s">
        <v>648</v>
      </c>
      <c r="R137" s="377">
        <v>1</v>
      </c>
      <c r="S137" s="400"/>
      <c r="T137" s="407">
        <v>717500000</v>
      </c>
      <c r="U137" s="313">
        <f t="shared" si="36"/>
        <v>11958333.333333334</v>
      </c>
      <c r="V137" s="316">
        <v>60</v>
      </c>
      <c r="W137" s="315">
        <v>60</v>
      </c>
      <c r="X137" s="314">
        <f t="shared" si="37"/>
        <v>0</v>
      </c>
      <c r="Y137" s="314">
        <f t="shared" si="38"/>
        <v>60</v>
      </c>
      <c r="Z137" s="317">
        <f t="shared" si="39"/>
        <v>0</v>
      </c>
      <c r="AA137" s="318">
        <v>717500000</v>
      </c>
      <c r="AB137" s="318">
        <v>0</v>
      </c>
      <c r="AC137" s="318">
        <f t="shared" si="35"/>
        <v>0</v>
      </c>
      <c r="AD137" s="318"/>
      <c r="AE137" s="318"/>
      <c r="AF137" s="318"/>
      <c r="AG137" s="318"/>
      <c r="AH137" s="318"/>
      <c r="AI137" s="318"/>
      <c r="AJ137" s="318"/>
      <c r="AK137" s="318"/>
      <c r="AL137" s="318"/>
      <c r="AM137" s="318"/>
      <c r="AN137" s="318"/>
      <c r="AO137" s="318"/>
      <c r="AP137" s="318">
        <f t="shared" si="40"/>
        <v>717500000</v>
      </c>
      <c r="AQ137" s="319">
        <f t="shared" si="41"/>
        <v>0</v>
      </c>
      <c r="AR137" s="320"/>
      <c r="AS137" s="320"/>
      <c r="AT137" s="365"/>
      <c r="AU137" s="405"/>
      <c r="AV137" s="146" t="s">
        <v>1236</v>
      </c>
      <c r="AW137" s="146">
        <f>IFERROR(VLOOKUP(G137,'[71]Detail Deprec_202501'!$D$246:$I$393,6,FALSE),0)</f>
        <v>0</v>
      </c>
      <c r="AX137" s="501">
        <f t="shared" si="33"/>
        <v>0</v>
      </c>
    </row>
    <row r="138" spans="1:50" ht="12.9" customHeight="1" outlineLevel="1">
      <c r="A138" s="324">
        <f t="shared" si="42"/>
        <v>113</v>
      </c>
      <c r="B138" s="306" t="s">
        <v>142</v>
      </c>
      <c r="C138" s="344" t="s">
        <v>474</v>
      </c>
      <c r="D138" s="382">
        <v>155</v>
      </c>
      <c r="E138" s="382" t="s">
        <v>1711</v>
      </c>
      <c r="F138" s="336" t="s">
        <v>649</v>
      </c>
      <c r="G138" s="336" t="s">
        <v>650</v>
      </c>
      <c r="H138" s="383">
        <v>42195</v>
      </c>
      <c r="I138" s="392" t="s">
        <v>11</v>
      </c>
      <c r="J138" s="390" t="s">
        <v>651</v>
      </c>
      <c r="K138" s="351" t="s">
        <v>652</v>
      </c>
      <c r="L138" s="351" t="s">
        <v>300</v>
      </c>
      <c r="M138" s="379" t="s">
        <v>477</v>
      </c>
      <c r="N138" s="379">
        <v>2015</v>
      </c>
      <c r="O138" s="379" t="s">
        <v>653</v>
      </c>
      <c r="P138" s="351" t="s">
        <v>654</v>
      </c>
      <c r="Q138" s="351" t="s">
        <v>655</v>
      </c>
      <c r="R138" s="377">
        <v>1</v>
      </c>
      <c r="S138" s="408"/>
      <c r="T138" s="407">
        <f>876000000-32000000</f>
        <v>844000000</v>
      </c>
      <c r="U138" s="313">
        <f t="shared" si="36"/>
        <v>14066666.666666666</v>
      </c>
      <c r="V138" s="316">
        <v>60</v>
      </c>
      <c r="W138" s="315">
        <v>59.999999999999993</v>
      </c>
      <c r="X138" s="314">
        <f t="shared" si="37"/>
        <v>0</v>
      </c>
      <c r="Y138" s="314">
        <f t="shared" si="38"/>
        <v>59.999999999999993</v>
      </c>
      <c r="Z138" s="317">
        <f t="shared" si="39"/>
        <v>0</v>
      </c>
      <c r="AA138" s="318">
        <v>843999999.99999988</v>
      </c>
      <c r="AB138" s="318">
        <v>1.1920928955078125E-7</v>
      </c>
      <c r="AC138" s="318">
        <f t="shared" ref="AC138:AC172" si="43">SUM(AD138:AL138)</f>
        <v>0</v>
      </c>
      <c r="AD138" s="318"/>
      <c r="AE138" s="318"/>
      <c r="AF138" s="318"/>
      <c r="AG138" s="318"/>
      <c r="AH138" s="318"/>
      <c r="AI138" s="318"/>
      <c r="AJ138" s="318"/>
      <c r="AK138" s="318"/>
      <c r="AL138" s="318"/>
      <c r="AM138" s="318"/>
      <c r="AN138" s="318"/>
      <c r="AO138" s="318"/>
      <c r="AP138" s="318">
        <f t="shared" si="40"/>
        <v>843999999.99999988</v>
      </c>
      <c r="AQ138" s="319">
        <f t="shared" si="41"/>
        <v>1.1920928955078125E-7</v>
      </c>
      <c r="AR138" s="320"/>
      <c r="AS138" s="320"/>
      <c r="AT138" s="365"/>
      <c r="AU138" s="322"/>
      <c r="AV138" s="146" t="s">
        <v>1236</v>
      </c>
      <c r="AW138" s="146">
        <f>IFERROR(VLOOKUP(G138,'[71]Detail Deprec_202501'!$D$246:$I$393,6,FALSE),0)</f>
        <v>0</v>
      </c>
      <c r="AX138" s="501">
        <f t="shared" si="33"/>
        <v>0</v>
      </c>
    </row>
    <row r="139" spans="1:50" ht="12.9" customHeight="1" outlineLevel="1">
      <c r="A139" s="324">
        <f t="shared" si="42"/>
        <v>114</v>
      </c>
      <c r="B139" s="306" t="s">
        <v>142</v>
      </c>
      <c r="C139" s="344" t="s">
        <v>474</v>
      </c>
      <c r="D139" s="382">
        <v>155</v>
      </c>
      <c r="E139" s="382" t="s">
        <v>1711</v>
      </c>
      <c r="F139" s="336" t="s">
        <v>656</v>
      </c>
      <c r="G139" s="336" t="s">
        <v>657</v>
      </c>
      <c r="H139" s="383">
        <v>42195</v>
      </c>
      <c r="I139" s="392" t="s">
        <v>11</v>
      </c>
      <c r="J139" s="390" t="s">
        <v>651</v>
      </c>
      <c r="K139" s="351" t="s">
        <v>487</v>
      </c>
      <c r="L139" s="351" t="s">
        <v>300</v>
      </c>
      <c r="M139" s="379" t="s">
        <v>477</v>
      </c>
      <c r="N139" s="379">
        <v>2015</v>
      </c>
      <c r="O139" s="379" t="s">
        <v>658</v>
      </c>
      <c r="P139" s="351" t="s">
        <v>659</v>
      </c>
      <c r="Q139" s="351" t="s">
        <v>660</v>
      </c>
      <c r="R139" s="377">
        <v>1</v>
      </c>
      <c r="S139" s="408"/>
      <c r="T139" s="407">
        <f>1357000000-48000000</f>
        <v>1309000000</v>
      </c>
      <c r="U139" s="313">
        <f t="shared" si="36"/>
        <v>21816666.666666668</v>
      </c>
      <c r="V139" s="316">
        <v>60</v>
      </c>
      <c r="W139" s="316">
        <v>60</v>
      </c>
      <c r="X139" s="314">
        <f t="shared" si="37"/>
        <v>0</v>
      </c>
      <c r="Y139" s="314">
        <f t="shared" si="38"/>
        <v>60</v>
      </c>
      <c r="Z139" s="317">
        <f t="shared" si="39"/>
        <v>0</v>
      </c>
      <c r="AA139" s="318">
        <v>1309000000</v>
      </c>
      <c r="AB139" s="318">
        <v>0</v>
      </c>
      <c r="AC139" s="318">
        <f t="shared" si="43"/>
        <v>0</v>
      </c>
      <c r="AD139" s="318"/>
      <c r="AE139" s="318"/>
      <c r="AF139" s="318"/>
      <c r="AG139" s="318"/>
      <c r="AH139" s="318"/>
      <c r="AI139" s="318"/>
      <c r="AJ139" s="318"/>
      <c r="AK139" s="318"/>
      <c r="AL139" s="318"/>
      <c r="AM139" s="318"/>
      <c r="AN139" s="318"/>
      <c r="AO139" s="318"/>
      <c r="AP139" s="318">
        <f t="shared" si="40"/>
        <v>1309000000</v>
      </c>
      <c r="AQ139" s="319">
        <f t="shared" si="41"/>
        <v>0</v>
      </c>
      <c r="AR139" s="320"/>
      <c r="AS139" s="320"/>
      <c r="AT139" s="365"/>
      <c r="AU139" s="322"/>
      <c r="AV139" s="146" t="s">
        <v>1236</v>
      </c>
      <c r="AW139" s="146">
        <f>IFERROR(VLOOKUP(G139,'[71]Detail Deprec_202501'!$D$246:$I$393,6,FALSE),0)</f>
        <v>0</v>
      </c>
      <c r="AX139" s="501">
        <f t="shared" si="33"/>
        <v>0</v>
      </c>
    </row>
    <row r="140" spans="1:50" ht="12.9" customHeight="1" outlineLevel="1">
      <c r="A140" s="324">
        <f t="shared" si="42"/>
        <v>115</v>
      </c>
      <c r="B140" s="306" t="s">
        <v>142</v>
      </c>
      <c r="C140" s="344" t="s">
        <v>143</v>
      </c>
      <c r="D140" s="382">
        <v>155</v>
      </c>
      <c r="E140" s="382" t="s">
        <v>1707</v>
      </c>
      <c r="F140" s="336" t="s">
        <v>661</v>
      </c>
      <c r="G140" s="336" t="s">
        <v>662</v>
      </c>
      <c r="H140" s="383">
        <v>42199</v>
      </c>
      <c r="I140" s="392" t="s">
        <v>11</v>
      </c>
      <c r="J140" s="390" t="s">
        <v>209</v>
      </c>
      <c r="K140" s="351" t="s">
        <v>663</v>
      </c>
      <c r="L140" s="351" t="s">
        <v>469</v>
      </c>
      <c r="M140" s="316" t="s">
        <v>664</v>
      </c>
      <c r="N140" s="379">
        <v>2015</v>
      </c>
      <c r="O140" s="379"/>
      <c r="P140" s="351" t="s">
        <v>665</v>
      </c>
      <c r="Q140" s="362" t="s">
        <v>666</v>
      </c>
      <c r="R140" s="377">
        <v>1</v>
      </c>
      <c r="S140" s="408">
        <v>2550000</v>
      </c>
      <c r="T140" s="407">
        <v>277848000</v>
      </c>
      <c r="U140" s="313">
        <f t="shared" si="36"/>
        <v>4630800</v>
      </c>
      <c r="V140" s="316">
        <v>60</v>
      </c>
      <c r="W140" s="315">
        <v>60</v>
      </c>
      <c r="X140" s="314">
        <f t="shared" si="37"/>
        <v>0</v>
      </c>
      <c r="Y140" s="314">
        <f t="shared" si="38"/>
        <v>60</v>
      </c>
      <c r="Z140" s="317">
        <f t="shared" si="39"/>
        <v>0</v>
      </c>
      <c r="AA140" s="318">
        <v>277848000</v>
      </c>
      <c r="AB140" s="318">
        <v>0</v>
      </c>
      <c r="AC140" s="318">
        <f t="shared" si="43"/>
        <v>0</v>
      </c>
      <c r="AD140" s="318"/>
      <c r="AE140" s="318"/>
      <c r="AF140" s="318"/>
      <c r="AG140" s="318"/>
      <c r="AH140" s="318"/>
      <c r="AI140" s="318"/>
      <c r="AJ140" s="318"/>
      <c r="AK140" s="318"/>
      <c r="AL140" s="318"/>
      <c r="AM140" s="318"/>
      <c r="AN140" s="318"/>
      <c r="AO140" s="318"/>
      <c r="AP140" s="318">
        <f t="shared" si="40"/>
        <v>277848000</v>
      </c>
      <c r="AQ140" s="319">
        <f t="shared" si="41"/>
        <v>0</v>
      </c>
      <c r="AR140" s="320"/>
      <c r="AS140" s="320"/>
      <c r="AT140" s="365"/>
      <c r="AU140" s="322"/>
      <c r="AV140" s="146" t="s">
        <v>1236</v>
      </c>
      <c r="AW140" s="146">
        <f>IFERROR(VLOOKUP(G140,'[70]Detail Deprec_202508'!$D$33:$I$357,6,FALSE),0)</f>
        <v>0</v>
      </c>
      <c r="AX140" s="146">
        <f t="shared" si="33"/>
        <v>0</v>
      </c>
    </row>
    <row r="141" spans="1:50" ht="12.9" customHeight="1" outlineLevel="1">
      <c r="A141" s="324">
        <f t="shared" si="42"/>
        <v>116</v>
      </c>
      <c r="B141" s="306" t="s">
        <v>142</v>
      </c>
      <c r="C141" s="344" t="s">
        <v>143</v>
      </c>
      <c r="D141" s="382">
        <v>155</v>
      </c>
      <c r="E141" s="382" t="s">
        <v>1707</v>
      </c>
      <c r="F141" s="336" t="s">
        <v>667</v>
      </c>
      <c r="G141" s="336" t="s">
        <v>668</v>
      </c>
      <c r="H141" s="383">
        <v>42199</v>
      </c>
      <c r="I141" s="392" t="s">
        <v>11</v>
      </c>
      <c r="J141" s="390" t="s">
        <v>669</v>
      </c>
      <c r="K141" s="351" t="s">
        <v>663</v>
      </c>
      <c r="L141" s="351" t="s">
        <v>469</v>
      </c>
      <c r="M141" s="316" t="s">
        <v>664</v>
      </c>
      <c r="N141" s="379">
        <v>2015</v>
      </c>
      <c r="O141" s="379"/>
      <c r="P141" s="351" t="s">
        <v>670</v>
      </c>
      <c r="Q141" s="362" t="s">
        <v>671</v>
      </c>
      <c r="R141" s="377">
        <v>1</v>
      </c>
      <c r="S141" s="408">
        <v>2800000</v>
      </c>
      <c r="T141" s="407">
        <v>305088000</v>
      </c>
      <c r="U141" s="313">
        <f t="shared" si="36"/>
        <v>5084800</v>
      </c>
      <c r="V141" s="316">
        <v>60</v>
      </c>
      <c r="W141" s="315">
        <v>60</v>
      </c>
      <c r="X141" s="314">
        <f t="shared" si="37"/>
        <v>0</v>
      </c>
      <c r="Y141" s="314">
        <f t="shared" si="38"/>
        <v>60</v>
      </c>
      <c r="Z141" s="317">
        <f t="shared" si="39"/>
        <v>0</v>
      </c>
      <c r="AA141" s="318">
        <v>305088000</v>
      </c>
      <c r="AB141" s="318">
        <v>0</v>
      </c>
      <c r="AC141" s="318">
        <f t="shared" si="43"/>
        <v>0</v>
      </c>
      <c r="AD141" s="318"/>
      <c r="AE141" s="318"/>
      <c r="AF141" s="318"/>
      <c r="AG141" s="318"/>
      <c r="AH141" s="318"/>
      <c r="AI141" s="318"/>
      <c r="AJ141" s="318"/>
      <c r="AK141" s="318"/>
      <c r="AL141" s="318"/>
      <c r="AM141" s="318"/>
      <c r="AN141" s="318"/>
      <c r="AO141" s="318"/>
      <c r="AP141" s="318">
        <f t="shared" si="40"/>
        <v>305088000</v>
      </c>
      <c r="AQ141" s="319">
        <f t="shared" si="41"/>
        <v>0</v>
      </c>
      <c r="AR141" s="320"/>
      <c r="AS141" s="320"/>
      <c r="AT141" s="365"/>
      <c r="AU141" s="322"/>
      <c r="AV141" s="146" t="s">
        <v>1236</v>
      </c>
      <c r="AW141" s="146">
        <f>IFERROR(VLOOKUP(G141,'[70]Detail Deprec_202508'!$D$33:$I$357,6,FALSE),0)</f>
        <v>0</v>
      </c>
      <c r="AX141" s="146">
        <f t="shared" si="33"/>
        <v>0</v>
      </c>
    </row>
    <row r="142" spans="1:50" ht="12.9" customHeight="1" outlineLevel="1">
      <c r="A142" s="324">
        <f t="shared" si="42"/>
        <v>117</v>
      </c>
      <c r="B142" s="306" t="s">
        <v>142</v>
      </c>
      <c r="C142" s="344" t="s">
        <v>474</v>
      </c>
      <c r="D142" s="382">
        <v>155</v>
      </c>
      <c r="E142" s="382" t="s">
        <v>1711</v>
      </c>
      <c r="F142" s="336" t="s">
        <v>649</v>
      </c>
      <c r="G142" s="336" t="s">
        <v>672</v>
      </c>
      <c r="H142" s="383">
        <v>42244</v>
      </c>
      <c r="I142" s="392" t="s">
        <v>11</v>
      </c>
      <c r="J142" s="390" t="s">
        <v>673</v>
      </c>
      <c r="K142" s="351" t="s">
        <v>561</v>
      </c>
      <c r="L142" s="351" t="s">
        <v>300</v>
      </c>
      <c r="M142" s="379" t="s">
        <v>477</v>
      </c>
      <c r="N142" s="379">
        <v>2015</v>
      </c>
      <c r="O142" s="379" t="s">
        <v>653</v>
      </c>
      <c r="P142" s="409" t="s">
        <v>674</v>
      </c>
      <c r="Q142" s="362" t="s">
        <v>675</v>
      </c>
      <c r="R142" s="377">
        <v>1</v>
      </c>
      <c r="S142" s="408"/>
      <c r="T142" s="407">
        <v>189500000</v>
      </c>
      <c r="U142" s="313">
        <f t="shared" si="36"/>
        <v>3158333.3333333335</v>
      </c>
      <c r="V142" s="316">
        <v>60</v>
      </c>
      <c r="W142" s="315">
        <v>60</v>
      </c>
      <c r="X142" s="314">
        <f t="shared" si="37"/>
        <v>0</v>
      </c>
      <c r="Y142" s="314">
        <f t="shared" si="38"/>
        <v>60</v>
      </c>
      <c r="Z142" s="317">
        <f t="shared" si="39"/>
        <v>0</v>
      </c>
      <c r="AA142" s="318">
        <v>189500000</v>
      </c>
      <c r="AB142" s="318">
        <v>0</v>
      </c>
      <c r="AC142" s="318">
        <f t="shared" si="43"/>
        <v>0</v>
      </c>
      <c r="AD142" s="318"/>
      <c r="AE142" s="318"/>
      <c r="AF142" s="318"/>
      <c r="AG142" s="318"/>
      <c r="AH142" s="318"/>
      <c r="AI142" s="318"/>
      <c r="AJ142" s="318"/>
      <c r="AK142" s="318"/>
      <c r="AL142" s="318"/>
      <c r="AM142" s="318"/>
      <c r="AN142" s="318"/>
      <c r="AO142" s="318"/>
      <c r="AP142" s="318">
        <f t="shared" si="40"/>
        <v>189500000</v>
      </c>
      <c r="AQ142" s="319">
        <f t="shared" si="41"/>
        <v>0</v>
      </c>
      <c r="AR142" s="320"/>
      <c r="AS142" s="320"/>
      <c r="AT142" s="365"/>
      <c r="AU142" s="322"/>
      <c r="AV142" s="146" t="s">
        <v>1236</v>
      </c>
      <c r="AW142" s="146">
        <f>IFERROR(VLOOKUP(G142,'[71]Detail Deprec_202501'!$D$246:$I$393,6,FALSE),0)</f>
        <v>0</v>
      </c>
      <c r="AX142" s="501">
        <f t="shared" si="33"/>
        <v>0</v>
      </c>
    </row>
    <row r="143" spans="1:50" ht="12.9" customHeight="1" outlineLevel="1">
      <c r="A143" s="324">
        <f t="shared" si="42"/>
        <v>118</v>
      </c>
      <c r="B143" s="306" t="s">
        <v>142</v>
      </c>
      <c r="C143" s="344" t="s">
        <v>143</v>
      </c>
      <c r="D143" s="382">
        <v>155</v>
      </c>
      <c r="E143" s="382" t="s">
        <v>1707</v>
      </c>
      <c r="F143" s="336" t="s">
        <v>678</v>
      </c>
      <c r="G143" s="336" t="s">
        <v>679</v>
      </c>
      <c r="H143" s="383">
        <v>42276</v>
      </c>
      <c r="I143" s="392" t="s">
        <v>11</v>
      </c>
      <c r="J143" s="390" t="s">
        <v>680</v>
      </c>
      <c r="K143" s="351" t="s">
        <v>681</v>
      </c>
      <c r="L143" s="351" t="s">
        <v>469</v>
      </c>
      <c r="M143" s="316" t="s">
        <v>682</v>
      </c>
      <c r="N143" s="379">
        <v>2015</v>
      </c>
      <c r="O143" s="379"/>
      <c r="P143" s="351" t="s">
        <v>683</v>
      </c>
      <c r="Q143" s="351" t="s">
        <v>684</v>
      </c>
      <c r="R143" s="377">
        <v>1</v>
      </c>
      <c r="S143" s="408">
        <v>5400000</v>
      </c>
      <c r="T143" s="407">
        <v>588384000</v>
      </c>
      <c r="U143" s="313">
        <f t="shared" si="36"/>
        <v>9806400</v>
      </c>
      <c r="V143" s="316">
        <v>60</v>
      </c>
      <c r="W143" s="315">
        <v>60</v>
      </c>
      <c r="X143" s="314">
        <f t="shared" si="37"/>
        <v>0</v>
      </c>
      <c r="Y143" s="314">
        <f t="shared" si="38"/>
        <v>60</v>
      </c>
      <c r="Z143" s="317">
        <f t="shared" si="39"/>
        <v>0</v>
      </c>
      <c r="AA143" s="318">
        <v>588384000</v>
      </c>
      <c r="AB143" s="318">
        <v>0</v>
      </c>
      <c r="AC143" s="318">
        <f t="shared" si="43"/>
        <v>0</v>
      </c>
      <c r="AD143" s="318"/>
      <c r="AE143" s="318"/>
      <c r="AF143" s="318"/>
      <c r="AG143" s="318"/>
      <c r="AH143" s="318"/>
      <c r="AI143" s="318"/>
      <c r="AJ143" s="318"/>
      <c r="AK143" s="318"/>
      <c r="AL143" s="318"/>
      <c r="AM143" s="318"/>
      <c r="AN143" s="318"/>
      <c r="AO143" s="318"/>
      <c r="AP143" s="318">
        <f t="shared" si="40"/>
        <v>588384000</v>
      </c>
      <c r="AQ143" s="319">
        <f t="shared" si="41"/>
        <v>0</v>
      </c>
      <c r="AR143" s="320"/>
      <c r="AS143" s="320"/>
      <c r="AT143" s="365"/>
      <c r="AU143" s="322"/>
      <c r="AV143" s="146" t="s">
        <v>1236</v>
      </c>
      <c r="AW143" s="146">
        <f>IFERROR(VLOOKUP(G143,'[70]Detail Deprec_202508'!$D$33:$I$357,6,FALSE),0)</f>
        <v>0</v>
      </c>
      <c r="AX143" s="146">
        <f t="shared" si="33"/>
        <v>0</v>
      </c>
    </row>
    <row r="144" spans="1:50" ht="12.9" customHeight="1" outlineLevel="1">
      <c r="A144" s="324">
        <f t="shared" si="42"/>
        <v>119</v>
      </c>
      <c r="B144" s="306" t="s">
        <v>142</v>
      </c>
      <c r="C144" s="344" t="s">
        <v>143</v>
      </c>
      <c r="D144" s="382">
        <v>155</v>
      </c>
      <c r="E144" s="382" t="s">
        <v>1707</v>
      </c>
      <c r="F144" s="336" t="s">
        <v>685</v>
      </c>
      <c r="G144" s="336" t="s">
        <v>686</v>
      </c>
      <c r="H144" s="383">
        <v>42276</v>
      </c>
      <c r="I144" s="392" t="s">
        <v>11</v>
      </c>
      <c r="J144" s="390" t="s">
        <v>680</v>
      </c>
      <c r="K144" s="351" t="s">
        <v>687</v>
      </c>
      <c r="L144" s="351" t="s">
        <v>469</v>
      </c>
      <c r="M144" s="316" t="s">
        <v>688</v>
      </c>
      <c r="N144" s="379">
        <v>2015</v>
      </c>
      <c r="O144" s="379"/>
      <c r="P144" s="351" t="s">
        <v>689</v>
      </c>
      <c r="Q144" s="351" t="s">
        <v>690</v>
      </c>
      <c r="R144" s="377">
        <v>1</v>
      </c>
      <c r="S144" s="408">
        <v>2105000</v>
      </c>
      <c r="T144" s="407">
        <v>229360800</v>
      </c>
      <c r="U144" s="313">
        <f t="shared" si="36"/>
        <v>3822680</v>
      </c>
      <c r="V144" s="316">
        <v>60</v>
      </c>
      <c r="W144" s="315">
        <v>60</v>
      </c>
      <c r="X144" s="314">
        <f t="shared" si="37"/>
        <v>0</v>
      </c>
      <c r="Y144" s="314">
        <f t="shared" si="38"/>
        <v>60</v>
      </c>
      <c r="Z144" s="317">
        <f t="shared" si="39"/>
        <v>0</v>
      </c>
      <c r="AA144" s="318">
        <v>229360800</v>
      </c>
      <c r="AB144" s="318">
        <v>0</v>
      </c>
      <c r="AC144" s="318">
        <f t="shared" si="43"/>
        <v>0</v>
      </c>
      <c r="AD144" s="318"/>
      <c r="AE144" s="318"/>
      <c r="AF144" s="318"/>
      <c r="AG144" s="318"/>
      <c r="AH144" s="318"/>
      <c r="AI144" s="318"/>
      <c r="AJ144" s="318"/>
      <c r="AK144" s="318"/>
      <c r="AL144" s="318"/>
      <c r="AM144" s="318"/>
      <c r="AN144" s="318"/>
      <c r="AO144" s="318"/>
      <c r="AP144" s="318">
        <f t="shared" si="40"/>
        <v>229360800</v>
      </c>
      <c r="AQ144" s="319">
        <f t="shared" si="41"/>
        <v>0</v>
      </c>
      <c r="AR144" s="320"/>
      <c r="AS144" s="320"/>
      <c r="AT144" s="365"/>
      <c r="AU144" s="322"/>
      <c r="AV144" s="146" t="s">
        <v>1236</v>
      </c>
      <c r="AW144" s="146">
        <f>IFERROR(VLOOKUP(G144,'[70]Detail Deprec_202508'!$D$33:$I$357,6,FALSE),0)</f>
        <v>0</v>
      </c>
      <c r="AX144" s="146">
        <f t="shared" si="33"/>
        <v>0</v>
      </c>
    </row>
    <row r="145" spans="1:50" ht="12.9" customHeight="1" outlineLevel="1">
      <c r="A145" s="324">
        <f t="shared" si="42"/>
        <v>120</v>
      </c>
      <c r="B145" s="306" t="s">
        <v>142</v>
      </c>
      <c r="C145" s="344" t="s">
        <v>143</v>
      </c>
      <c r="D145" s="382">
        <v>155</v>
      </c>
      <c r="E145" s="382" t="s">
        <v>1707</v>
      </c>
      <c r="F145" s="336" t="s">
        <v>691</v>
      </c>
      <c r="G145" s="336" t="s">
        <v>692</v>
      </c>
      <c r="H145" s="383">
        <v>42276</v>
      </c>
      <c r="I145" s="392" t="s">
        <v>11</v>
      </c>
      <c r="J145" s="390" t="s">
        <v>680</v>
      </c>
      <c r="K145" s="351" t="s">
        <v>687</v>
      </c>
      <c r="L145" s="351" t="s">
        <v>469</v>
      </c>
      <c r="M145" s="316" t="s">
        <v>688</v>
      </c>
      <c r="N145" s="379">
        <v>2015</v>
      </c>
      <c r="O145" s="379" t="s">
        <v>557</v>
      </c>
      <c r="P145" s="351" t="s">
        <v>693</v>
      </c>
      <c r="Q145" s="351" t="s">
        <v>694</v>
      </c>
      <c r="R145" s="377">
        <v>1</v>
      </c>
      <c r="S145" s="408">
        <v>2105000</v>
      </c>
      <c r="T145" s="407">
        <v>229360800</v>
      </c>
      <c r="U145" s="313">
        <f t="shared" si="36"/>
        <v>3822680</v>
      </c>
      <c r="V145" s="316">
        <v>60</v>
      </c>
      <c r="W145" s="315">
        <v>60</v>
      </c>
      <c r="X145" s="314">
        <f t="shared" si="37"/>
        <v>0</v>
      </c>
      <c r="Y145" s="314">
        <f t="shared" si="38"/>
        <v>60</v>
      </c>
      <c r="Z145" s="317">
        <f t="shared" si="39"/>
        <v>0</v>
      </c>
      <c r="AA145" s="318">
        <v>229360800</v>
      </c>
      <c r="AB145" s="318">
        <v>0</v>
      </c>
      <c r="AC145" s="318">
        <f t="shared" si="43"/>
        <v>0</v>
      </c>
      <c r="AD145" s="318"/>
      <c r="AE145" s="318"/>
      <c r="AF145" s="318"/>
      <c r="AG145" s="318"/>
      <c r="AH145" s="318"/>
      <c r="AI145" s="318"/>
      <c r="AJ145" s="318"/>
      <c r="AK145" s="318"/>
      <c r="AL145" s="318"/>
      <c r="AM145" s="318"/>
      <c r="AN145" s="318"/>
      <c r="AO145" s="318"/>
      <c r="AP145" s="318">
        <f t="shared" si="40"/>
        <v>229360800</v>
      </c>
      <c r="AQ145" s="319">
        <f t="shared" si="41"/>
        <v>0</v>
      </c>
      <c r="AR145" s="320"/>
      <c r="AS145" s="320"/>
      <c r="AT145" s="365"/>
      <c r="AU145" s="322"/>
      <c r="AV145" s="146" t="s">
        <v>1236</v>
      </c>
      <c r="AW145" s="146">
        <f>IFERROR(VLOOKUP(G145,'[70]Detail Deprec_202508'!$D$33:$I$357,6,FALSE),0)</f>
        <v>0</v>
      </c>
      <c r="AX145" s="146">
        <f t="shared" si="33"/>
        <v>0</v>
      </c>
    </row>
    <row r="146" spans="1:50" ht="12.9" customHeight="1" outlineLevel="1">
      <c r="A146" s="324">
        <f t="shared" si="42"/>
        <v>121</v>
      </c>
      <c r="B146" s="306" t="s">
        <v>142</v>
      </c>
      <c r="C146" s="344" t="s">
        <v>143</v>
      </c>
      <c r="D146" s="382">
        <v>155</v>
      </c>
      <c r="E146" s="382" t="s">
        <v>1707</v>
      </c>
      <c r="F146" s="336" t="s">
        <v>695</v>
      </c>
      <c r="G146" s="336" t="s">
        <v>696</v>
      </c>
      <c r="H146" s="383">
        <v>42276</v>
      </c>
      <c r="I146" s="392" t="s">
        <v>11</v>
      </c>
      <c r="J146" s="390" t="s">
        <v>680</v>
      </c>
      <c r="K146" s="351" t="s">
        <v>687</v>
      </c>
      <c r="L146" s="351" t="s">
        <v>469</v>
      </c>
      <c r="M146" s="316" t="s">
        <v>688</v>
      </c>
      <c r="N146" s="379">
        <v>2015</v>
      </c>
      <c r="O146" s="379"/>
      <c r="P146" s="351" t="s">
        <v>697</v>
      </c>
      <c r="Q146" s="351" t="s">
        <v>698</v>
      </c>
      <c r="R146" s="377">
        <v>1</v>
      </c>
      <c r="S146" s="408">
        <v>2105000</v>
      </c>
      <c r="T146" s="407">
        <v>229360800</v>
      </c>
      <c r="U146" s="313">
        <f t="shared" si="36"/>
        <v>3822680</v>
      </c>
      <c r="V146" s="316">
        <v>60</v>
      </c>
      <c r="W146" s="315">
        <v>60</v>
      </c>
      <c r="X146" s="314">
        <f t="shared" si="37"/>
        <v>0</v>
      </c>
      <c r="Y146" s="314">
        <f t="shared" si="38"/>
        <v>60</v>
      </c>
      <c r="Z146" s="317">
        <f t="shared" si="39"/>
        <v>0</v>
      </c>
      <c r="AA146" s="318">
        <v>229360800</v>
      </c>
      <c r="AB146" s="318">
        <v>0</v>
      </c>
      <c r="AC146" s="318">
        <f t="shared" si="43"/>
        <v>0</v>
      </c>
      <c r="AD146" s="318"/>
      <c r="AE146" s="318"/>
      <c r="AF146" s="318"/>
      <c r="AG146" s="318"/>
      <c r="AH146" s="318"/>
      <c r="AI146" s="318"/>
      <c r="AJ146" s="318"/>
      <c r="AK146" s="318"/>
      <c r="AL146" s="318"/>
      <c r="AM146" s="318"/>
      <c r="AN146" s="318"/>
      <c r="AO146" s="318"/>
      <c r="AP146" s="318">
        <f t="shared" si="40"/>
        <v>229360800</v>
      </c>
      <c r="AQ146" s="319">
        <f t="shared" si="41"/>
        <v>0</v>
      </c>
      <c r="AR146" s="320"/>
      <c r="AS146" s="320"/>
      <c r="AT146" s="365"/>
      <c r="AU146" s="322"/>
      <c r="AV146" s="146" t="s">
        <v>1236</v>
      </c>
      <c r="AW146" s="146">
        <f>IFERROR(VLOOKUP(G146,'[70]Detail Deprec_202508'!$D$33:$I$357,6,FALSE),0)</f>
        <v>0</v>
      </c>
      <c r="AX146" s="146">
        <f t="shared" si="33"/>
        <v>0</v>
      </c>
    </row>
    <row r="147" spans="1:50" ht="12.9" customHeight="1" outlineLevel="1">
      <c r="A147" s="324">
        <f t="shared" si="42"/>
        <v>122</v>
      </c>
      <c r="B147" s="306" t="s">
        <v>142</v>
      </c>
      <c r="C147" s="344" t="s">
        <v>143</v>
      </c>
      <c r="D147" s="382">
        <v>155</v>
      </c>
      <c r="E147" s="382" t="s">
        <v>1707</v>
      </c>
      <c r="F147" s="336" t="s">
        <v>699</v>
      </c>
      <c r="G147" s="336" t="s">
        <v>700</v>
      </c>
      <c r="H147" s="383">
        <v>42276</v>
      </c>
      <c r="I147" s="392" t="s">
        <v>11</v>
      </c>
      <c r="J147" s="390" t="s">
        <v>680</v>
      </c>
      <c r="K147" s="351" t="s">
        <v>687</v>
      </c>
      <c r="L147" s="351" t="s">
        <v>469</v>
      </c>
      <c r="M147" s="316" t="s">
        <v>688</v>
      </c>
      <c r="N147" s="379">
        <v>2015</v>
      </c>
      <c r="O147" s="379"/>
      <c r="P147" s="351" t="s">
        <v>701</v>
      </c>
      <c r="Q147" s="351" t="s">
        <v>702</v>
      </c>
      <c r="R147" s="377">
        <v>1</v>
      </c>
      <c r="S147" s="408">
        <v>2105000</v>
      </c>
      <c r="T147" s="407">
        <v>229360800</v>
      </c>
      <c r="U147" s="313">
        <f t="shared" si="36"/>
        <v>3822680</v>
      </c>
      <c r="V147" s="316">
        <v>60</v>
      </c>
      <c r="W147" s="315">
        <v>60</v>
      </c>
      <c r="X147" s="314">
        <f t="shared" si="37"/>
        <v>0</v>
      </c>
      <c r="Y147" s="314">
        <f t="shared" si="38"/>
        <v>60</v>
      </c>
      <c r="Z147" s="317">
        <f t="shared" si="39"/>
        <v>0</v>
      </c>
      <c r="AA147" s="318">
        <v>229360800</v>
      </c>
      <c r="AB147" s="318">
        <v>0</v>
      </c>
      <c r="AC147" s="318">
        <f t="shared" si="43"/>
        <v>0</v>
      </c>
      <c r="AD147" s="318"/>
      <c r="AE147" s="318"/>
      <c r="AF147" s="318"/>
      <c r="AG147" s="318"/>
      <c r="AH147" s="318"/>
      <c r="AI147" s="318"/>
      <c r="AJ147" s="318"/>
      <c r="AK147" s="318"/>
      <c r="AL147" s="318"/>
      <c r="AM147" s="318"/>
      <c r="AN147" s="318"/>
      <c r="AO147" s="318"/>
      <c r="AP147" s="318">
        <f t="shared" si="40"/>
        <v>229360800</v>
      </c>
      <c r="AQ147" s="319">
        <f t="shared" si="41"/>
        <v>0</v>
      </c>
      <c r="AR147" s="320"/>
      <c r="AS147" s="320"/>
      <c r="AT147" s="365"/>
      <c r="AU147" s="322"/>
      <c r="AV147" s="146" t="s">
        <v>1236</v>
      </c>
      <c r="AW147" s="146">
        <f>IFERROR(VLOOKUP(G147,'[70]Detail Deprec_202508'!$D$33:$I$357,6,FALSE),0)</f>
        <v>0</v>
      </c>
      <c r="AX147" s="146">
        <f t="shared" si="33"/>
        <v>0</v>
      </c>
    </row>
    <row r="148" spans="1:50" ht="12.9" customHeight="1" outlineLevel="1">
      <c r="A148" s="324">
        <f t="shared" si="42"/>
        <v>123</v>
      </c>
      <c r="B148" s="306" t="s">
        <v>142</v>
      </c>
      <c r="C148" s="344" t="s">
        <v>143</v>
      </c>
      <c r="D148" s="382">
        <v>155</v>
      </c>
      <c r="E148" s="382" t="s">
        <v>1707</v>
      </c>
      <c r="F148" s="336" t="s">
        <v>703</v>
      </c>
      <c r="G148" s="336" t="s">
        <v>704</v>
      </c>
      <c r="H148" s="383">
        <v>42276</v>
      </c>
      <c r="I148" s="392" t="s">
        <v>11</v>
      </c>
      <c r="J148" s="390" t="s">
        <v>680</v>
      </c>
      <c r="K148" s="351" t="s">
        <v>687</v>
      </c>
      <c r="L148" s="351" t="s">
        <v>469</v>
      </c>
      <c r="M148" s="316" t="s">
        <v>688</v>
      </c>
      <c r="N148" s="379">
        <v>2015</v>
      </c>
      <c r="O148" s="379"/>
      <c r="P148" s="351" t="s">
        <v>705</v>
      </c>
      <c r="Q148" s="351" t="s">
        <v>706</v>
      </c>
      <c r="R148" s="377">
        <v>1</v>
      </c>
      <c r="S148" s="408">
        <v>2105000</v>
      </c>
      <c r="T148" s="407">
        <v>229360800</v>
      </c>
      <c r="U148" s="313">
        <f t="shared" si="36"/>
        <v>3822680</v>
      </c>
      <c r="V148" s="316">
        <v>60</v>
      </c>
      <c r="W148" s="315">
        <v>60</v>
      </c>
      <c r="X148" s="314">
        <f t="shared" si="37"/>
        <v>0</v>
      </c>
      <c r="Y148" s="314">
        <f t="shared" si="38"/>
        <v>60</v>
      </c>
      <c r="Z148" s="317">
        <f t="shared" si="39"/>
        <v>0</v>
      </c>
      <c r="AA148" s="318">
        <v>229360800</v>
      </c>
      <c r="AB148" s="318">
        <v>0</v>
      </c>
      <c r="AC148" s="318">
        <f t="shared" si="43"/>
        <v>0</v>
      </c>
      <c r="AD148" s="318"/>
      <c r="AE148" s="318"/>
      <c r="AF148" s="318"/>
      <c r="AG148" s="318"/>
      <c r="AH148" s="318"/>
      <c r="AI148" s="318"/>
      <c r="AJ148" s="318"/>
      <c r="AK148" s="318"/>
      <c r="AL148" s="318"/>
      <c r="AM148" s="318"/>
      <c r="AN148" s="318"/>
      <c r="AO148" s="318"/>
      <c r="AP148" s="318">
        <f t="shared" si="40"/>
        <v>229360800</v>
      </c>
      <c r="AQ148" s="319">
        <f t="shared" si="41"/>
        <v>0</v>
      </c>
      <c r="AR148" s="320"/>
      <c r="AS148" s="320"/>
      <c r="AT148" s="365"/>
      <c r="AU148" s="322"/>
      <c r="AV148" s="146" t="s">
        <v>1236</v>
      </c>
      <c r="AW148" s="146">
        <f>IFERROR(VLOOKUP(G148,'[70]Detail Deprec_202508'!$D$33:$I$357,6,FALSE),0)</f>
        <v>0</v>
      </c>
      <c r="AX148" s="146">
        <f t="shared" si="33"/>
        <v>0</v>
      </c>
    </row>
    <row r="149" spans="1:50" ht="12.9" customHeight="1" outlineLevel="1">
      <c r="A149" s="324">
        <f t="shared" si="42"/>
        <v>124</v>
      </c>
      <c r="B149" s="306" t="s">
        <v>142</v>
      </c>
      <c r="C149" s="344" t="s">
        <v>143</v>
      </c>
      <c r="D149" s="382">
        <v>155</v>
      </c>
      <c r="E149" s="382" t="s">
        <v>1707</v>
      </c>
      <c r="F149" s="336" t="s">
        <v>707</v>
      </c>
      <c r="G149" s="336" t="s">
        <v>708</v>
      </c>
      <c r="H149" s="383">
        <v>42276</v>
      </c>
      <c r="I149" s="392" t="s">
        <v>11</v>
      </c>
      <c r="J149" s="390" t="s">
        <v>680</v>
      </c>
      <c r="K149" s="351" t="s">
        <v>687</v>
      </c>
      <c r="L149" s="351" t="s">
        <v>469</v>
      </c>
      <c r="M149" s="316" t="s">
        <v>688</v>
      </c>
      <c r="N149" s="379">
        <v>2015</v>
      </c>
      <c r="O149" s="379"/>
      <c r="P149" s="351" t="s">
        <v>709</v>
      </c>
      <c r="Q149" s="351" t="s">
        <v>710</v>
      </c>
      <c r="R149" s="377">
        <v>1</v>
      </c>
      <c r="S149" s="408">
        <v>2105000</v>
      </c>
      <c r="T149" s="407">
        <v>229360800</v>
      </c>
      <c r="U149" s="313">
        <f t="shared" si="36"/>
        <v>3822680</v>
      </c>
      <c r="V149" s="316">
        <v>60</v>
      </c>
      <c r="W149" s="315">
        <v>60</v>
      </c>
      <c r="X149" s="314">
        <f t="shared" si="37"/>
        <v>0</v>
      </c>
      <c r="Y149" s="314">
        <f t="shared" si="38"/>
        <v>60</v>
      </c>
      <c r="Z149" s="317">
        <f t="shared" si="39"/>
        <v>0</v>
      </c>
      <c r="AA149" s="318">
        <v>229360800</v>
      </c>
      <c r="AB149" s="318">
        <v>0</v>
      </c>
      <c r="AC149" s="318">
        <f t="shared" si="43"/>
        <v>0</v>
      </c>
      <c r="AD149" s="318"/>
      <c r="AE149" s="318"/>
      <c r="AF149" s="318"/>
      <c r="AG149" s="318"/>
      <c r="AH149" s="318"/>
      <c r="AI149" s="318"/>
      <c r="AJ149" s="318"/>
      <c r="AK149" s="318"/>
      <c r="AL149" s="318"/>
      <c r="AM149" s="318"/>
      <c r="AN149" s="318"/>
      <c r="AO149" s="318"/>
      <c r="AP149" s="318">
        <f t="shared" si="40"/>
        <v>229360800</v>
      </c>
      <c r="AQ149" s="319">
        <f t="shared" si="41"/>
        <v>0</v>
      </c>
      <c r="AR149" s="320"/>
      <c r="AS149" s="320"/>
      <c r="AT149" s="365"/>
      <c r="AU149" s="322"/>
      <c r="AV149" s="146" t="s">
        <v>1236</v>
      </c>
      <c r="AW149" s="146">
        <f>IFERROR(VLOOKUP(G149,'[71]Detail Deprec_202501'!$D$246:$I$393,6,FALSE),0)</f>
        <v>0</v>
      </c>
      <c r="AX149" s="501">
        <f t="shared" si="33"/>
        <v>0</v>
      </c>
    </row>
    <row r="150" spans="1:50" ht="12.9" customHeight="1" outlineLevel="1">
      <c r="A150" s="324">
        <f t="shared" si="42"/>
        <v>125</v>
      </c>
      <c r="B150" s="306" t="s">
        <v>142</v>
      </c>
      <c r="C150" s="344" t="s">
        <v>143</v>
      </c>
      <c r="D150" s="382">
        <v>155</v>
      </c>
      <c r="E150" s="382" t="s">
        <v>1707</v>
      </c>
      <c r="F150" s="336" t="s">
        <v>711</v>
      </c>
      <c r="G150" s="336" t="s">
        <v>712</v>
      </c>
      <c r="H150" s="383">
        <v>42276</v>
      </c>
      <c r="I150" s="392" t="s">
        <v>11</v>
      </c>
      <c r="J150" s="390" t="s">
        <v>680</v>
      </c>
      <c r="K150" s="351" t="s">
        <v>687</v>
      </c>
      <c r="L150" s="351" t="s">
        <v>469</v>
      </c>
      <c r="M150" s="316" t="s">
        <v>688</v>
      </c>
      <c r="N150" s="379">
        <v>2015</v>
      </c>
      <c r="O150" s="379"/>
      <c r="P150" s="351" t="s">
        <v>713</v>
      </c>
      <c r="Q150" s="351" t="s">
        <v>714</v>
      </c>
      <c r="R150" s="377">
        <v>1</v>
      </c>
      <c r="S150" s="408">
        <v>2105000</v>
      </c>
      <c r="T150" s="407">
        <v>229360800</v>
      </c>
      <c r="U150" s="313">
        <f t="shared" si="36"/>
        <v>3822680</v>
      </c>
      <c r="V150" s="316">
        <v>60</v>
      </c>
      <c r="W150" s="315">
        <v>60</v>
      </c>
      <c r="X150" s="314">
        <f t="shared" si="37"/>
        <v>0</v>
      </c>
      <c r="Y150" s="314">
        <f t="shared" si="38"/>
        <v>60</v>
      </c>
      <c r="Z150" s="317">
        <f t="shared" si="39"/>
        <v>0</v>
      </c>
      <c r="AA150" s="318">
        <v>229360800</v>
      </c>
      <c r="AB150" s="318">
        <v>0</v>
      </c>
      <c r="AC150" s="318">
        <f t="shared" si="43"/>
        <v>0</v>
      </c>
      <c r="AD150" s="318"/>
      <c r="AE150" s="318"/>
      <c r="AF150" s="318"/>
      <c r="AG150" s="318"/>
      <c r="AH150" s="318"/>
      <c r="AI150" s="318"/>
      <c r="AJ150" s="318"/>
      <c r="AK150" s="318"/>
      <c r="AL150" s="318"/>
      <c r="AM150" s="318"/>
      <c r="AN150" s="318"/>
      <c r="AO150" s="318"/>
      <c r="AP150" s="318">
        <f t="shared" si="40"/>
        <v>229360800</v>
      </c>
      <c r="AQ150" s="319">
        <f t="shared" si="41"/>
        <v>0</v>
      </c>
      <c r="AR150" s="320"/>
      <c r="AS150" s="320"/>
      <c r="AT150" s="365"/>
      <c r="AU150" s="322"/>
      <c r="AV150" s="146" t="s">
        <v>1236</v>
      </c>
      <c r="AW150" s="146">
        <f>IFERROR(VLOOKUP(G150,'[70]Detail Deprec_202508'!$D$33:$I$357,6,FALSE),0)</f>
        <v>0</v>
      </c>
      <c r="AX150" s="146">
        <f t="shared" si="33"/>
        <v>0</v>
      </c>
    </row>
    <row r="151" spans="1:50" ht="12.9" customHeight="1" outlineLevel="1">
      <c r="A151" s="324">
        <f t="shared" si="42"/>
        <v>126</v>
      </c>
      <c r="B151" s="306" t="s">
        <v>142</v>
      </c>
      <c r="C151" s="344" t="s">
        <v>143</v>
      </c>
      <c r="D151" s="382">
        <v>155</v>
      </c>
      <c r="E151" s="382" t="s">
        <v>1707</v>
      </c>
      <c r="F151" s="336" t="s">
        <v>715</v>
      </c>
      <c r="G151" s="336" t="s">
        <v>716</v>
      </c>
      <c r="H151" s="383">
        <v>42276</v>
      </c>
      <c r="I151" s="392" t="s">
        <v>11</v>
      </c>
      <c r="J151" s="390" t="s">
        <v>680</v>
      </c>
      <c r="K151" s="351" t="s">
        <v>687</v>
      </c>
      <c r="L151" s="351" t="s">
        <v>469</v>
      </c>
      <c r="M151" s="316" t="s">
        <v>688</v>
      </c>
      <c r="N151" s="379">
        <v>2015</v>
      </c>
      <c r="O151" s="379"/>
      <c r="P151" s="351" t="s">
        <v>717</v>
      </c>
      <c r="Q151" s="351" t="s">
        <v>718</v>
      </c>
      <c r="R151" s="377">
        <v>1</v>
      </c>
      <c r="S151" s="408">
        <v>2105000</v>
      </c>
      <c r="T151" s="407">
        <v>229360800</v>
      </c>
      <c r="U151" s="313">
        <f t="shared" si="36"/>
        <v>3822680</v>
      </c>
      <c r="V151" s="316">
        <v>60</v>
      </c>
      <c r="W151" s="315">
        <v>60</v>
      </c>
      <c r="X151" s="314">
        <f t="shared" si="37"/>
        <v>0</v>
      </c>
      <c r="Y151" s="314">
        <f t="shared" si="38"/>
        <v>60</v>
      </c>
      <c r="Z151" s="317">
        <f t="shared" si="39"/>
        <v>0</v>
      </c>
      <c r="AA151" s="318">
        <v>229360800</v>
      </c>
      <c r="AB151" s="318">
        <v>0</v>
      </c>
      <c r="AC151" s="318">
        <f t="shared" si="43"/>
        <v>0</v>
      </c>
      <c r="AD151" s="318"/>
      <c r="AE151" s="318"/>
      <c r="AF151" s="318"/>
      <c r="AG151" s="318"/>
      <c r="AH151" s="318"/>
      <c r="AI151" s="318"/>
      <c r="AJ151" s="318"/>
      <c r="AK151" s="318"/>
      <c r="AL151" s="318"/>
      <c r="AM151" s="318"/>
      <c r="AN151" s="318"/>
      <c r="AO151" s="318"/>
      <c r="AP151" s="318">
        <f t="shared" si="40"/>
        <v>229360800</v>
      </c>
      <c r="AQ151" s="319">
        <f t="shared" si="41"/>
        <v>0</v>
      </c>
      <c r="AR151" s="320"/>
      <c r="AS151" s="320"/>
      <c r="AT151" s="365"/>
      <c r="AU151" s="322"/>
      <c r="AV151" s="146" t="s">
        <v>1236</v>
      </c>
      <c r="AW151" s="146">
        <f>IFERROR(VLOOKUP(G151,'[70]Detail Deprec_202508'!$D$33:$I$357,6,FALSE),0)</f>
        <v>0</v>
      </c>
      <c r="AX151" s="146">
        <f t="shared" si="33"/>
        <v>0</v>
      </c>
    </row>
    <row r="152" spans="1:50" ht="12.9" customHeight="1" outlineLevel="1">
      <c r="A152" s="324">
        <f t="shared" si="42"/>
        <v>127</v>
      </c>
      <c r="B152" s="306" t="s">
        <v>142</v>
      </c>
      <c r="C152" s="344" t="s">
        <v>143</v>
      </c>
      <c r="D152" s="382">
        <v>155</v>
      </c>
      <c r="E152" s="382" t="s">
        <v>1707</v>
      </c>
      <c r="F152" s="336" t="s">
        <v>719</v>
      </c>
      <c r="G152" s="336" t="s">
        <v>720</v>
      </c>
      <c r="H152" s="383">
        <v>42276</v>
      </c>
      <c r="I152" s="392" t="s">
        <v>11</v>
      </c>
      <c r="J152" s="390" t="s">
        <v>680</v>
      </c>
      <c r="K152" s="351" t="s">
        <v>687</v>
      </c>
      <c r="L152" s="351" t="s">
        <v>469</v>
      </c>
      <c r="M152" s="316" t="s">
        <v>688</v>
      </c>
      <c r="N152" s="379">
        <v>2015</v>
      </c>
      <c r="O152" s="379"/>
      <c r="P152" s="351" t="s">
        <v>721</v>
      </c>
      <c r="Q152" s="351" t="s">
        <v>722</v>
      </c>
      <c r="R152" s="377">
        <v>1</v>
      </c>
      <c r="S152" s="408">
        <v>2105000</v>
      </c>
      <c r="T152" s="407">
        <v>229360800</v>
      </c>
      <c r="U152" s="313">
        <f t="shared" si="36"/>
        <v>3822680</v>
      </c>
      <c r="V152" s="316">
        <v>60</v>
      </c>
      <c r="W152" s="315">
        <v>60</v>
      </c>
      <c r="X152" s="314">
        <f t="shared" si="37"/>
        <v>0</v>
      </c>
      <c r="Y152" s="314">
        <f t="shared" si="38"/>
        <v>60</v>
      </c>
      <c r="Z152" s="317">
        <f t="shared" si="39"/>
        <v>0</v>
      </c>
      <c r="AA152" s="318">
        <v>229360800</v>
      </c>
      <c r="AB152" s="318">
        <v>0</v>
      </c>
      <c r="AC152" s="318">
        <f t="shared" si="43"/>
        <v>0</v>
      </c>
      <c r="AD152" s="318"/>
      <c r="AE152" s="318"/>
      <c r="AF152" s="318"/>
      <c r="AG152" s="318"/>
      <c r="AH152" s="318"/>
      <c r="AI152" s="318"/>
      <c r="AJ152" s="318"/>
      <c r="AK152" s="318"/>
      <c r="AL152" s="318"/>
      <c r="AM152" s="318"/>
      <c r="AN152" s="318"/>
      <c r="AO152" s="318"/>
      <c r="AP152" s="318">
        <f t="shared" si="40"/>
        <v>229360800</v>
      </c>
      <c r="AQ152" s="319">
        <f t="shared" si="41"/>
        <v>0</v>
      </c>
      <c r="AR152" s="320"/>
      <c r="AS152" s="320"/>
      <c r="AT152" s="365"/>
      <c r="AU152" s="322"/>
      <c r="AV152" s="146" t="s">
        <v>1236</v>
      </c>
      <c r="AW152" s="146">
        <f>IFERROR(VLOOKUP(G152,'[70]Detail Deprec_202508'!$D$33:$I$357,6,FALSE),0)</f>
        <v>0</v>
      </c>
      <c r="AX152" s="146">
        <f t="shared" ref="AX152:AX214" si="44">AW152-AK152</f>
        <v>0</v>
      </c>
    </row>
    <row r="153" spans="1:50" ht="12.9" customHeight="1" outlineLevel="1">
      <c r="A153" s="324">
        <f t="shared" si="42"/>
        <v>128</v>
      </c>
      <c r="B153" s="306" t="s">
        <v>142</v>
      </c>
      <c r="C153" s="344" t="s">
        <v>143</v>
      </c>
      <c r="D153" s="382">
        <v>155</v>
      </c>
      <c r="E153" s="382" t="s">
        <v>1707</v>
      </c>
      <c r="F153" s="336" t="s">
        <v>723</v>
      </c>
      <c r="G153" s="336" t="s">
        <v>724</v>
      </c>
      <c r="H153" s="383">
        <v>42276</v>
      </c>
      <c r="I153" s="392" t="s">
        <v>11</v>
      </c>
      <c r="J153" s="390" t="s">
        <v>680</v>
      </c>
      <c r="K153" s="351" t="s">
        <v>687</v>
      </c>
      <c r="L153" s="351" t="s">
        <v>469</v>
      </c>
      <c r="M153" s="316" t="s">
        <v>688</v>
      </c>
      <c r="N153" s="379">
        <v>2015</v>
      </c>
      <c r="O153" s="379"/>
      <c r="P153" s="351" t="s">
        <v>725</v>
      </c>
      <c r="Q153" s="351" t="s">
        <v>726</v>
      </c>
      <c r="R153" s="377">
        <v>1</v>
      </c>
      <c r="S153" s="408">
        <v>2105000</v>
      </c>
      <c r="T153" s="407">
        <v>229360800</v>
      </c>
      <c r="U153" s="313">
        <f t="shared" si="36"/>
        <v>3822680</v>
      </c>
      <c r="V153" s="316">
        <v>60</v>
      </c>
      <c r="W153" s="315">
        <v>60</v>
      </c>
      <c r="X153" s="314">
        <f t="shared" si="37"/>
        <v>0</v>
      </c>
      <c r="Y153" s="314">
        <f t="shared" si="38"/>
        <v>60</v>
      </c>
      <c r="Z153" s="317">
        <f t="shared" si="39"/>
        <v>0</v>
      </c>
      <c r="AA153" s="318">
        <v>229360800</v>
      </c>
      <c r="AB153" s="318">
        <v>0</v>
      </c>
      <c r="AC153" s="318">
        <f t="shared" si="43"/>
        <v>0</v>
      </c>
      <c r="AD153" s="318"/>
      <c r="AE153" s="318"/>
      <c r="AF153" s="318"/>
      <c r="AG153" s="318"/>
      <c r="AH153" s="318"/>
      <c r="AI153" s="318"/>
      <c r="AJ153" s="318"/>
      <c r="AK153" s="318"/>
      <c r="AL153" s="318"/>
      <c r="AM153" s="318"/>
      <c r="AN153" s="318"/>
      <c r="AO153" s="318"/>
      <c r="AP153" s="318">
        <f t="shared" si="40"/>
        <v>229360800</v>
      </c>
      <c r="AQ153" s="319">
        <f t="shared" si="41"/>
        <v>0</v>
      </c>
      <c r="AR153" s="320"/>
      <c r="AS153" s="320"/>
      <c r="AT153" s="365"/>
      <c r="AU153" s="322"/>
      <c r="AV153" s="146" t="s">
        <v>1236</v>
      </c>
      <c r="AW153" s="146">
        <f>IFERROR(VLOOKUP(G153,'[70]Detail Deprec_202508'!$D$33:$I$357,6,FALSE),0)</f>
        <v>0</v>
      </c>
      <c r="AX153" s="146">
        <f t="shared" si="44"/>
        <v>0</v>
      </c>
    </row>
    <row r="154" spans="1:50" ht="12.9" customHeight="1" outlineLevel="1">
      <c r="A154" s="324">
        <f t="shared" si="42"/>
        <v>129</v>
      </c>
      <c r="B154" s="306" t="s">
        <v>142</v>
      </c>
      <c r="C154" s="344" t="s">
        <v>143</v>
      </c>
      <c r="D154" s="382">
        <v>155</v>
      </c>
      <c r="E154" s="382" t="s">
        <v>1707</v>
      </c>
      <c r="F154" s="336" t="s">
        <v>727</v>
      </c>
      <c r="G154" s="336" t="s">
        <v>728</v>
      </c>
      <c r="H154" s="383">
        <v>42276</v>
      </c>
      <c r="I154" s="392" t="s">
        <v>11</v>
      </c>
      <c r="J154" s="390" t="s">
        <v>680</v>
      </c>
      <c r="K154" s="351" t="s">
        <v>729</v>
      </c>
      <c r="L154" s="351" t="s">
        <v>469</v>
      </c>
      <c r="M154" s="316" t="s">
        <v>470</v>
      </c>
      <c r="N154" s="379">
        <v>2015</v>
      </c>
      <c r="O154" s="379"/>
      <c r="P154" s="351" t="s">
        <v>730</v>
      </c>
      <c r="Q154" s="351" t="s">
        <v>731</v>
      </c>
      <c r="R154" s="377">
        <v>1</v>
      </c>
      <c r="S154" s="408">
        <v>2635000</v>
      </c>
      <c r="T154" s="407">
        <v>287109600</v>
      </c>
      <c r="U154" s="313">
        <f t="shared" si="36"/>
        <v>4785160</v>
      </c>
      <c r="V154" s="316">
        <v>60</v>
      </c>
      <c r="W154" s="315">
        <v>60</v>
      </c>
      <c r="X154" s="314">
        <f t="shared" si="37"/>
        <v>0</v>
      </c>
      <c r="Y154" s="314">
        <f t="shared" si="38"/>
        <v>60</v>
      </c>
      <c r="Z154" s="317">
        <f t="shared" si="39"/>
        <v>0</v>
      </c>
      <c r="AA154" s="318">
        <v>287109600</v>
      </c>
      <c r="AB154" s="318">
        <v>0</v>
      </c>
      <c r="AC154" s="318">
        <f t="shared" si="43"/>
        <v>0</v>
      </c>
      <c r="AD154" s="318"/>
      <c r="AE154" s="318"/>
      <c r="AF154" s="318"/>
      <c r="AG154" s="318"/>
      <c r="AH154" s="318"/>
      <c r="AI154" s="318"/>
      <c r="AJ154" s="318"/>
      <c r="AK154" s="318"/>
      <c r="AL154" s="318"/>
      <c r="AM154" s="318"/>
      <c r="AN154" s="318"/>
      <c r="AO154" s="318"/>
      <c r="AP154" s="318">
        <f t="shared" si="40"/>
        <v>287109600</v>
      </c>
      <c r="AQ154" s="319">
        <f t="shared" si="41"/>
        <v>0</v>
      </c>
      <c r="AR154" s="320"/>
      <c r="AS154" s="320"/>
      <c r="AT154" s="365"/>
      <c r="AU154" s="322"/>
      <c r="AV154" s="146" t="s">
        <v>1236</v>
      </c>
      <c r="AW154" s="146">
        <f>IFERROR(VLOOKUP(G154,'[70]Detail Deprec_202508'!$D$33:$I$357,6,FALSE),0)</f>
        <v>0</v>
      </c>
      <c r="AX154" s="146">
        <f t="shared" si="44"/>
        <v>0</v>
      </c>
    </row>
    <row r="155" spans="1:50" ht="12.9" customHeight="1" outlineLevel="1">
      <c r="A155" s="324">
        <f t="shared" si="42"/>
        <v>130</v>
      </c>
      <c r="B155" s="306" t="s">
        <v>142</v>
      </c>
      <c r="C155" s="344" t="s">
        <v>143</v>
      </c>
      <c r="D155" s="382">
        <v>155</v>
      </c>
      <c r="E155" s="382" t="s">
        <v>1707</v>
      </c>
      <c r="F155" s="336" t="s">
        <v>732</v>
      </c>
      <c r="G155" s="336" t="s">
        <v>733</v>
      </c>
      <c r="H155" s="383">
        <v>42276</v>
      </c>
      <c r="I155" s="392" t="s">
        <v>11</v>
      </c>
      <c r="J155" s="390" t="s">
        <v>680</v>
      </c>
      <c r="K155" s="351" t="s">
        <v>729</v>
      </c>
      <c r="L155" s="351" t="s">
        <v>469</v>
      </c>
      <c r="M155" s="316" t="s">
        <v>470</v>
      </c>
      <c r="N155" s="379">
        <v>2015</v>
      </c>
      <c r="O155" s="379"/>
      <c r="P155" s="351" t="s">
        <v>734</v>
      </c>
      <c r="Q155" s="351" t="s">
        <v>735</v>
      </c>
      <c r="R155" s="377">
        <v>1</v>
      </c>
      <c r="S155" s="408">
        <v>2635000</v>
      </c>
      <c r="T155" s="407">
        <v>287109600</v>
      </c>
      <c r="U155" s="313">
        <f t="shared" si="36"/>
        <v>4785160</v>
      </c>
      <c r="V155" s="316">
        <v>60</v>
      </c>
      <c r="W155" s="315">
        <v>60</v>
      </c>
      <c r="X155" s="314">
        <f t="shared" si="37"/>
        <v>0</v>
      </c>
      <c r="Y155" s="314">
        <f t="shared" si="38"/>
        <v>60</v>
      </c>
      <c r="Z155" s="317">
        <f t="shared" si="39"/>
        <v>0</v>
      </c>
      <c r="AA155" s="318">
        <v>287109600</v>
      </c>
      <c r="AB155" s="318">
        <v>0</v>
      </c>
      <c r="AC155" s="318">
        <f t="shared" si="43"/>
        <v>0</v>
      </c>
      <c r="AD155" s="318"/>
      <c r="AE155" s="318"/>
      <c r="AF155" s="318"/>
      <c r="AG155" s="318"/>
      <c r="AH155" s="318"/>
      <c r="AI155" s="318"/>
      <c r="AJ155" s="318"/>
      <c r="AK155" s="318"/>
      <c r="AL155" s="318"/>
      <c r="AM155" s="318"/>
      <c r="AN155" s="318"/>
      <c r="AO155" s="318"/>
      <c r="AP155" s="318">
        <f t="shared" si="40"/>
        <v>287109600</v>
      </c>
      <c r="AQ155" s="319">
        <f t="shared" si="41"/>
        <v>0</v>
      </c>
      <c r="AR155" s="320"/>
      <c r="AS155" s="320"/>
      <c r="AT155" s="365"/>
      <c r="AU155" s="322"/>
      <c r="AV155" s="146" t="s">
        <v>1236</v>
      </c>
      <c r="AW155" s="146">
        <f>IFERROR(VLOOKUP(G155,'[70]Detail Deprec_202508'!$D$33:$I$357,6,FALSE),0)</f>
        <v>0</v>
      </c>
      <c r="AX155" s="146">
        <f t="shared" si="44"/>
        <v>0</v>
      </c>
    </row>
    <row r="156" spans="1:50" ht="12.9" customHeight="1" outlineLevel="1">
      <c r="A156" s="324">
        <f t="shared" si="42"/>
        <v>131</v>
      </c>
      <c r="B156" s="306" t="s">
        <v>142</v>
      </c>
      <c r="C156" s="344" t="s">
        <v>143</v>
      </c>
      <c r="D156" s="382">
        <v>155</v>
      </c>
      <c r="E156" s="382" t="s">
        <v>1707</v>
      </c>
      <c r="F156" s="336" t="s">
        <v>736</v>
      </c>
      <c r="G156" s="336" t="s">
        <v>737</v>
      </c>
      <c r="H156" s="383">
        <v>42276</v>
      </c>
      <c r="I156" s="392" t="s">
        <v>11</v>
      </c>
      <c r="J156" s="390" t="s">
        <v>680</v>
      </c>
      <c r="K156" s="351" t="s">
        <v>729</v>
      </c>
      <c r="L156" s="351" t="s">
        <v>469</v>
      </c>
      <c r="M156" s="316" t="s">
        <v>470</v>
      </c>
      <c r="N156" s="379">
        <v>2015</v>
      </c>
      <c r="O156" s="379"/>
      <c r="P156" s="351" t="s">
        <v>738</v>
      </c>
      <c r="Q156" s="351" t="s">
        <v>739</v>
      </c>
      <c r="R156" s="377">
        <v>1</v>
      </c>
      <c r="S156" s="408">
        <v>2635000</v>
      </c>
      <c r="T156" s="407">
        <v>287109600</v>
      </c>
      <c r="U156" s="313">
        <f t="shared" si="36"/>
        <v>4785160</v>
      </c>
      <c r="V156" s="316">
        <v>60</v>
      </c>
      <c r="W156" s="315">
        <v>60</v>
      </c>
      <c r="X156" s="314">
        <f t="shared" si="37"/>
        <v>0</v>
      </c>
      <c r="Y156" s="314">
        <f t="shared" si="38"/>
        <v>60</v>
      </c>
      <c r="Z156" s="317">
        <f t="shared" si="39"/>
        <v>0</v>
      </c>
      <c r="AA156" s="318">
        <v>287109600</v>
      </c>
      <c r="AB156" s="318">
        <v>0</v>
      </c>
      <c r="AC156" s="318">
        <f t="shared" si="43"/>
        <v>0</v>
      </c>
      <c r="AD156" s="318"/>
      <c r="AE156" s="318"/>
      <c r="AF156" s="318"/>
      <c r="AG156" s="318"/>
      <c r="AH156" s="318"/>
      <c r="AI156" s="318"/>
      <c r="AJ156" s="318"/>
      <c r="AK156" s="318"/>
      <c r="AL156" s="318"/>
      <c r="AM156" s="318"/>
      <c r="AN156" s="318"/>
      <c r="AO156" s="318"/>
      <c r="AP156" s="318">
        <f t="shared" si="40"/>
        <v>287109600</v>
      </c>
      <c r="AQ156" s="319">
        <f t="shared" si="41"/>
        <v>0</v>
      </c>
      <c r="AR156" s="320"/>
      <c r="AS156" s="320"/>
      <c r="AT156" s="365"/>
      <c r="AU156" s="322"/>
      <c r="AV156" s="146" t="s">
        <v>1236</v>
      </c>
      <c r="AW156" s="146">
        <f>IFERROR(VLOOKUP(G156,'[70]Detail Deprec_202508'!$D$33:$I$357,6,FALSE),0)</f>
        <v>0</v>
      </c>
      <c r="AX156" s="146">
        <f t="shared" si="44"/>
        <v>0</v>
      </c>
    </row>
    <row r="157" spans="1:50" ht="12.9" customHeight="1" outlineLevel="1">
      <c r="A157" s="324">
        <f t="shared" si="42"/>
        <v>132</v>
      </c>
      <c r="B157" s="306" t="s">
        <v>142</v>
      </c>
      <c r="C157" s="344" t="s">
        <v>143</v>
      </c>
      <c r="D157" s="382">
        <v>155</v>
      </c>
      <c r="E157" s="382" t="s">
        <v>1707</v>
      </c>
      <c r="F157" s="336" t="s">
        <v>740</v>
      </c>
      <c r="G157" s="336" t="s">
        <v>741</v>
      </c>
      <c r="H157" s="383">
        <v>42276</v>
      </c>
      <c r="I157" s="392" t="s">
        <v>11</v>
      </c>
      <c r="J157" s="390" t="s">
        <v>680</v>
      </c>
      <c r="K157" s="351" t="s">
        <v>729</v>
      </c>
      <c r="L157" s="351" t="s">
        <v>469</v>
      </c>
      <c r="M157" s="316" t="s">
        <v>470</v>
      </c>
      <c r="N157" s="379">
        <v>2015</v>
      </c>
      <c r="O157" s="379"/>
      <c r="P157" s="351" t="s">
        <v>742</v>
      </c>
      <c r="Q157" s="351" t="s">
        <v>743</v>
      </c>
      <c r="R157" s="377">
        <v>1</v>
      </c>
      <c r="S157" s="408">
        <v>2635000</v>
      </c>
      <c r="T157" s="407">
        <v>287109600</v>
      </c>
      <c r="U157" s="313">
        <f t="shared" si="36"/>
        <v>4785160</v>
      </c>
      <c r="V157" s="316">
        <v>60</v>
      </c>
      <c r="W157" s="315">
        <v>60</v>
      </c>
      <c r="X157" s="314">
        <f t="shared" si="37"/>
        <v>0</v>
      </c>
      <c r="Y157" s="314">
        <f t="shared" si="38"/>
        <v>60</v>
      </c>
      <c r="Z157" s="317">
        <f t="shared" si="39"/>
        <v>0</v>
      </c>
      <c r="AA157" s="318">
        <v>287109600</v>
      </c>
      <c r="AB157" s="318">
        <v>0</v>
      </c>
      <c r="AC157" s="318">
        <f t="shared" si="43"/>
        <v>0</v>
      </c>
      <c r="AD157" s="318"/>
      <c r="AE157" s="318"/>
      <c r="AF157" s="318"/>
      <c r="AG157" s="318"/>
      <c r="AH157" s="318"/>
      <c r="AI157" s="318"/>
      <c r="AJ157" s="318"/>
      <c r="AK157" s="318"/>
      <c r="AL157" s="318"/>
      <c r="AM157" s="318"/>
      <c r="AN157" s="318"/>
      <c r="AO157" s="318"/>
      <c r="AP157" s="318">
        <f t="shared" si="40"/>
        <v>287109600</v>
      </c>
      <c r="AQ157" s="319">
        <f t="shared" si="41"/>
        <v>0</v>
      </c>
      <c r="AR157" s="320"/>
      <c r="AS157" s="320"/>
      <c r="AT157" s="365"/>
      <c r="AU157" s="322"/>
      <c r="AV157" s="146" t="s">
        <v>1236</v>
      </c>
      <c r="AW157" s="146">
        <f>IFERROR(VLOOKUP(G157,'[70]Detail Deprec_202508'!$D$33:$I$357,6,FALSE),0)</f>
        <v>0</v>
      </c>
      <c r="AX157" s="146">
        <f t="shared" si="44"/>
        <v>0</v>
      </c>
    </row>
    <row r="158" spans="1:50" ht="12.9" customHeight="1" outlineLevel="1">
      <c r="A158" s="324">
        <f t="shared" si="42"/>
        <v>133</v>
      </c>
      <c r="B158" s="306" t="s">
        <v>142</v>
      </c>
      <c r="C158" s="344" t="s">
        <v>143</v>
      </c>
      <c r="D158" s="382">
        <v>155</v>
      </c>
      <c r="E158" s="382" t="s">
        <v>1707</v>
      </c>
      <c r="F158" s="336" t="s">
        <v>744</v>
      </c>
      <c r="G158" s="336" t="s">
        <v>745</v>
      </c>
      <c r="H158" s="383">
        <v>42276</v>
      </c>
      <c r="I158" s="392" t="s">
        <v>11</v>
      </c>
      <c r="J158" s="390" t="s">
        <v>680</v>
      </c>
      <c r="K158" s="351" t="s">
        <v>729</v>
      </c>
      <c r="L158" s="351" t="s">
        <v>469</v>
      </c>
      <c r="M158" s="316" t="s">
        <v>470</v>
      </c>
      <c r="N158" s="379">
        <v>2015</v>
      </c>
      <c r="O158" s="379"/>
      <c r="P158" s="351" t="s">
        <v>746</v>
      </c>
      <c r="Q158" s="351" t="s">
        <v>747</v>
      </c>
      <c r="R158" s="377">
        <v>1</v>
      </c>
      <c r="S158" s="408">
        <v>2635000</v>
      </c>
      <c r="T158" s="407">
        <v>287109600</v>
      </c>
      <c r="U158" s="313">
        <f t="shared" si="36"/>
        <v>4785160</v>
      </c>
      <c r="V158" s="316">
        <v>60</v>
      </c>
      <c r="W158" s="315">
        <v>60</v>
      </c>
      <c r="X158" s="314">
        <f t="shared" si="37"/>
        <v>0</v>
      </c>
      <c r="Y158" s="314">
        <f t="shared" si="38"/>
        <v>60</v>
      </c>
      <c r="Z158" s="317">
        <f t="shared" si="39"/>
        <v>0</v>
      </c>
      <c r="AA158" s="318">
        <v>287109600</v>
      </c>
      <c r="AB158" s="318">
        <v>0</v>
      </c>
      <c r="AC158" s="318">
        <f t="shared" si="43"/>
        <v>0</v>
      </c>
      <c r="AD158" s="318"/>
      <c r="AE158" s="318"/>
      <c r="AF158" s="318"/>
      <c r="AG158" s="318"/>
      <c r="AH158" s="318"/>
      <c r="AI158" s="318"/>
      <c r="AJ158" s="318"/>
      <c r="AK158" s="318"/>
      <c r="AL158" s="318"/>
      <c r="AM158" s="318"/>
      <c r="AN158" s="318"/>
      <c r="AO158" s="318"/>
      <c r="AP158" s="318">
        <f t="shared" si="40"/>
        <v>287109600</v>
      </c>
      <c r="AQ158" s="319">
        <f t="shared" si="41"/>
        <v>0</v>
      </c>
      <c r="AR158" s="320"/>
      <c r="AS158" s="320"/>
      <c r="AT158" s="365"/>
      <c r="AU158" s="322"/>
      <c r="AV158" s="146" t="s">
        <v>1236</v>
      </c>
      <c r="AW158" s="146">
        <f>IFERROR(VLOOKUP(G158,'[70]Detail Deprec_202508'!$D$33:$I$357,6,FALSE),0)</f>
        <v>0</v>
      </c>
      <c r="AX158" s="146">
        <f t="shared" si="44"/>
        <v>0</v>
      </c>
    </row>
    <row r="159" spans="1:50" ht="12.9" customHeight="1" outlineLevel="1">
      <c r="A159" s="324">
        <f t="shared" si="42"/>
        <v>134</v>
      </c>
      <c r="B159" s="306" t="s">
        <v>142</v>
      </c>
      <c r="C159" s="344" t="s">
        <v>474</v>
      </c>
      <c r="D159" s="382">
        <v>155</v>
      </c>
      <c r="E159" s="382" t="s">
        <v>1711</v>
      </c>
      <c r="F159" s="336" t="s">
        <v>750</v>
      </c>
      <c r="G159" s="336" t="s">
        <v>751</v>
      </c>
      <c r="H159" s="383">
        <v>42321</v>
      </c>
      <c r="I159" s="392" t="s">
        <v>11</v>
      </c>
      <c r="J159" s="390" t="s">
        <v>651</v>
      </c>
      <c r="K159" s="351" t="s">
        <v>298</v>
      </c>
      <c r="L159" s="351" t="s">
        <v>748</v>
      </c>
      <c r="M159" s="379" t="s">
        <v>297</v>
      </c>
      <c r="N159" s="379">
        <v>2015</v>
      </c>
      <c r="O159" s="379"/>
      <c r="P159" s="351"/>
      <c r="Q159" s="351"/>
      <c r="R159" s="377">
        <v>1</v>
      </c>
      <c r="S159" s="400"/>
      <c r="T159" s="407">
        <v>235000000</v>
      </c>
      <c r="U159" s="313">
        <f t="shared" si="36"/>
        <v>3916666.6666666665</v>
      </c>
      <c r="V159" s="316">
        <v>60</v>
      </c>
      <c r="W159" s="315">
        <v>59.999999999999993</v>
      </c>
      <c r="X159" s="314">
        <f t="shared" si="37"/>
        <v>0</v>
      </c>
      <c r="Y159" s="314">
        <f t="shared" si="38"/>
        <v>59.999999999999993</v>
      </c>
      <c r="Z159" s="317">
        <f t="shared" si="39"/>
        <v>0</v>
      </c>
      <c r="AA159" s="318">
        <v>234999999.99999997</v>
      </c>
      <c r="AB159" s="318">
        <v>2.9802322387695313E-8</v>
      </c>
      <c r="AC159" s="318">
        <f t="shared" si="43"/>
        <v>0</v>
      </c>
      <c r="AD159" s="318"/>
      <c r="AE159" s="318"/>
      <c r="AF159" s="318"/>
      <c r="AG159" s="318"/>
      <c r="AH159" s="318"/>
      <c r="AI159" s="318"/>
      <c r="AJ159" s="318"/>
      <c r="AK159" s="318"/>
      <c r="AL159" s="318"/>
      <c r="AM159" s="318"/>
      <c r="AN159" s="318"/>
      <c r="AO159" s="318"/>
      <c r="AP159" s="318">
        <f t="shared" si="40"/>
        <v>234999999.99999997</v>
      </c>
      <c r="AQ159" s="319">
        <f t="shared" si="41"/>
        <v>2.9802322387695313E-8</v>
      </c>
      <c r="AR159" s="320"/>
      <c r="AS159" s="320"/>
      <c r="AT159" s="365"/>
      <c r="AU159" s="322"/>
      <c r="AV159" s="146" t="s">
        <v>1236</v>
      </c>
      <c r="AW159" s="146">
        <f>IFERROR(VLOOKUP(G159,'[71]Detail Deprec_202501'!$D$246:$I$393,6,FALSE),0)</f>
        <v>0</v>
      </c>
      <c r="AX159" s="501">
        <f t="shared" si="44"/>
        <v>0</v>
      </c>
    </row>
    <row r="160" spans="1:50" ht="12.9" customHeight="1" outlineLevel="1">
      <c r="A160" s="324">
        <f t="shared" si="42"/>
        <v>135</v>
      </c>
      <c r="B160" s="306" t="s">
        <v>142</v>
      </c>
      <c r="C160" s="344" t="s">
        <v>474</v>
      </c>
      <c r="D160" s="382">
        <v>155</v>
      </c>
      <c r="E160" s="382" t="s">
        <v>1711</v>
      </c>
      <c r="F160" s="336" t="s">
        <v>752</v>
      </c>
      <c r="G160" s="336" t="s">
        <v>753</v>
      </c>
      <c r="H160" s="383">
        <v>42321</v>
      </c>
      <c r="I160" s="392" t="s">
        <v>11</v>
      </c>
      <c r="J160" s="390" t="s">
        <v>749</v>
      </c>
      <c r="K160" s="351" t="s">
        <v>298</v>
      </c>
      <c r="L160" s="351" t="s">
        <v>748</v>
      </c>
      <c r="M160" s="379" t="s">
        <v>297</v>
      </c>
      <c r="N160" s="379">
        <v>2015</v>
      </c>
      <c r="O160" s="379"/>
      <c r="P160" s="351"/>
      <c r="Q160" s="351"/>
      <c r="R160" s="377">
        <v>1</v>
      </c>
      <c r="S160" s="400"/>
      <c r="T160" s="407">
        <v>235000000</v>
      </c>
      <c r="U160" s="313">
        <f t="shared" si="36"/>
        <v>3916666.6666666665</v>
      </c>
      <c r="V160" s="316">
        <v>60</v>
      </c>
      <c r="W160" s="315">
        <v>59.999999999999993</v>
      </c>
      <c r="X160" s="314">
        <f t="shared" si="37"/>
        <v>0</v>
      </c>
      <c r="Y160" s="314">
        <f t="shared" si="38"/>
        <v>59.999999999999993</v>
      </c>
      <c r="Z160" s="317">
        <f t="shared" si="39"/>
        <v>0</v>
      </c>
      <c r="AA160" s="318">
        <v>234999999.99999997</v>
      </c>
      <c r="AB160" s="318">
        <v>2.9802322387695313E-8</v>
      </c>
      <c r="AC160" s="318">
        <f t="shared" si="43"/>
        <v>0</v>
      </c>
      <c r="AD160" s="318"/>
      <c r="AE160" s="318"/>
      <c r="AF160" s="318"/>
      <c r="AG160" s="318"/>
      <c r="AH160" s="318"/>
      <c r="AI160" s="318"/>
      <c r="AJ160" s="318"/>
      <c r="AK160" s="318"/>
      <c r="AL160" s="318"/>
      <c r="AM160" s="318"/>
      <c r="AN160" s="318"/>
      <c r="AO160" s="318"/>
      <c r="AP160" s="318">
        <f t="shared" si="40"/>
        <v>234999999.99999997</v>
      </c>
      <c r="AQ160" s="319">
        <f t="shared" si="41"/>
        <v>2.9802322387695313E-8</v>
      </c>
      <c r="AR160" s="320"/>
      <c r="AS160" s="320"/>
      <c r="AT160" s="365"/>
      <c r="AU160" s="322"/>
      <c r="AV160" s="146" t="s">
        <v>1236</v>
      </c>
      <c r="AW160" s="146">
        <f>IFERROR(VLOOKUP(G160,'[71]Detail Deprec_202501'!$D$246:$I$393,6,FALSE),0)</f>
        <v>0</v>
      </c>
      <c r="AX160" s="501">
        <f t="shared" si="44"/>
        <v>0</v>
      </c>
    </row>
    <row r="161" spans="1:50" ht="12.9" customHeight="1" outlineLevel="1">
      <c r="A161" s="324">
        <f t="shared" si="42"/>
        <v>136</v>
      </c>
      <c r="B161" s="306" t="s">
        <v>142</v>
      </c>
      <c r="C161" s="344" t="s">
        <v>474</v>
      </c>
      <c r="D161" s="382">
        <v>155</v>
      </c>
      <c r="E161" s="382" t="s">
        <v>1711</v>
      </c>
      <c r="F161" s="336" t="s">
        <v>754</v>
      </c>
      <c r="G161" s="336" t="s">
        <v>755</v>
      </c>
      <c r="H161" s="383">
        <v>42321</v>
      </c>
      <c r="I161" s="392" t="s">
        <v>11</v>
      </c>
      <c r="J161" s="390" t="s">
        <v>749</v>
      </c>
      <c r="K161" s="351" t="s">
        <v>298</v>
      </c>
      <c r="L161" s="351" t="s">
        <v>748</v>
      </c>
      <c r="M161" s="379" t="s">
        <v>297</v>
      </c>
      <c r="N161" s="379">
        <v>2015</v>
      </c>
      <c r="O161" s="379"/>
      <c r="P161" s="351"/>
      <c r="Q161" s="351"/>
      <c r="R161" s="377">
        <v>1</v>
      </c>
      <c r="S161" s="400"/>
      <c r="T161" s="407">
        <v>235000000</v>
      </c>
      <c r="U161" s="313">
        <f t="shared" si="36"/>
        <v>3916666.6666666665</v>
      </c>
      <c r="V161" s="316">
        <v>60</v>
      </c>
      <c r="W161" s="315">
        <v>59.999999999999993</v>
      </c>
      <c r="X161" s="314">
        <f t="shared" si="37"/>
        <v>0</v>
      </c>
      <c r="Y161" s="314">
        <f t="shared" si="38"/>
        <v>59.999999999999993</v>
      </c>
      <c r="Z161" s="317">
        <f t="shared" si="39"/>
        <v>0</v>
      </c>
      <c r="AA161" s="318">
        <v>234999999.99999997</v>
      </c>
      <c r="AB161" s="318">
        <v>2.9802322387695313E-8</v>
      </c>
      <c r="AC161" s="318">
        <f t="shared" si="43"/>
        <v>0</v>
      </c>
      <c r="AD161" s="318"/>
      <c r="AE161" s="318"/>
      <c r="AF161" s="318"/>
      <c r="AG161" s="318"/>
      <c r="AH161" s="318"/>
      <c r="AI161" s="318"/>
      <c r="AJ161" s="318"/>
      <c r="AK161" s="318"/>
      <c r="AL161" s="318"/>
      <c r="AM161" s="318"/>
      <c r="AN161" s="318"/>
      <c r="AO161" s="318"/>
      <c r="AP161" s="318">
        <f t="shared" si="40"/>
        <v>234999999.99999997</v>
      </c>
      <c r="AQ161" s="319">
        <f t="shared" si="41"/>
        <v>2.9802322387695313E-8</v>
      </c>
      <c r="AR161" s="320"/>
      <c r="AS161" s="320"/>
      <c r="AT161" s="365"/>
      <c r="AU161" s="322"/>
      <c r="AV161" s="146" t="s">
        <v>1236</v>
      </c>
      <c r="AW161" s="146">
        <f>IFERROR(VLOOKUP(G161,'[71]Detail Deprec_202501'!$D$246:$I$393,6,FALSE),0)</f>
        <v>0</v>
      </c>
      <c r="AX161" s="501">
        <f t="shared" si="44"/>
        <v>0</v>
      </c>
    </row>
    <row r="162" spans="1:50" ht="12.9" customHeight="1" outlineLevel="1">
      <c r="A162" s="324">
        <f t="shared" si="42"/>
        <v>137</v>
      </c>
      <c r="B162" s="306" t="s">
        <v>142</v>
      </c>
      <c r="C162" s="344" t="s">
        <v>474</v>
      </c>
      <c r="D162" s="382">
        <v>155</v>
      </c>
      <c r="E162" s="382" t="s">
        <v>1711</v>
      </c>
      <c r="F162" s="336" t="s">
        <v>756</v>
      </c>
      <c r="G162" s="336" t="s">
        <v>757</v>
      </c>
      <c r="H162" s="383">
        <v>42366</v>
      </c>
      <c r="I162" s="392" t="s">
        <v>11</v>
      </c>
      <c r="J162" s="390" t="s">
        <v>669</v>
      </c>
      <c r="K162" s="351" t="s">
        <v>601</v>
      </c>
      <c r="L162" s="351" t="s">
        <v>758</v>
      </c>
      <c r="M162" s="379" t="s">
        <v>759</v>
      </c>
      <c r="N162" s="379">
        <v>2015</v>
      </c>
      <c r="O162" s="379" t="s">
        <v>760</v>
      </c>
      <c r="P162" s="351" t="s">
        <v>761</v>
      </c>
      <c r="Q162" s="351" t="s">
        <v>762</v>
      </c>
      <c r="R162" s="377">
        <v>1</v>
      </c>
      <c r="S162" s="401"/>
      <c r="T162" s="407">
        <v>905181818</v>
      </c>
      <c r="U162" s="313">
        <f t="shared" si="36"/>
        <v>15086363.633333333</v>
      </c>
      <c r="V162" s="316">
        <v>60</v>
      </c>
      <c r="W162" s="315">
        <v>59.999999999999979</v>
      </c>
      <c r="X162" s="314">
        <f t="shared" si="37"/>
        <v>0</v>
      </c>
      <c r="Y162" s="314">
        <f t="shared" si="38"/>
        <v>59.999999999999979</v>
      </c>
      <c r="Z162" s="317">
        <f t="shared" si="39"/>
        <v>0</v>
      </c>
      <c r="AA162" s="318">
        <v>905181817.99999964</v>
      </c>
      <c r="AB162" s="318">
        <v>3.5762786865234375E-7</v>
      </c>
      <c r="AC162" s="318">
        <f t="shared" si="43"/>
        <v>0</v>
      </c>
      <c r="AD162" s="318"/>
      <c r="AE162" s="318"/>
      <c r="AF162" s="318"/>
      <c r="AG162" s="318"/>
      <c r="AH162" s="318"/>
      <c r="AI162" s="318"/>
      <c r="AJ162" s="318"/>
      <c r="AK162" s="318"/>
      <c r="AL162" s="318"/>
      <c r="AM162" s="318"/>
      <c r="AN162" s="318"/>
      <c r="AO162" s="318"/>
      <c r="AP162" s="318">
        <f t="shared" si="40"/>
        <v>905181817.99999964</v>
      </c>
      <c r="AQ162" s="319">
        <f t="shared" si="41"/>
        <v>3.5762786865234375E-7</v>
      </c>
      <c r="AR162" s="320"/>
      <c r="AS162" s="320"/>
      <c r="AT162" s="365"/>
      <c r="AU162" s="322"/>
      <c r="AV162" s="146" t="s">
        <v>1236</v>
      </c>
      <c r="AW162" s="146">
        <f>IFERROR(VLOOKUP(G162,'[71]Detail Deprec_202501'!$D$246:$I$393,6,FALSE),0)</f>
        <v>0</v>
      </c>
      <c r="AX162" s="501">
        <f t="shared" si="44"/>
        <v>0</v>
      </c>
    </row>
    <row r="163" spans="1:50" ht="12.9" customHeight="1" outlineLevel="1">
      <c r="A163" s="324">
        <f t="shared" si="42"/>
        <v>138</v>
      </c>
      <c r="B163" s="336" t="s">
        <v>142</v>
      </c>
      <c r="C163" s="344" t="s">
        <v>474</v>
      </c>
      <c r="D163" s="382">
        <v>155</v>
      </c>
      <c r="E163" s="382" t="s">
        <v>1711</v>
      </c>
      <c r="F163" s="336" t="s">
        <v>766</v>
      </c>
      <c r="G163" s="336" t="s">
        <v>767</v>
      </c>
      <c r="H163" s="383">
        <v>42727</v>
      </c>
      <c r="I163" s="392" t="s">
        <v>11</v>
      </c>
      <c r="J163" s="390" t="s">
        <v>152</v>
      </c>
      <c r="K163" s="351" t="s">
        <v>561</v>
      </c>
      <c r="L163" s="351" t="s">
        <v>768</v>
      </c>
      <c r="M163" s="379" t="s">
        <v>477</v>
      </c>
      <c r="N163" s="379">
        <v>2016</v>
      </c>
      <c r="O163" s="379" t="s">
        <v>769</v>
      </c>
      <c r="P163" s="351"/>
      <c r="Q163" s="351"/>
      <c r="R163" s="377">
        <v>1</v>
      </c>
      <c r="S163" s="401">
        <v>46399.199999999997</v>
      </c>
      <c r="T163" s="354">
        <v>629312349.5999999</v>
      </c>
      <c r="U163" s="313">
        <f t="shared" si="36"/>
        <v>10488539.159999998</v>
      </c>
      <c r="V163" s="316">
        <v>60</v>
      </c>
      <c r="W163" s="315">
        <v>59.999999999999993</v>
      </c>
      <c r="X163" s="314">
        <f t="shared" si="37"/>
        <v>0</v>
      </c>
      <c r="Y163" s="314">
        <f t="shared" si="38"/>
        <v>59.999999999999993</v>
      </c>
      <c r="Z163" s="317">
        <f t="shared" si="39"/>
        <v>0</v>
      </c>
      <c r="AA163" s="318">
        <v>629312349.59999979</v>
      </c>
      <c r="AB163" s="318">
        <v>1.1920928955078125E-7</v>
      </c>
      <c r="AC163" s="318">
        <f t="shared" si="43"/>
        <v>0</v>
      </c>
      <c r="AD163" s="318"/>
      <c r="AE163" s="318"/>
      <c r="AF163" s="318"/>
      <c r="AG163" s="318"/>
      <c r="AH163" s="318"/>
      <c r="AI163" s="318"/>
      <c r="AJ163" s="318"/>
      <c r="AK163" s="318"/>
      <c r="AL163" s="318"/>
      <c r="AM163" s="318"/>
      <c r="AN163" s="318"/>
      <c r="AO163" s="318"/>
      <c r="AP163" s="318">
        <f t="shared" si="40"/>
        <v>629312349.59999979</v>
      </c>
      <c r="AQ163" s="319">
        <f t="shared" si="41"/>
        <v>1.1920928955078125E-7</v>
      </c>
      <c r="AR163" s="320"/>
      <c r="AS163" s="320"/>
      <c r="AT163" s="365"/>
      <c r="AU163" s="322"/>
      <c r="AV163" s="146" t="s">
        <v>1236</v>
      </c>
      <c r="AW163" s="146">
        <f>IFERROR(VLOOKUP(G163,'[71]Detail Deprec_202501'!$D$246:$I$393,6,FALSE),0)</f>
        <v>0</v>
      </c>
      <c r="AX163" s="501">
        <f t="shared" si="44"/>
        <v>0</v>
      </c>
    </row>
    <row r="164" spans="1:50" ht="12.9" customHeight="1" outlineLevel="1">
      <c r="A164" s="324">
        <f t="shared" si="42"/>
        <v>139</v>
      </c>
      <c r="B164" s="336" t="s">
        <v>142</v>
      </c>
      <c r="C164" s="344" t="s">
        <v>474</v>
      </c>
      <c r="D164" s="382">
        <v>155</v>
      </c>
      <c r="E164" s="382" t="s">
        <v>1711</v>
      </c>
      <c r="F164" s="336" t="s">
        <v>770</v>
      </c>
      <c r="G164" s="336" t="s">
        <v>771</v>
      </c>
      <c r="H164" s="383">
        <v>42727</v>
      </c>
      <c r="I164" s="392" t="s">
        <v>11</v>
      </c>
      <c r="J164" s="390" t="s">
        <v>152</v>
      </c>
      <c r="K164" s="351" t="s">
        <v>561</v>
      </c>
      <c r="L164" s="351" t="s">
        <v>768</v>
      </c>
      <c r="M164" s="379" t="s">
        <v>477</v>
      </c>
      <c r="N164" s="379">
        <v>2016</v>
      </c>
      <c r="O164" s="379" t="s">
        <v>772</v>
      </c>
      <c r="P164" s="351"/>
      <c r="Q164" s="351"/>
      <c r="R164" s="377">
        <v>1</v>
      </c>
      <c r="S164" s="401">
        <v>46399.199999999997</v>
      </c>
      <c r="T164" s="354">
        <v>629312349.5999999</v>
      </c>
      <c r="U164" s="313">
        <f t="shared" si="36"/>
        <v>10488539.159999998</v>
      </c>
      <c r="V164" s="316">
        <v>60</v>
      </c>
      <c r="W164" s="315">
        <v>59.999999999999993</v>
      </c>
      <c r="X164" s="314">
        <f t="shared" si="37"/>
        <v>0</v>
      </c>
      <c r="Y164" s="314">
        <f t="shared" si="38"/>
        <v>59.999999999999993</v>
      </c>
      <c r="Z164" s="317">
        <f t="shared" si="39"/>
        <v>0</v>
      </c>
      <c r="AA164" s="318">
        <v>629312349.59999979</v>
      </c>
      <c r="AB164" s="318">
        <v>1.1920928955078125E-7</v>
      </c>
      <c r="AC164" s="318">
        <f t="shared" si="43"/>
        <v>0</v>
      </c>
      <c r="AD164" s="318"/>
      <c r="AE164" s="318"/>
      <c r="AF164" s="318"/>
      <c r="AG164" s="318"/>
      <c r="AH164" s="318"/>
      <c r="AI164" s="318"/>
      <c r="AJ164" s="318"/>
      <c r="AK164" s="318"/>
      <c r="AL164" s="318"/>
      <c r="AM164" s="318"/>
      <c r="AN164" s="318"/>
      <c r="AO164" s="318"/>
      <c r="AP164" s="318">
        <f t="shared" si="40"/>
        <v>629312349.59999979</v>
      </c>
      <c r="AQ164" s="319">
        <f t="shared" si="41"/>
        <v>1.1920928955078125E-7</v>
      </c>
      <c r="AR164" s="320"/>
      <c r="AS164" s="320"/>
      <c r="AT164" s="365"/>
      <c r="AU164" s="322"/>
      <c r="AV164" s="146" t="s">
        <v>1236</v>
      </c>
      <c r="AW164" s="146">
        <f>IFERROR(VLOOKUP(G164,'[71]Detail Deprec_202501'!$D$246:$I$393,6,FALSE),0)</f>
        <v>0</v>
      </c>
      <c r="AX164" s="501">
        <f t="shared" si="44"/>
        <v>0</v>
      </c>
    </row>
    <row r="165" spans="1:50" ht="12.9" customHeight="1" outlineLevel="1">
      <c r="A165" s="324">
        <f t="shared" si="42"/>
        <v>140</v>
      </c>
      <c r="B165" s="336" t="s">
        <v>142</v>
      </c>
      <c r="C165" s="344" t="s">
        <v>474</v>
      </c>
      <c r="D165" s="382">
        <v>155</v>
      </c>
      <c r="E165" s="382" t="s">
        <v>1711</v>
      </c>
      <c r="F165" s="336" t="s">
        <v>773</v>
      </c>
      <c r="G165" s="336" t="s">
        <v>774</v>
      </c>
      <c r="H165" s="383">
        <v>42727</v>
      </c>
      <c r="I165" s="392" t="s">
        <v>11</v>
      </c>
      <c r="J165" s="390" t="s">
        <v>152</v>
      </c>
      <c r="K165" s="351" t="s">
        <v>561</v>
      </c>
      <c r="L165" s="351" t="s">
        <v>768</v>
      </c>
      <c r="M165" s="379" t="s">
        <v>477</v>
      </c>
      <c r="N165" s="379">
        <v>2016</v>
      </c>
      <c r="O165" s="379" t="s">
        <v>775</v>
      </c>
      <c r="P165" s="351"/>
      <c r="Q165" s="351"/>
      <c r="R165" s="377">
        <v>1</v>
      </c>
      <c r="S165" s="401">
        <v>46399.199999999997</v>
      </c>
      <c r="T165" s="354">
        <v>629312349.5999999</v>
      </c>
      <c r="U165" s="313">
        <f t="shared" si="36"/>
        <v>10488539.159999998</v>
      </c>
      <c r="V165" s="316">
        <v>60</v>
      </c>
      <c r="W165" s="315">
        <v>59.999999999999993</v>
      </c>
      <c r="X165" s="314">
        <f t="shared" si="37"/>
        <v>0</v>
      </c>
      <c r="Y165" s="314">
        <f t="shared" si="38"/>
        <v>59.999999999999993</v>
      </c>
      <c r="Z165" s="317">
        <f t="shared" si="39"/>
        <v>0</v>
      </c>
      <c r="AA165" s="318">
        <v>629312349.59999979</v>
      </c>
      <c r="AB165" s="318">
        <v>1.1920928955078125E-7</v>
      </c>
      <c r="AC165" s="318">
        <f t="shared" si="43"/>
        <v>0</v>
      </c>
      <c r="AD165" s="318"/>
      <c r="AE165" s="318"/>
      <c r="AF165" s="318"/>
      <c r="AG165" s="318"/>
      <c r="AH165" s="318"/>
      <c r="AI165" s="318"/>
      <c r="AJ165" s="318"/>
      <c r="AK165" s="318"/>
      <c r="AL165" s="318"/>
      <c r="AM165" s="318"/>
      <c r="AN165" s="318"/>
      <c r="AO165" s="318"/>
      <c r="AP165" s="318">
        <f t="shared" si="40"/>
        <v>629312349.59999979</v>
      </c>
      <c r="AQ165" s="319">
        <f t="shared" si="41"/>
        <v>1.1920928955078125E-7</v>
      </c>
      <c r="AR165" s="320"/>
      <c r="AS165" s="320"/>
      <c r="AT165" s="365"/>
      <c r="AU165" s="322"/>
      <c r="AV165" s="146" t="s">
        <v>1236</v>
      </c>
      <c r="AW165" s="146">
        <f>IFERROR(VLOOKUP(G165,'[71]Detail Deprec_202501'!$D$246:$I$393,6,FALSE),0)</f>
        <v>0</v>
      </c>
      <c r="AX165" s="501">
        <f t="shared" si="44"/>
        <v>0</v>
      </c>
    </row>
    <row r="166" spans="1:50" ht="12.9" customHeight="1" outlineLevel="1">
      <c r="A166" s="324">
        <f t="shared" si="42"/>
        <v>141</v>
      </c>
      <c r="B166" s="336" t="s">
        <v>142</v>
      </c>
      <c r="C166" s="344" t="s">
        <v>474</v>
      </c>
      <c r="D166" s="382">
        <v>155</v>
      </c>
      <c r="E166" s="382" t="s">
        <v>1711</v>
      </c>
      <c r="F166" s="336" t="s">
        <v>776</v>
      </c>
      <c r="G166" s="336" t="s">
        <v>777</v>
      </c>
      <c r="H166" s="383">
        <v>42727</v>
      </c>
      <c r="I166" s="392" t="s">
        <v>11</v>
      </c>
      <c r="J166" s="390" t="s">
        <v>152</v>
      </c>
      <c r="K166" s="351" t="s">
        <v>561</v>
      </c>
      <c r="L166" s="351" t="s">
        <v>768</v>
      </c>
      <c r="M166" s="379" t="s">
        <v>477</v>
      </c>
      <c r="N166" s="379">
        <v>2016</v>
      </c>
      <c r="O166" s="379" t="s">
        <v>778</v>
      </c>
      <c r="P166" s="351"/>
      <c r="Q166" s="351"/>
      <c r="R166" s="377">
        <v>1</v>
      </c>
      <c r="S166" s="401">
        <v>46399.199999999997</v>
      </c>
      <c r="T166" s="354">
        <v>629312349.5999999</v>
      </c>
      <c r="U166" s="313">
        <f t="shared" si="36"/>
        <v>10488539.159999998</v>
      </c>
      <c r="V166" s="316">
        <v>60</v>
      </c>
      <c r="W166" s="315">
        <v>59.999999999999993</v>
      </c>
      <c r="X166" s="314">
        <f t="shared" si="37"/>
        <v>0</v>
      </c>
      <c r="Y166" s="314">
        <f t="shared" si="38"/>
        <v>59.999999999999993</v>
      </c>
      <c r="Z166" s="317">
        <f t="shared" si="39"/>
        <v>0</v>
      </c>
      <c r="AA166" s="318">
        <v>629312349.59999979</v>
      </c>
      <c r="AB166" s="318">
        <v>1.1920928955078125E-7</v>
      </c>
      <c r="AC166" s="318">
        <f t="shared" si="43"/>
        <v>0</v>
      </c>
      <c r="AD166" s="318"/>
      <c r="AE166" s="318"/>
      <c r="AF166" s="318"/>
      <c r="AG166" s="318"/>
      <c r="AH166" s="318"/>
      <c r="AI166" s="318"/>
      <c r="AJ166" s="318"/>
      <c r="AK166" s="318"/>
      <c r="AL166" s="318"/>
      <c r="AM166" s="318"/>
      <c r="AN166" s="318"/>
      <c r="AO166" s="318"/>
      <c r="AP166" s="318">
        <f t="shared" si="40"/>
        <v>629312349.59999979</v>
      </c>
      <c r="AQ166" s="319">
        <f t="shared" si="41"/>
        <v>1.1920928955078125E-7</v>
      </c>
      <c r="AR166" s="320"/>
      <c r="AS166" s="320"/>
      <c r="AT166" s="365"/>
      <c r="AU166" s="322"/>
      <c r="AV166" s="146" t="s">
        <v>1236</v>
      </c>
      <c r="AW166" s="146">
        <f>IFERROR(VLOOKUP(G166,'[71]Detail Deprec_202501'!$D$246:$I$393,6,FALSE),0)</f>
        <v>0</v>
      </c>
      <c r="AX166" s="501">
        <f t="shared" si="44"/>
        <v>0</v>
      </c>
    </row>
    <row r="167" spans="1:50" s="753" customFormat="1" ht="12.9" customHeight="1" outlineLevel="1">
      <c r="A167" s="730">
        <f t="shared" si="42"/>
        <v>142</v>
      </c>
      <c r="B167" s="764" t="s">
        <v>142</v>
      </c>
      <c r="C167" s="765" t="s">
        <v>474</v>
      </c>
      <c r="D167" s="733">
        <v>155</v>
      </c>
      <c r="E167" s="733" t="s">
        <v>1711</v>
      </c>
      <c r="F167" s="764" t="s">
        <v>779</v>
      </c>
      <c r="G167" s="764" t="s">
        <v>780</v>
      </c>
      <c r="H167" s="758">
        <v>42727</v>
      </c>
      <c r="I167" s="735" t="s">
        <v>11</v>
      </c>
      <c r="J167" s="770" t="s">
        <v>152</v>
      </c>
      <c r="K167" s="759" t="s">
        <v>561</v>
      </c>
      <c r="L167" s="759" t="s">
        <v>768</v>
      </c>
      <c r="M167" s="737" t="s">
        <v>477</v>
      </c>
      <c r="N167" s="737">
        <v>2016</v>
      </c>
      <c r="O167" s="737" t="s">
        <v>781</v>
      </c>
      <c r="P167" s="759"/>
      <c r="Q167" s="759"/>
      <c r="R167" s="761">
        <v>1</v>
      </c>
      <c r="S167" s="771">
        <v>46399.199999999997</v>
      </c>
      <c r="T167" s="763">
        <v>629312349.5999999</v>
      </c>
      <c r="U167" s="741">
        <f t="shared" ref="U167:U218" si="45">+T167/V167</f>
        <v>10488539.159999998</v>
      </c>
      <c r="V167" s="744">
        <v>60</v>
      </c>
      <c r="W167" s="743">
        <v>59.999999999999993</v>
      </c>
      <c r="X167" s="742">
        <f t="shared" ref="X167:X218" si="46">+AC167/U167</f>
        <v>0</v>
      </c>
      <c r="Y167" s="742">
        <f t="shared" ref="Y167:Y218" si="47">+W167+X167</f>
        <v>59.999999999999993</v>
      </c>
      <c r="Z167" s="745">
        <f t="shared" ref="Z167:Z218" si="48">+V167-Y167</f>
        <v>0</v>
      </c>
      <c r="AA167" s="746">
        <v>629312349.59999979</v>
      </c>
      <c r="AB167" s="746">
        <v>1.1920928955078125E-7</v>
      </c>
      <c r="AC167" s="746">
        <f t="shared" si="43"/>
        <v>0</v>
      </c>
      <c r="AD167" s="746"/>
      <c r="AE167" s="746"/>
      <c r="AF167" s="746"/>
      <c r="AG167" s="746"/>
      <c r="AH167" s="746"/>
      <c r="AI167" s="746"/>
      <c r="AJ167" s="746"/>
      <c r="AK167" s="746"/>
      <c r="AL167" s="746"/>
      <c r="AM167" s="746"/>
      <c r="AN167" s="746"/>
      <c r="AO167" s="746"/>
      <c r="AP167" s="746">
        <f t="shared" ref="AP167:AP218" si="49">+AA167+AC167</f>
        <v>629312349.59999979</v>
      </c>
      <c r="AQ167" s="747">
        <f t="shared" ref="AQ167:AQ218" si="50">IF(AS167=$AS$24,((T167-AP167)*0),T167-AP167)</f>
        <v>0</v>
      </c>
      <c r="AR167" s="748"/>
      <c r="AS167" s="748" t="s">
        <v>39</v>
      </c>
      <c r="AT167" s="323"/>
      <c r="AU167" s="750">
        <v>45838</v>
      </c>
      <c r="AV167" s="751" t="s">
        <v>1236</v>
      </c>
      <c r="AW167" s="751">
        <f>IFERROR(VLOOKUP(G167,'[71]Detail Deprec_202501'!$D$246:$I$393,6,FALSE),0)</f>
        <v>0</v>
      </c>
      <c r="AX167" s="752">
        <f t="shared" si="44"/>
        <v>0</v>
      </c>
    </row>
    <row r="168" spans="1:50" ht="12.9" customHeight="1" outlineLevel="1">
      <c r="A168" s="324">
        <f t="shared" ref="A168:A231" si="51">+A167+1</f>
        <v>143</v>
      </c>
      <c r="B168" s="336" t="s">
        <v>142</v>
      </c>
      <c r="C168" s="344" t="s">
        <v>474</v>
      </c>
      <c r="D168" s="382">
        <v>155</v>
      </c>
      <c r="E168" s="382" t="s">
        <v>1711</v>
      </c>
      <c r="F168" s="336" t="s">
        <v>782</v>
      </c>
      <c r="G168" s="336" t="s">
        <v>783</v>
      </c>
      <c r="H168" s="383">
        <v>42727</v>
      </c>
      <c r="I168" s="392" t="s">
        <v>11</v>
      </c>
      <c r="J168" s="390" t="s">
        <v>152</v>
      </c>
      <c r="K168" s="351" t="s">
        <v>487</v>
      </c>
      <c r="L168" s="351" t="s">
        <v>768</v>
      </c>
      <c r="M168" s="379" t="s">
        <v>477</v>
      </c>
      <c r="N168" s="379">
        <v>2016</v>
      </c>
      <c r="O168" s="379" t="s">
        <v>784</v>
      </c>
      <c r="P168" s="351"/>
      <c r="Q168" s="351"/>
      <c r="R168" s="377">
        <v>1</v>
      </c>
      <c r="S168" s="401">
        <v>46399.199999999997</v>
      </c>
      <c r="T168" s="354">
        <v>629312349.5999999</v>
      </c>
      <c r="U168" s="313">
        <f t="shared" si="45"/>
        <v>10488539.159999998</v>
      </c>
      <c r="V168" s="316">
        <v>60</v>
      </c>
      <c r="W168" s="315">
        <v>59.999999999999993</v>
      </c>
      <c r="X168" s="314">
        <f t="shared" si="46"/>
        <v>0</v>
      </c>
      <c r="Y168" s="314">
        <f t="shared" si="47"/>
        <v>59.999999999999993</v>
      </c>
      <c r="Z168" s="317">
        <f t="shared" si="48"/>
        <v>0</v>
      </c>
      <c r="AA168" s="318">
        <v>629312349.59999979</v>
      </c>
      <c r="AB168" s="318">
        <v>1.1920928955078125E-7</v>
      </c>
      <c r="AC168" s="318">
        <f t="shared" si="43"/>
        <v>0</v>
      </c>
      <c r="AD168" s="318"/>
      <c r="AE168" s="318"/>
      <c r="AF168" s="318"/>
      <c r="AG168" s="318"/>
      <c r="AH168" s="318"/>
      <c r="AI168" s="318"/>
      <c r="AJ168" s="318"/>
      <c r="AK168" s="318"/>
      <c r="AL168" s="318"/>
      <c r="AM168" s="318"/>
      <c r="AN168" s="318"/>
      <c r="AO168" s="318"/>
      <c r="AP168" s="318">
        <f t="shared" si="49"/>
        <v>629312349.59999979</v>
      </c>
      <c r="AQ168" s="319">
        <f t="shared" si="50"/>
        <v>1.1920928955078125E-7</v>
      </c>
      <c r="AR168" s="320"/>
      <c r="AS168" s="320"/>
      <c r="AT168" s="365"/>
      <c r="AU168" s="322"/>
      <c r="AV168" s="146" t="s">
        <v>1236</v>
      </c>
      <c r="AW168" s="146">
        <f>IFERROR(VLOOKUP(G168,'[71]Detail Deprec_202501'!$D$246:$I$393,6,FALSE),0)</f>
        <v>0</v>
      </c>
      <c r="AX168" s="501">
        <f t="shared" si="44"/>
        <v>0</v>
      </c>
    </row>
    <row r="169" spans="1:50" ht="12.9" customHeight="1" outlineLevel="1">
      <c r="A169" s="324">
        <f t="shared" si="51"/>
        <v>144</v>
      </c>
      <c r="B169" s="336" t="s">
        <v>142</v>
      </c>
      <c r="C169" s="344" t="s">
        <v>474</v>
      </c>
      <c r="D169" s="382">
        <v>155</v>
      </c>
      <c r="E169" s="382" t="s">
        <v>1711</v>
      </c>
      <c r="F169" s="336" t="s">
        <v>785</v>
      </c>
      <c r="G169" s="336" t="s">
        <v>786</v>
      </c>
      <c r="H169" s="383">
        <v>42727</v>
      </c>
      <c r="I169" s="392" t="s">
        <v>11</v>
      </c>
      <c r="J169" s="390" t="s">
        <v>152</v>
      </c>
      <c r="K169" s="351" t="s">
        <v>487</v>
      </c>
      <c r="L169" s="351" t="s">
        <v>768</v>
      </c>
      <c r="M169" s="379" t="s">
        <v>477</v>
      </c>
      <c r="N169" s="379">
        <v>2016</v>
      </c>
      <c r="O169" s="379" t="s">
        <v>787</v>
      </c>
      <c r="P169" s="351"/>
      <c r="Q169" s="351"/>
      <c r="R169" s="377">
        <v>1</v>
      </c>
      <c r="S169" s="401">
        <v>46399.199999999997</v>
      </c>
      <c r="T169" s="354">
        <v>629312349.5999999</v>
      </c>
      <c r="U169" s="313">
        <f t="shared" si="45"/>
        <v>10488539.159999998</v>
      </c>
      <c r="V169" s="316">
        <v>60</v>
      </c>
      <c r="W169" s="315">
        <v>59.999999999999993</v>
      </c>
      <c r="X169" s="314">
        <f t="shared" si="46"/>
        <v>0</v>
      </c>
      <c r="Y169" s="314">
        <f t="shared" si="47"/>
        <v>59.999999999999993</v>
      </c>
      <c r="Z169" s="317">
        <f t="shared" si="48"/>
        <v>0</v>
      </c>
      <c r="AA169" s="318">
        <v>629312349.59999979</v>
      </c>
      <c r="AB169" s="318">
        <v>1.1920928955078125E-7</v>
      </c>
      <c r="AC169" s="318">
        <f t="shared" si="43"/>
        <v>0</v>
      </c>
      <c r="AD169" s="318"/>
      <c r="AE169" s="318"/>
      <c r="AF169" s="318"/>
      <c r="AG169" s="318"/>
      <c r="AH169" s="318"/>
      <c r="AI169" s="318"/>
      <c r="AJ169" s="318"/>
      <c r="AK169" s="318"/>
      <c r="AL169" s="318"/>
      <c r="AM169" s="318"/>
      <c r="AN169" s="318"/>
      <c r="AO169" s="318"/>
      <c r="AP169" s="318">
        <f t="shared" si="49"/>
        <v>629312349.59999979</v>
      </c>
      <c r="AQ169" s="319">
        <f t="shared" si="50"/>
        <v>1.1920928955078125E-7</v>
      </c>
      <c r="AR169" s="320"/>
      <c r="AS169" s="320"/>
      <c r="AT169" s="365"/>
      <c r="AU169" s="322"/>
      <c r="AV169" s="146" t="s">
        <v>1236</v>
      </c>
      <c r="AW169" s="146">
        <f>IFERROR(VLOOKUP(G169,'[71]Detail Deprec_202501'!$D$246:$I$393,6,FALSE),0)</f>
        <v>0</v>
      </c>
      <c r="AX169" s="501">
        <f t="shared" si="44"/>
        <v>0</v>
      </c>
    </row>
    <row r="170" spans="1:50" ht="12.9" customHeight="1" outlineLevel="1">
      <c r="A170" s="324">
        <f t="shared" si="51"/>
        <v>145</v>
      </c>
      <c r="B170" s="336" t="s">
        <v>142</v>
      </c>
      <c r="C170" s="344" t="s">
        <v>474</v>
      </c>
      <c r="D170" s="382">
        <v>155</v>
      </c>
      <c r="E170" s="382" t="s">
        <v>1711</v>
      </c>
      <c r="F170" s="336" t="s">
        <v>788</v>
      </c>
      <c r="G170" s="336" t="s">
        <v>789</v>
      </c>
      <c r="H170" s="383">
        <v>42727</v>
      </c>
      <c r="I170" s="392" t="s">
        <v>11</v>
      </c>
      <c r="J170" s="390" t="s">
        <v>152</v>
      </c>
      <c r="K170" s="351" t="s">
        <v>487</v>
      </c>
      <c r="L170" s="351" t="s">
        <v>768</v>
      </c>
      <c r="M170" s="379" t="s">
        <v>477</v>
      </c>
      <c r="N170" s="379">
        <v>2016</v>
      </c>
      <c r="O170" s="379" t="s">
        <v>790</v>
      </c>
      <c r="P170" s="351"/>
      <c r="Q170" s="351"/>
      <c r="R170" s="377">
        <v>1</v>
      </c>
      <c r="S170" s="401">
        <v>46399.199999999997</v>
      </c>
      <c r="T170" s="354">
        <v>629312349.5999999</v>
      </c>
      <c r="U170" s="313">
        <f t="shared" si="45"/>
        <v>10488539.159999998</v>
      </c>
      <c r="V170" s="316">
        <v>60</v>
      </c>
      <c r="W170" s="315">
        <v>59.999999999999993</v>
      </c>
      <c r="X170" s="314">
        <f t="shared" si="46"/>
        <v>0</v>
      </c>
      <c r="Y170" s="314">
        <f t="shared" si="47"/>
        <v>59.999999999999993</v>
      </c>
      <c r="Z170" s="317">
        <f t="shared" si="48"/>
        <v>0</v>
      </c>
      <c r="AA170" s="318">
        <v>629312349.59999979</v>
      </c>
      <c r="AB170" s="318">
        <v>1.1920928955078125E-7</v>
      </c>
      <c r="AC170" s="318">
        <f t="shared" si="43"/>
        <v>0</v>
      </c>
      <c r="AD170" s="318"/>
      <c r="AE170" s="318"/>
      <c r="AF170" s="318"/>
      <c r="AG170" s="318"/>
      <c r="AH170" s="318"/>
      <c r="AI170" s="318"/>
      <c r="AJ170" s="318"/>
      <c r="AK170" s="318"/>
      <c r="AL170" s="318"/>
      <c r="AM170" s="318"/>
      <c r="AN170" s="318"/>
      <c r="AO170" s="318"/>
      <c r="AP170" s="318">
        <f t="shared" si="49"/>
        <v>629312349.59999979</v>
      </c>
      <c r="AQ170" s="319">
        <f t="shared" si="50"/>
        <v>1.1920928955078125E-7</v>
      </c>
      <c r="AR170" s="320"/>
      <c r="AS170" s="320"/>
      <c r="AT170" s="365"/>
      <c r="AU170" s="322"/>
      <c r="AV170" s="146" t="s">
        <v>1236</v>
      </c>
      <c r="AW170" s="146">
        <f>IFERROR(VLOOKUP(G170,'[71]Detail Deprec_202501'!$D$246:$I$393,6,FALSE),0)</f>
        <v>0</v>
      </c>
      <c r="AX170" s="501">
        <f t="shared" si="44"/>
        <v>0</v>
      </c>
    </row>
    <row r="171" spans="1:50" ht="12.9" customHeight="1" outlineLevel="1">
      <c r="A171" s="324">
        <f t="shared" si="51"/>
        <v>146</v>
      </c>
      <c r="B171" s="336" t="s">
        <v>142</v>
      </c>
      <c r="C171" s="344" t="s">
        <v>474</v>
      </c>
      <c r="D171" s="382">
        <v>155</v>
      </c>
      <c r="E171" s="382" t="s">
        <v>1711</v>
      </c>
      <c r="F171" s="336" t="s">
        <v>791</v>
      </c>
      <c r="G171" s="336" t="s">
        <v>792</v>
      </c>
      <c r="H171" s="383">
        <v>42727</v>
      </c>
      <c r="I171" s="392" t="s">
        <v>11</v>
      </c>
      <c r="J171" s="390" t="s">
        <v>152</v>
      </c>
      <c r="K171" s="351" t="s">
        <v>487</v>
      </c>
      <c r="L171" s="351" t="s">
        <v>768</v>
      </c>
      <c r="M171" s="379" t="s">
        <v>477</v>
      </c>
      <c r="N171" s="379">
        <v>2016</v>
      </c>
      <c r="O171" s="379" t="s">
        <v>793</v>
      </c>
      <c r="P171" s="351"/>
      <c r="Q171" s="351"/>
      <c r="R171" s="377">
        <v>1</v>
      </c>
      <c r="S171" s="401">
        <v>46399.199999999997</v>
      </c>
      <c r="T171" s="354">
        <v>629312349.5999999</v>
      </c>
      <c r="U171" s="313">
        <f t="shared" si="45"/>
        <v>10488539.159999998</v>
      </c>
      <c r="V171" s="316">
        <v>60</v>
      </c>
      <c r="W171" s="315">
        <v>59.999999999999993</v>
      </c>
      <c r="X171" s="314">
        <f t="shared" si="46"/>
        <v>0</v>
      </c>
      <c r="Y171" s="314">
        <f t="shared" si="47"/>
        <v>59.999999999999993</v>
      </c>
      <c r="Z171" s="317">
        <f t="shared" si="48"/>
        <v>0</v>
      </c>
      <c r="AA171" s="318">
        <v>629312349.59999979</v>
      </c>
      <c r="AB171" s="318">
        <v>1.1920928955078125E-7</v>
      </c>
      <c r="AC171" s="318">
        <f t="shared" si="43"/>
        <v>0</v>
      </c>
      <c r="AD171" s="318"/>
      <c r="AE171" s="318"/>
      <c r="AF171" s="318"/>
      <c r="AG171" s="318"/>
      <c r="AH171" s="318"/>
      <c r="AI171" s="318"/>
      <c r="AJ171" s="318"/>
      <c r="AK171" s="318"/>
      <c r="AL171" s="318"/>
      <c r="AM171" s="318"/>
      <c r="AN171" s="318"/>
      <c r="AO171" s="318"/>
      <c r="AP171" s="318">
        <f t="shared" si="49"/>
        <v>629312349.59999979</v>
      </c>
      <c r="AQ171" s="319">
        <f t="shared" si="50"/>
        <v>1.1920928955078125E-7</v>
      </c>
      <c r="AR171" s="320"/>
      <c r="AS171" s="320"/>
      <c r="AT171" s="365"/>
      <c r="AU171" s="322"/>
      <c r="AV171" s="146" t="s">
        <v>1236</v>
      </c>
      <c r="AW171" s="146">
        <f>IFERROR(VLOOKUP(G171,'[71]Detail Deprec_202501'!$D$246:$I$393,6,FALSE),0)</f>
        <v>0</v>
      </c>
      <c r="AX171" s="501">
        <f t="shared" si="44"/>
        <v>0</v>
      </c>
    </row>
    <row r="172" spans="1:50" ht="12.9" customHeight="1" outlineLevel="1">
      <c r="A172" s="324">
        <f t="shared" si="51"/>
        <v>147</v>
      </c>
      <c r="B172" s="336" t="s">
        <v>142</v>
      </c>
      <c r="C172" s="344" t="s">
        <v>474</v>
      </c>
      <c r="D172" s="382">
        <v>155</v>
      </c>
      <c r="E172" s="382" t="s">
        <v>1711</v>
      </c>
      <c r="F172" s="336" t="s">
        <v>794</v>
      </c>
      <c r="G172" s="336" t="s">
        <v>795</v>
      </c>
      <c r="H172" s="383">
        <v>42727</v>
      </c>
      <c r="I172" s="392" t="s">
        <v>11</v>
      </c>
      <c r="J172" s="390" t="s">
        <v>152</v>
      </c>
      <c r="K172" s="351" t="s">
        <v>487</v>
      </c>
      <c r="L172" s="351" t="s">
        <v>768</v>
      </c>
      <c r="M172" s="379" t="s">
        <v>477</v>
      </c>
      <c r="N172" s="379">
        <v>2016</v>
      </c>
      <c r="O172" s="379" t="s">
        <v>796</v>
      </c>
      <c r="P172" s="351"/>
      <c r="Q172" s="351"/>
      <c r="R172" s="377">
        <v>1</v>
      </c>
      <c r="S172" s="401">
        <v>46399.199999999997</v>
      </c>
      <c r="T172" s="354">
        <v>629312349.5999999</v>
      </c>
      <c r="U172" s="313">
        <f t="shared" si="45"/>
        <v>10488539.159999998</v>
      </c>
      <c r="V172" s="316">
        <v>60</v>
      </c>
      <c r="W172" s="315">
        <v>59.999999999999993</v>
      </c>
      <c r="X172" s="314">
        <f t="shared" si="46"/>
        <v>0</v>
      </c>
      <c r="Y172" s="314">
        <f t="shared" si="47"/>
        <v>59.999999999999993</v>
      </c>
      <c r="Z172" s="317">
        <f t="shared" si="48"/>
        <v>0</v>
      </c>
      <c r="AA172" s="318">
        <v>629312349.59999979</v>
      </c>
      <c r="AB172" s="318">
        <v>1.1920928955078125E-7</v>
      </c>
      <c r="AC172" s="318">
        <f t="shared" si="43"/>
        <v>0</v>
      </c>
      <c r="AD172" s="318"/>
      <c r="AE172" s="318"/>
      <c r="AF172" s="318"/>
      <c r="AG172" s="318"/>
      <c r="AH172" s="318"/>
      <c r="AI172" s="318"/>
      <c r="AJ172" s="318"/>
      <c r="AK172" s="318"/>
      <c r="AL172" s="318"/>
      <c r="AM172" s="318"/>
      <c r="AN172" s="318"/>
      <c r="AO172" s="318"/>
      <c r="AP172" s="318">
        <f t="shared" si="49"/>
        <v>629312349.59999979</v>
      </c>
      <c r="AQ172" s="319">
        <f t="shared" si="50"/>
        <v>1.1920928955078125E-7</v>
      </c>
      <c r="AR172" s="320"/>
      <c r="AS172" s="320"/>
      <c r="AT172" s="365"/>
      <c r="AU172" s="322"/>
      <c r="AV172" s="146" t="s">
        <v>1236</v>
      </c>
      <c r="AW172" s="146">
        <f>IFERROR(VLOOKUP(G172,'[71]Detail Deprec_202501'!$D$246:$I$393,6,FALSE),0)</f>
        <v>0</v>
      </c>
      <c r="AX172" s="501">
        <f t="shared" si="44"/>
        <v>0</v>
      </c>
    </row>
    <row r="173" spans="1:50" ht="12.9" customHeight="1" outlineLevel="1">
      <c r="A173" s="324">
        <f t="shared" si="51"/>
        <v>148</v>
      </c>
      <c r="B173" s="336" t="s">
        <v>142</v>
      </c>
      <c r="C173" s="344" t="s">
        <v>474</v>
      </c>
      <c r="D173" s="382">
        <v>155</v>
      </c>
      <c r="E173" s="382" t="s">
        <v>1711</v>
      </c>
      <c r="F173" s="336" t="s">
        <v>797</v>
      </c>
      <c r="G173" s="336" t="s">
        <v>798</v>
      </c>
      <c r="H173" s="383">
        <v>42788</v>
      </c>
      <c r="I173" s="392" t="s">
        <v>11</v>
      </c>
      <c r="J173" s="390" t="s">
        <v>749</v>
      </c>
      <c r="K173" s="351" t="s">
        <v>298</v>
      </c>
      <c r="L173" s="351" t="s">
        <v>799</v>
      </c>
      <c r="M173" s="379" t="s">
        <v>296</v>
      </c>
      <c r="N173" s="379">
        <v>2017</v>
      </c>
      <c r="O173" s="379" t="s">
        <v>800</v>
      </c>
      <c r="P173" s="351"/>
      <c r="Q173" s="351"/>
      <c r="R173" s="377">
        <v>1</v>
      </c>
      <c r="S173" s="418"/>
      <c r="T173" s="419">
        <v>205000000</v>
      </c>
      <c r="U173" s="411">
        <f t="shared" si="45"/>
        <v>3416666.6666666665</v>
      </c>
      <c r="V173" s="316">
        <v>60</v>
      </c>
      <c r="W173" s="315">
        <v>60.000000000000014</v>
      </c>
      <c r="X173" s="412">
        <f t="shared" si="46"/>
        <v>0</v>
      </c>
      <c r="Y173" s="412">
        <f t="shared" si="47"/>
        <v>60.000000000000014</v>
      </c>
      <c r="Z173" s="317">
        <f t="shared" si="48"/>
        <v>0</v>
      </c>
      <c r="AA173" s="413">
        <v>205000000.00000003</v>
      </c>
      <c r="AB173" s="413">
        <v>-2.9802322387695313E-8</v>
      </c>
      <c r="AC173" s="318">
        <f t="shared" ref="AC173:AC197" si="52">SUM(AD173:AL173)</f>
        <v>0</v>
      </c>
      <c r="AD173" s="413"/>
      <c r="AE173" s="413"/>
      <c r="AF173" s="413"/>
      <c r="AG173" s="413"/>
      <c r="AH173" s="413"/>
      <c r="AI173" s="413"/>
      <c r="AJ173" s="413"/>
      <c r="AK173" s="413"/>
      <c r="AL173" s="413"/>
      <c r="AM173" s="413"/>
      <c r="AN173" s="413"/>
      <c r="AO173" s="413"/>
      <c r="AP173" s="318">
        <f t="shared" si="49"/>
        <v>205000000.00000003</v>
      </c>
      <c r="AQ173" s="414">
        <f t="shared" si="50"/>
        <v>-2.9802322387695313E-8</v>
      </c>
      <c r="AR173" s="415"/>
      <c r="AS173" s="415"/>
      <c r="AT173" s="416"/>
      <c r="AU173" s="405"/>
      <c r="AV173" s="146" t="s">
        <v>1236</v>
      </c>
      <c r="AW173" s="146">
        <f>IFERROR(VLOOKUP(G173,'[71]Detail Deprec_202501'!$D$246:$I$393,6,FALSE),0)</f>
        <v>0</v>
      </c>
      <c r="AX173" s="501">
        <f t="shared" si="44"/>
        <v>0</v>
      </c>
    </row>
    <row r="174" spans="1:50" ht="12.9" customHeight="1" outlineLevel="1">
      <c r="A174" s="324">
        <f t="shared" si="51"/>
        <v>149</v>
      </c>
      <c r="B174" s="336" t="s">
        <v>142</v>
      </c>
      <c r="C174" s="344" t="s">
        <v>474</v>
      </c>
      <c r="D174" s="382">
        <v>155</v>
      </c>
      <c r="E174" s="382" t="s">
        <v>1711</v>
      </c>
      <c r="F174" s="336" t="s">
        <v>801</v>
      </c>
      <c r="G174" s="336" t="s">
        <v>802</v>
      </c>
      <c r="H174" s="383">
        <v>42788</v>
      </c>
      <c r="I174" s="392" t="s">
        <v>11</v>
      </c>
      <c r="J174" s="390" t="s">
        <v>749</v>
      </c>
      <c r="K174" s="351" t="s">
        <v>298</v>
      </c>
      <c r="L174" s="351" t="s">
        <v>799</v>
      </c>
      <c r="M174" s="379" t="s">
        <v>296</v>
      </c>
      <c r="N174" s="379">
        <v>2017</v>
      </c>
      <c r="O174" s="379" t="s">
        <v>800</v>
      </c>
      <c r="P174" s="351"/>
      <c r="Q174" s="351"/>
      <c r="R174" s="377">
        <v>1</v>
      </c>
      <c r="S174" s="418"/>
      <c r="T174" s="419">
        <v>205000000</v>
      </c>
      <c r="U174" s="411">
        <f t="shared" si="45"/>
        <v>3416666.6666666665</v>
      </c>
      <c r="V174" s="316">
        <v>60</v>
      </c>
      <c r="W174" s="315">
        <v>60.000000000000014</v>
      </c>
      <c r="X174" s="412">
        <f t="shared" si="46"/>
        <v>0</v>
      </c>
      <c r="Y174" s="412">
        <f t="shared" si="47"/>
        <v>60.000000000000014</v>
      </c>
      <c r="Z174" s="317">
        <f t="shared" si="48"/>
        <v>0</v>
      </c>
      <c r="AA174" s="413">
        <v>205000000.00000003</v>
      </c>
      <c r="AB174" s="413">
        <v>-2.9802322387695313E-8</v>
      </c>
      <c r="AC174" s="318">
        <f t="shared" si="52"/>
        <v>0</v>
      </c>
      <c r="AD174" s="413"/>
      <c r="AE174" s="413"/>
      <c r="AF174" s="413"/>
      <c r="AG174" s="413"/>
      <c r="AH174" s="413"/>
      <c r="AI174" s="413"/>
      <c r="AJ174" s="413"/>
      <c r="AK174" s="413"/>
      <c r="AL174" s="413"/>
      <c r="AM174" s="413"/>
      <c r="AN174" s="413"/>
      <c r="AO174" s="413"/>
      <c r="AP174" s="318">
        <f t="shared" si="49"/>
        <v>205000000.00000003</v>
      </c>
      <c r="AQ174" s="414">
        <f t="shared" si="50"/>
        <v>-2.9802322387695313E-8</v>
      </c>
      <c r="AR174" s="415"/>
      <c r="AS174" s="415"/>
      <c r="AT174" s="416"/>
      <c r="AU174" s="405"/>
      <c r="AV174" s="146" t="s">
        <v>1236</v>
      </c>
      <c r="AW174" s="146">
        <f>IFERROR(VLOOKUP(G174,'[71]Detail Deprec_202501'!$D$246:$I$393,6,FALSE),0)</f>
        <v>0</v>
      </c>
      <c r="AX174" s="501">
        <f t="shared" si="44"/>
        <v>0</v>
      </c>
    </row>
    <row r="175" spans="1:50" ht="12.9" customHeight="1" outlineLevel="1">
      <c r="A175" s="324">
        <f t="shared" si="51"/>
        <v>150</v>
      </c>
      <c r="B175" s="336" t="s">
        <v>142</v>
      </c>
      <c r="C175" s="344" t="s">
        <v>474</v>
      </c>
      <c r="D175" s="382">
        <v>155</v>
      </c>
      <c r="E175" s="382" t="s">
        <v>1711</v>
      </c>
      <c r="F175" s="336" t="s">
        <v>803</v>
      </c>
      <c r="G175" s="336" t="s">
        <v>804</v>
      </c>
      <c r="H175" s="383">
        <v>42809</v>
      </c>
      <c r="I175" s="392" t="s">
        <v>11</v>
      </c>
      <c r="J175" s="390" t="s">
        <v>227</v>
      </c>
      <c r="K175" s="351" t="s">
        <v>601</v>
      </c>
      <c r="L175" s="351" t="s">
        <v>799</v>
      </c>
      <c r="M175" s="379" t="s">
        <v>477</v>
      </c>
      <c r="N175" s="379">
        <v>2017</v>
      </c>
      <c r="O175" s="379" t="s">
        <v>805</v>
      </c>
      <c r="P175" s="351" t="s">
        <v>806</v>
      </c>
      <c r="Q175" s="351"/>
      <c r="R175" s="377">
        <v>1</v>
      </c>
      <c r="S175" s="410"/>
      <c r="T175" s="419">
        <v>95000000</v>
      </c>
      <c r="U175" s="411">
        <f t="shared" si="45"/>
        <v>1583333.3333333333</v>
      </c>
      <c r="V175" s="316">
        <v>60</v>
      </c>
      <c r="W175" s="315">
        <v>60.000000000000014</v>
      </c>
      <c r="X175" s="412">
        <f t="shared" si="46"/>
        <v>0</v>
      </c>
      <c r="Y175" s="412">
        <f t="shared" si="47"/>
        <v>60.000000000000014</v>
      </c>
      <c r="Z175" s="317">
        <f t="shared" si="48"/>
        <v>0</v>
      </c>
      <c r="AA175" s="413">
        <v>95000000.000000015</v>
      </c>
      <c r="AB175" s="413">
        <v>-1.4901161193847656E-8</v>
      </c>
      <c r="AC175" s="318">
        <f t="shared" si="52"/>
        <v>0</v>
      </c>
      <c r="AD175" s="413"/>
      <c r="AE175" s="413"/>
      <c r="AF175" s="413"/>
      <c r="AG175" s="413"/>
      <c r="AH175" s="413"/>
      <c r="AI175" s="413"/>
      <c r="AJ175" s="413"/>
      <c r="AK175" s="413"/>
      <c r="AL175" s="413"/>
      <c r="AM175" s="413"/>
      <c r="AN175" s="413"/>
      <c r="AO175" s="413"/>
      <c r="AP175" s="318">
        <f t="shared" si="49"/>
        <v>95000000.000000015</v>
      </c>
      <c r="AQ175" s="414">
        <f t="shared" si="50"/>
        <v>-1.4901161193847656E-8</v>
      </c>
      <c r="AR175" s="415"/>
      <c r="AS175" s="415"/>
      <c r="AT175" s="416"/>
      <c r="AU175" s="405"/>
      <c r="AV175" s="146" t="s">
        <v>1236</v>
      </c>
      <c r="AW175" s="146">
        <f>IFERROR(VLOOKUP(G175,'[71]Detail Deprec_202501'!$D$246:$I$393,6,FALSE),0)</f>
        <v>0</v>
      </c>
      <c r="AX175" s="501">
        <f t="shared" si="44"/>
        <v>0</v>
      </c>
    </row>
    <row r="176" spans="1:50" ht="12.9" customHeight="1" outlineLevel="1">
      <c r="A176" s="324">
        <f t="shared" si="51"/>
        <v>151</v>
      </c>
      <c r="B176" s="336" t="s">
        <v>142</v>
      </c>
      <c r="C176" s="344" t="s">
        <v>474</v>
      </c>
      <c r="D176" s="382">
        <v>155</v>
      </c>
      <c r="E176" s="382" t="s">
        <v>1711</v>
      </c>
      <c r="F176" s="336" t="s">
        <v>807</v>
      </c>
      <c r="G176" s="336" t="s">
        <v>808</v>
      </c>
      <c r="H176" s="383">
        <v>43038</v>
      </c>
      <c r="I176" s="392" t="s">
        <v>11</v>
      </c>
      <c r="J176" s="379">
        <v>24</v>
      </c>
      <c r="K176" s="351" t="s">
        <v>809</v>
      </c>
      <c r="L176" s="351" t="s">
        <v>758</v>
      </c>
      <c r="M176" s="379" t="s">
        <v>477</v>
      </c>
      <c r="N176" s="379">
        <v>2017</v>
      </c>
      <c r="O176" s="379" t="s">
        <v>810</v>
      </c>
      <c r="P176" s="351"/>
      <c r="Q176" s="351" t="s">
        <v>811</v>
      </c>
      <c r="R176" s="377">
        <v>1</v>
      </c>
      <c r="S176" s="400"/>
      <c r="T176" s="354">
        <v>675000000</v>
      </c>
      <c r="U176" s="313">
        <f t="shared" si="45"/>
        <v>11250000</v>
      </c>
      <c r="V176" s="316">
        <v>60</v>
      </c>
      <c r="W176" s="315">
        <v>60</v>
      </c>
      <c r="X176" s="314">
        <f t="shared" si="46"/>
        <v>0</v>
      </c>
      <c r="Y176" s="314">
        <f t="shared" si="47"/>
        <v>60</v>
      </c>
      <c r="Z176" s="317">
        <f t="shared" si="48"/>
        <v>0</v>
      </c>
      <c r="AA176" s="318">
        <v>675000000</v>
      </c>
      <c r="AB176" s="318">
        <v>0</v>
      </c>
      <c r="AC176" s="318">
        <f t="shared" si="52"/>
        <v>0</v>
      </c>
      <c r="AD176" s="318"/>
      <c r="AE176" s="318"/>
      <c r="AF176" s="318"/>
      <c r="AG176" s="318"/>
      <c r="AH176" s="318"/>
      <c r="AI176" s="318"/>
      <c r="AJ176" s="318"/>
      <c r="AK176" s="318"/>
      <c r="AL176" s="318"/>
      <c r="AM176" s="318"/>
      <c r="AN176" s="318"/>
      <c r="AO176" s="318"/>
      <c r="AP176" s="318">
        <f t="shared" si="49"/>
        <v>675000000</v>
      </c>
      <c r="AQ176" s="319">
        <f t="shared" si="50"/>
        <v>0</v>
      </c>
      <c r="AR176" s="320"/>
      <c r="AS176" s="320"/>
      <c r="AT176" s="365"/>
      <c r="AU176" s="322"/>
      <c r="AV176" s="146" t="s">
        <v>1236</v>
      </c>
      <c r="AW176" s="146">
        <f>IFERROR(VLOOKUP(G176,'[71]Detail Deprec_202501'!$D$246:$I$393,6,FALSE),0)</f>
        <v>0</v>
      </c>
      <c r="AX176" s="501">
        <f t="shared" si="44"/>
        <v>0</v>
      </c>
    </row>
    <row r="177" spans="1:50" ht="12.9" customHeight="1" outlineLevel="1">
      <c r="A177" s="324">
        <f t="shared" si="51"/>
        <v>152</v>
      </c>
      <c r="B177" s="336" t="s">
        <v>142</v>
      </c>
      <c r="C177" s="344" t="s">
        <v>474</v>
      </c>
      <c r="D177" s="382">
        <v>155</v>
      </c>
      <c r="E177" s="382" t="s">
        <v>1711</v>
      </c>
      <c r="F177" s="336" t="s">
        <v>520</v>
      </c>
      <c r="G177" s="336" t="s">
        <v>812</v>
      </c>
      <c r="H177" s="383">
        <v>43038</v>
      </c>
      <c r="I177" s="392" t="s">
        <v>11</v>
      </c>
      <c r="J177" s="379">
        <v>25</v>
      </c>
      <c r="K177" s="351" t="s">
        <v>813</v>
      </c>
      <c r="L177" s="351" t="s">
        <v>814</v>
      </c>
      <c r="M177" s="379" t="s">
        <v>477</v>
      </c>
      <c r="N177" s="379">
        <v>2017</v>
      </c>
      <c r="O177" s="379" t="s">
        <v>523</v>
      </c>
      <c r="P177" s="351"/>
      <c r="Q177" s="351" t="s">
        <v>815</v>
      </c>
      <c r="R177" s="377">
        <v>1</v>
      </c>
      <c r="S177" s="400"/>
      <c r="T177" s="354">
        <v>189500000</v>
      </c>
      <c r="U177" s="313">
        <f t="shared" si="45"/>
        <v>3158333.3333333335</v>
      </c>
      <c r="V177" s="316">
        <v>60</v>
      </c>
      <c r="W177" s="315">
        <v>60</v>
      </c>
      <c r="X177" s="314">
        <f t="shared" si="46"/>
        <v>0</v>
      </c>
      <c r="Y177" s="314">
        <f t="shared" si="47"/>
        <v>60</v>
      </c>
      <c r="Z177" s="317">
        <f t="shared" si="48"/>
        <v>0</v>
      </c>
      <c r="AA177" s="318">
        <v>189500000</v>
      </c>
      <c r="AB177" s="318">
        <v>0</v>
      </c>
      <c r="AC177" s="318">
        <f t="shared" si="52"/>
        <v>0</v>
      </c>
      <c r="AD177" s="318"/>
      <c r="AE177" s="318"/>
      <c r="AF177" s="318"/>
      <c r="AG177" s="318"/>
      <c r="AH177" s="318"/>
      <c r="AI177" s="318"/>
      <c r="AJ177" s="318"/>
      <c r="AK177" s="318"/>
      <c r="AL177" s="318"/>
      <c r="AM177" s="318"/>
      <c r="AN177" s="318"/>
      <c r="AO177" s="318"/>
      <c r="AP177" s="318">
        <f t="shared" si="49"/>
        <v>189500000</v>
      </c>
      <c r="AQ177" s="319">
        <f t="shared" si="50"/>
        <v>0</v>
      </c>
      <c r="AR177" s="320"/>
      <c r="AS177" s="320"/>
      <c r="AT177" s="365"/>
      <c r="AU177" s="322"/>
      <c r="AV177" s="146" t="s">
        <v>1236</v>
      </c>
      <c r="AW177" s="146">
        <f>IFERROR(VLOOKUP(G177,'[71]Detail Deprec_202501'!$D$246:$I$393,6,FALSE),0)</f>
        <v>0</v>
      </c>
      <c r="AX177" s="501">
        <f t="shared" si="44"/>
        <v>0</v>
      </c>
    </row>
    <row r="178" spans="1:50" ht="12.9" customHeight="1" outlineLevel="1">
      <c r="A178" s="324">
        <f t="shared" si="51"/>
        <v>153</v>
      </c>
      <c r="B178" s="336" t="s">
        <v>142</v>
      </c>
      <c r="C178" s="344" t="s">
        <v>474</v>
      </c>
      <c r="D178" s="382">
        <v>155</v>
      </c>
      <c r="E178" s="382" t="s">
        <v>1711</v>
      </c>
      <c r="F178" s="336" t="s">
        <v>816</v>
      </c>
      <c r="G178" s="336" t="s">
        <v>817</v>
      </c>
      <c r="H178" s="383">
        <v>43069</v>
      </c>
      <c r="I178" s="392" t="s">
        <v>11</v>
      </c>
      <c r="J178" s="390" t="s">
        <v>651</v>
      </c>
      <c r="K178" s="351" t="s">
        <v>818</v>
      </c>
      <c r="L178" s="351" t="s">
        <v>758</v>
      </c>
      <c r="M178" s="379" t="s">
        <v>477</v>
      </c>
      <c r="N178" s="379">
        <v>2017</v>
      </c>
      <c r="O178" s="379" t="s">
        <v>819</v>
      </c>
      <c r="P178" s="351"/>
      <c r="Q178" s="351"/>
      <c r="R178" s="377">
        <v>1</v>
      </c>
      <c r="S178" s="400"/>
      <c r="T178" s="354">
        <v>675000000</v>
      </c>
      <c r="U178" s="313">
        <f t="shared" si="45"/>
        <v>11250000</v>
      </c>
      <c r="V178" s="316">
        <v>60</v>
      </c>
      <c r="W178" s="315">
        <v>60</v>
      </c>
      <c r="X178" s="314">
        <f t="shared" si="46"/>
        <v>0</v>
      </c>
      <c r="Y178" s="314">
        <f t="shared" si="47"/>
        <v>60</v>
      </c>
      <c r="Z178" s="317">
        <f t="shared" si="48"/>
        <v>0</v>
      </c>
      <c r="AA178" s="318">
        <v>675000000</v>
      </c>
      <c r="AB178" s="318">
        <v>0</v>
      </c>
      <c r="AC178" s="318">
        <f t="shared" si="52"/>
        <v>0</v>
      </c>
      <c r="AD178" s="318"/>
      <c r="AE178" s="318"/>
      <c r="AF178" s="318"/>
      <c r="AG178" s="318"/>
      <c r="AH178" s="318"/>
      <c r="AI178" s="318"/>
      <c r="AJ178" s="318"/>
      <c r="AK178" s="318"/>
      <c r="AL178" s="318"/>
      <c r="AM178" s="318"/>
      <c r="AN178" s="318"/>
      <c r="AO178" s="318"/>
      <c r="AP178" s="318">
        <f t="shared" si="49"/>
        <v>675000000</v>
      </c>
      <c r="AQ178" s="319">
        <f t="shared" si="50"/>
        <v>0</v>
      </c>
      <c r="AR178" s="320"/>
      <c r="AS178" s="320"/>
      <c r="AT178" s="365"/>
      <c r="AU178" s="322"/>
      <c r="AV178" s="146" t="s">
        <v>1236</v>
      </c>
      <c r="AW178" s="146">
        <f>IFERROR(VLOOKUP(G178,'[71]Detail Deprec_202501'!$D$246:$I$393,6,FALSE),0)</f>
        <v>0</v>
      </c>
      <c r="AX178" s="501">
        <f t="shared" si="44"/>
        <v>0</v>
      </c>
    </row>
    <row r="179" spans="1:50" ht="12.9" customHeight="1" outlineLevel="1">
      <c r="A179" s="324">
        <f t="shared" si="51"/>
        <v>154</v>
      </c>
      <c r="B179" s="336" t="s">
        <v>142</v>
      </c>
      <c r="C179" s="344" t="s">
        <v>474</v>
      </c>
      <c r="D179" s="382">
        <v>155</v>
      </c>
      <c r="E179" s="382" t="s">
        <v>1711</v>
      </c>
      <c r="F179" s="336" t="s">
        <v>820</v>
      </c>
      <c r="G179" s="336" t="s">
        <v>821</v>
      </c>
      <c r="H179" s="383">
        <v>43069</v>
      </c>
      <c r="I179" s="392" t="s">
        <v>11</v>
      </c>
      <c r="J179" s="390" t="s">
        <v>651</v>
      </c>
      <c r="K179" s="351" t="s">
        <v>818</v>
      </c>
      <c r="L179" s="351" t="s">
        <v>758</v>
      </c>
      <c r="M179" s="379" t="s">
        <v>477</v>
      </c>
      <c r="N179" s="379">
        <v>2017</v>
      </c>
      <c r="O179" s="379" t="s">
        <v>822</v>
      </c>
      <c r="P179" s="351"/>
      <c r="Q179" s="351"/>
      <c r="R179" s="377">
        <v>1</v>
      </c>
      <c r="S179" s="400"/>
      <c r="T179" s="354">
        <v>675000000</v>
      </c>
      <c r="U179" s="313">
        <f t="shared" si="45"/>
        <v>11250000</v>
      </c>
      <c r="V179" s="316">
        <v>60</v>
      </c>
      <c r="W179" s="315">
        <v>60</v>
      </c>
      <c r="X179" s="314">
        <f t="shared" si="46"/>
        <v>0</v>
      </c>
      <c r="Y179" s="314">
        <f t="shared" si="47"/>
        <v>60</v>
      </c>
      <c r="Z179" s="317">
        <f t="shared" si="48"/>
        <v>0</v>
      </c>
      <c r="AA179" s="318">
        <v>675000000</v>
      </c>
      <c r="AB179" s="318">
        <v>0</v>
      </c>
      <c r="AC179" s="318">
        <f t="shared" si="52"/>
        <v>0</v>
      </c>
      <c r="AD179" s="318"/>
      <c r="AE179" s="318"/>
      <c r="AF179" s="318"/>
      <c r="AG179" s="318"/>
      <c r="AH179" s="318"/>
      <c r="AI179" s="318"/>
      <c r="AJ179" s="318"/>
      <c r="AK179" s="318"/>
      <c r="AL179" s="318"/>
      <c r="AM179" s="318"/>
      <c r="AN179" s="318"/>
      <c r="AO179" s="318"/>
      <c r="AP179" s="318">
        <f t="shared" si="49"/>
        <v>675000000</v>
      </c>
      <c r="AQ179" s="319">
        <f t="shared" si="50"/>
        <v>0</v>
      </c>
      <c r="AR179" s="320"/>
      <c r="AS179" s="320"/>
      <c r="AT179" s="365"/>
      <c r="AU179" s="322"/>
      <c r="AV179" s="146" t="s">
        <v>1236</v>
      </c>
      <c r="AW179" s="146">
        <f>IFERROR(VLOOKUP(G179,'[71]Detail Deprec_202501'!$D$246:$I$393,6,FALSE),0)</f>
        <v>0</v>
      </c>
      <c r="AX179" s="501">
        <f t="shared" si="44"/>
        <v>0</v>
      </c>
    </row>
    <row r="180" spans="1:50" ht="12.9" customHeight="1" outlineLevel="1">
      <c r="A180" s="324">
        <f t="shared" si="51"/>
        <v>155</v>
      </c>
      <c r="B180" s="336" t="s">
        <v>142</v>
      </c>
      <c r="C180" s="344" t="s">
        <v>474</v>
      </c>
      <c r="D180" s="382">
        <v>155</v>
      </c>
      <c r="E180" s="382" t="s">
        <v>1711</v>
      </c>
      <c r="F180" s="336" t="s">
        <v>807</v>
      </c>
      <c r="G180" s="336" t="s">
        <v>824</v>
      </c>
      <c r="H180" s="383">
        <v>43098</v>
      </c>
      <c r="I180" s="392" t="s">
        <v>11</v>
      </c>
      <c r="J180" s="379">
        <v>24</v>
      </c>
      <c r="K180" s="351" t="s">
        <v>825</v>
      </c>
      <c r="L180" s="351" t="s">
        <v>814</v>
      </c>
      <c r="M180" s="379" t="s">
        <v>477</v>
      </c>
      <c r="N180" s="379">
        <v>2017</v>
      </c>
      <c r="O180" s="379" t="s">
        <v>826</v>
      </c>
      <c r="P180" s="351"/>
      <c r="Q180" s="351"/>
      <c r="R180" s="377">
        <v>1</v>
      </c>
      <c r="S180" s="410"/>
      <c r="T180" s="419">
        <v>189500000</v>
      </c>
      <c r="U180" s="411">
        <f t="shared" si="45"/>
        <v>3158333.3333333335</v>
      </c>
      <c r="V180" s="316">
        <v>60</v>
      </c>
      <c r="W180" s="315">
        <v>60</v>
      </c>
      <c r="X180" s="412">
        <f t="shared" si="46"/>
        <v>0</v>
      </c>
      <c r="Y180" s="412">
        <f t="shared" si="47"/>
        <v>60</v>
      </c>
      <c r="Z180" s="317">
        <f t="shared" si="48"/>
        <v>0</v>
      </c>
      <c r="AA180" s="318">
        <v>189500000</v>
      </c>
      <c r="AB180" s="318">
        <v>0</v>
      </c>
      <c r="AC180" s="318">
        <f t="shared" si="52"/>
        <v>0</v>
      </c>
      <c r="AD180" s="318"/>
      <c r="AE180" s="318"/>
      <c r="AF180" s="318"/>
      <c r="AG180" s="318"/>
      <c r="AH180" s="318"/>
      <c r="AI180" s="318"/>
      <c r="AJ180" s="318"/>
      <c r="AK180" s="318"/>
      <c r="AL180" s="318"/>
      <c r="AM180" s="318"/>
      <c r="AN180" s="318"/>
      <c r="AO180" s="318"/>
      <c r="AP180" s="318">
        <f t="shared" si="49"/>
        <v>189500000</v>
      </c>
      <c r="AQ180" s="319">
        <f t="shared" si="50"/>
        <v>0</v>
      </c>
      <c r="AR180" s="320"/>
      <c r="AS180" s="320"/>
      <c r="AT180" s="365"/>
      <c r="AU180" s="322"/>
      <c r="AV180" s="146" t="s">
        <v>1236</v>
      </c>
      <c r="AW180" s="146">
        <f>IFERROR(VLOOKUP(G180,'[71]Detail Deprec_202501'!$D$246:$I$393,6,FALSE),0)</f>
        <v>0</v>
      </c>
      <c r="AX180" s="501">
        <f t="shared" si="44"/>
        <v>0</v>
      </c>
    </row>
    <row r="181" spans="1:50" ht="12.9" customHeight="1" outlineLevel="1">
      <c r="A181" s="324">
        <f t="shared" si="51"/>
        <v>156</v>
      </c>
      <c r="B181" s="336" t="s">
        <v>142</v>
      </c>
      <c r="C181" s="344" t="s">
        <v>474</v>
      </c>
      <c r="D181" s="382">
        <v>155</v>
      </c>
      <c r="E181" s="382" t="s">
        <v>1711</v>
      </c>
      <c r="F181" s="336" t="s">
        <v>816</v>
      </c>
      <c r="G181" s="336" t="s">
        <v>827</v>
      </c>
      <c r="H181" s="383">
        <v>43098</v>
      </c>
      <c r="I181" s="392" t="s">
        <v>11</v>
      </c>
      <c r="J181" s="379">
        <v>24</v>
      </c>
      <c r="K181" s="351" t="s">
        <v>825</v>
      </c>
      <c r="L181" s="351" t="s">
        <v>814</v>
      </c>
      <c r="M181" s="379" t="s">
        <v>477</v>
      </c>
      <c r="N181" s="379">
        <v>2017</v>
      </c>
      <c r="O181" s="379" t="s">
        <v>828</v>
      </c>
      <c r="P181" s="351"/>
      <c r="Q181" s="351"/>
      <c r="R181" s="377">
        <v>1</v>
      </c>
      <c r="S181" s="410"/>
      <c r="T181" s="419">
        <v>189500000</v>
      </c>
      <c r="U181" s="411">
        <f t="shared" si="45"/>
        <v>3158333.3333333335</v>
      </c>
      <c r="V181" s="316">
        <v>60</v>
      </c>
      <c r="W181" s="315">
        <v>60</v>
      </c>
      <c r="X181" s="412">
        <f t="shared" si="46"/>
        <v>0</v>
      </c>
      <c r="Y181" s="412">
        <f t="shared" si="47"/>
        <v>60</v>
      </c>
      <c r="Z181" s="317">
        <f t="shared" si="48"/>
        <v>0</v>
      </c>
      <c r="AA181" s="318">
        <v>189500000</v>
      </c>
      <c r="AB181" s="318">
        <v>0</v>
      </c>
      <c r="AC181" s="318">
        <f t="shared" si="52"/>
        <v>0</v>
      </c>
      <c r="AD181" s="318"/>
      <c r="AE181" s="318"/>
      <c r="AF181" s="318"/>
      <c r="AG181" s="318"/>
      <c r="AH181" s="318"/>
      <c r="AI181" s="318"/>
      <c r="AJ181" s="318"/>
      <c r="AK181" s="318"/>
      <c r="AL181" s="318"/>
      <c r="AM181" s="318"/>
      <c r="AN181" s="318"/>
      <c r="AO181" s="318"/>
      <c r="AP181" s="318">
        <f t="shared" si="49"/>
        <v>189500000</v>
      </c>
      <c r="AQ181" s="319">
        <f t="shared" si="50"/>
        <v>0</v>
      </c>
      <c r="AR181" s="320"/>
      <c r="AS181" s="320"/>
      <c r="AT181" s="365"/>
      <c r="AU181" s="322"/>
      <c r="AV181" s="146" t="s">
        <v>1236</v>
      </c>
      <c r="AW181" s="146">
        <f>IFERROR(VLOOKUP(G181,'[71]Detail Deprec_202501'!$D$246:$I$393,6,FALSE),0)</f>
        <v>0</v>
      </c>
      <c r="AX181" s="501">
        <f t="shared" si="44"/>
        <v>0</v>
      </c>
    </row>
    <row r="182" spans="1:50" ht="12.9" customHeight="1" outlineLevel="1">
      <c r="A182" s="324">
        <f t="shared" si="51"/>
        <v>157</v>
      </c>
      <c r="B182" s="336" t="s">
        <v>142</v>
      </c>
      <c r="C182" s="344" t="s">
        <v>474</v>
      </c>
      <c r="D182" s="382">
        <v>155</v>
      </c>
      <c r="E182" s="382" t="s">
        <v>1711</v>
      </c>
      <c r="F182" s="336" t="s">
        <v>820</v>
      </c>
      <c r="G182" s="336" t="s">
        <v>829</v>
      </c>
      <c r="H182" s="383">
        <v>43158</v>
      </c>
      <c r="I182" s="392" t="s">
        <v>11</v>
      </c>
      <c r="J182" s="379" t="s">
        <v>830</v>
      </c>
      <c r="K182" s="351" t="s">
        <v>825</v>
      </c>
      <c r="L182" s="351" t="s">
        <v>814</v>
      </c>
      <c r="M182" s="379" t="s">
        <v>477</v>
      </c>
      <c r="N182" s="379">
        <v>2018</v>
      </c>
      <c r="O182" s="379" t="s">
        <v>831</v>
      </c>
      <c r="P182" s="351"/>
      <c r="Q182" s="351"/>
      <c r="R182" s="377">
        <v>1</v>
      </c>
      <c r="S182" s="410"/>
      <c r="T182" s="419">
        <v>189500000</v>
      </c>
      <c r="U182" s="411">
        <f t="shared" si="45"/>
        <v>3158333.3333333335</v>
      </c>
      <c r="V182" s="316">
        <v>60</v>
      </c>
      <c r="W182" s="315">
        <v>60</v>
      </c>
      <c r="X182" s="412">
        <f t="shared" si="46"/>
        <v>0</v>
      </c>
      <c r="Y182" s="412">
        <f t="shared" si="47"/>
        <v>60</v>
      </c>
      <c r="Z182" s="317">
        <f t="shared" si="48"/>
        <v>0</v>
      </c>
      <c r="AA182" s="318">
        <v>189500000</v>
      </c>
      <c r="AB182" s="318">
        <v>0</v>
      </c>
      <c r="AC182" s="318">
        <f t="shared" si="52"/>
        <v>0</v>
      </c>
      <c r="AD182" s="318"/>
      <c r="AE182" s="318"/>
      <c r="AF182" s="318"/>
      <c r="AG182" s="318"/>
      <c r="AH182" s="318"/>
      <c r="AI182" s="318"/>
      <c r="AJ182" s="318"/>
      <c r="AK182" s="318"/>
      <c r="AL182" s="318"/>
      <c r="AM182" s="318"/>
      <c r="AN182" s="318"/>
      <c r="AO182" s="318"/>
      <c r="AP182" s="318">
        <f t="shared" si="49"/>
        <v>189500000</v>
      </c>
      <c r="AQ182" s="319">
        <f t="shared" si="50"/>
        <v>0</v>
      </c>
      <c r="AR182" s="320"/>
      <c r="AS182" s="320"/>
      <c r="AT182" s="365"/>
      <c r="AU182" s="334" t="s">
        <v>377</v>
      </c>
      <c r="AV182" s="146" t="s">
        <v>1236</v>
      </c>
      <c r="AW182" s="146">
        <f>IFERROR(VLOOKUP(G182,'[71]Detail Deprec_202501'!$D$246:$I$393,6,FALSE),0)</f>
        <v>0</v>
      </c>
      <c r="AX182" s="501">
        <f t="shared" si="44"/>
        <v>0</v>
      </c>
    </row>
    <row r="183" spans="1:50" ht="12.9" customHeight="1" outlineLevel="1">
      <c r="A183" s="324">
        <f t="shared" si="51"/>
        <v>158</v>
      </c>
      <c r="B183" s="336" t="s">
        <v>142</v>
      </c>
      <c r="C183" s="344" t="s">
        <v>474</v>
      </c>
      <c r="D183" s="382">
        <v>155</v>
      </c>
      <c r="E183" s="382" t="s">
        <v>1711</v>
      </c>
      <c r="F183" s="336" t="s">
        <v>832</v>
      </c>
      <c r="G183" s="336" t="s">
        <v>833</v>
      </c>
      <c r="H183" s="383">
        <v>43158</v>
      </c>
      <c r="I183" s="392" t="s">
        <v>11</v>
      </c>
      <c r="J183" s="379" t="s">
        <v>830</v>
      </c>
      <c r="K183" s="351" t="s">
        <v>825</v>
      </c>
      <c r="L183" s="351" t="s">
        <v>814</v>
      </c>
      <c r="M183" s="379" t="s">
        <v>834</v>
      </c>
      <c r="N183" s="379">
        <v>2018</v>
      </c>
      <c r="O183" s="379" t="s">
        <v>835</v>
      </c>
      <c r="P183" s="351"/>
      <c r="Q183" s="351"/>
      <c r="R183" s="377">
        <v>1</v>
      </c>
      <c r="S183" s="410"/>
      <c r="T183" s="419">
        <v>189500000</v>
      </c>
      <c r="U183" s="411">
        <f t="shared" si="45"/>
        <v>3158333.3333333335</v>
      </c>
      <c r="V183" s="316">
        <v>60</v>
      </c>
      <c r="W183" s="315">
        <v>60</v>
      </c>
      <c r="X183" s="412">
        <f t="shared" si="46"/>
        <v>0</v>
      </c>
      <c r="Y183" s="412">
        <f t="shared" si="47"/>
        <v>60</v>
      </c>
      <c r="Z183" s="317">
        <f t="shared" si="48"/>
        <v>0</v>
      </c>
      <c r="AA183" s="318">
        <v>189500000</v>
      </c>
      <c r="AB183" s="318">
        <v>0</v>
      </c>
      <c r="AC183" s="318">
        <f t="shared" si="52"/>
        <v>0</v>
      </c>
      <c r="AD183" s="318"/>
      <c r="AE183" s="318"/>
      <c r="AF183" s="318"/>
      <c r="AG183" s="318"/>
      <c r="AH183" s="318"/>
      <c r="AI183" s="318"/>
      <c r="AJ183" s="318"/>
      <c r="AK183" s="318"/>
      <c r="AL183" s="318"/>
      <c r="AM183" s="318"/>
      <c r="AN183" s="318"/>
      <c r="AO183" s="318"/>
      <c r="AP183" s="318">
        <f t="shared" si="49"/>
        <v>189500000</v>
      </c>
      <c r="AQ183" s="319">
        <f t="shared" si="50"/>
        <v>0</v>
      </c>
      <c r="AR183" s="320"/>
      <c r="AS183" s="320"/>
      <c r="AT183" s="365"/>
      <c r="AU183" s="334" t="s">
        <v>377</v>
      </c>
      <c r="AV183" s="146" t="s">
        <v>1236</v>
      </c>
      <c r="AW183" s="146">
        <f>IFERROR(VLOOKUP(G183,'[71]Detail Deprec_202501'!$D$246:$I$393,6,FALSE),0)</f>
        <v>0</v>
      </c>
      <c r="AX183" s="501">
        <f t="shared" si="44"/>
        <v>0</v>
      </c>
    </row>
    <row r="184" spans="1:50" ht="12.9" customHeight="1" outlineLevel="1">
      <c r="A184" s="324">
        <f t="shared" si="51"/>
        <v>159</v>
      </c>
      <c r="B184" s="336" t="s">
        <v>142</v>
      </c>
      <c r="C184" s="344" t="s">
        <v>474</v>
      </c>
      <c r="D184" s="382">
        <v>155</v>
      </c>
      <c r="E184" s="382" t="s">
        <v>1711</v>
      </c>
      <c r="F184" s="336" t="s">
        <v>836</v>
      </c>
      <c r="G184" s="336" t="s">
        <v>837</v>
      </c>
      <c r="H184" s="383">
        <v>43158</v>
      </c>
      <c r="I184" s="392" t="s">
        <v>11</v>
      </c>
      <c r="J184" s="379" t="s">
        <v>830</v>
      </c>
      <c r="K184" s="351" t="s">
        <v>825</v>
      </c>
      <c r="L184" s="351" t="s">
        <v>814</v>
      </c>
      <c r="M184" s="379" t="s">
        <v>834</v>
      </c>
      <c r="N184" s="379">
        <v>2018</v>
      </c>
      <c r="O184" s="379" t="s">
        <v>838</v>
      </c>
      <c r="P184" s="351"/>
      <c r="Q184" s="351"/>
      <c r="R184" s="377">
        <v>1</v>
      </c>
      <c r="S184" s="410"/>
      <c r="T184" s="419">
        <v>189500000</v>
      </c>
      <c r="U184" s="411">
        <f t="shared" si="45"/>
        <v>3158333.3333333335</v>
      </c>
      <c r="V184" s="316">
        <v>60</v>
      </c>
      <c r="W184" s="315">
        <v>60</v>
      </c>
      <c r="X184" s="412">
        <f t="shared" si="46"/>
        <v>0</v>
      </c>
      <c r="Y184" s="412">
        <f t="shared" si="47"/>
        <v>60</v>
      </c>
      <c r="Z184" s="317">
        <f t="shared" si="48"/>
        <v>0</v>
      </c>
      <c r="AA184" s="318">
        <v>189500000</v>
      </c>
      <c r="AB184" s="318">
        <v>0</v>
      </c>
      <c r="AC184" s="318">
        <f t="shared" si="52"/>
        <v>0</v>
      </c>
      <c r="AD184" s="318"/>
      <c r="AE184" s="318"/>
      <c r="AF184" s="318"/>
      <c r="AG184" s="318"/>
      <c r="AH184" s="318"/>
      <c r="AI184" s="318"/>
      <c r="AJ184" s="318"/>
      <c r="AK184" s="318"/>
      <c r="AL184" s="318"/>
      <c r="AM184" s="318"/>
      <c r="AN184" s="318"/>
      <c r="AO184" s="318"/>
      <c r="AP184" s="318">
        <f t="shared" si="49"/>
        <v>189500000</v>
      </c>
      <c r="AQ184" s="319">
        <f t="shared" si="50"/>
        <v>0</v>
      </c>
      <c r="AR184" s="320"/>
      <c r="AS184" s="320"/>
      <c r="AT184" s="365"/>
      <c r="AU184" s="334" t="s">
        <v>377</v>
      </c>
      <c r="AV184" s="146" t="s">
        <v>1236</v>
      </c>
      <c r="AW184" s="146">
        <f>IFERROR(VLOOKUP(G184,'[71]Detail Deprec_202501'!$D$246:$I$393,6,FALSE),0)</f>
        <v>0</v>
      </c>
      <c r="AX184" s="501">
        <f t="shared" si="44"/>
        <v>0</v>
      </c>
    </row>
    <row r="185" spans="1:50" ht="12.9" customHeight="1" outlineLevel="1">
      <c r="A185" s="324">
        <f t="shared" si="51"/>
        <v>160</v>
      </c>
      <c r="B185" s="336" t="s">
        <v>142</v>
      </c>
      <c r="C185" s="344" t="s">
        <v>474</v>
      </c>
      <c r="D185" s="382">
        <v>155</v>
      </c>
      <c r="E185" s="382" t="s">
        <v>1711</v>
      </c>
      <c r="F185" s="336" t="s">
        <v>832</v>
      </c>
      <c r="G185" s="336" t="s">
        <v>839</v>
      </c>
      <c r="H185" s="383">
        <v>43158</v>
      </c>
      <c r="I185" s="392" t="s">
        <v>11</v>
      </c>
      <c r="J185" s="379" t="s">
        <v>840</v>
      </c>
      <c r="K185" s="351" t="s">
        <v>841</v>
      </c>
      <c r="L185" s="351" t="s">
        <v>842</v>
      </c>
      <c r="M185" s="379" t="s">
        <v>834</v>
      </c>
      <c r="N185" s="379">
        <v>2018</v>
      </c>
      <c r="O185" s="379" t="s">
        <v>835</v>
      </c>
      <c r="P185" s="351"/>
      <c r="Q185" s="351"/>
      <c r="R185" s="377">
        <v>1</v>
      </c>
      <c r="S185" s="410"/>
      <c r="T185" s="419">
        <v>676000000</v>
      </c>
      <c r="U185" s="411">
        <f t="shared" si="45"/>
        <v>11266666.666666666</v>
      </c>
      <c r="V185" s="316">
        <v>60</v>
      </c>
      <c r="W185" s="315">
        <v>60</v>
      </c>
      <c r="X185" s="412">
        <f t="shared" si="46"/>
        <v>0</v>
      </c>
      <c r="Y185" s="412">
        <f t="shared" si="47"/>
        <v>60</v>
      </c>
      <c r="Z185" s="317">
        <f t="shared" si="48"/>
        <v>0</v>
      </c>
      <c r="AA185" s="318">
        <v>676000000</v>
      </c>
      <c r="AB185" s="318">
        <v>0</v>
      </c>
      <c r="AC185" s="318">
        <f t="shared" si="52"/>
        <v>0</v>
      </c>
      <c r="AD185" s="318"/>
      <c r="AE185" s="318"/>
      <c r="AF185" s="318"/>
      <c r="AG185" s="318"/>
      <c r="AH185" s="318"/>
      <c r="AI185" s="318"/>
      <c r="AJ185" s="318"/>
      <c r="AK185" s="318"/>
      <c r="AL185" s="318"/>
      <c r="AM185" s="318"/>
      <c r="AN185" s="318"/>
      <c r="AO185" s="318"/>
      <c r="AP185" s="318">
        <f t="shared" si="49"/>
        <v>676000000</v>
      </c>
      <c r="AQ185" s="319">
        <f t="shared" si="50"/>
        <v>0</v>
      </c>
      <c r="AR185" s="320"/>
      <c r="AS185" s="320"/>
      <c r="AT185" s="365"/>
      <c r="AU185" s="334" t="s">
        <v>377</v>
      </c>
      <c r="AV185" s="146" t="s">
        <v>1236</v>
      </c>
      <c r="AW185" s="146">
        <f>IFERROR(VLOOKUP(G185,'[71]Detail Deprec_202501'!$D$246:$I$393,6,FALSE),0)</f>
        <v>0</v>
      </c>
      <c r="AX185" s="501">
        <f t="shared" si="44"/>
        <v>0</v>
      </c>
    </row>
    <row r="186" spans="1:50" ht="12.9" customHeight="1" outlineLevel="1">
      <c r="A186" s="324">
        <f t="shared" si="51"/>
        <v>161</v>
      </c>
      <c r="B186" s="336" t="s">
        <v>142</v>
      </c>
      <c r="C186" s="344" t="s">
        <v>474</v>
      </c>
      <c r="D186" s="382">
        <v>155</v>
      </c>
      <c r="E186" s="382" t="s">
        <v>1711</v>
      </c>
      <c r="F186" s="336" t="s">
        <v>836</v>
      </c>
      <c r="G186" s="336" t="s">
        <v>843</v>
      </c>
      <c r="H186" s="383">
        <v>43158</v>
      </c>
      <c r="I186" s="392" t="s">
        <v>11</v>
      </c>
      <c r="J186" s="379" t="s">
        <v>840</v>
      </c>
      <c r="K186" s="351" t="s">
        <v>841</v>
      </c>
      <c r="L186" s="351" t="s">
        <v>842</v>
      </c>
      <c r="M186" s="379" t="s">
        <v>834</v>
      </c>
      <c r="N186" s="379">
        <v>2018</v>
      </c>
      <c r="O186" s="379" t="s">
        <v>838</v>
      </c>
      <c r="P186" s="351"/>
      <c r="Q186" s="351"/>
      <c r="R186" s="377">
        <v>1</v>
      </c>
      <c r="S186" s="410"/>
      <c r="T186" s="419">
        <v>676000000</v>
      </c>
      <c r="U186" s="411">
        <f t="shared" si="45"/>
        <v>11266666.666666666</v>
      </c>
      <c r="V186" s="316">
        <v>60</v>
      </c>
      <c r="W186" s="315">
        <v>60</v>
      </c>
      <c r="X186" s="412">
        <f t="shared" si="46"/>
        <v>0</v>
      </c>
      <c r="Y186" s="412">
        <f t="shared" si="47"/>
        <v>60</v>
      </c>
      <c r="Z186" s="317">
        <f t="shared" si="48"/>
        <v>0</v>
      </c>
      <c r="AA186" s="318">
        <v>676000000</v>
      </c>
      <c r="AB186" s="318">
        <v>0</v>
      </c>
      <c r="AC186" s="318">
        <f t="shared" si="52"/>
        <v>0</v>
      </c>
      <c r="AD186" s="318"/>
      <c r="AE186" s="318"/>
      <c r="AF186" s="318"/>
      <c r="AG186" s="318"/>
      <c r="AH186" s="318"/>
      <c r="AI186" s="318"/>
      <c r="AJ186" s="318"/>
      <c r="AK186" s="318"/>
      <c r="AL186" s="318"/>
      <c r="AM186" s="318"/>
      <c r="AN186" s="318"/>
      <c r="AO186" s="318"/>
      <c r="AP186" s="318">
        <f t="shared" si="49"/>
        <v>676000000</v>
      </c>
      <c r="AQ186" s="319">
        <f t="shared" si="50"/>
        <v>0</v>
      </c>
      <c r="AR186" s="320"/>
      <c r="AS186" s="320"/>
      <c r="AT186" s="365"/>
      <c r="AU186" s="334" t="s">
        <v>377</v>
      </c>
      <c r="AV186" s="146" t="s">
        <v>1236</v>
      </c>
      <c r="AW186" s="146">
        <f>IFERROR(VLOOKUP(G186,'[71]Detail Deprec_202501'!$D$246:$I$393,6,FALSE),0)</f>
        <v>0</v>
      </c>
      <c r="AX186" s="501">
        <f t="shared" si="44"/>
        <v>0</v>
      </c>
    </row>
    <row r="187" spans="1:50" ht="12.9" customHeight="1" outlineLevel="1">
      <c r="A187" s="324">
        <f t="shared" si="51"/>
        <v>162</v>
      </c>
      <c r="B187" s="341" t="s">
        <v>142</v>
      </c>
      <c r="C187" s="344" t="s">
        <v>474</v>
      </c>
      <c r="D187" s="382">
        <v>155</v>
      </c>
      <c r="E187" s="382" t="s">
        <v>1711</v>
      </c>
      <c r="F187" s="336" t="s">
        <v>845</v>
      </c>
      <c r="G187" s="336" t="s">
        <v>846</v>
      </c>
      <c r="H187" s="420">
        <v>43364</v>
      </c>
      <c r="I187" s="392" t="s">
        <v>11</v>
      </c>
      <c r="J187" s="395"/>
      <c r="K187" s="310" t="s">
        <v>847</v>
      </c>
      <c r="L187" s="421" t="s">
        <v>848</v>
      </c>
      <c r="M187" s="379" t="s">
        <v>477</v>
      </c>
      <c r="N187" s="310">
        <v>2018</v>
      </c>
      <c r="O187" s="379" t="s">
        <v>849</v>
      </c>
      <c r="P187" s="310"/>
      <c r="Q187" s="310"/>
      <c r="R187" s="305">
        <v>1</v>
      </c>
      <c r="S187" s="422"/>
      <c r="T187" s="423">
        <v>675000000</v>
      </c>
      <c r="U187" s="411">
        <f t="shared" si="45"/>
        <v>11250000</v>
      </c>
      <c r="V187" s="316">
        <v>60</v>
      </c>
      <c r="W187" s="315">
        <v>60</v>
      </c>
      <c r="X187" s="412">
        <f t="shared" si="46"/>
        <v>0</v>
      </c>
      <c r="Y187" s="412">
        <f t="shared" si="47"/>
        <v>60</v>
      </c>
      <c r="Z187" s="317">
        <f t="shared" si="48"/>
        <v>0</v>
      </c>
      <c r="AA187" s="318">
        <v>675000000</v>
      </c>
      <c r="AB187" s="318">
        <v>0</v>
      </c>
      <c r="AC187" s="318">
        <f t="shared" si="52"/>
        <v>0</v>
      </c>
      <c r="AD187" s="318"/>
      <c r="AE187" s="318"/>
      <c r="AF187" s="318"/>
      <c r="AG187" s="318"/>
      <c r="AH187" s="318"/>
      <c r="AI187" s="318"/>
      <c r="AJ187" s="318"/>
      <c r="AK187" s="318"/>
      <c r="AL187" s="318"/>
      <c r="AM187" s="318"/>
      <c r="AN187" s="318"/>
      <c r="AO187" s="318"/>
      <c r="AP187" s="318">
        <f t="shared" si="49"/>
        <v>675000000</v>
      </c>
      <c r="AQ187" s="319">
        <f t="shared" si="50"/>
        <v>0</v>
      </c>
      <c r="AR187" s="380"/>
      <c r="AS187" s="380"/>
      <c r="AT187" s="424"/>
      <c r="AU187" s="381"/>
      <c r="AV187" s="146" t="s">
        <v>1236</v>
      </c>
      <c r="AW187" s="146">
        <f>IFERROR(VLOOKUP(G187,'[71]Detail Deprec_202501'!$D$246:$I$393,6,FALSE),0)</f>
        <v>0</v>
      </c>
      <c r="AX187" s="501">
        <f t="shared" si="44"/>
        <v>0</v>
      </c>
    </row>
    <row r="188" spans="1:50" ht="12.9" customHeight="1" outlineLevel="1">
      <c r="A188" s="324">
        <f t="shared" si="51"/>
        <v>163</v>
      </c>
      <c r="B188" s="341" t="s">
        <v>142</v>
      </c>
      <c r="C188" s="344" t="s">
        <v>474</v>
      </c>
      <c r="D188" s="382">
        <v>155</v>
      </c>
      <c r="E188" s="382" t="s">
        <v>1711</v>
      </c>
      <c r="F188" s="336" t="s">
        <v>850</v>
      </c>
      <c r="G188" s="336" t="s">
        <v>851</v>
      </c>
      <c r="H188" s="420">
        <v>43364</v>
      </c>
      <c r="I188" s="392" t="s">
        <v>11</v>
      </c>
      <c r="J188" s="395"/>
      <c r="K188" s="310" t="s">
        <v>847</v>
      </c>
      <c r="L188" s="421" t="s">
        <v>848</v>
      </c>
      <c r="M188" s="379" t="s">
        <v>477</v>
      </c>
      <c r="N188" s="310">
        <v>2018</v>
      </c>
      <c r="O188" s="379" t="s">
        <v>852</v>
      </c>
      <c r="P188" s="310"/>
      <c r="Q188" s="310"/>
      <c r="R188" s="305">
        <v>1</v>
      </c>
      <c r="S188" s="422"/>
      <c r="T188" s="423">
        <v>675000000</v>
      </c>
      <c r="U188" s="411">
        <f t="shared" si="45"/>
        <v>11250000</v>
      </c>
      <c r="V188" s="316">
        <v>60</v>
      </c>
      <c r="W188" s="315">
        <v>60</v>
      </c>
      <c r="X188" s="412">
        <f t="shared" si="46"/>
        <v>0</v>
      </c>
      <c r="Y188" s="412">
        <f t="shared" si="47"/>
        <v>60</v>
      </c>
      <c r="Z188" s="317">
        <f t="shared" si="48"/>
        <v>0</v>
      </c>
      <c r="AA188" s="318">
        <v>675000000</v>
      </c>
      <c r="AB188" s="318">
        <v>0</v>
      </c>
      <c r="AC188" s="318">
        <f t="shared" si="52"/>
        <v>0</v>
      </c>
      <c r="AD188" s="318"/>
      <c r="AE188" s="318"/>
      <c r="AF188" s="318"/>
      <c r="AG188" s="318"/>
      <c r="AH188" s="318"/>
      <c r="AI188" s="318"/>
      <c r="AJ188" s="318"/>
      <c r="AK188" s="318"/>
      <c r="AL188" s="318"/>
      <c r="AM188" s="318"/>
      <c r="AN188" s="318"/>
      <c r="AO188" s="318"/>
      <c r="AP188" s="318">
        <f t="shared" si="49"/>
        <v>675000000</v>
      </c>
      <c r="AQ188" s="319">
        <f t="shared" si="50"/>
        <v>0</v>
      </c>
      <c r="AR188" s="380"/>
      <c r="AS188" s="380"/>
      <c r="AT188" s="424"/>
      <c r="AU188" s="381"/>
      <c r="AV188" s="146" t="s">
        <v>1236</v>
      </c>
      <c r="AW188" s="146">
        <f>IFERROR(VLOOKUP(G188,'[71]Detail Deprec_202501'!$D$246:$I$393,6,FALSE),0)</f>
        <v>0</v>
      </c>
      <c r="AX188" s="501">
        <f t="shared" si="44"/>
        <v>0</v>
      </c>
    </row>
    <row r="189" spans="1:50" ht="12.9" customHeight="1" outlineLevel="1">
      <c r="A189" s="324">
        <f t="shared" si="51"/>
        <v>164</v>
      </c>
      <c r="B189" s="341" t="s">
        <v>142</v>
      </c>
      <c r="C189" s="344" t="s">
        <v>474</v>
      </c>
      <c r="D189" s="382">
        <v>155</v>
      </c>
      <c r="E189" s="382" t="s">
        <v>1711</v>
      </c>
      <c r="F189" s="336" t="s">
        <v>853</v>
      </c>
      <c r="G189" s="336" t="s">
        <v>854</v>
      </c>
      <c r="H189" s="383">
        <v>43383</v>
      </c>
      <c r="I189" s="392" t="s">
        <v>11</v>
      </c>
      <c r="J189" s="379" t="s">
        <v>855</v>
      </c>
      <c r="K189" s="351" t="s">
        <v>856</v>
      </c>
      <c r="L189" s="351" t="s">
        <v>857</v>
      </c>
      <c r="M189" s="379" t="s">
        <v>610</v>
      </c>
      <c r="N189" s="310">
        <v>2018</v>
      </c>
      <c r="O189" s="379" t="s">
        <v>858</v>
      </c>
      <c r="P189" s="351" t="s">
        <v>859</v>
      </c>
      <c r="Q189" s="351" t="s">
        <v>860</v>
      </c>
      <c r="R189" s="305">
        <v>1</v>
      </c>
      <c r="S189" s="410"/>
      <c r="T189" s="419">
        <v>165000000</v>
      </c>
      <c r="U189" s="411">
        <f t="shared" si="45"/>
        <v>2750000</v>
      </c>
      <c r="V189" s="316">
        <v>60</v>
      </c>
      <c r="W189" s="315">
        <v>60</v>
      </c>
      <c r="X189" s="412">
        <f t="shared" si="46"/>
        <v>0</v>
      </c>
      <c r="Y189" s="412">
        <f t="shared" si="47"/>
        <v>60</v>
      </c>
      <c r="Z189" s="317">
        <f t="shared" si="48"/>
        <v>0</v>
      </c>
      <c r="AA189" s="318">
        <v>165000000</v>
      </c>
      <c r="AB189" s="318">
        <v>0</v>
      </c>
      <c r="AC189" s="318">
        <f t="shared" si="52"/>
        <v>0</v>
      </c>
      <c r="AD189" s="318"/>
      <c r="AE189" s="318"/>
      <c r="AF189" s="318"/>
      <c r="AG189" s="318"/>
      <c r="AH189" s="318"/>
      <c r="AI189" s="318"/>
      <c r="AJ189" s="318"/>
      <c r="AK189" s="318"/>
      <c r="AL189" s="318"/>
      <c r="AM189" s="318"/>
      <c r="AN189" s="318"/>
      <c r="AO189" s="318"/>
      <c r="AP189" s="318">
        <f t="shared" si="49"/>
        <v>165000000</v>
      </c>
      <c r="AQ189" s="319">
        <f t="shared" si="50"/>
        <v>0</v>
      </c>
      <c r="AR189" s="380"/>
      <c r="AS189" s="380"/>
      <c r="AT189" s="356"/>
      <c r="AU189" s="381"/>
      <c r="AV189" s="146" t="s">
        <v>1236</v>
      </c>
      <c r="AW189" s="146">
        <f>IFERROR(VLOOKUP(G189,'[71]Detail Deprec_202501'!$D$246:$I$393,6,FALSE),0)</f>
        <v>0</v>
      </c>
      <c r="AX189" s="501">
        <f t="shared" si="44"/>
        <v>0</v>
      </c>
    </row>
    <row r="190" spans="1:50" ht="12.9" customHeight="1" outlineLevel="1">
      <c r="A190" s="324">
        <f t="shared" si="51"/>
        <v>165</v>
      </c>
      <c r="B190" s="341" t="s">
        <v>142</v>
      </c>
      <c r="C190" s="344" t="s">
        <v>474</v>
      </c>
      <c r="D190" s="382">
        <v>155</v>
      </c>
      <c r="E190" s="382" t="s">
        <v>1711</v>
      </c>
      <c r="F190" s="336" t="s">
        <v>853</v>
      </c>
      <c r="G190" s="336" t="s">
        <v>861</v>
      </c>
      <c r="H190" s="383">
        <v>43385</v>
      </c>
      <c r="I190" s="392" t="s">
        <v>11</v>
      </c>
      <c r="J190" s="379" t="s">
        <v>862</v>
      </c>
      <c r="K190" s="351" t="s">
        <v>863</v>
      </c>
      <c r="L190" s="351" t="s">
        <v>848</v>
      </c>
      <c r="M190" s="379" t="s">
        <v>610</v>
      </c>
      <c r="N190" s="310">
        <v>2018</v>
      </c>
      <c r="O190" s="379" t="s">
        <v>858</v>
      </c>
      <c r="P190" s="351" t="s">
        <v>864</v>
      </c>
      <c r="Q190" s="351" t="s">
        <v>865</v>
      </c>
      <c r="R190" s="305">
        <v>1</v>
      </c>
      <c r="S190" s="410"/>
      <c r="T190" s="419">
        <v>590000000</v>
      </c>
      <c r="U190" s="411">
        <f t="shared" si="45"/>
        <v>9833333.333333334</v>
      </c>
      <c r="V190" s="316">
        <v>60</v>
      </c>
      <c r="W190" s="315">
        <v>59.999999999999993</v>
      </c>
      <c r="X190" s="412">
        <f t="shared" si="46"/>
        <v>0</v>
      </c>
      <c r="Y190" s="412">
        <f t="shared" si="47"/>
        <v>59.999999999999993</v>
      </c>
      <c r="Z190" s="317">
        <f t="shared" si="48"/>
        <v>0</v>
      </c>
      <c r="AA190" s="318">
        <v>590000000</v>
      </c>
      <c r="AB190" s="318">
        <v>0</v>
      </c>
      <c r="AC190" s="318">
        <f t="shared" si="52"/>
        <v>0</v>
      </c>
      <c r="AD190" s="318"/>
      <c r="AE190" s="318"/>
      <c r="AF190" s="318"/>
      <c r="AG190" s="318"/>
      <c r="AH190" s="318"/>
      <c r="AI190" s="318"/>
      <c r="AJ190" s="318"/>
      <c r="AK190" s="318"/>
      <c r="AL190" s="318"/>
      <c r="AM190" s="318"/>
      <c r="AN190" s="318"/>
      <c r="AO190" s="318"/>
      <c r="AP190" s="318">
        <f t="shared" si="49"/>
        <v>590000000</v>
      </c>
      <c r="AQ190" s="319">
        <f t="shared" si="50"/>
        <v>0</v>
      </c>
      <c r="AR190" s="380"/>
      <c r="AS190" s="380"/>
      <c r="AT190" s="356"/>
      <c r="AU190" s="381"/>
      <c r="AV190" s="146" t="s">
        <v>1236</v>
      </c>
      <c r="AW190" s="146">
        <f>IFERROR(VLOOKUP(G190,'[71]Detail Deprec_202501'!$D$246:$I$393,6,FALSE),0)</f>
        <v>0</v>
      </c>
      <c r="AX190" s="501">
        <f t="shared" si="44"/>
        <v>0</v>
      </c>
    </row>
    <row r="191" spans="1:50" ht="12.9" customHeight="1" outlineLevel="1">
      <c r="A191" s="324">
        <f t="shared" si="51"/>
        <v>166</v>
      </c>
      <c r="B191" s="341" t="s">
        <v>142</v>
      </c>
      <c r="C191" s="344" t="s">
        <v>474</v>
      </c>
      <c r="D191" s="382">
        <v>155</v>
      </c>
      <c r="E191" s="382" t="s">
        <v>1711</v>
      </c>
      <c r="F191" s="336" t="s">
        <v>845</v>
      </c>
      <c r="G191" s="336" t="s">
        <v>866</v>
      </c>
      <c r="H191" s="383">
        <v>43395</v>
      </c>
      <c r="I191" s="392" t="s">
        <v>11</v>
      </c>
      <c r="J191" s="379" t="s">
        <v>867</v>
      </c>
      <c r="K191" s="351" t="s">
        <v>868</v>
      </c>
      <c r="L191" s="351" t="s">
        <v>869</v>
      </c>
      <c r="M191" s="379" t="s">
        <v>477</v>
      </c>
      <c r="N191" s="310">
        <v>2018</v>
      </c>
      <c r="O191" s="379" t="s">
        <v>849</v>
      </c>
      <c r="P191" s="351" t="s">
        <v>870</v>
      </c>
      <c r="Q191" s="351" t="s">
        <v>871</v>
      </c>
      <c r="R191" s="305">
        <v>1</v>
      </c>
      <c r="S191" s="410"/>
      <c r="T191" s="419">
        <v>192000000</v>
      </c>
      <c r="U191" s="411">
        <f t="shared" si="45"/>
        <v>3200000</v>
      </c>
      <c r="V191" s="316">
        <v>60</v>
      </c>
      <c r="W191" s="315">
        <v>60</v>
      </c>
      <c r="X191" s="412">
        <f t="shared" si="46"/>
        <v>0</v>
      </c>
      <c r="Y191" s="412">
        <f t="shared" si="47"/>
        <v>60</v>
      </c>
      <c r="Z191" s="317">
        <f t="shared" si="48"/>
        <v>0</v>
      </c>
      <c r="AA191" s="318">
        <v>192000000</v>
      </c>
      <c r="AB191" s="318">
        <v>0</v>
      </c>
      <c r="AC191" s="318">
        <f t="shared" si="52"/>
        <v>0</v>
      </c>
      <c r="AD191" s="318"/>
      <c r="AE191" s="318"/>
      <c r="AF191" s="318"/>
      <c r="AG191" s="318"/>
      <c r="AH191" s="318"/>
      <c r="AI191" s="318"/>
      <c r="AJ191" s="318"/>
      <c r="AK191" s="318"/>
      <c r="AL191" s="318"/>
      <c r="AM191" s="318"/>
      <c r="AN191" s="318"/>
      <c r="AO191" s="318"/>
      <c r="AP191" s="318">
        <f t="shared" si="49"/>
        <v>192000000</v>
      </c>
      <c r="AQ191" s="319">
        <f t="shared" si="50"/>
        <v>0</v>
      </c>
      <c r="AR191" s="380"/>
      <c r="AS191" s="380"/>
      <c r="AT191" s="356"/>
      <c r="AU191" s="381"/>
      <c r="AV191" s="146" t="s">
        <v>1236</v>
      </c>
      <c r="AW191" s="146">
        <f>IFERROR(VLOOKUP(G191,'[71]Detail Deprec_202501'!$D$246:$I$393,6,FALSE),0)</f>
        <v>0</v>
      </c>
      <c r="AX191" s="501">
        <f t="shared" si="44"/>
        <v>0</v>
      </c>
    </row>
    <row r="192" spans="1:50" ht="12.9" customHeight="1" outlineLevel="1">
      <c r="A192" s="324">
        <f t="shared" si="51"/>
        <v>167</v>
      </c>
      <c r="B192" s="341" t="s">
        <v>142</v>
      </c>
      <c r="C192" s="344" t="s">
        <v>474</v>
      </c>
      <c r="D192" s="382">
        <v>155</v>
      </c>
      <c r="E192" s="382" t="s">
        <v>1711</v>
      </c>
      <c r="F192" s="336" t="s">
        <v>850</v>
      </c>
      <c r="G192" s="336" t="s">
        <v>872</v>
      </c>
      <c r="H192" s="383">
        <v>43395</v>
      </c>
      <c r="I192" s="392" t="s">
        <v>11</v>
      </c>
      <c r="J192" s="379" t="s">
        <v>867</v>
      </c>
      <c r="K192" s="351" t="s">
        <v>868</v>
      </c>
      <c r="L192" s="351" t="s">
        <v>869</v>
      </c>
      <c r="M192" s="379" t="s">
        <v>477</v>
      </c>
      <c r="N192" s="310">
        <v>2018</v>
      </c>
      <c r="O192" s="379" t="s">
        <v>852</v>
      </c>
      <c r="P192" s="351" t="s">
        <v>870</v>
      </c>
      <c r="Q192" s="351" t="s">
        <v>871</v>
      </c>
      <c r="R192" s="305">
        <v>1</v>
      </c>
      <c r="S192" s="410"/>
      <c r="T192" s="419">
        <v>192000000</v>
      </c>
      <c r="U192" s="411">
        <f t="shared" si="45"/>
        <v>3200000</v>
      </c>
      <c r="V192" s="316">
        <v>60</v>
      </c>
      <c r="W192" s="315">
        <v>60</v>
      </c>
      <c r="X192" s="412">
        <f t="shared" si="46"/>
        <v>0</v>
      </c>
      <c r="Y192" s="412">
        <f t="shared" si="47"/>
        <v>60</v>
      </c>
      <c r="Z192" s="317">
        <f t="shared" si="48"/>
        <v>0</v>
      </c>
      <c r="AA192" s="318">
        <v>192000000</v>
      </c>
      <c r="AB192" s="318">
        <v>0</v>
      </c>
      <c r="AC192" s="318">
        <f t="shared" si="52"/>
        <v>0</v>
      </c>
      <c r="AD192" s="318"/>
      <c r="AE192" s="318"/>
      <c r="AF192" s="318"/>
      <c r="AG192" s="318"/>
      <c r="AH192" s="318"/>
      <c r="AI192" s="318"/>
      <c r="AJ192" s="318"/>
      <c r="AK192" s="318"/>
      <c r="AL192" s="318"/>
      <c r="AM192" s="318"/>
      <c r="AN192" s="318"/>
      <c r="AO192" s="318"/>
      <c r="AP192" s="318">
        <f t="shared" si="49"/>
        <v>192000000</v>
      </c>
      <c r="AQ192" s="319">
        <f t="shared" si="50"/>
        <v>0</v>
      </c>
      <c r="AR192" s="380"/>
      <c r="AS192" s="380"/>
      <c r="AT192" s="356"/>
      <c r="AU192" s="381"/>
      <c r="AV192" s="146" t="s">
        <v>1241</v>
      </c>
      <c r="AW192" s="146">
        <f>IFERROR(VLOOKUP(G192,'[71]Detail Deprec_202501'!$D$246:$I$393,6,FALSE),0)</f>
        <v>0</v>
      </c>
      <c r="AX192" s="501">
        <f t="shared" si="44"/>
        <v>0</v>
      </c>
    </row>
    <row r="193" spans="1:50" ht="12.9" customHeight="1" outlineLevel="1">
      <c r="A193" s="324">
        <f t="shared" si="51"/>
        <v>168</v>
      </c>
      <c r="B193" s="336" t="s">
        <v>142</v>
      </c>
      <c r="C193" s="351" t="s">
        <v>143</v>
      </c>
      <c r="D193" s="382">
        <v>155</v>
      </c>
      <c r="E193" s="382" t="s">
        <v>1707</v>
      </c>
      <c r="F193" s="336" t="s">
        <v>873</v>
      </c>
      <c r="G193" s="336" t="s">
        <v>874</v>
      </c>
      <c r="H193" s="383">
        <v>43416</v>
      </c>
      <c r="I193" s="392" t="s">
        <v>11</v>
      </c>
      <c r="J193" s="379" t="s">
        <v>875</v>
      </c>
      <c r="K193" s="351" t="s">
        <v>558</v>
      </c>
      <c r="L193" s="351" t="s">
        <v>848</v>
      </c>
      <c r="M193" s="379" t="s">
        <v>876</v>
      </c>
      <c r="N193" s="379">
        <v>2018</v>
      </c>
      <c r="O193" s="379" t="s">
        <v>877</v>
      </c>
      <c r="P193" s="351" t="s">
        <v>878</v>
      </c>
      <c r="Q193" s="351" t="s">
        <v>879</v>
      </c>
      <c r="R193" s="377">
        <v>1</v>
      </c>
      <c r="S193" s="410"/>
      <c r="T193" s="419">
        <v>178781818</v>
      </c>
      <c r="U193" s="411">
        <f t="shared" si="45"/>
        <v>2979696.9666666668</v>
      </c>
      <c r="V193" s="316">
        <v>60</v>
      </c>
      <c r="W193" s="315">
        <v>60.000000000000014</v>
      </c>
      <c r="X193" s="412">
        <f t="shared" si="46"/>
        <v>0</v>
      </c>
      <c r="Y193" s="412">
        <f t="shared" si="47"/>
        <v>60.000000000000014</v>
      </c>
      <c r="Z193" s="317">
        <f t="shared" si="48"/>
        <v>0</v>
      </c>
      <c r="AA193" s="318">
        <v>178781818.00000006</v>
      </c>
      <c r="AB193" s="318">
        <v>-5.9604644775390625E-8</v>
      </c>
      <c r="AC193" s="318">
        <f t="shared" si="52"/>
        <v>0</v>
      </c>
      <c r="AD193" s="318"/>
      <c r="AE193" s="318"/>
      <c r="AF193" s="318"/>
      <c r="AG193" s="318"/>
      <c r="AH193" s="318"/>
      <c r="AI193" s="318"/>
      <c r="AJ193" s="318"/>
      <c r="AK193" s="318"/>
      <c r="AL193" s="318"/>
      <c r="AM193" s="318"/>
      <c r="AN193" s="318"/>
      <c r="AO193" s="318"/>
      <c r="AP193" s="318">
        <f t="shared" si="49"/>
        <v>178781818.00000006</v>
      </c>
      <c r="AQ193" s="319">
        <f t="shared" si="50"/>
        <v>-5.9604644775390625E-8</v>
      </c>
      <c r="AR193" s="380"/>
      <c r="AS193" s="380"/>
      <c r="AT193" s="356"/>
      <c r="AU193" s="381"/>
      <c r="AV193" s="146" t="s">
        <v>1236</v>
      </c>
      <c r="AW193" s="146">
        <f>IFERROR(VLOOKUP(G193,'[70]Detail Deprec_202508'!$D$33:$I$357,6,FALSE),0)</f>
        <v>0</v>
      </c>
      <c r="AX193" s="146">
        <f t="shared" si="44"/>
        <v>0</v>
      </c>
    </row>
    <row r="194" spans="1:50" ht="12.9" customHeight="1" outlineLevel="1">
      <c r="A194" s="324">
        <f t="shared" si="51"/>
        <v>169</v>
      </c>
      <c r="B194" s="336" t="s">
        <v>142</v>
      </c>
      <c r="C194" s="351" t="s">
        <v>143</v>
      </c>
      <c r="D194" s="382">
        <v>155</v>
      </c>
      <c r="E194" s="382" t="s">
        <v>1707</v>
      </c>
      <c r="F194" s="336" t="s">
        <v>880</v>
      </c>
      <c r="G194" s="336" t="s">
        <v>881</v>
      </c>
      <c r="H194" s="383">
        <v>43469</v>
      </c>
      <c r="I194" s="392" t="s">
        <v>11</v>
      </c>
      <c r="J194" s="379" t="s">
        <v>882</v>
      </c>
      <c r="K194" s="425" t="s">
        <v>883</v>
      </c>
      <c r="L194" s="351" t="s">
        <v>848</v>
      </c>
      <c r="M194" s="426" t="s">
        <v>884</v>
      </c>
      <c r="N194" s="379">
        <v>2018</v>
      </c>
      <c r="O194" s="428" t="s">
        <v>885</v>
      </c>
      <c r="P194" s="425" t="s">
        <v>886</v>
      </c>
      <c r="Q194" s="425" t="s">
        <v>887</v>
      </c>
      <c r="R194" s="377">
        <v>1</v>
      </c>
      <c r="S194" s="427"/>
      <c r="T194" s="374">
        <v>197359091</v>
      </c>
      <c r="U194" s="313">
        <f t="shared" si="45"/>
        <v>3289318.1833333331</v>
      </c>
      <c r="V194" s="316">
        <v>60</v>
      </c>
      <c r="W194" s="315">
        <v>59.999999999999993</v>
      </c>
      <c r="X194" s="314">
        <f t="shared" si="46"/>
        <v>0</v>
      </c>
      <c r="Y194" s="316">
        <f t="shared" si="47"/>
        <v>59.999999999999993</v>
      </c>
      <c r="Z194" s="317">
        <f t="shared" si="48"/>
        <v>0</v>
      </c>
      <c r="AA194" s="318">
        <v>197359090.99999997</v>
      </c>
      <c r="AB194" s="318">
        <v>2.9802322387695313E-8</v>
      </c>
      <c r="AC194" s="318">
        <f t="shared" si="52"/>
        <v>0</v>
      </c>
      <c r="AD194" s="318"/>
      <c r="AE194" s="318"/>
      <c r="AF194" s="318"/>
      <c r="AG194" s="318"/>
      <c r="AH194" s="318"/>
      <c r="AI194" s="318"/>
      <c r="AJ194" s="318"/>
      <c r="AK194" s="318"/>
      <c r="AL194" s="318"/>
      <c r="AM194" s="318"/>
      <c r="AN194" s="318"/>
      <c r="AO194" s="318"/>
      <c r="AP194" s="318">
        <f t="shared" si="49"/>
        <v>197359090.99999997</v>
      </c>
      <c r="AQ194" s="319">
        <f t="shared" si="50"/>
        <v>2.9802322387695313E-8</v>
      </c>
      <c r="AR194" s="380"/>
      <c r="AS194" s="380"/>
      <c r="AT194" s="356"/>
      <c r="AU194" s="381"/>
      <c r="AV194" s="146" t="s">
        <v>1236</v>
      </c>
      <c r="AW194" s="146">
        <f>IFERROR(VLOOKUP(G194,'[70]Detail Deprec_202508'!$D$33:$I$357,6,FALSE),0)</f>
        <v>0</v>
      </c>
      <c r="AX194" s="146">
        <f t="shared" si="44"/>
        <v>0</v>
      </c>
    </row>
    <row r="195" spans="1:50" ht="12.9" customHeight="1" outlineLevel="1">
      <c r="A195" s="324">
        <f t="shared" si="51"/>
        <v>170</v>
      </c>
      <c r="B195" s="336" t="s">
        <v>142</v>
      </c>
      <c r="C195" s="351" t="s">
        <v>143</v>
      </c>
      <c r="D195" s="382">
        <v>155</v>
      </c>
      <c r="E195" s="382" t="s">
        <v>1707</v>
      </c>
      <c r="F195" s="336" t="s">
        <v>888</v>
      </c>
      <c r="G195" s="336" t="s">
        <v>889</v>
      </c>
      <c r="H195" s="383">
        <v>43676</v>
      </c>
      <c r="I195" s="392" t="s">
        <v>11</v>
      </c>
      <c r="J195" s="379" t="s">
        <v>890</v>
      </c>
      <c r="K195" s="351" t="s">
        <v>468</v>
      </c>
      <c r="L195" s="351" t="s">
        <v>378</v>
      </c>
      <c r="M195" s="316" t="s">
        <v>664</v>
      </c>
      <c r="N195" s="379">
        <v>2019</v>
      </c>
      <c r="O195" s="379"/>
      <c r="P195" s="362" t="s">
        <v>891</v>
      </c>
      <c r="Q195" s="362" t="s">
        <v>892</v>
      </c>
      <c r="R195" s="377">
        <v>1</v>
      </c>
      <c r="S195" s="410"/>
      <c r="T195" s="419">
        <v>322000000</v>
      </c>
      <c r="U195" s="411">
        <f t="shared" si="45"/>
        <v>5366666.666666667</v>
      </c>
      <c r="V195" s="316">
        <v>60</v>
      </c>
      <c r="W195" s="315">
        <v>60</v>
      </c>
      <c r="X195" s="314">
        <f t="shared" si="46"/>
        <v>0</v>
      </c>
      <c r="Y195" s="316">
        <f t="shared" si="47"/>
        <v>60</v>
      </c>
      <c r="Z195" s="317">
        <f t="shared" si="48"/>
        <v>0</v>
      </c>
      <c r="AA195" s="413">
        <v>322000000</v>
      </c>
      <c r="AB195" s="413">
        <v>0</v>
      </c>
      <c r="AC195" s="318">
        <f t="shared" si="52"/>
        <v>0</v>
      </c>
      <c r="AD195" s="318"/>
      <c r="AE195" s="318"/>
      <c r="AF195" s="318"/>
      <c r="AG195" s="318"/>
      <c r="AH195" s="318"/>
      <c r="AI195" s="318"/>
      <c r="AJ195" s="318"/>
      <c r="AK195" s="318"/>
      <c r="AL195" s="318"/>
      <c r="AM195" s="318"/>
      <c r="AN195" s="318"/>
      <c r="AO195" s="318"/>
      <c r="AP195" s="318">
        <f t="shared" si="49"/>
        <v>322000000</v>
      </c>
      <c r="AQ195" s="414">
        <f t="shared" si="50"/>
        <v>0</v>
      </c>
      <c r="AR195" s="415"/>
      <c r="AS195" s="415"/>
      <c r="AT195" s="416"/>
      <c r="AU195" s="405"/>
      <c r="AV195" s="146" t="s">
        <v>1236</v>
      </c>
      <c r="AW195" s="146">
        <f>IFERROR(VLOOKUP(G195,'[70]Detail Deprec_202508'!$D$33:$I$357,6,FALSE),0)</f>
        <v>0</v>
      </c>
      <c r="AX195" s="146">
        <f t="shared" si="44"/>
        <v>0</v>
      </c>
    </row>
    <row r="196" spans="1:50" ht="12.9" customHeight="1" outlineLevel="1">
      <c r="A196" s="324">
        <f t="shared" si="51"/>
        <v>171</v>
      </c>
      <c r="B196" s="341" t="s">
        <v>142</v>
      </c>
      <c r="C196" s="344" t="s">
        <v>474</v>
      </c>
      <c r="D196" s="377">
        <v>155</v>
      </c>
      <c r="E196" s="377" t="s">
        <v>1711</v>
      </c>
      <c r="F196" s="341" t="s">
        <v>643</v>
      </c>
      <c r="G196" s="341" t="s">
        <v>895</v>
      </c>
      <c r="H196" s="429">
        <v>43496</v>
      </c>
      <c r="I196" s="392" t="s">
        <v>11</v>
      </c>
      <c r="J196" s="379" t="s">
        <v>896</v>
      </c>
      <c r="K196" s="311" t="s">
        <v>897</v>
      </c>
      <c r="L196" s="430" t="s">
        <v>857</v>
      </c>
      <c r="M196" s="379" t="s">
        <v>610</v>
      </c>
      <c r="N196" s="310">
        <v>2019</v>
      </c>
      <c r="O196" s="311" t="s">
        <v>646</v>
      </c>
      <c r="P196" s="311"/>
      <c r="Q196" s="311"/>
      <c r="R196" s="305">
        <v>1</v>
      </c>
      <c r="S196" s="431"/>
      <c r="T196" s="432">
        <v>162000000</v>
      </c>
      <c r="U196" s="411">
        <f t="shared" si="45"/>
        <v>2700000</v>
      </c>
      <c r="V196" s="316">
        <v>60</v>
      </c>
      <c r="W196" s="315">
        <v>60</v>
      </c>
      <c r="X196" s="314">
        <f t="shared" si="46"/>
        <v>0</v>
      </c>
      <c r="Y196" s="317">
        <f t="shared" si="47"/>
        <v>60</v>
      </c>
      <c r="Z196" s="598">
        <f t="shared" si="48"/>
        <v>0</v>
      </c>
      <c r="AA196" s="413">
        <v>162000000</v>
      </c>
      <c r="AB196" s="413">
        <v>0</v>
      </c>
      <c r="AC196" s="318">
        <f t="shared" si="52"/>
        <v>0</v>
      </c>
      <c r="AD196" s="318"/>
      <c r="AE196" s="318"/>
      <c r="AF196" s="318"/>
      <c r="AG196" s="318"/>
      <c r="AH196" s="318"/>
      <c r="AI196" s="318"/>
      <c r="AJ196" s="318"/>
      <c r="AK196" s="318"/>
      <c r="AL196" s="318"/>
      <c r="AM196" s="318"/>
      <c r="AN196" s="318"/>
      <c r="AO196" s="318"/>
      <c r="AP196" s="318">
        <f t="shared" si="49"/>
        <v>162000000</v>
      </c>
      <c r="AQ196" s="319">
        <f t="shared" si="50"/>
        <v>0</v>
      </c>
      <c r="AR196" s="380"/>
      <c r="AS196" s="380"/>
      <c r="AT196" s="424"/>
      <c r="AU196" s="381"/>
      <c r="AV196" s="146" t="s">
        <v>1236</v>
      </c>
      <c r="AW196" s="146">
        <f>IFERROR(VLOOKUP(G196,'[71]Detail Deprec_202501'!$D$246:$I$393,6,FALSE),0)</f>
        <v>1.2</v>
      </c>
      <c r="AX196" s="501">
        <f t="shared" si="44"/>
        <v>1.2</v>
      </c>
    </row>
    <row r="197" spans="1:50" ht="12.9" customHeight="1" outlineLevel="1">
      <c r="A197" s="324">
        <f t="shared" si="51"/>
        <v>172</v>
      </c>
      <c r="B197" s="341" t="s">
        <v>142</v>
      </c>
      <c r="C197" s="344" t="s">
        <v>474</v>
      </c>
      <c r="D197" s="377">
        <v>155</v>
      </c>
      <c r="E197" s="377" t="s">
        <v>1711</v>
      </c>
      <c r="F197" s="341" t="s">
        <v>637</v>
      </c>
      <c r="G197" s="341" t="s">
        <v>898</v>
      </c>
      <c r="H197" s="429">
        <v>43496</v>
      </c>
      <c r="I197" s="392" t="s">
        <v>11</v>
      </c>
      <c r="J197" s="379" t="s">
        <v>896</v>
      </c>
      <c r="K197" s="311" t="s">
        <v>897</v>
      </c>
      <c r="L197" s="430" t="s">
        <v>857</v>
      </c>
      <c r="M197" s="379" t="s">
        <v>346</v>
      </c>
      <c r="N197" s="310">
        <v>2019</v>
      </c>
      <c r="O197" s="311" t="s">
        <v>640</v>
      </c>
      <c r="P197" s="311"/>
      <c r="Q197" s="311"/>
      <c r="R197" s="305">
        <v>1</v>
      </c>
      <c r="S197" s="431"/>
      <c r="T197" s="432">
        <v>162000000</v>
      </c>
      <c r="U197" s="411">
        <f t="shared" si="45"/>
        <v>2700000</v>
      </c>
      <c r="V197" s="316">
        <v>60</v>
      </c>
      <c r="W197" s="315">
        <v>60</v>
      </c>
      <c r="X197" s="314">
        <f t="shared" si="46"/>
        <v>0</v>
      </c>
      <c r="Y197" s="317">
        <f t="shared" si="47"/>
        <v>60</v>
      </c>
      <c r="Z197" s="598">
        <f t="shared" si="48"/>
        <v>0</v>
      </c>
      <c r="AA197" s="413">
        <v>162000000</v>
      </c>
      <c r="AB197" s="413">
        <v>0</v>
      </c>
      <c r="AC197" s="318">
        <f t="shared" si="52"/>
        <v>0</v>
      </c>
      <c r="AD197" s="318"/>
      <c r="AE197" s="318"/>
      <c r="AF197" s="318"/>
      <c r="AG197" s="318"/>
      <c r="AH197" s="318"/>
      <c r="AI197" s="318"/>
      <c r="AJ197" s="318"/>
      <c r="AK197" s="318"/>
      <c r="AL197" s="318"/>
      <c r="AM197" s="318"/>
      <c r="AN197" s="318"/>
      <c r="AO197" s="318"/>
      <c r="AP197" s="318">
        <f t="shared" si="49"/>
        <v>162000000</v>
      </c>
      <c r="AQ197" s="319">
        <f t="shared" si="50"/>
        <v>0</v>
      </c>
      <c r="AR197" s="380"/>
      <c r="AS197" s="380"/>
      <c r="AT197" s="424"/>
      <c r="AU197" s="381"/>
      <c r="AV197" s="146" t="s">
        <v>1236</v>
      </c>
      <c r="AW197" s="146">
        <f>IFERROR(VLOOKUP(G197,'[71]Detail Deprec_202501'!$D$246:$I$393,6,FALSE),0)</f>
        <v>1.2</v>
      </c>
      <c r="AX197" s="501">
        <f t="shared" si="44"/>
        <v>1.2</v>
      </c>
    </row>
    <row r="198" spans="1:50" ht="12.9" customHeight="1" outlineLevel="1">
      <c r="A198" s="324">
        <f t="shared" si="51"/>
        <v>173</v>
      </c>
      <c r="B198" s="341" t="s">
        <v>142</v>
      </c>
      <c r="C198" s="344" t="s">
        <v>143</v>
      </c>
      <c r="D198" s="377">
        <v>155</v>
      </c>
      <c r="E198" s="377" t="s">
        <v>1707</v>
      </c>
      <c r="F198" s="341" t="s">
        <v>987</v>
      </c>
      <c r="G198" s="341" t="s">
        <v>988</v>
      </c>
      <c r="H198" s="429">
        <v>44818</v>
      </c>
      <c r="I198" s="392" t="s">
        <v>11</v>
      </c>
      <c r="J198" s="433" t="s">
        <v>989</v>
      </c>
      <c r="K198" s="311" t="s">
        <v>990</v>
      </c>
      <c r="L198" s="430" t="s">
        <v>848</v>
      </c>
      <c r="M198" s="316">
        <v>2</v>
      </c>
      <c r="N198" s="310">
        <v>2022</v>
      </c>
      <c r="O198" s="311" t="s">
        <v>991</v>
      </c>
      <c r="P198" s="311" t="s">
        <v>992</v>
      </c>
      <c r="Q198" s="311" t="s">
        <v>993</v>
      </c>
      <c r="R198" s="305">
        <v>1</v>
      </c>
      <c r="S198" s="431"/>
      <c r="T198" s="411">
        <v>328364415</v>
      </c>
      <c r="U198" s="411">
        <f t="shared" si="45"/>
        <v>5472740.25</v>
      </c>
      <c r="V198" s="316">
        <v>60</v>
      </c>
      <c r="W198" s="315">
        <f>28+12</f>
        <v>40</v>
      </c>
      <c r="X198" s="314">
        <f t="shared" si="46"/>
        <v>12</v>
      </c>
      <c r="Y198" s="317">
        <f t="shared" si="47"/>
        <v>52</v>
      </c>
      <c r="Z198" s="317">
        <f t="shared" si="48"/>
        <v>8</v>
      </c>
      <c r="AA198" s="413">
        <v>218909610</v>
      </c>
      <c r="AB198" s="413">
        <v>109454805</v>
      </c>
      <c r="AC198" s="318">
        <f t="shared" ref="AC198:AC218" si="53">SUM(AD198:AO198)</f>
        <v>65672883</v>
      </c>
      <c r="AD198" s="318">
        <v>5472740.25</v>
      </c>
      <c r="AE198" s="318">
        <v>5472740.25</v>
      </c>
      <c r="AF198" s="318">
        <v>5472740.25</v>
      </c>
      <c r="AG198" s="318">
        <v>5472740.25</v>
      </c>
      <c r="AH198" s="318">
        <v>5472740.25</v>
      </c>
      <c r="AI198" s="318">
        <v>5472740.25</v>
      </c>
      <c r="AJ198" s="318">
        <v>5472740.25</v>
      </c>
      <c r="AK198" s="318">
        <v>5472740.25</v>
      </c>
      <c r="AL198" s="318">
        <v>5472740.25</v>
      </c>
      <c r="AM198" s="318">
        <v>5472740.25</v>
      </c>
      <c r="AN198" s="318">
        <v>5472740.25</v>
      </c>
      <c r="AO198" s="318">
        <v>5472740.25</v>
      </c>
      <c r="AP198" s="318">
        <f t="shared" si="49"/>
        <v>284582493</v>
      </c>
      <c r="AQ198" s="319">
        <f t="shared" si="50"/>
        <v>43781922</v>
      </c>
      <c r="AR198" s="380"/>
      <c r="AS198" s="380"/>
      <c r="AT198" s="424"/>
      <c r="AU198" s="434"/>
      <c r="AV198" s="146" t="s">
        <v>1236</v>
      </c>
      <c r="AW198" s="146">
        <f>IFERROR(VLOOKUP(G198,'[70]Detail Deprec_202508'!$D$33:$I$357,6,FALSE),0)</f>
        <v>5472740.25</v>
      </c>
      <c r="AX198" s="146">
        <f t="shared" si="44"/>
        <v>0</v>
      </c>
    </row>
    <row r="199" spans="1:50" ht="12.9" customHeight="1" outlineLevel="1">
      <c r="A199" s="324">
        <f t="shared" si="51"/>
        <v>174</v>
      </c>
      <c r="B199" s="341" t="s">
        <v>142</v>
      </c>
      <c r="C199" s="523" t="s">
        <v>474</v>
      </c>
      <c r="D199" s="377">
        <v>155</v>
      </c>
      <c r="E199" s="382" t="s">
        <v>1711</v>
      </c>
      <c r="F199" s="341" t="s">
        <v>1024</v>
      </c>
      <c r="G199" s="306" t="s">
        <v>1025</v>
      </c>
      <c r="H199" s="429">
        <v>45145</v>
      </c>
      <c r="I199" s="392" t="s">
        <v>11</v>
      </c>
      <c r="J199" s="433" t="s">
        <v>1026</v>
      </c>
      <c r="K199" s="310" t="s">
        <v>1027</v>
      </c>
      <c r="L199" s="430" t="s">
        <v>300</v>
      </c>
      <c r="M199" s="310" t="s">
        <v>1028</v>
      </c>
      <c r="N199" s="310">
        <v>2023</v>
      </c>
      <c r="O199" s="311" t="s">
        <v>1029</v>
      </c>
      <c r="P199" s="311" t="s">
        <v>1030</v>
      </c>
      <c r="Q199" s="443" t="s">
        <v>1031</v>
      </c>
      <c r="R199" s="305">
        <v>1</v>
      </c>
      <c r="S199" s="431"/>
      <c r="T199" s="411">
        <v>295765767</v>
      </c>
      <c r="U199" s="411">
        <f t="shared" si="45"/>
        <v>4929429.45</v>
      </c>
      <c r="V199" s="316">
        <v>60</v>
      </c>
      <c r="W199" s="315">
        <f>17+12</f>
        <v>29</v>
      </c>
      <c r="X199" s="314">
        <f t="shared" si="46"/>
        <v>12.000000000000002</v>
      </c>
      <c r="Y199" s="317">
        <f t="shared" si="47"/>
        <v>41</v>
      </c>
      <c r="Z199" s="317">
        <f t="shared" si="48"/>
        <v>19</v>
      </c>
      <c r="AA199" s="413">
        <v>142953454.05000001</v>
      </c>
      <c r="AB199" s="413">
        <v>152812312.94999999</v>
      </c>
      <c r="AC199" s="318">
        <f t="shared" si="53"/>
        <v>59153153.400000013</v>
      </c>
      <c r="AD199" s="318">
        <v>4929429.45</v>
      </c>
      <c r="AE199" s="318">
        <v>4929429.45</v>
      </c>
      <c r="AF199" s="318">
        <v>4929429.45</v>
      </c>
      <c r="AG199" s="318">
        <v>4929429.45</v>
      </c>
      <c r="AH199" s="318">
        <v>4929429.45</v>
      </c>
      <c r="AI199" s="318">
        <v>4929429.45</v>
      </c>
      <c r="AJ199" s="318">
        <v>4929429.45</v>
      </c>
      <c r="AK199" s="318">
        <v>4929429.45</v>
      </c>
      <c r="AL199" s="318">
        <v>4929429.45</v>
      </c>
      <c r="AM199" s="318">
        <v>4929429.45</v>
      </c>
      <c r="AN199" s="318">
        <v>4929429.45</v>
      </c>
      <c r="AO199" s="318">
        <v>4929429.45</v>
      </c>
      <c r="AP199" s="318">
        <f t="shared" si="49"/>
        <v>202106607.45000002</v>
      </c>
      <c r="AQ199" s="319">
        <f t="shared" si="50"/>
        <v>93659159.549999982</v>
      </c>
      <c r="AR199" s="380"/>
      <c r="AS199" s="380"/>
      <c r="AT199" s="424"/>
      <c r="AU199" s="434">
        <v>45154</v>
      </c>
      <c r="AV199" s="146" t="s">
        <v>1236</v>
      </c>
      <c r="AW199" s="146">
        <f>IFERROR(VLOOKUP(G199,'[71]Detail Deprec_202501'!$D$246:$I$393,6,FALSE),0)</f>
        <v>4929429.45</v>
      </c>
      <c r="AX199" s="501">
        <f t="shared" si="44"/>
        <v>0</v>
      </c>
    </row>
    <row r="200" spans="1:50" ht="12.9" customHeight="1" outlineLevel="1">
      <c r="A200" s="324">
        <f t="shared" si="51"/>
        <v>175</v>
      </c>
      <c r="B200" s="341" t="s">
        <v>142</v>
      </c>
      <c r="C200" s="523" t="s">
        <v>474</v>
      </c>
      <c r="D200" s="377">
        <v>155</v>
      </c>
      <c r="E200" s="382" t="s">
        <v>1711</v>
      </c>
      <c r="F200" s="341" t="s">
        <v>1032</v>
      </c>
      <c r="G200" s="306" t="s">
        <v>1033</v>
      </c>
      <c r="H200" s="429">
        <v>45145</v>
      </c>
      <c r="I200" s="392" t="s">
        <v>11</v>
      </c>
      <c r="J200" s="433" t="s">
        <v>1026</v>
      </c>
      <c r="K200" s="310" t="s">
        <v>1034</v>
      </c>
      <c r="L200" s="430" t="s">
        <v>300</v>
      </c>
      <c r="M200" s="310" t="s">
        <v>1028</v>
      </c>
      <c r="N200" s="310">
        <v>2023</v>
      </c>
      <c r="O200" s="311" t="s">
        <v>1029</v>
      </c>
      <c r="P200" s="311"/>
      <c r="Q200" s="443"/>
      <c r="R200" s="305">
        <v>1</v>
      </c>
      <c r="S200" s="431"/>
      <c r="T200" s="411">
        <v>55000000</v>
      </c>
      <c r="U200" s="411">
        <f t="shared" si="45"/>
        <v>916666.66666666663</v>
      </c>
      <c r="V200" s="316">
        <v>60</v>
      </c>
      <c r="W200" s="315">
        <f>17+12</f>
        <v>29</v>
      </c>
      <c r="X200" s="314">
        <f t="shared" si="46"/>
        <v>12</v>
      </c>
      <c r="Y200" s="317">
        <f t="shared" si="47"/>
        <v>41</v>
      </c>
      <c r="Z200" s="317">
        <f t="shared" si="48"/>
        <v>19</v>
      </c>
      <c r="AA200" s="413">
        <v>26583333.333333332</v>
      </c>
      <c r="AB200" s="413">
        <v>28416666.666666668</v>
      </c>
      <c r="AC200" s="318">
        <f t="shared" si="53"/>
        <v>11000000</v>
      </c>
      <c r="AD200" s="318">
        <v>916666.66666666663</v>
      </c>
      <c r="AE200" s="318">
        <v>916666.66666666663</v>
      </c>
      <c r="AF200" s="318">
        <v>916666.66666666663</v>
      </c>
      <c r="AG200" s="318">
        <v>916666.66666666663</v>
      </c>
      <c r="AH200" s="318">
        <v>916666.66666666663</v>
      </c>
      <c r="AI200" s="318">
        <v>916666.66666666663</v>
      </c>
      <c r="AJ200" s="318">
        <v>916666.66666666663</v>
      </c>
      <c r="AK200" s="318">
        <v>916666.66666666663</v>
      </c>
      <c r="AL200" s="318">
        <v>916666.66666666663</v>
      </c>
      <c r="AM200" s="318">
        <v>916666.66666666663</v>
      </c>
      <c r="AN200" s="318">
        <v>916666.66666666663</v>
      </c>
      <c r="AO200" s="318">
        <v>916666.66666666663</v>
      </c>
      <c r="AP200" s="318">
        <f t="shared" si="49"/>
        <v>37583333.333333328</v>
      </c>
      <c r="AQ200" s="319">
        <f t="shared" si="50"/>
        <v>17416666.666666672</v>
      </c>
      <c r="AR200" s="380"/>
      <c r="AS200" s="380"/>
      <c r="AT200" s="424"/>
      <c r="AU200" s="434">
        <v>45154</v>
      </c>
      <c r="AV200" s="146" t="s">
        <v>1236</v>
      </c>
      <c r="AW200" s="146">
        <f>IFERROR(VLOOKUP(G200,'[71]Detail Deprec_202501'!$D$246:$I$393,6,FALSE),0)</f>
        <v>916666.67</v>
      </c>
      <c r="AX200" s="501">
        <f t="shared" si="44"/>
        <v>3.3333334140479565E-3</v>
      </c>
    </row>
    <row r="201" spans="1:50" ht="12.9" customHeight="1" outlineLevel="1">
      <c r="A201" s="324">
        <f t="shared" si="51"/>
        <v>176</v>
      </c>
      <c r="B201" s="341" t="s">
        <v>142</v>
      </c>
      <c r="C201" s="344" t="s">
        <v>143</v>
      </c>
      <c r="D201" s="377">
        <v>155</v>
      </c>
      <c r="E201" s="377" t="s">
        <v>1710</v>
      </c>
      <c r="F201" s="341" t="s">
        <v>894</v>
      </c>
      <c r="G201" s="306" t="s">
        <v>1036</v>
      </c>
      <c r="H201" s="429">
        <v>45322</v>
      </c>
      <c r="I201" s="392"/>
      <c r="J201" s="433"/>
      <c r="K201" s="310" t="s">
        <v>468</v>
      </c>
      <c r="L201" s="430" t="s">
        <v>469</v>
      </c>
      <c r="M201" s="310" t="s">
        <v>470</v>
      </c>
      <c r="N201" s="310">
        <v>2024</v>
      </c>
      <c r="O201" s="311" t="s">
        <v>1035</v>
      </c>
      <c r="P201" s="311" t="s">
        <v>1037</v>
      </c>
      <c r="Q201" s="443" t="s">
        <v>1038</v>
      </c>
      <c r="R201" s="305">
        <v>1</v>
      </c>
      <c r="S201" s="431"/>
      <c r="T201" s="411">
        <v>432000000</v>
      </c>
      <c r="U201" s="411">
        <f t="shared" si="45"/>
        <v>7200000</v>
      </c>
      <c r="V201" s="316">
        <v>60</v>
      </c>
      <c r="W201" s="315">
        <f>12+12</f>
        <v>24</v>
      </c>
      <c r="X201" s="314">
        <f t="shared" si="46"/>
        <v>12</v>
      </c>
      <c r="Y201" s="317">
        <f t="shared" si="47"/>
        <v>36</v>
      </c>
      <c r="Z201" s="317">
        <f t="shared" si="48"/>
        <v>24</v>
      </c>
      <c r="AA201" s="413">
        <v>172800000</v>
      </c>
      <c r="AB201" s="413">
        <v>259200000</v>
      </c>
      <c r="AC201" s="318">
        <f t="shared" si="53"/>
        <v>86400000</v>
      </c>
      <c r="AD201" s="318">
        <v>7200000</v>
      </c>
      <c r="AE201" s="318">
        <v>7200000</v>
      </c>
      <c r="AF201" s="318">
        <v>7200000</v>
      </c>
      <c r="AG201" s="318">
        <v>7200000</v>
      </c>
      <c r="AH201" s="318">
        <v>7200000</v>
      </c>
      <c r="AI201" s="318">
        <v>7200000</v>
      </c>
      <c r="AJ201" s="318">
        <v>7200000</v>
      </c>
      <c r="AK201" s="318">
        <v>7200000</v>
      </c>
      <c r="AL201" s="318">
        <v>7200000</v>
      </c>
      <c r="AM201" s="318">
        <v>7200000</v>
      </c>
      <c r="AN201" s="318">
        <v>7200000</v>
      </c>
      <c r="AO201" s="318">
        <v>7200000</v>
      </c>
      <c r="AP201" s="318">
        <f t="shared" si="49"/>
        <v>259200000</v>
      </c>
      <c r="AQ201" s="319">
        <f t="shared" si="50"/>
        <v>172800000</v>
      </c>
      <c r="AR201" s="380"/>
      <c r="AS201" s="380"/>
      <c r="AT201" s="424"/>
      <c r="AU201" s="434"/>
      <c r="AV201" s="146" t="s">
        <v>1236</v>
      </c>
      <c r="AW201" s="146">
        <f>IFERROR(VLOOKUP(G201,'[70]Detail Deprec_202508'!$D$33:$I$357,6,FALSE),0)</f>
        <v>7200000</v>
      </c>
      <c r="AX201" s="146">
        <f t="shared" si="44"/>
        <v>0</v>
      </c>
    </row>
    <row r="202" spans="1:50" ht="12.9" customHeight="1" outlineLevel="1">
      <c r="A202" s="324">
        <f t="shared" si="51"/>
        <v>177</v>
      </c>
      <c r="B202" s="341" t="s">
        <v>142</v>
      </c>
      <c r="C202" s="344" t="s">
        <v>143</v>
      </c>
      <c r="D202" s="377">
        <v>155</v>
      </c>
      <c r="E202" s="377" t="s">
        <v>1710</v>
      </c>
      <c r="F202" s="341" t="s">
        <v>893</v>
      </c>
      <c r="G202" s="306" t="s">
        <v>1039</v>
      </c>
      <c r="H202" s="429">
        <v>45322</v>
      </c>
      <c r="I202" s="392"/>
      <c r="J202" s="433"/>
      <c r="K202" s="310" t="s">
        <v>468</v>
      </c>
      <c r="L202" s="430" t="s">
        <v>469</v>
      </c>
      <c r="M202" s="310" t="s">
        <v>551</v>
      </c>
      <c r="N202" s="310">
        <v>2024</v>
      </c>
      <c r="O202" s="311" t="s">
        <v>1040</v>
      </c>
      <c r="P202" s="311" t="s">
        <v>1041</v>
      </c>
      <c r="Q202" s="443" t="s">
        <v>1042</v>
      </c>
      <c r="R202" s="305">
        <v>1</v>
      </c>
      <c r="S202" s="431"/>
      <c r="T202" s="411">
        <v>414000000</v>
      </c>
      <c r="U202" s="411">
        <f t="shared" si="45"/>
        <v>6900000</v>
      </c>
      <c r="V202" s="316">
        <v>60</v>
      </c>
      <c r="W202" s="315">
        <f>12+12</f>
        <v>24</v>
      </c>
      <c r="X202" s="314">
        <f t="shared" si="46"/>
        <v>12</v>
      </c>
      <c r="Y202" s="317">
        <f t="shared" si="47"/>
        <v>36</v>
      </c>
      <c r="Z202" s="317">
        <f t="shared" si="48"/>
        <v>24</v>
      </c>
      <c r="AA202" s="413">
        <v>165600000</v>
      </c>
      <c r="AB202" s="413">
        <v>248400000</v>
      </c>
      <c r="AC202" s="318">
        <f t="shared" si="53"/>
        <v>82800000</v>
      </c>
      <c r="AD202" s="318">
        <v>6900000</v>
      </c>
      <c r="AE202" s="318">
        <v>6900000</v>
      </c>
      <c r="AF202" s="318">
        <v>6900000</v>
      </c>
      <c r="AG202" s="318">
        <v>6900000</v>
      </c>
      <c r="AH202" s="318">
        <v>6900000</v>
      </c>
      <c r="AI202" s="318">
        <v>6900000</v>
      </c>
      <c r="AJ202" s="318">
        <v>6900000</v>
      </c>
      <c r="AK202" s="318">
        <v>6900000</v>
      </c>
      <c r="AL202" s="318">
        <v>6900000</v>
      </c>
      <c r="AM202" s="318">
        <v>6900000</v>
      </c>
      <c r="AN202" s="318">
        <v>6900000</v>
      </c>
      <c r="AO202" s="318">
        <v>6900000</v>
      </c>
      <c r="AP202" s="318">
        <f t="shared" si="49"/>
        <v>248400000</v>
      </c>
      <c r="AQ202" s="319">
        <f t="shared" si="50"/>
        <v>165600000</v>
      </c>
      <c r="AR202" s="380"/>
      <c r="AS202" s="380"/>
      <c r="AT202" s="424"/>
      <c r="AU202" s="434"/>
      <c r="AV202" s="146" t="s">
        <v>1236</v>
      </c>
      <c r="AW202" s="146">
        <f>IFERROR(VLOOKUP(G202,'[70]Detail Deprec_202508'!$D$33:$I$357,6,FALSE),0)</f>
        <v>6900000</v>
      </c>
      <c r="AX202" s="146">
        <f t="shared" si="44"/>
        <v>0</v>
      </c>
    </row>
    <row r="203" spans="1:50" ht="12.9" customHeight="1" outlineLevel="1">
      <c r="A203" s="324">
        <f t="shared" si="51"/>
        <v>178</v>
      </c>
      <c r="B203" s="341" t="s">
        <v>142</v>
      </c>
      <c r="C203" s="523" t="s">
        <v>474</v>
      </c>
      <c r="D203" s="377">
        <v>155</v>
      </c>
      <c r="E203" s="377" t="s">
        <v>1711</v>
      </c>
      <c r="F203" s="341" t="s">
        <v>1043</v>
      </c>
      <c r="G203" s="306" t="s">
        <v>1044</v>
      </c>
      <c r="H203" s="429">
        <v>45379</v>
      </c>
      <c r="I203" s="392"/>
      <c r="J203" s="433"/>
      <c r="K203" s="310" t="s">
        <v>1045</v>
      </c>
      <c r="L203" s="430" t="s">
        <v>300</v>
      </c>
      <c r="M203" s="310" t="s">
        <v>519</v>
      </c>
      <c r="N203" s="310">
        <v>2024</v>
      </c>
      <c r="O203" s="311" t="s">
        <v>1046</v>
      </c>
      <c r="P203" s="311" t="s">
        <v>1047</v>
      </c>
      <c r="Q203" s="311" t="s">
        <v>1048</v>
      </c>
      <c r="R203" s="305">
        <v>1</v>
      </c>
      <c r="S203" s="431"/>
      <c r="T203" s="411">
        <v>377540541</v>
      </c>
      <c r="U203" s="411">
        <f t="shared" si="45"/>
        <v>6292342.3499999996</v>
      </c>
      <c r="V203" s="316">
        <v>60</v>
      </c>
      <c r="W203" s="315">
        <f>10+12</f>
        <v>22</v>
      </c>
      <c r="X203" s="314">
        <f t="shared" si="46"/>
        <v>12.000000000000002</v>
      </c>
      <c r="Y203" s="317">
        <f t="shared" si="47"/>
        <v>34</v>
      </c>
      <c r="Z203" s="317">
        <f t="shared" si="48"/>
        <v>26</v>
      </c>
      <c r="AA203" s="413">
        <v>138431531.70000002</v>
      </c>
      <c r="AB203" s="413">
        <v>239109009.29999998</v>
      </c>
      <c r="AC203" s="318">
        <f t="shared" si="53"/>
        <v>75508108.200000003</v>
      </c>
      <c r="AD203" s="318">
        <v>6292342.3499999996</v>
      </c>
      <c r="AE203" s="318">
        <v>6292342.3499999996</v>
      </c>
      <c r="AF203" s="318">
        <v>6292342.3499999996</v>
      </c>
      <c r="AG203" s="318">
        <v>6292342.3499999996</v>
      </c>
      <c r="AH203" s="318">
        <v>6292342.3499999996</v>
      </c>
      <c r="AI203" s="318">
        <v>6292342.3499999996</v>
      </c>
      <c r="AJ203" s="318">
        <v>6292342.3499999996</v>
      </c>
      <c r="AK203" s="318">
        <v>6292342.3499999996</v>
      </c>
      <c r="AL203" s="318">
        <v>6292342.3499999996</v>
      </c>
      <c r="AM203" s="318">
        <v>6292342.3499999996</v>
      </c>
      <c r="AN203" s="318">
        <v>6292342.3499999996</v>
      </c>
      <c r="AO203" s="318">
        <v>6292342.3499999996</v>
      </c>
      <c r="AP203" s="318">
        <f t="shared" si="49"/>
        <v>213939639.90000004</v>
      </c>
      <c r="AQ203" s="319">
        <f t="shared" si="50"/>
        <v>163600901.09999996</v>
      </c>
      <c r="AR203" s="380"/>
      <c r="AS203" s="380"/>
      <c r="AT203" s="424"/>
      <c r="AU203" s="434"/>
      <c r="AV203" s="146" t="s">
        <v>1236</v>
      </c>
      <c r="AW203" s="146">
        <f>IFERROR(VLOOKUP(G203,'[71]Detail Deprec_202501'!$D$246:$I$393,6,FALSE),0)</f>
        <v>6292342.3499999996</v>
      </c>
      <c r="AX203" s="501">
        <f t="shared" si="44"/>
        <v>0</v>
      </c>
    </row>
    <row r="204" spans="1:50" ht="12.9" customHeight="1" outlineLevel="1">
      <c r="A204" s="324">
        <f t="shared" si="51"/>
        <v>179</v>
      </c>
      <c r="B204" s="341" t="s">
        <v>142</v>
      </c>
      <c r="C204" s="523" t="s">
        <v>474</v>
      </c>
      <c r="D204" s="377">
        <v>155</v>
      </c>
      <c r="E204" s="377" t="s">
        <v>1711</v>
      </c>
      <c r="F204" s="341" t="s">
        <v>1049</v>
      </c>
      <c r="G204" s="306" t="s">
        <v>1050</v>
      </c>
      <c r="H204" s="429">
        <v>45379</v>
      </c>
      <c r="I204" s="392"/>
      <c r="J204" s="433"/>
      <c r="K204" s="310" t="s">
        <v>1051</v>
      </c>
      <c r="L204" s="430" t="s">
        <v>300</v>
      </c>
      <c r="M204" s="310" t="s">
        <v>519</v>
      </c>
      <c r="N204" s="310">
        <v>2024</v>
      </c>
      <c r="O204" s="311" t="s">
        <v>1046</v>
      </c>
      <c r="P204" s="311" t="s">
        <v>1052</v>
      </c>
      <c r="Q204" s="311"/>
      <c r="R204" s="305">
        <v>1</v>
      </c>
      <c r="S204" s="431"/>
      <c r="T204" s="411">
        <v>45000000</v>
      </c>
      <c r="U204" s="411">
        <f t="shared" si="45"/>
        <v>750000</v>
      </c>
      <c r="V204" s="316">
        <v>60</v>
      </c>
      <c r="W204" s="315">
        <f>10+12</f>
        <v>22</v>
      </c>
      <c r="X204" s="314">
        <f t="shared" si="46"/>
        <v>12</v>
      </c>
      <c r="Y204" s="317">
        <f t="shared" si="47"/>
        <v>34</v>
      </c>
      <c r="Z204" s="317">
        <f t="shared" si="48"/>
        <v>26</v>
      </c>
      <c r="AA204" s="413">
        <v>16500000</v>
      </c>
      <c r="AB204" s="413">
        <v>28500000</v>
      </c>
      <c r="AC204" s="318">
        <f t="shared" si="53"/>
        <v>9000000</v>
      </c>
      <c r="AD204" s="318">
        <v>750000</v>
      </c>
      <c r="AE204" s="318">
        <v>750000</v>
      </c>
      <c r="AF204" s="318">
        <v>750000</v>
      </c>
      <c r="AG204" s="318">
        <v>750000</v>
      </c>
      <c r="AH204" s="318">
        <v>750000</v>
      </c>
      <c r="AI204" s="318">
        <v>750000</v>
      </c>
      <c r="AJ204" s="318">
        <v>750000</v>
      </c>
      <c r="AK204" s="318">
        <v>750000</v>
      </c>
      <c r="AL204" s="318">
        <v>750000</v>
      </c>
      <c r="AM204" s="318">
        <v>750000</v>
      </c>
      <c r="AN204" s="318">
        <v>750000</v>
      </c>
      <c r="AO204" s="318">
        <v>750000</v>
      </c>
      <c r="AP204" s="318">
        <f t="shared" si="49"/>
        <v>25500000</v>
      </c>
      <c r="AQ204" s="319">
        <f t="shared" si="50"/>
        <v>19500000</v>
      </c>
      <c r="AR204" s="380"/>
      <c r="AS204" s="380"/>
      <c r="AT204" s="424"/>
      <c r="AU204" s="434"/>
      <c r="AV204" s="146" t="s">
        <v>1236</v>
      </c>
      <c r="AW204" s="146">
        <f>IFERROR(VLOOKUP(G204,'[71]Detail Deprec_202501'!$D$246:$I$393,6,FALSE),0)</f>
        <v>750000</v>
      </c>
      <c r="AX204" s="501">
        <f t="shared" si="44"/>
        <v>0</v>
      </c>
    </row>
    <row r="205" spans="1:50" ht="12.9" customHeight="1" outlineLevel="1">
      <c r="A205" s="324">
        <f t="shared" si="51"/>
        <v>180</v>
      </c>
      <c r="B205" s="341" t="s">
        <v>142</v>
      </c>
      <c r="C205" s="523" t="s">
        <v>143</v>
      </c>
      <c r="D205" s="377">
        <v>155</v>
      </c>
      <c r="E205" s="377" t="s">
        <v>1707</v>
      </c>
      <c r="F205" s="341" t="s">
        <v>1053</v>
      </c>
      <c r="G205" s="306" t="s">
        <v>1054</v>
      </c>
      <c r="H205" s="429">
        <v>45378</v>
      </c>
      <c r="I205" s="392"/>
      <c r="J205" s="433"/>
      <c r="K205" s="310" t="s">
        <v>1055</v>
      </c>
      <c r="L205" s="430" t="s">
        <v>469</v>
      </c>
      <c r="M205" s="310" t="s">
        <v>551</v>
      </c>
      <c r="N205" s="310">
        <v>2024</v>
      </c>
      <c r="O205" s="311" t="s">
        <v>1056</v>
      </c>
      <c r="P205" s="311" t="s">
        <v>1057</v>
      </c>
      <c r="Q205" s="311" t="s">
        <v>1057</v>
      </c>
      <c r="R205" s="305">
        <v>1</v>
      </c>
      <c r="S205" s="431"/>
      <c r="T205" s="411">
        <v>414000000</v>
      </c>
      <c r="U205" s="411">
        <f t="shared" si="45"/>
        <v>6900000</v>
      </c>
      <c r="V205" s="316">
        <v>60</v>
      </c>
      <c r="W205" s="315">
        <f>10+12</f>
        <v>22</v>
      </c>
      <c r="X205" s="314">
        <f t="shared" si="46"/>
        <v>12</v>
      </c>
      <c r="Y205" s="317">
        <f t="shared" si="47"/>
        <v>34</v>
      </c>
      <c r="Z205" s="317">
        <f t="shared" si="48"/>
        <v>26</v>
      </c>
      <c r="AA205" s="413">
        <v>151800000</v>
      </c>
      <c r="AB205" s="413">
        <v>262200000</v>
      </c>
      <c r="AC205" s="318">
        <f t="shared" si="53"/>
        <v>82800000</v>
      </c>
      <c r="AD205" s="318">
        <v>6900000</v>
      </c>
      <c r="AE205" s="318">
        <v>6900000</v>
      </c>
      <c r="AF205" s="318">
        <v>6900000</v>
      </c>
      <c r="AG205" s="318">
        <v>6900000</v>
      </c>
      <c r="AH205" s="318">
        <v>6900000</v>
      </c>
      <c r="AI205" s="318">
        <v>6900000</v>
      </c>
      <c r="AJ205" s="318">
        <v>6900000</v>
      </c>
      <c r="AK205" s="318">
        <v>6900000</v>
      </c>
      <c r="AL205" s="318">
        <v>6900000</v>
      </c>
      <c r="AM205" s="318">
        <v>6900000</v>
      </c>
      <c r="AN205" s="318">
        <v>6900000</v>
      </c>
      <c r="AO205" s="318">
        <v>6900000</v>
      </c>
      <c r="AP205" s="318">
        <f t="shared" si="49"/>
        <v>234600000</v>
      </c>
      <c r="AQ205" s="319">
        <f t="shared" si="50"/>
        <v>179400000</v>
      </c>
      <c r="AR205" s="380"/>
      <c r="AS205" s="380"/>
      <c r="AT205" s="424"/>
      <c r="AU205" s="434"/>
      <c r="AV205" s="146" t="s">
        <v>1236</v>
      </c>
      <c r="AW205" s="146">
        <f>IFERROR(VLOOKUP(G205,'[70]Detail Deprec_202508'!$D$33:$I$357,6,FALSE),0)</f>
        <v>6900000</v>
      </c>
      <c r="AX205" s="146">
        <f t="shared" si="44"/>
        <v>0</v>
      </c>
    </row>
    <row r="206" spans="1:50" ht="12.9" customHeight="1" outlineLevel="1">
      <c r="A206" s="324">
        <f t="shared" si="51"/>
        <v>181</v>
      </c>
      <c r="B206" s="341" t="s">
        <v>142</v>
      </c>
      <c r="C206" s="523" t="s">
        <v>143</v>
      </c>
      <c r="D206" s="377">
        <v>155</v>
      </c>
      <c r="E206" s="377" t="s">
        <v>1707</v>
      </c>
      <c r="F206" s="341" t="s">
        <v>1058</v>
      </c>
      <c r="G206" s="306" t="s">
        <v>1059</v>
      </c>
      <c r="H206" s="429">
        <v>45378</v>
      </c>
      <c r="I206" s="392"/>
      <c r="J206" s="433"/>
      <c r="K206" s="310" t="s">
        <v>1055</v>
      </c>
      <c r="L206" s="430" t="s">
        <v>469</v>
      </c>
      <c r="M206" s="310" t="s">
        <v>551</v>
      </c>
      <c r="N206" s="310">
        <v>2024</v>
      </c>
      <c r="O206" s="311" t="s">
        <v>1056</v>
      </c>
      <c r="P206" s="311" t="s">
        <v>1060</v>
      </c>
      <c r="Q206" s="311" t="s">
        <v>1060</v>
      </c>
      <c r="R206" s="305">
        <v>1</v>
      </c>
      <c r="S206" s="431"/>
      <c r="T206" s="411">
        <v>414000000</v>
      </c>
      <c r="U206" s="411">
        <f t="shared" si="45"/>
        <v>6900000</v>
      </c>
      <c r="V206" s="316">
        <v>60</v>
      </c>
      <c r="W206" s="315">
        <f>10+12</f>
        <v>22</v>
      </c>
      <c r="X206" s="314">
        <f t="shared" si="46"/>
        <v>12</v>
      </c>
      <c r="Y206" s="317">
        <f t="shared" si="47"/>
        <v>34</v>
      </c>
      <c r="Z206" s="317">
        <f t="shared" si="48"/>
        <v>26</v>
      </c>
      <c r="AA206" s="413">
        <v>151800000</v>
      </c>
      <c r="AB206" s="413">
        <v>262200000</v>
      </c>
      <c r="AC206" s="318">
        <f t="shared" si="53"/>
        <v>82800000</v>
      </c>
      <c r="AD206" s="318">
        <v>6900000</v>
      </c>
      <c r="AE206" s="318">
        <v>6900000</v>
      </c>
      <c r="AF206" s="318">
        <v>6900000</v>
      </c>
      <c r="AG206" s="318">
        <v>6900000</v>
      </c>
      <c r="AH206" s="318">
        <v>6900000</v>
      </c>
      <c r="AI206" s="318">
        <v>6900000</v>
      </c>
      <c r="AJ206" s="318">
        <v>6900000</v>
      </c>
      <c r="AK206" s="318">
        <v>6900000</v>
      </c>
      <c r="AL206" s="318">
        <v>6900000</v>
      </c>
      <c r="AM206" s="318">
        <v>6900000</v>
      </c>
      <c r="AN206" s="318">
        <v>6900000</v>
      </c>
      <c r="AO206" s="318">
        <v>6900000</v>
      </c>
      <c r="AP206" s="318">
        <f t="shared" si="49"/>
        <v>234600000</v>
      </c>
      <c r="AQ206" s="319">
        <f t="shared" si="50"/>
        <v>179400000</v>
      </c>
      <c r="AR206" s="380"/>
      <c r="AS206" s="380"/>
      <c r="AT206" s="424"/>
      <c r="AU206" s="434"/>
      <c r="AV206" s="146" t="s">
        <v>1236</v>
      </c>
      <c r="AW206" s="146">
        <f>IFERROR(VLOOKUP(G206,'[70]Detail Deprec_202508'!$D$33:$I$357,6,FALSE),0)</f>
        <v>6900000</v>
      </c>
      <c r="AX206" s="146">
        <f t="shared" si="44"/>
        <v>0</v>
      </c>
    </row>
    <row r="207" spans="1:50" ht="12.9" customHeight="1" outlineLevel="1">
      <c r="A207" s="324">
        <f t="shared" si="51"/>
        <v>182</v>
      </c>
      <c r="B207" s="560" t="s">
        <v>142</v>
      </c>
      <c r="C207" s="561" t="s">
        <v>143</v>
      </c>
      <c r="D207" s="562">
        <v>155</v>
      </c>
      <c r="E207" s="562" t="s">
        <v>1707</v>
      </c>
      <c r="F207" s="560" t="s">
        <v>1062</v>
      </c>
      <c r="G207" s="306" t="s">
        <v>1063</v>
      </c>
      <c r="H207" s="563">
        <v>45504</v>
      </c>
      <c r="I207" s="566"/>
      <c r="J207" s="567"/>
      <c r="K207" s="463" t="s">
        <v>468</v>
      </c>
      <c r="L207" s="564" t="s">
        <v>469</v>
      </c>
      <c r="M207" s="463" t="s">
        <v>551</v>
      </c>
      <c r="N207" s="310">
        <v>2024</v>
      </c>
      <c r="O207" s="464">
        <v>42491</v>
      </c>
      <c r="P207" s="464" t="s">
        <v>1064</v>
      </c>
      <c r="Q207" s="464" t="s">
        <v>1064</v>
      </c>
      <c r="R207" s="458">
        <v>1</v>
      </c>
      <c r="S207" s="568"/>
      <c r="T207" s="565">
        <v>414000000</v>
      </c>
      <c r="U207" s="565">
        <f t="shared" si="45"/>
        <v>6900000</v>
      </c>
      <c r="V207" s="469">
        <v>60</v>
      </c>
      <c r="W207" s="558">
        <f>6+12</f>
        <v>18</v>
      </c>
      <c r="X207" s="468">
        <f t="shared" si="46"/>
        <v>12</v>
      </c>
      <c r="Y207" s="470">
        <f t="shared" si="47"/>
        <v>30</v>
      </c>
      <c r="Z207" s="470">
        <f t="shared" si="48"/>
        <v>30</v>
      </c>
      <c r="AA207" s="569">
        <v>124200000</v>
      </c>
      <c r="AB207" s="569">
        <v>289800000</v>
      </c>
      <c r="AC207" s="471">
        <f t="shared" si="53"/>
        <v>82800000</v>
      </c>
      <c r="AD207" s="471">
        <v>6900000</v>
      </c>
      <c r="AE207" s="471">
        <v>6900000</v>
      </c>
      <c r="AF207" s="471">
        <v>6900000</v>
      </c>
      <c r="AG207" s="471">
        <v>6900000</v>
      </c>
      <c r="AH207" s="471">
        <v>6900000</v>
      </c>
      <c r="AI207" s="471">
        <v>6900000</v>
      </c>
      <c r="AJ207" s="471">
        <v>6900000</v>
      </c>
      <c r="AK207" s="471">
        <v>6900000</v>
      </c>
      <c r="AL207" s="471">
        <v>6900000</v>
      </c>
      <c r="AM207" s="471">
        <v>6900000</v>
      </c>
      <c r="AN207" s="471">
        <v>6900000</v>
      </c>
      <c r="AO207" s="471">
        <v>6900000</v>
      </c>
      <c r="AP207" s="471">
        <f t="shared" si="49"/>
        <v>207000000</v>
      </c>
      <c r="AQ207" s="472">
        <f t="shared" si="50"/>
        <v>207000000</v>
      </c>
      <c r="AR207" s="559"/>
      <c r="AS207" s="559"/>
      <c r="AT207" s="570"/>
      <c r="AU207" s="571"/>
      <c r="AV207" s="146" t="s">
        <v>1236</v>
      </c>
      <c r="AW207" s="146">
        <f>IFERROR(VLOOKUP(G207,'[70]Detail Deprec_202508'!$D$33:$I$357,6,FALSE),0)</f>
        <v>6900000</v>
      </c>
      <c r="AX207" s="146">
        <f t="shared" si="44"/>
        <v>0</v>
      </c>
    </row>
    <row r="208" spans="1:50" ht="12.9" customHeight="1" outlineLevel="1">
      <c r="A208" s="324">
        <f t="shared" si="51"/>
        <v>183</v>
      </c>
      <c r="B208" s="560" t="s">
        <v>142</v>
      </c>
      <c r="C208" s="561" t="s">
        <v>143</v>
      </c>
      <c r="D208" s="562">
        <v>155</v>
      </c>
      <c r="E208" s="562" t="s">
        <v>1707</v>
      </c>
      <c r="F208" s="560" t="s">
        <v>1065</v>
      </c>
      <c r="G208" s="306" t="s">
        <v>1066</v>
      </c>
      <c r="H208" s="563">
        <v>45504</v>
      </c>
      <c r="I208" s="566"/>
      <c r="J208" s="567"/>
      <c r="K208" s="463" t="s">
        <v>468</v>
      </c>
      <c r="L208" s="564" t="s">
        <v>469</v>
      </c>
      <c r="M208" s="463" t="s">
        <v>551</v>
      </c>
      <c r="N208" s="310">
        <v>2024</v>
      </c>
      <c r="O208" s="464">
        <v>42599</v>
      </c>
      <c r="P208" s="464" t="s">
        <v>1067</v>
      </c>
      <c r="Q208" s="464" t="s">
        <v>1067</v>
      </c>
      <c r="R208" s="458">
        <v>1</v>
      </c>
      <c r="S208" s="568"/>
      <c r="T208" s="565">
        <v>414000000</v>
      </c>
      <c r="U208" s="565">
        <f t="shared" si="45"/>
        <v>6900000</v>
      </c>
      <c r="V208" s="469">
        <v>60</v>
      </c>
      <c r="W208" s="558">
        <f>6+12</f>
        <v>18</v>
      </c>
      <c r="X208" s="468">
        <f t="shared" si="46"/>
        <v>12</v>
      </c>
      <c r="Y208" s="470">
        <f t="shared" si="47"/>
        <v>30</v>
      </c>
      <c r="Z208" s="470">
        <f t="shared" si="48"/>
        <v>30</v>
      </c>
      <c r="AA208" s="569">
        <v>124200000</v>
      </c>
      <c r="AB208" s="569">
        <v>289800000</v>
      </c>
      <c r="AC208" s="471">
        <f t="shared" si="53"/>
        <v>82800000</v>
      </c>
      <c r="AD208" s="471">
        <v>6900000</v>
      </c>
      <c r="AE208" s="471">
        <v>6900000</v>
      </c>
      <c r="AF208" s="471">
        <v>6900000</v>
      </c>
      <c r="AG208" s="471">
        <v>6900000</v>
      </c>
      <c r="AH208" s="471">
        <v>6900000</v>
      </c>
      <c r="AI208" s="471">
        <v>6900000</v>
      </c>
      <c r="AJ208" s="471">
        <v>6900000</v>
      </c>
      <c r="AK208" s="471">
        <v>6900000</v>
      </c>
      <c r="AL208" s="471">
        <v>6900000</v>
      </c>
      <c r="AM208" s="471">
        <v>6900000</v>
      </c>
      <c r="AN208" s="471">
        <v>6900000</v>
      </c>
      <c r="AO208" s="471">
        <v>6900000</v>
      </c>
      <c r="AP208" s="471">
        <f t="shared" si="49"/>
        <v>207000000</v>
      </c>
      <c r="AQ208" s="472">
        <f t="shared" si="50"/>
        <v>207000000</v>
      </c>
      <c r="AR208" s="559"/>
      <c r="AS208" s="559"/>
      <c r="AT208" s="570"/>
      <c r="AU208" s="571"/>
      <c r="AV208" s="146" t="s">
        <v>1236</v>
      </c>
      <c r="AW208" s="146">
        <f>IFERROR(VLOOKUP(G208,'[70]Detail Deprec_202508'!$D$33:$I$357,6,FALSE),0)</f>
        <v>6900000</v>
      </c>
      <c r="AX208" s="146">
        <f t="shared" si="44"/>
        <v>0</v>
      </c>
    </row>
    <row r="209" spans="1:50" ht="12.9" customHeight="1" outlineLevel="1">
      <c r="A209" s="324">
        <f t="shared" si="51"/>
        <v>184</v>
      </c>
      <c r="B209" s="560" t="s">
        <v>142</v>
      </c>
      <c r="C209" s="561" t="s">
        <v>143</v>
      </c>
      <c r="D209" s="562">
        <v>155</v>
      </c>
      <c r="E209" s="562" t="s">
        <v>1707</v>
      </c>
      <c r="F209" s="560" t="s">
        <v>1068</v>
      </c>
      <c r="G209" s="306" t="s">
        <v>1069</v>
      </c>
      <c r="H209" s="563">
        <v>45504</v>
      </c>
      <c r="I209" s="566"/>
      <c r="J209" s="567"/>
      <c r="K209" s="463" t="s">
        <v>468</v>
      </c>
      <c r="L209" s="564" t="s">
        <v>469</v>
      </c>
      <c r="M209" s="463" t="s">
        <v>470</v>
      </c>
      <c r="N209" s="310">
        <v>2024</v>
      </c>
      <c r="O209" s="464" t="s">
        <v>1035</v>
      </c>
      <c r="P209" s="464" t="s">
        <v>1070</v>
      </c>
      <c r="Q209" s="464" t="s">
        <v>1071</v>
      </c>
      <c r="R209" s="458">
        <v>1</v>
      </c>
      <c r="S209" s="568"/>
      <c r="T209" s="565">
        <v>472000000</v>
      </c>
      <c r="U209" s="565">
        <f t="shared" si="45"/>
        <v>7866666.666666667</v>
      </c>
      <c r="V209" s="469">
        <v>60</v>
      </c>
      <c r="W209" s="558">
        <f>6+12</f>
        <v>18</v>
      </c>
      <c r="X209" s="468">
        <f t="shared" si="46"/>
        <v>12.000000000000002</v>
      </c>
      <c r="Y209" s="470">
        <f t="shared" si="47"/>
        <v>30</v>
      </c>
      <c r="Z209" s="470">
        <f t="shared" si="48"/>
        <v>30</v>
      </c>
      <c r="AA209" s="569">
        <v>141600000</v>
      </c>
      <c r="AB209" s="569">
        <v>330400000</v>
      </c>
      <c r="AC209" s="471">
        <f t="shared" si="53"/>
        <v>94400000.000000015</v>
      </c>
      <c r="AD209" s="471">
        <v>7866666.666666667</v>
      </c>
      <c r="AE209" s="471">
        <v>7866666.666666667</v>
      </c>
      <c r="AF209" s="471">
        <v>7866666.666666667</v>
      </c>
      <c r="AG209" s="471">
        <v>7866666.666666667</v>
      </c>
      <c r="AH209" s="471">
        <v>7866666.666666667</v>
      </c>
      <c r="AI209" s="471">
        <v>7866666.666666667</v>
      </c>
      <c r="AJ209" s="471">
        <v>7866666.666666667</v>
      </c>
      <c r="AK209" s="471">
        <v>7866666.666666667</v>
      </c>
      <c r="AL209" s="471">
        <v>7866666.666666667</v>
      </c>
      <c r="AM209" s="471">
        <v>7866666.666666667</v>
      </c>
      <c r="AN209" s="471">
        <v>7866666.666666667</v>
      </c>
      <c r="AO209" s="471">
        <v>7866666.666666667</v>
      </c>
      <c r="AP209" s="471">
        <f t="shared" si="49"/>
        <v>236000000</v>
      </c>
      <c r="AQ209" s="472">
        <f t="shared" si="50"/>
        <v>236000000</v>
      </c>
      <c r="AR209" s="559"/>
      <c r="AS209" s="559"/>
      <c r="AT209" s="570"/>
      <c r="AU209" s="571"/>
      <c r="AV209" s="146" t="s">
        <v>1236</v>
      </c>
      <c r="AW209" s="146">
        <f>IFERROR(VLOOKUP(G209,'[70]Detail Deprec_202508'!$D$33:$I$357,6,FALSE),0)</f>
        <v>7866666.6699999999</v>
      </c>
      <c r="AX209" s="146">
        <f t="shared" si="44"/>
        <v>3.3333329483866692E-3</v>
      </c>
    </row>
    <row r="210" spans="1:50" ht="12.9" customHeight="1" outlineLevel="1">
      <c r="A210" s="324">
        <f t="shared" si="51"/>
        <v>185</v>
      </c>
      <c r="B210" s="560" t="s">
        <v>142</v>
      </c>
      <c r="C210" s="561" t="s">
        <v>143</v>
      </c>
      <c r="D210" s="562">
        <v>155</v>
      </c>
      <c r="E210" s="562" t="s">
        <v>1707</v>
      </c>
      <c r="F210" s="560" t="s">
        <v>1619</v>
      </c>
      <c r="G210" s="459" t="s">
        <v>1616</v>
      </c>
      <c r="H210" s="563">
        <v>45695</v>
      </c>
      <c r="I210" s="566"/>
      <c r="J210" s="567"/>
      <c r="K210" s="463" t="s">
        <v>468</v>
      </c>
      <c r="L210" s="564"/>
      <c r="M210" s="463" t="s">
        <v>823</v>
      </c>
      <c r="N210" s="310">
        <v>2025</v>
      </c>
      <c r="O210" s="464" t="s">
        <v>1620</v>
      </c>
      <c r="P210" s="464" t="s">
        <v>1620</v>
      </c>
      <c r="Q210" s="464" t="s">
        <v>1620</v>
      </c>
      <c r="R210" s="458">
        <v>1</v>
      </c>
      <c r="S210" s="568"/>
      <c r="T210" s="565">
        <v>485000000</v>
      </c>
      <c r="U210" s="565">
        <f t="shared" si="45"/>
        <v>8083333.333333333</v>
      </c>
      <c r="V210" s="469">
        <v>60</v>
      </c>
      <c r="W210" s="558">
        <v>11</v>
      </c>
      <c r="X210" s="468">
        <f t="shared" si="46"/>
        <v>11.999999999999998</v>
      </c>
      <c r="Y210" s="470">
        <f t="shared" si="47"/>
        <v>23</v>
      </c>
      <c r="Z210" s="470">
        <f t="shared" si="48"/>
        <v>37</v>
      </c>
      <c r="AA210" s="569">
        <v>88916666.666666657</v>
      </c>
      <c r="AB210" s="569">
        <v>396083333.33333337</v>
      </c>
      <c r="AC210" s="471">
        <f t="shared" si="53"/>
        <v>96999999.999999985</v>
      </c>
      <c r="AD210" s="471">
        <v>8083333.333333333</v>
      </c>
      <c r="AE210" s="471">
        <v>8083333.333333333</v>
      </c>
      <c r="AF210" s="471">
        <v>8083333.333333333</v>
      </c>
      <c r="AG210" s="471">
        <v>8083333.333333333</v>
      </c>
      <c r="AH210" s="471">
        <v>8083333.333333333</v>
      </c>
      <c r="AI210" s="471">
        <v>8083333.333333333</v>
      </c>
      <c r="AJ210" s="471">
        <v>8083333.333333333</v>
      </c>
      <c r="AK210" s="471">
        <v>8083333.333333333</v>
      </c>
      <c r="AL210" s="471">
        <v>8083333.333333333</v>
      </c>
      <c r="AM210" s="471">
        <v>8083333.333333333</v>
      </c>
      <c r="AN210" s="471">
        <v>8083333.333333333</v>
      </c>
      <c r="AO210" s="471">
        <v>8083333.333333333</v>
      </c>
      <c r="AP210" s="471">
        <f t="shared" si="49"/>
        <v>185916666.66666663</v>
      </c>
      <c r="AQ210" s="472">
        <f t="shared" si="50"/>
        <v>299083333.33333337</v>
      </c>
      <c r="AR210" s="559" t="s">
        <v>38</v>
      </c>
      <c r="AS210" s="559"/>
      <c r="AT210" s="570"/>
      <c r="AU210" s="571"/>
      <c r="AV210" s="146" t="s">
        <v>1241</v>
      </c>
      <c r="AW210" s="146">
        <f>IFERROR(VLOOKUP(G210,'[70]Detail Deprec_202508'!$D$33:$I$357,6,FALSE),0)</f>
        <v>8083333.3200000003</v>
      </c>
      <c r="AX210" s="146">
        <f t="shared" si="44"/>
        <v>-1.3333332724869251E-2</v>
      </c>
    </row>
    <row r="211" spans="1:50" ht="12.9" customHeight="1" outlineLevel="1">
      <c r="A211" s="324">
        <f t="shared" si="51"/>
        <v>186</v>
      </c>
      <c r="B211" s="560" t="s">
        <v>142</v>
      </c>
      <c r="C211" s="561" t="s">
        <v>143</v>
      </c>
      <c r="D211" s="562">
        <v>155</v>
      </c>
      <c r="E211" s="562" t="s">
        <v>1707</v>
      </c>
      <c r="F211" s="560" t="s">
        <v>1621</v>
      </c>
      <c r="G211" s="459" t="s">
        <v>1617</v>
      </c>
      <c r="H211" s="563">
        <v>45695</v>
      </c>
      <c r="I211" s="566"/>
      <c r="J211" s="567"/>
      <c r="K211" s="463" t="s">
        <v>468</v>
      </c>
      <c r="L211" s="564"/>
      <c r="M211" s="463" t="s">
        <v>1604</v>
      </c>
      <c r="N211" s="310">
        <v>2025</v>
      </c>
      <c r="O211" s="464" t="s">
        <v>1622</v>
      </c>
      <c r="P211" s="464" t="s">
        <v>1622</v>
      </c>
      <c r="Q211" s="464" t="s">
        <v>1622</v>
      </c>
      <c r="R211" s="458">
        <v>1</v>
      </c>
      <c r="S211" s="568"/>
      <c r="T211" s="565">
        <v>419000000</v>
      </c>
      <c r="U211" s="565">
        <f t="shared" si="45"/>
        <v>6983333.333333333</v>
      </c>
      <c r="V211" s="469">
        <v>60</v>
      </c>
      <c r="W211" s="558">
        <v>11.000000000000002</v>
      </c>
      <c r="X211" s="468">
        <f t="shared" si="46"/>
        <v>12</v>
      </c>
      <c r="Y211" s="470">
        <f t="shared" si="47"/>
        <v>23</v>
      </c>
      <c r="Z211" s="470">
        <f t="shared" si="48"/>
        <v>37</v>
      </c>
      <c r="AA211" s="569">
        <v>76816666.666666672</v>
      </c>
      <c r="AB211" s="569">
        <v>342183333.33333331</v>
      </c>
      <c r="AC211" s="471">
        <f t="shared" si="53"/>
        <v>83800000</v>
      </c>
      <c r="AD211" s="471">
        <v>6983333.333333333</v>
      </c>
      <c r="AE211" s="471">
        <v>6983333.333333333</v>
      </c>
      <c r="AF211" s="471">
        <v>6983333.333333333</v>
      </c>
      <c r="AG211" s="471">
        <v>6983333.333333333</v>
      </c>
      <c r="AH211" s="471">
        <v>6983333.333333333</v>
      </c>
      <c r="AI211" s="471">
        <v>6983333.333333333</v>
      </c>
      <c r="AJ211" s="471">
        <v>6983333.333333333</v>
      </c>
      <c r="AK211" s="471">
        <v>6983333.333333333</v>
      </c>
      <c r="AL211" s="471">
        <v>6983333.333333333</v>
      </c>
      <c r="AM211" s="471">
        <v>6983333.333333333</v>
      </c>
      <c r="AN211" s="471">
        <v>6983333.333333333</v>
      </c>
      <c r="AO211" s="471">
        <v>6983333.333333333</v>
      </c>
      <c r="AP211" s="471">
        <f t="shared" si="49"/>
        <v>160616666.66666669</v>
      </c>
      <c r="AQ211" s="472">
        <f t="shared" si="50"/>
        <v>258383333.33333331</v>
      </c>
      <c r="AR211" s="559" t="s">
        <v>38</v>
      </c>
      <c r="AS211" s="559"/>
      <c r="AT211" s="570"/>
      <c r="AU211" s="571"/>
      <c r="AV211" s="146" t="s">
        <v>1236</v>
      </c>
      <c r="AW211" s="146">
        <f>IFERROR(VLOOKUP(G211,'[70]Detail Deprec_202508'!$D$33:$I$357,6,FALSE),0)</f>
        <v>6983333.3200000003</v>
      </c>
      <c r="AX211" s="146">
        <f t="shared" si="44"/>
        <v>-1.3333332724869251E-2</v>
      </c>
    </row>
    <row r="212" spans="1:50" ht="12.9" customHeight="1" outlineLevel="1">
      <c r="A212" s="324">
        <f t="shared" si="51"/>
        <v>187</v>
      </c>
      <c r="B212" s="560" t="s">
        <v>142</v>
      </c>
      <c r="C212" s="561" t="s">
        <v>143</v>
      </c>
      <c r="D212" s="562">
        <v>155</v>
      </c>
      <c r="E212" s="562" t="s">
        <v>1707</v>
      </c>
      <c r="F212" s="608" t="s">
        <v>1623</v>
      </c>
      <c r="G212" s="459" t="s">
        <v>1618</v>
      </c>
      <c r="H212" s="563">
        <v>45695</v>
      </c>
      <c r="I212" s="566"/>
      <c r="J212" s="567"/>
      <c r="K212" s="463" t="s">
        <v>468</v>
      </c>
      <c r="L212" s="564"/>
      <c r="M212" s="463" t="s">
        <v>1604</v>
      </c>
      <c r="N212" s="310">
        <v>2025</v>
      </c>
      <c r="O212" s="464" t="s">
        <v>1624</v>
      </c>
      <c r="P212" s="464" t="s">
        <v>1624</v>
      </c>
      <c r="Q212" s="464" t="s">
        <v>1624</v>
      </c>
      <c r="R212" s="458">
        <v>1</v>
      </c>
      <c r="S212" s="568"/>
      <c r="T212" s="565">
        <v>419000000</v>
      </c>
      <c r="U212" s="565">
        <f t="shared" si="45"/>
        <v>6983333.333333333</v>
      </c>
      <c r="V212" s="469">
        <v>60</v>
      </c>
      <c r="W212" s="558">
        <v>11.000000000000002</v>
      </c>
      <c r="X212" s="468">
        <f t="shared" si="46"/>
        <v>12</v>
      </c>
      <c r="Y212" s="470">
        <f t="shared" si="47"/>
        <v>23</v>
      </c>
      <c r="Z212" s="470">
        <f t="shared" si="48"/>
        <v>37</v>
      </c>
      <c r="AA212" s="569">
        <v>76816666.666666672</v>
      </c>
      <c r="AB212" s="569">
        <v>342183333.33333331</v>
      </c>
      <c r="AC212" s="471">
        <f t="shared" si="53"/>
        <v>83800000</v>
      </c>
      <c r="AD212" s="471">
        <v>6983333.333333333</v>
      </c>
      <c r="AE212" s="471">
        <v>6983333.333333333</v>
      </c>
      <c r="AF212" s="471">
        <v>6983333.333333333</v>
      </c>
      <c r="AG212" s="471">
        <v>6983333.333333333</v>
      </c>
      <c r="AH212" s="471">
        <v>6983333.333333333</v>
      </c>
      <c r="AI212" s="471">
        <v>6983333.333333333</v>
      </c>
      <c r="AJ212" s="471">
        <v>6983333.333333333</v>
      </c>
      <c r="AK212" s="471">
        <v>6983333.333333333</v>
      </c>
      <c r="AL212" s="471">
        <v>6983333.333333333</v>
      </c>
      <c r="AM212" s="471">
        <v>6983333.333333333</v>
      </c>
      <c r="AN212" s="471">
        <v>6983333.333333333</v>
      </c>
      <c r="AO212" s="471">
        <v>6983333.333333333</v>
      </c>
      <c r="AP212" s="471">
        <f t="shared" si="49"/>
        <v>160616666.66666669</v>
      </c>
      <c r="AQ212" s="472">
        <f t="shared" si="50"/>
        <v>258383333.33333331</v>
      </c>
      <c r="AR212" s="559" t="s">
        <v>38</v>
      </c>
      <c r="AS212" s="559"/>
      <c r="AT212" s="570"/>
      <c r="AU212" s="571"/>
      <c r="AV212" s="146" t="s">
        <v>1236</v>
      </c>
      <c r="AW212" s="146">
        <f>IFERROR(VLOOKUP(G212,'[70]Detail Deprec_202508'!$D$33:$I$357,6,FALSE),0)</f>
        <v>6983333.3200000003</v>
      </c>
      <c r="AX212" s="146">
        <f t="shared" si="44"/>
        <v>-1.3333332724869251E-2</v>
      </c>
    </row>
    <row r="213" spans="1:50" ht="12.9" customHeight="1" outlineLevel="1">
      <c r="A213" s="324">
        <f t="shared" si="51"/>
        <v>188</v>
      </c>
      <c r="B213" s="560" t="s">
        <v>142</v>
      </c>
      <c r="C213" s="561" t="s">
        <v>474</v>
      </c>
      <c r="D213" s="562">
        <v>155</v>
      </c>
      <c r="E213" s="562" t="s">
        <v>1711</v>
      </c>
      <c r="F213" s="560" t="s">
        <v>1625</v>
      </c>
      <c r="G213" s="306" t="s">
        <v>1627</v>
      </c>
      <c r="H213" s="563">
        <v>45764</v>
      </c>
      <c r="I213" s="566"/>
      <c r="J213" s="567"/>
      <c r="K213" s="463" t="s">
        <v>1629</v>
      </c>
      <c r="L213" s="564"/>
      <c r="M213" s="463" t="s">
        <v>1630</v>
      </c>
      <c r="N213" s="463">
        <v>2025</v>
      </c>
      <c r="O213" s="464" t="s">
        <v>1631</v>
      </c>
      <c r="P213" s="464" t="s">
        <v>1632</v>
      </c>
      <c r="Q213" s="464" t="s">
        <v>1633</v>
      </c>
      <c r="R213" s="458">
        <v>1</v>
      </c>
      <c r="S213" s="568"/>
      <c r="T213" s="565">
        <v>907837838</v>
      </c>
      <c r="U213" s="565">
        <f t="shared" si="45"/>
        <v>15130630.633333333</v>
      </c>
      <c r="V213" s="469">
        <v>60</v>
      </c>
      <c r="W213" s="558">
        <v>8.9999999999999982</v>
      </c>
      <c r="X213" s="468">
        <f t="shared" si="46"/>
        <v>11.999999999999996</v>
      </c>
      <c r="Y213" s="470">
        <f t="shared" si="47"/>
        <v>20.999999999999993</v>
      </c>
      <c r="Z213" s="470">
        <f t="shared" si="48"/>
        <v>39.000000000000007</v>
      </c>
      <c r="AA213" s="569">
        <v>136175675.69999996</v>
      </c>
      <c r="AB213" s="569">
        <v>771662162.30000007</v>
      </c>
      <c r="AC213" s="471">
        <f t="shared" si="53"/>
        <v>181567567.59999993</v>
      </c>
      <c r="AD213" s="471">
        <v>15130630.633333333</v>
      </c>
      <c r="AE213" s="471">
        <v>15130630.633333333</v>
      </c>
      <c r="AF213" s="471">
        <v>15130630.633333333</v>
      </c>
      <c r="AG213" s="471">
        <v>15130630.633333333</v>
      </c>
      <c r="AH213" s="471">
        <v>15130630.633333333</v>
      </c>
      <c r="AI213" s="471">
        <v>15130630.633333333</v>
      </c>
      <c r="AJ213" s="471">
        <v>15130630.633333333</v>
      </c>
      <c r="AK213" s="471">
        <v>15130630.633333333</v>
      </c>
      <c r="AL213" s="471">
        <v>15130630.633333333</v>
      </c>
      <c r="AM213" s="471">
        <v>15130630.633333333</v>
      </c>
      <c r="AN213" s="471">
        <v>15130630.633333333</v>
      </c>
      <c r="AO213" s="471">
        <v>15130630.633333333</v>
      </c>
      <c r="AP213" s="471">
        <f t="shared" si="49"/>
        <v>317743243.29999989</v>
      </c>
      <c r="AQ213" s="472">
        <f t="shared" si="50"/>
        <v>590094594.70000005</v>
      </c>
      <c r="AR213" s="559" t="s">
        <v>38</v>
      </c>
      <c r="AS213" s="559"/>
      <c r="AT213" s="570"/>
      <c r="AU213" s="571"/>
      <c r="AV213" s="146" t="s">
        <v>1241</v>
      </c>
      <c r="AX213" s="501">
        <f t="shared" si="44"/>
        <v>-15130630.633333333</v>
      </c>
    </row>
    <row r="214" spans="1:50" ht="12.9" customHeight="1" outlineLevel="1">
      <c r="A214" s="324">
        <f t="shared" si="51"/>
        <v>189</v>
      </c>
      <c r="B214" s="560" t="s">
        <v>142</v>
      </c>
      <c r="C214" s="561" t="s">
        <v>474</v>
      </c>
      <c r="D214" s="562">
        <v>155</v>
      </c>
      <c r="E214" s="562" t="s">
        <v>1711</v>
      </c>
      <c r="F214" s="560" t="s">
        <v>1626</v>
      </c>
      <c r="G214" s="306" t="s">
        <v>1628</v>
      </c>
      <c r="H214" s="563">
        <v>45764</v>
      </c>
      <c r="I214" s="566"/>
      <c r="J214" s="567"/>
      <c r="K214" s="463" t="s">
        <v>825</v>
      </c>
      <c r="L214" s="564"/>
      <c r="M214" s="463" t="s">
        <v>1630</v>
      </c>
      <c r="N214" s="463">
        <v>2025</v>
      </c>
      <c r="O214" s="464" t="s">
        <v>1631</v>
      </c>
      <c r="P214" s="464"/>
      <c r="Q214" s="464"/>
      <c r="R214" s="458">
        <v>1</v>
      </c>
      <c r="S214" s="568"/>
      <c r="T214" s="565">
        <v>206000000</v>
      </c>
      <c r="U214" s="565">
        <f t="shared" si="45"/>
        <v>3433333.3333333335</v>
      </c>
      <c r="V214" s="469">
        <v>60</v>
      </c>
      <c r="W214" s="558">
        <v>8.9999999999999982</v>
      </c>
      <c r="X214" s="468">
        <f t="shared" si="46"/>
        <v>12</v>
      </c>
      <c r="Y214" s="470">
        <f t="shared" si="47"/>
        <v>21</v>
      </c>
      <c r="Z214" s="470">
        <f t="shared" si="48"/>
        <v>39</v>
      </c>
      <c r="AA214" s="569">
        <v>30899999.999999996</v>
      </c>
      <c r="AB214" s="569">
        <v>175100000</v>
      </c>
      <c r="AC214" s="471">
        <f t="shared" si="53"/>
        <v>41200000</v>
      </c>
      <c r="AD214" s="471">
        <v>3433333.3333333335</v>
      </c>
      <c r="AE214" s="471">
        <v>3433333.3333333335</v>
      </c>
      <c r="AF214" s="471">
        <v>3433333.3333333335</v>
      </c>
      <c r="AG214" s="471">
        <v>3433333.3333333335</v>
      </c>
      <c r="AH214" s="471">
        <v>3433333.3333333335</v>
      </c>
      <c r="AI214" s="471">
        <v>3433333.3333333335</v>
      </c>
      <c r="AJ214" s="471">
        <v>3433333.3333333335</v>
      </c>
      <c r="AK214" s="471">
        <v>3433333.3333333335</v>
      </c>
      <c r="AL214" s="471">
        <v>3433333.3333333335</v>
      </c>
      <c r="AM214" s="471">
        <v>3433333.3333333335</v>
      </c>
      <c r="AN214" s="471">
        <v>3433333.3333333335</v>
      </c>
      <c r="AO214" s="471">
        <v>3433333.3333333335</v>
      </c>
      <c r="AP214" s="471">
        <f t="shared" si="49"/>
        <v>72100000</v>
      </c>
      <c r="AQ214" s="472">
        <f t="shared" si="50"/>
        <v>133900000</v>
      </c>
      <c r="AR214" s="559" t="s">
        <v>38</v>
      </c>
      <c r="AS214" s="559"/>
      <c r="AT214" s="570"/>
      <c r="AU214" s="571"/>
      <c r="AV214" s="146" t="s">
        <v>1241</v>
      </c>
      <c r="AX214" s="501">
        <f t="shared" si="44"/>
        <v>-3433333.3333333335</v>
      </c>
    </row>
    <row r="215" spans="1:50" ht="12.9" customHeight="1" outlineLevel="1">
      <c r="A215" s="324">
        <f t="shared" si="51"/>
        <v>190</v>
      </c>
      <c r="B215" s="459" t="s">
        <v>142</v>
      </c>
      <c r="C215" s="462" t="s">
        <v>474</v>
      </c>
      <c r="D215" s="562">
        <v>155</v>
      </c>
      <c r="E215" s="562" t="s">
        <v>1711</v>
      </c>
      <c r="F215" s="459" t="s">
        <v>1690</v>
      </c>
      <c r="G215" s="459" t="s">
        <v>1686</v>
      </c>
      <c r="H215" s="615"/>
      <c r="I215" s="566"/>
      <c r="J215" s="567"/>
      <c r="K215" s="463" t="s">
        <v>1691</v>
      </c>
      <c r="L215" s="616" t="s">
        <v>300</v>
      </c>
      <c r="M215" s="463" t="s">
        <v>610</v>
      </c>
      <c r="N215" s="463">
        <v>2025</v>
      </c>
      <c r="O215" s="463" t="s">
        <v>1692</v>
      </c>
      <c r="P215" s="463" t="s">
        <v>1693</v>
      </c>
      <c r="Q215" s="463" t="s">
        <v>1694</v>
      </c>
      <c r="R215" s="458">
        <v>1</v>
      </c>
      <c r="S215" s="617"/>
      <c r="T215" s="565">
        <v>792135135</v>
      </c>
      <c r="U215" s="565">
        <f t="shared" si="45"/>
        <v>13202252.25</v>
      </c>
      <c r="V215" s="469">
        <v>60</v>
      </c>
      <c r="W215" s="558">
        <v>4</v>
      </c>
      <c r="X215" s="618">
        <f t="shared" si="46"/>
        <v>12</v>
      </c>
      <c r="Y215" s="470">
        <f t="shared" si="47"/>
        <v>16</v>
      </c>
      <c r="Z215" s="470">
        <f t="shared" si="48"/>
        <v>44</v>
      </c>
      <c r="AA215" s="569">
        <v>52809009</v>
      </c>
      <c r="AB215" s="569">
        <v>739326126</v>
      </c>
      <c r="AC215" s="569">
        <f t="shared" si="53"/>
        <v>158427027</v>
      </c>
      <c r="AD215" s="569">
        <v>13202252.25</v>
      </c>
      <c r="AE215" s="569">
        <v>13202252.25</v>
      </c>
      <c r="AF215" s="569">
        <v>13202252.25</v>
      </c>
      <c r="AG215" s="569">
        <v>13202252.25</v>
      </c>
      <c r="AH215" s="569">
        <v>13202252.25</v>
      </c>
      <c r="AI215" s="569">
        <v>13202252.25</v>
      </c>
      <c r="AJ215" s="569">
        <v>13202252.25</v>
      </c>
      <c r="AK215" s="569">
        <v>13202252.25</v>
      </c>
      <c r="AL215" s="569">
        <v>13202252.25</v>
      </c>
      <c r="AM215" s="569">
        <v>13202252.25</v>
      </c>
      <c r="AN215" s="569">
        <v>13202252.25</v>
      </c>
      <c r="AO215" s="569">
        <v>13202252.25</v>
      </c>
      <c r="AP215" s="569">
        <f t="shared" si="49"/>
        <v>211236036</v>
      </c>
      <c r="AQ215" s="630">
        <f t="shared" si="50"/>
        <v>580899099</v>
      </c>
      <c r="AR215" s="619" t="s">
        <v>38</v>
      </c>
      <c r="AS215" s="619"/>
      <c r="AT215" s="620"/>
      <c r="AU215" s="621"/>
      <c r="AV215" s="631"/>
      <c r="AW215" s="631"/>
      <c r="AX215" s="501"/>
    </row>
    <row r="216" spans="1:50" ht="12.9" customHeight="1" outlineLevel="1">
      <c r="A216" s="324">
        <f t="shared" si="51"/>
        <v>191</v>
      </c>
      <c r="B216" s="459" t="s">
        <v>142</v>
      </c>
      <c r="C216" s="462" t="s">
        <v>474</v>
      </c>
      <c r="D216" s="562">
        <v>155</v>
      </c>
      <c r="E216" s="562" t="s">
        <v>1711</v>
      </c>
      <c r="F216" s="459" t="s">
        <v>1695</v>
      </c>
      <c r="G216" s="459" t="s">
        <v>1687</v>
      </c>
      <c r="H216" s="615"/>
      <c r="I216" s="566"/>
      <c r="J216" s="567"/>
      <c r="K216" s="463" t="s">
        <v>825</v>
      </c>
      <c r="L216" s="616" t="s">
        <v>814</v>
      </c>
      <c r="M216" s="463" t="s">
        <v>610</v>
      </c>
      <c r="N216" s="463">
        <v>2025</v>
      </c>
      <c r="O216" s="463" t="s">
        <v>1692</v>
      </c>
      <c r="P216" s="463" t="s">
        <v>1696</v>
      </c>
      <c r="Q216" s="463" t="s">
        <v>1697</v>
      </c>
      <c r="R216" s="458">
        <v>1</v>
      </c>
      <c r="S216" s="617"/>
      <c r="T216" s="565">
        <v>206000000</v>
      </c>
      <c r="U216" s="565">
        <f t="shared" si="45"/>
        <v>3433333.3333333335</v>
      </c>
      <c r="V216" s="469">
        <v>60</v>
      </c>
      <c r="W216" s="558">
        <v>4</v>
      </c>
      <c r="X216" s="618">
        <f t="shared" si="46"/>
        <v>12</v>
      </c>
      <c r="Y216" s="470">
        <f t="shared" si="47"/>
        <v>16</v>
      </c>
      <c r="Z216" s="470">
        <f t="shared" si="48"/>
        <v>44</v>
      </c>
      <c r="AA216" s="569">
        <v>13733333.333333334</v>
      </c>
      <c r="AB216" s="569">
        <v>192266666.66666666</v>
      </c>
      <c r="AC216" s="569">
        <f t="shared" si="53"/>
        <v>41200000</v>
      </c>
      <c r="AD216" s="569">
        <v>3433333.3333333335</v>
      </c>
      <c r="AE216" s="569">
        <v>3433333.3333333335</v>
      </c>
      <c r="AF216" s="569">
        <v>3433333.3333333335</v>
      </c>
      <c r="AG216" s="569">
        <v>3433333.3333333335</v>
      </c>
      <c r="AH216" s="569">
        <v>3433333.3333333335</v>
      </c>
      <c r="AI216" s="569">
        <v>3433333.3333333335</v>
      </c>
      <c r="AJ216" s="569">
        <v>3433333.3333333335</v>
      </c>
      <c r="AK216" s="569">
        <v>3433333.3333333335</v>
      </c>
      <c r="AL216" s="569">
        <v>3433333.3333333335</v>
      </c>
      <c r="AM216" s="569">
        <v>3433333.3333333335</v>
      </c>
      <c r="AN216" s="569">
        <v>3433333.3333333335</v>
      </c>
      <c r="AO216" s="569">
        <v>3433333.3333333335</v>
      </c>
      <c r="AP216" s="569">
        <f t="shared" si="49"/>
        <v>54933333.333333336</v>
      </c>
      <c r="AQ216" s="630">
        <f t="shared" si="50"/>
        <v>151066666.66666666</v>
      </c>
      <c r="AR216" s="619" t="s">
        <v>38</v>
      </c>
      <c r="AS216" s="619"/>
      <c r="AT216" s="620"/>
      <c r="AU216" s="621"/>
      <c r="AV216" s="631"/>
      <c r="AW216" s="631"/>
      <c r="AX216" s="501"/>
    </row>
    <row r="217" spans="1:50" ht="12.9" customHeight="1" outlineLevel="1">
      <c r="A217" s="324">
        <f t="shared" si="51"/>
        <v>192</v>
      </c>
      <c r="B217" s="459" t="s">
        <v>142</v>
      </c>
      <c r="C217" s="462" t="s">
        <v>474</v>
      </c>
      <c r="D217" s="562">
        <v>155</v>
      </c>
      <c r="E217" s="562" t="s">
        <v>1711</v>
      </c>
      <c r="F217" s="459" t="s">
        <v>1698</v>
      </c>
      <c r="G217" s="459" t="s">
        <v>1688</v>
      </c>
      <c r="H217" s="615"/>
      <c r="I217" s="566"/>
      <c r="J217" s="567"/>
      <c r="K217" s="463" t="s">
        <v>1691</v>
      </c>
      <c r="L217" s="616" t="s">
        <v>300</v>
      </c>
      <c r="M217" s="463" t="s">
        <v>610</v>
      </c>
      <c r="N217" s="463">
        <v>2025</v>
      </c>
      <c r="O217" s="463" t="s">
        <v>1700</v>
      </c>
      <c r="P217" s="463" t="s">
        <v>1701</v>
      </c>
      <c r="Q217" s="463" t="s">
        <v>1702</v>
      </c>
      <c r="R217" s="458">
        <v>1</v>
      </c>
      <c r="S217" s="617"/>
      <c r="T217" s="565">
        <v>792135135</v>
      </c>
      <c r="U217" s="565">
        <f t="shared" si="45"/>
        <v>13202252.25</v>
      </c>
      <c r="V217" s="469">
        <v>60</v>
      </c>
      <c r="W217" s="558">
        <v>4</v>
      </c>
      <c r="X217" s="618">
        <f t="shared" si="46"/>
        <v>12</v>
      </c>
      <c r="Y217" s="470">
        <f t="shared" si="47"/>
        <v>16</v>
      </c>
      <c r="Z217" s="470">
        <f t="shared" si="48"/>
        <v>44</v>
      </c>
      <c r="AA217" s="569">
        <v>52809009</v>
      </c>
      <c r="AB217" s="569">
        <v>739326126</v>
      </c>
      <c r="AC217" s="569">
        <f t="shared" si="53"/>
        <v>158427027</v>
      </c>
      <c r="AD217" s="569">
        <v>13202252.25</v>
      </c>
      <c r="AE217" s="569">
        <v>13202252.25</v>
      </c>
      <c r="AF217" s="569">
        <v>13202252.25</v>
      </c>
      <c r="AG217" s="569">
        <v>13202252.25</v>
      </c>
      <c r="AH217" s="569">
        <v>13202252.25</v>
      </c>
      <c r="AI217" s="569">
        <v>13202252.25</v>
      </c>
      <c r="AJ217" s="569">
        <v>13202252.25</v>
      </c>
      <c r="AK217" s="569">
        <v>13202252.25</v>
      </c>
      <c r="AL217" s="569">
        <v>13202252.25</v>
      </c>
      <c r="AM217" s="569">
        <v>13202252.25</v>
      </c>
      <c r="AN217" s="569">
        <v>13202252.25</v>
      </c>
      <c r="AO217" s="569">
        <v>13202252.25</v>
      </c>
      <c r="AP217" s="569">
        <f t="shared" si="49"/>
        <v>211236036</v>
      </c>
      <c r="AQ217" s="630">
        <f t="shared" si="50"/>
        <v>580899099</v>
      </c>
      <c r="AR217" s="619" t="s">
        <v>38</v>
      </c>
      <c r="AS217" s="619"/>
      <c r="AT217" s="620"/>
      <c r="AU217" s="621"/>
      <c r="AV217" s="631"/>
      <c r="AW217" s="631"/>
      <c r="AX217" s="501"/>
    </row>
    <row r="218" spans="1:50" ht="12.9" customHeight="1" outlineLevel="1">
      <c r="A218" s="324">
        <f t="shared" si="51"/>
        <v>193</v>
      </c>
      <c r="B218" s="459" t="s">
        <v>142</v>
      </c>
      <c r="C218" s="462" t="s">
        <v>474</v>
      </c>
      <c r="D218" s="562">
        <v>155</v>
      </c>
      <c r="E218" s="562" t="s">
        <v>1711</v>
      </c>
      <c r="F218" s="459" t="s">
        <v>1699</v>
      </c>
      <c r="G218" s="459" t="s">
        <v>1689</v>
      </c>
      <c r="H218" s="615"/>
      <c r="I218" s="566"/>
      <c r="J218" s="567"/>
      <c r="K218" s="463" t="s">
        <v>825</v>
      </c>
      <c r="L218" s="616" t="s">
        <v>814</v>
      </c>
      <c r="M218" s="463" t="s">
        <v>610</v>
      </c>
      <c r="N218" s="463">
        <v>2025</v>
      </c>
      <c r="O218" s="463" t="s">
        <v>1700</v>
      </c>
      <c r="P218" s="463" t="s">
        <v>1696</v>
      </c>
      <c r="Q218" s="463" t="s">
        <v>1697</v>
      </c>
      <c r="R218" s="458">
        <v>1</v>
      </c>
      <c r="S218" s="617"/>
      <c r="T218" s="565">
        <v>206000000</v>
      </c>
      <c r="U218" s="565">
        <f t="shared" si="45"/>
        <v>3433333.3333333335</v>
      </c>
      <c r="V218" s="469">
        <v>60</v>
      </c>
      <c r="W218" s="558">
        <v>4</v>
      </c>
      <c r="X218" s="618">
        <f t="shared" si="46"/>
        <v>12</v>
      </c>
      <c r="Y218" s="470">
        <f t="shared" si="47"/>
        <v>16</v>
      </c>
      <c r="Z218" s="470">
        <f t="shared" si="48"/>
        <v>44</v>
      </c>
      <c r="AA218" s="569">
        <v>13733333.333333334</v>
      </c>
      <c r="AB218" s="569">
        <v>192266666.66666666</v>
      </c>
      <c r="AC218" s="569">
        <f t="shared" si="53"/>
        <v>41200000</v>
      </c>
      <c r="AD218" s="569">
        <v>3433333.3333333335</v>
      </c>
      <c r="AE218" s="569">
        <v>3433333.3333333335</v>
      </c>
      <c r="AF218" s="569">
        <v>3433333.3333333335</v>
      </c>
      <c r="AG218" s="569">
        <v>3433333.3333333335</v>
      </c>
      <c r="AH218" s="569">
        <v>3433333.3333333335</v>
      </c>
      <c r="AI218" s="569">
        <v>3433333.3333333335</v>
      </c>
      <c r="AJ218" s="569">
        <v>3433333.3333333335</v>
      </c>
      <c r="AK218" s="569">
        <v>3433333.3333333335</v>
      </c>
      <c r="AL218" s="569">
        <v>3433333.3333333335</v>
      </c>
      <c r="AM218" s="569">
        <v>3433333.3333333335</v>
      </c>
      <c r="AN218" s="569">
        <v>3433333.3333333335</v>
      </c>
      <c r="AO218" s="569">
        <v>3433333.3333333335</v>
      </c>
      <c r="AP218" s="569">
        <f t="shared" si="49"/>
        <v>54933333.333333336</v>
      </c>
      <c r="AQ218" s="630">
        <f t="shared" si="50"/>
        <v>151066666.66666666</v>
      </c>
      <c r="AR218" s="619" t="s">
        <v>38</v>
      </c>
      <c r="AS218" s="619"/>
      <c r="AT218" s="620"/>
      <c r="AU218" s="621"/>
      <c r="AV218" s="631"/>
      <c r="AW218" s="631"/>
      <c r="AX218" s="501"/>
    </row>
    <row r="219" spans="1:50" ht="12.9" customHeight="1" outlineLevel="1">
      <c r="A219" s="324">
        <f t="shared" si="51"/>
        <v>194</v>
      </c>
      <c r="B219" s="526" t="s">
        <v>142</v>
      </c>
      <c r="C219" s="527" t="s">
        <v>474</v>
      </c>
      <c r="D219" s="528"/>
      <c r="E219" s="562" t="s">
        <v>1711</v>
      </c>
      <c r="F219" s="526" t="s">
        <v>1072</v>
      </c>
      <c r="G219" s="526"/>
      <c r="H219" s="529">
        <v>45044</v>
      </c>
      <c r="I219" s="530"/>
      <c r="J219" s="531"/>
      <c r="K219" s="532" t="s">
        <v>1073</v>
      </c>
      <c r="L219" s="533" t="s">
        <v>300</v>
      </c>
      <c r="M219" s="534"/>
      <c r="N219" s="534">
        <v>2023</v>
      </c>
      <c r="O219" s="532" t="s">
        <v>1074</v>
      </c>
      <c r="P219" s="532" t="s">
        <v>1075</v>
      </c>
      <c r="Q219" s="532" t="s">
        <v>1076</v>
      </c>
      <c r="R219" s="535">
        <v>1</v>
      </c>
      <c r="S219" s="536"/>
      <c r="T219" s="537"/>
      <c r="U219" s="537"/>
      <c r="V219" s="538"/>
      <c r="W219" s="539"/>
      <c r="X219" s="540"/>
      <c r="Y219" s="541"/>
      <c r="Z219" s="541"/>
      <c r="AA219" s="542"/>
      <c r="AB219" s="542"/>
      <c r="AC219" s="543"/>
      <c r="AD219" s="543"/>
      <c r="AE219" s="543"/>
      <c r="AF219" s="543"/>
      <c r="AG219" s="543"/>
      <c r="AH219" s="543"/>
      <c r="AI219" s="543"/>
      <c r="AJ219" s="543"/>
      <c r="AK219" s="543"/>
      <c r="AL219" s="543"/>
      <c r="AM219" s="543"/>
      <c r="AN219" s="543"/>
      <c r="AO219" s="543"/>
      <c r="AP219" s="543"/>
      <c r="AQ219" s="544"/>
      <c r="AR219" s="545"/>
      <c r="AS219" s="545"/>
      <c r="AT219" s="546"/>
      <c r="AU219" s="547">
        <v>44985</v>
      </c>
      <c r="AV219" s="146" t="s">
        <v>1684</v>
      </c>
      <c r="AX219" s="501">
        <f t="shared" ref="AX219:AX238" si="54">AW219-AK219</f>
        <v>0</v>
      </c>
    </row>
    <row r="220" spans="1:50" outlineLevel="1">
      <c r="A220" s="324">
        <f t="shared" si="51"/>
        <v>195</v>
      </c>
      <c r="B220" s="306" t="s">
        <v>142</v>
      </c>
      <c r="C220" s="309" t="s">
        <v>143</v>
      </c>
      <c r="D220" s="305">
        <v>156</v>
      </c>
      <c r="E220" s="377" t="s">
        <v>1707</v>
      </c>
      <c r="F220" s="306" t="s">
        <v>1093</v>
      </c>
      <c r="G220" s="306" t="s">
        <v>1094</v>
      </c>
      <c r="H220" s="394">
        <v>41638</v>
      </c>
      <c r="I220" s="378" t="s">
        <v>12</v>
      </c>
      <c r="J220" s="310">
        <v>19</v>
      </c>
      <c r="K220" s="310" t="s">
        <v>1095</v>
      </c>
      <c r="L220" s="309"/>
      <c r="M220" s="310" t="s">
        <v>1096</v>
      </c>
      <c r="N220" s="310">
        <v>2013</v>
      </c>
      <c r="O220" s="310"/>
      <c r="P220" s="310"/>
      <c r="Q220" s="309"/>
      <c r="R220" s="305">
        <v>1</v>
      </c>
      <c r="S220" s="435"/>
      <c r="T220" s="436">
        <v>17500000</v>
      </c>
      <c r="U220" s="411">
        <f t="shared" ref="U220:U254" si="55">+T220/V220</f>
        <v>291666.66666666669</v>
      </c>
      <c r="V220" s="314">
        <v>60</v>
      </c>
      <c r="W220" s="315">
        <v>59.999999999999993</v>
      </c>
      <c r="X220" s="314">
        <f t="shared" ref="X220:X254" si="56">+AC220/U220</f>
        <v>0</v>
      </c>
      <c r="Y220" s="316">
        <f t="shared" ref="Y220:Y250" si="57">+W220+X220</f>
        <v>59.999999999999993</v>
      </c>
      <c r="Z220" s="317">
        <f t="shared" ref="Z220:Z254" si="58">+V220-Y220</f>
        <v>0</v>
      </c>
      <c r="AA220" s="318">
        <v>17500000</v>
      </c>
      <c r="AB220" s="318">
        <v>0</v>
      </c>
      <c r="AC220" s="318">
        <f t="shared" ref="AC220:AC229" si="59">SUM(AD220:AL220)</f>
        <v>0</v>
      </c>
      <c r="AD220" s="318"/>
      <c r="AE220" s="318"/>
      <c r="AF220" s="318"/>
      <c r="AG220" s="318"/>
      <c r="AH220" s="318"/>
      <c r="AI220" s="318"/>
      <c r="AJ220" s="318"/>
      <c r="AK220" s="318"/>
      <c r="AL220" s="318"/>
      <c r="AM220" s="318"/>
      <c r="AN220" s="318"/>
      <c r="AO220" s="318"/>
      <c r="AP220" s="318">
        <f t="shared" ref="AP220:AP252" si="60">+AA220+AC220</f>
        <v>17500000</v>
      </c>
      <c r="AQ220" s="319">
        <f t="shared" ref="AQ220:AQ252" si="61">IF(AS220=$AS$24,((T220-AP220)*0),T220-AP220)</f>
        <v>0</v>
      </c>
      <c r="AR220" s="320"/>
      <c r="AS220" s="320"/>
      <c r="AT220" s="384"/>
      <c r="AU220" s="322"/>
      <c r="AV220" s="146" t="s">
        <v>1236</v>
      </c>
      <c r="AW220" s="146">
        <f>IFERROR(VLOOKUP(G220,'[70]Detail Deprec_202508'!$D$33:$I$357,6,FALSE),0)</f>
        <v>0</v>
      </c>
      <c r="AX220" s="146">
        <f t="shared" si="54"/>
        <v>0</v>
      </c>
    </row>
    <row r="221" spans="1:50" outlineLevel="1">
      <c r="A221" s="324">
        <f t="shared" si="51"/>
        <v>196</v>
      </c>
      <c r="B221" s="306" t="s">
        <v>142</v>
      </c>
      <c r="C221" s="309" t="s">
        <v>474</v>
      </c>
      <c r="D221" s="305">
        <v>156</v>
      </c>
      <c r="E221" s="382" t="s">
        <v>1711</v>
      </c>
      <c r="F221" s="306" t="s">
        <v>1097</v>
      </c>
      <c r="G221" s="306" t="s">
        <v>1098</v>
      </c>
      <c r="H221" s="394" t="s">
        <v>1099</v>
      </c>
      <c r="I221" s="378" t="s">
        <v>12</v>
      </c>
      <c r="J221" s="310">
        <v>5003</v>
      </c>
      <c r="K221" s="310" t="s">
        <v>1100</v>
      </c>
      <c r="L221" s="310" t="s">
        <v>1101</v>
      </c>
      <c r="M221" s="379"/>
      <c r="N221" s="310">
        <v>2015</v>
      </c>
      <c r="O221" s="310"/>
      <c r="P221" s="310"/>
      <c r="Q221" s="309"/>
      <c r="R221" s="305">
        <v>1</v>
      </c>
      <c r="S221" s="438"/>
      <c r="T221" s="436">
        <v>71500000</v>
      </c>
      <c r="U221" s="411">
        <f t="shared" si="55"/>
        <v>1191666.6666666667</v>
      </c>
      <c r="V221" s="314">
        <v>60</v>
      </c>
      <c r="W221" s="315">
        <v>59.999999999999986</v>
      </c>
      <c r="X221" s="314">
        <f t="shared" si="56"/>
        <v>0</v>
      </c>
      <c r="Y221" s="316">
        <f t="shared" si="57"/>
        <v>59.999999999999986</v>
      </c>
      <c r="Z221" s="317">
        <f t="shared" si="58"/>
        <v>0</v>
      </c>
      <c r="AA221" s="318">
        <v>71499999.999999985</v>
      </c>
      <c r="AB221" s="318">
        <v>1.4901161193847656E-8</v>
      </c>
      <c r="AC221" s="318">
        <f t="shared" si="59"/>
        <v>0</v>
      </c>
      <c r="AD221" s="318"/>
      <c r="AE221" s="318"/>
      <c r="AF221" s="318"/>
      <c r="AG221" s="318"/>
      <c r="AH221" s="318"/>
      <c r="AI221" s="318"/>
      <c r="AJ221" s="318"/>
      <c r="AK221" s="318"/>
      <c r="AL221" s="318"/>
      <c r="AM221" s="318"/>
      <c r="AN221" s="318"/>
      <c r="AO221" s="318"/>
      <c r="AP221" s="318">
        <f t="shared" si="60"/>
        <v>71499999.999999985</v>
      </c>
      <c r="AQ221" s="319">
        <f t="shared" si="61"/>
        <v>1.4901161193847656E-8</v>
      </c>
      <c r="AR221" s="320"/>
      <c r="AS221" s="320"/>
      <c r="AT221" s="384"/>
      <c r="AU221" s="322"/>
      <c r="AV221" s="146" t="s">
        <v>1236</v>
      </c>
      <c r="AW221" s="146">
        <f>IFERROR(VLOOKUP(G221,'[71]Detail Deprec_202501'!$D$1:$I$393,6,FALSE),0)</f>
        <v>0</v>
      </c>
      <c r="AX221" s="146">
        <f t="shared" si="54"/>
        <v>0</v>
      </c>
    </row>
    <row r="222" spans="1:50" outlineLevel="1">
      <c r="A222" s="324">
        <f t="shared" si="51"/>
        <v>197</v>
      </c>
      <c r="B222" s="306" t="s">
        <v>142</v>
      </c>
      <c r="C222" s="344" t="s">
        <v>143</v>
      </c>
      <c r="D222" s="305">
        <v>156</v>
      </c>
      <c r="E222" s="305" t="s">
        <v>1705</v>
      </c>
      <c r="F222" s="306" t="s">
        <v>1103</v>
      </c>
      <c r="G222" s="306" t="s">
        <v>1104</v>
      </c>
      <c r="H222" s="394">
        <v>42234</v>
      </c>
      <c r="I222" s="378" t="s">
        <v>12</v>
      </c>
      <c r="J222" s="395" t="s">
        <v>345</v>
      </c>
      <c r="K222" s="310" t="s">
        <v>1105</v>
      </c>
      <c r="L222" s="310" t="s">
        <v>1106</v>
      </c>
      <c r="M222" s="310" t="s">
        <v>1107</v>
      </c>
      <c r="N222" s="310">
        <v>2015</v>
      </c>
      <c r="O222" s="310"/>
      <c r="P222" s="310"/>
      <c r="Q222" s="309"/>
      <c r="R222" s="305">
        <v>1</v>
      </c>
      <c r="S222" s="437">
        <v>1473</v>
      </c>
      <c r="T222" s="439">
        <v>19857513</v>
      </c>
      <c r="U222" s="411">
        <f t="shared" si="55"/>
        <v>330958.55</v>
      </c>
      <c r="V222" s="314">
        <v>60</v>
      </c>
      <c r="W222" s="315">
        <v>60</v>
      </c>
      <c r="X222" s="314">
        <f t="shared" si="56"/>
        <v>0</v>
      </c>
      <c r="Y222" s="316">
        <f t="shared" si="57"/>
        <v>60</v>
      </c>
      <c r="Z222" s="317">
        <f t="shared" si="58"/>
        <v>0</v>
      </c>
      <c r="AA222" s="318">
        <v>19857513</v>
      </c>
      <c r="AB222" s="318">
        <v>0</v>
      </c>
      <c r="AC222" s="318">
        <f t="shared" si="59"/>
        <v>0</v>
      </c>
      <c r="AD222" s="318"/>
      <c r="AE222" s="318"/>
      <c r="AF222" s="318"/>
      <c r="AG222" s="318"/>
      <c r="AH222" s="318"/>
      <c r="AI222" s="318"/>
      <c r="AJ222" s="318"/>
      <c r="AK222" s="318"/>
      <c r="AL222" s="318"/>
      <c r="AM222" s="318"/>
      <c r="AN222" s="318"/>
      <c r="AO222" s="318"/>
      <c r="AP222" s="318">
        <f t="shared" si="60"/>
        <v>19857513</v>
      </c>
      <c r="AQ222" s="319">
        <f t="shared" si="61"/>
        <v>0</v>
      </c>
      <c r="AR222" s="320"/>
      <c r="AS222" s="320"/>
      <c r="AT222" s="384"/>
      <c r="AU222" s="322"/>
      <c r="AV222" s="146" t="s">
        <v>1236</v>
      </c>
      <c r="AW222" s="146">
        <f>IFERROR(VLOOKUP(G222,'[70]Detail Deprec_202508'!$D$33:$I$357,6,FALSE),0)</f>
        <v>0</v>
      </c>
      <c r="AX222" s="146">
        <f t="shared" si="54"/>
        <v>0</v>
      </c>
    </row>
    <row r="223" spans="1:50" outlineLevel="1">
      <c r="A223" s="324">
        <f t="shared" si="51"/>
        <v>198</v>
      </c>
      <c r="B223" s="306" t="s">
        <v>142</v>
      </c>
      <c r="C223" s="344" t="s">
        <v>143</v>
      </c>
      <c r="D223" s="305">
        <v>156</v>
      </c>
      <c r="E223" s="305" t="s">
        <v>1087</v>
      </c>
      <c r="F223" s="306" t="s">
        <v>1108</v>
      </c>
      <c r="G223" s="306" t="s">
        <v>1109</v>
      </c>
      <c r="H223" s="394">
        <v>42276</v>
      </c>
      <c r="I223" s="378" t="s">
        <v>12</v>
      </c>
      <c r="J223" s="395" t="s">
        <v>1110</v>
      </c>
      <c r="K223" s="310" t="s">
        <v>1111</v>
      </c>
      <c r="L223" s="310" t="s">
        <v>332</v>
      </c>
      <c r="M223" s="310" t="s">
        <v>1112</v>
      </c>
      <c r="N223" s="310">
        <v>2015</v>
      </c>
      <c r="O223" s="310"/>
      <c r="P223" s="395" t="s">
        <v>1113</v>
      </c>
      <c r="Q223" s="309"/>
      <c r="R223" s="305">
        <v>1</v>
      </c>
      <c r="S223" s="437"/>
      <c r="T223" s="439">
        <v>37654000</v>
      </c>
      <c r="U223" s="411">
        <f t="shared" si="55"/>
        <v>627566.66666666663</v>
      </c>
      <c r="V223" s="314">
        <v>60</v>
      </c>
      <c r="W223" s="315">
        <v>59.999999999999979</v>
      </c>
      <c r="X223" s="314">
        <f t="shared" si="56"/>
        <v>0</v>
      </c>
      <c r="Y223" s="316">
        <f t="shared" si="57"/>
        <v>59.999999999999979</v>
      </c>
      <c r="Z223" s="317">
        <f t="shared" si="58"/>
        <v>0</v>
      </c>
      <c r="AA223" s="318">
        <v>37653999.999999985</v>
      </c>
      <c r="AB223" s="318">
        <v>1.4901161193847656E-8</v>
      </c>
      <c r="AC223" s="318">
        <f t="shared" si="59"/>
        <v>0</v>
      </c>
      <c r="AD223" s="318"/>
      <c r="AE223" s="318"/>
      <c r="AF223" s="318"/>
      <c r="AG223" s="318"/>
      <c r="AH223" s="318"/>
      <c r="AI223" s="318"/>
      <c r="AJ223" s="318"/>
      <c r="AK223" s="318"/>
      <c r="AL223" s="318"/>
      <c r="AM223" s="318"/>
      <c r="AN223" s="318"/>
      <c r="AO223" s="318"/>
      <c r="AP223" s="318">
        <f t="shared" si="60"/>
        <v>37653999.999999985</v>
      </c>
      <c r="AQ223" s="319">
        <f t="shared" si="61"/>
        <v>1.4901161193847656E-8</v>
      </c>
      <c r="AR223" s="320"/>
      <c r="AS223" s="320"/>
      <c r="AT223" s="384"/>
      <c r="AU223" s="322"/>
      <c r="AV223" s="146" t="s">
        <v>1236</v>
      </c>
      <c r="AW223" s="146">
        <f>IFERROR(VLOOKUP(G223,'[70]Detail Deprec_202508'!$D$33:$I$357,6,FALSE),0)</f>
        <v>0</v>
      </c>
      <c r="AX223" s="146">
        <f t="shared" si="54"/>
        <v>0</v>
      </c>
    </row>
    <row r="224" spans="1:50" outlineLevel="1">
      <c r="A224" s="324">
        <f t="shared" si="51"/>
        <v>199</v>
      </c>
      <c r="B224" s="306" t="s">
        <v>142</v>
      </c>
      <c r="C224" s="344" t="s">
        <v>143</v>
      </c>
      <c r="D224" s="305">
        <v>156</v>
      </c>
      <c r="E224" s="305" t="s">
        <v>1708</v>
      </c>
      <c r="F224" s="306" t="s">
        <v>1114</v>
      </c>
      <c r="G224" s="306" t="s">
        <v>1115</v>
      </c>
      <c r="H224" s="394">
        <v>42276</v>
      </c>
      <c r="I224" s="378" t="s">
        <v>12</v>
      </c>
      <c r="J224" s="395" t="s">
        <v>1110</v>
      </c>
      <c r="K224" s="310" t="s">
        <v>1116</v>
      </c>
      <c r="L224" s="310" t="s">
        <v>332</v>
      </c>
      <c r="M224" s="310" t="s">
        <v>1112</v>
      </c>
      <c r="N224" s="310">
        <v>2015</v>
      </c>
      <c r="O224" s="310"/>
      <c r="P224" s="395" t="s">
        <v>1113</v>
      </c>
      <c r="Q224" s="309"/>
      <c r="R224" s="305">
        <v>1</v>
      </c>
      <c r="S224" s="437"/>
      <c r="T224" s="439">
        <v>37654000</v>
      </c>
      <c r="U224" s="411">
        <f t="shared" si="55"/>
        <v>627566.66666666663</v>
      </c>
      <c r="V224" s="314">
        <v>60</v>
      </c>
      <c r="W224" s="315">
        <v>59.999999999999979</v>
      </c>
      <c r="X224" s="314">
        <f t="shared" si="56"/>
        <v>0</v>
      </c>
      <c r="Y224" s="316">
        <f t="shared" si="57"/>
        <v>59.999999999999979</v>
      </c>
      <c r="Z224" s="317">
        <f t="shared" si="58"/>
        <v>0</v>
      </c>
      <c r="AA224" s="318">
        <v>37653999.999999985</v>
      </c>
      <c r="AB224" s="318">
        <v>1.4901161193847656E-8</v>
      </c>
      <c r="AC224" s="318">
        <f t="shared" si="59"/>
        <v>0</v>
      </c>
      <c r="AD224" s="318"/>
      <c r="AE224" s="318"/>
      <c r="AF224" s="318"/>
      <c r="AG224" s="318"/>
      <c r="AH224" s="318"/>
      <c r="AI224" s="318"/>
      <c r="AJ224" s="318"/>
      <c r="AK224" s="318"/>
      <c r="AL224" s="318"/>
      <c r="AM224" s="318"/>
      <c r="AN224" s="318"/>
      <c r="AO224" s="318"/>
      <c r="AP224" s="318">
        <f t="shared" si="60"/>
        <v>37653999.999999985</v>
      </c>
      <c r="AQ224" s="319">
        <f t="shared" si="61"/>
        <v>1.4901161193847656E-8</v>
      </c>
      <c r="AR224" s="320"/>
      <c r="AS224" s="320"/>
      <c r="AT224" s="384"/>
      <c r="AU224" s="322"/>
      <c r="AV224" s="146" t="s">
        <v>1236</v>
      </c>
      <c r="AW224" s="146">
        <f>IFERROR(VLOOKUP(G224,'[70]Detail Deprec_202508'!$D$33:$I$357,6,FALSE),0)</f>
        <v>0</v>
      </c>
      <c r="AX224" s="146">
        <f t="shared" si="54"/>
        <v>0</v>
      </c>
    </row>
    <row r="225" spans="1:50" outlineLevel="1">
      <c r="A225" s="324">
        <f t="shared" si="51"/>
        <v>200</v>
      </c>
      <c r="B225" s="306" t="s">
        <v>142</v>
      </c>
      <c r="C225" s="344" t="s">
        <v>143</v>
      </c>
      <c r="D225" s="305">
        <v>156</v>
      </c>
      <c r="E225" s="305" t="s">
        <v>1707</v>
      </c>
      <c r="F225" s="306" t="s">
        <v>1117</v>
      </c>
      <c r="G225" s="306" t="s">
        <v>1118</v>
      </c>
      <c r="H225" s="394">
        <v>42276</v>
      </c>
      <c r="I225" s="378" t="s">
        <v>12</v>
      </c>
      <c r="J225" s="395" t="s">
        <v>1110</v>
      </c>
      <c r="K225" s="310" t="s">
        <v>1119</v>
      </c>
      <c r="L225" s="310" t="s">
        <v>332</v>
      </c>
      <c r="M225" s="310" t="s">
        <v>1112</v>
      </c>
      <c r="N225" s="310">
        <v>2015</v>
      </c>
      <c r="O225" s="310"/>
      <c r="P225" s="395" t="s">
        <v>1120</v>
      </c>
      <c r="Q225" s="309"/>
      <c r="R225" s="305">
        <v>1</v>
      </c>
      <c r="S225" s="437"/>
      <c r="T225" s="439">
        <v>37654000</v>
      </c>
      <c r="U225" s="411">
        <f t="shared" si="55"/>
        <v>627566.66666666663</v>
      </c>
      <c r="V225" s="314">
        <v>60</v>
      </c>
      <c r="W225" s="315">
        <v>59.999999999999979</v>
      </c>
      <c r="X225" s="314">
        <f t="shared" si="56"/>
        <v>0</v>
      </c>
      <c r="Y225" s="316">
        <f t="shared" si="57"/>
        <v>59.999999999999979</v>
      </c>
      <c r="Z225" s="317">
        <f t="shared" si="58"/>
        <v>0</v>
      </c>
      <c r="AA225" s="318">
        <v>37653999.999999985</v>
      </c>
      <c r="AB225" s="318">
        <v>1.4901161193847656E-8</v>
      </c>
      <c r="AC225" s="318">
        <f t="shared" si="59"/>
        <v>0</v>
      </c>
      <c r="AD225" s="318"/>
      <c r="AE225" s="318"/>
      <c r="AF225" s="318"/>
      <c r="AG225" s="318"/>
      <c r="AH225" s="318"/>
      <c r="AI225" s="318"/>
      <c r="AJ225" s="318"/>
      <c r="AK225" s="318"/>
      <c r="AL225" s="318"/>
      <c r="AM225" s="318"/>
      <c r="AN225" s="318"/>
      <c r="AO225" s="318"/>
      <c r="AP225" s="318">
        <f t="shared" si="60"/>
        <v>37653999.999999985</v>
      </c>
      <c r="AQ225" s="319">
        <f t="shared" si="61"/>
        <v>1.4901161193847656E-8</v>
      </c>
      <c r="AR225" s="320"/>
      <c r="AS225" s="320"/>
      <c r="AT225" s="384"/>
      <c r="AU225" s="322"/>
      <c r="AV225" s="146" t="s">
        <v>1236</v>
      </c>
      <c r="AW225" s="146">
        <f>IFERROR(VLOOKUP(G225,'[70]Detail Deprec_202508'!$D$33:$I$357,6,FALSE),0)</f>
        <v>0</v>
      </c>
      <c r="AX225" s="146">
        <f t="shared" si="54"/>
        <v>0</v>
      </c>
    </row>
    <row r="226" spans="1:50" outlineLevel="1">
      <c r="A226" s="324">
        <f t="shared" si="51"/>
        <v>201</v>
      </c>
      <c r="B226" s="306" t="s">
        <v>142</v>
      </c>
      <c r="C226" s="344" t="s">
        <v>143</v>
      </c>
      <c r="D226" s="305">
        <v>156</v>
      </c>
      <c r="E226" s="305" t="s">
        <v>1707</v>
      </c>
      <c r="F226" s="306" t="s">
        <v>1121</v>
      </c>
      <c r="G226" s="306" t="s">
        <v>1122</v>
      </c>
      <c r="H226" s="394">
        <v>42276</v>
      </c>
      <c r="I226" s="378" t="s">
        <v>12</v>
      </c>
      <c r="J226" s="395" t="s">
        <v>1110</v>
      </c>
      <c r="K226" s="310" t="s">
        <v>1119</v>
      </c>
      <c r="L226" s="310" t="s">
        <v>332</v>
      </c>
      <c r="M226" s="310" t="s">
        <v>1112</v>
      </c>
      <c r="N226" s="310">
        <v>2015</v>
      </c>
      <c r="O226" s="310"/>
      <c r="P226" s="395" t="s">
        <v>1120</v>
      </c>
      <c r="Q226" s="309"/>
      <c r="R226" s="305">
        <v>1</v>
      </c>
      <c r="S226" s="437"/>
      <c r="T226" s="439">
        <v>37654000</v>
      </c>
      <c r="U226" s="411">
        <f t="shared" si="55"/>
        <v>627566.66666666663</v>
      </c>
      <c r="V226" s="314">
        <v>60</v>
      </c>
      <c r="W226" s="315">
        <v>59.999999999999979</v>
      </c>
      <c r="X226" s="314">
        <f t="shared" si="56"/>
        <v>0</v>
      </c>
      <c r="Y226" s="316">
        <f t="shared" si="57"/>
        <v>59.999999999999979</v>
      </c>
      <c r="Z226" s="317">
        <f t="shared" si="58"/>
        <v>0</v>
      </c>
      <c r="AA226" s="318">
        <v>37653999.999999985</v>
      </c>
      <c r="AB226" s="318">
        <v>1.4901161193847656E-8</v>
      </c>
      <c r="AC226" s="318">
        <f t="shared" si="59"/>
        <v>0</v>
      </c>
      <c r="AD226" s="318"/>
      <c r="AE226" s="318"/>
      <c r="AF226" s="318"/>
      <c r="AG226" s="318"/>
      <c r="AH226" s="318"/>
      <c r="AI226" s="318"/>
      <c r="AJ226" s="318"/>
      <c r="AK226" s="318"/>
      <c r="AL226" s="318"/>
      <c r="AM226" s="318"/>
      <c r="AN226" s="318"/>
      <c r="AO226" s="318"/>
      <c r="AP226" s="318">
        <f t="shared" si="60"/>
        <v>37653999.999999985</v>
      </c>
      <c r="AQ226" s="319">
        <f t="shared" si="61"/>
        <v>1.4901161193847656E-8</v>
      </c>
      <c r="AR226" s="320"/>
      <c r="AS226" s="320"/>
      <c r="AT226" s="384"/>
      <c r="AU226" s="322"/>
      <c r="AV226" s="146" t="s">
        <v>1236</v>
      </c>
      <c r="AW226" s="146">
        <f>IFERROR(VLOOKUP(G226,'[70]Detail Deprec_202508'!$D$33:$I$357,6,FALSE),0)</f>
        <v>0</v>
      </c>
      <c r="AX226" s="146">
        <f t="shared" si="54"/>
        <v>0</v>
      </c>
    </row>
    <row r="227" spans="1:50" outlineLevel="1">
      <c r="A227" s="324">
        <f t="shared" si="51"/>
        <v>202</v>
      </c>
      <c r="B227" s="306" t="s">
        <v>142</v>
      </c>
      <c r="C227" s="344" t="s">
        <v>143</v>
      </c>
      <c r="D227" s="305">
        <v>156</v>
      </c>
      <c r="E227" s="305" t="s">
        <v>1706</v>
      </c>
      <c r="F227" s="306" t="s">
        <v>1123</v>
      </c>
      <c r="G227" s="306" t="s">
        <v>1124</v>
      </c>
      <c r="H227" s="394">
        <v>42366</v>
      </c>
      <c r="I227" s="378" t="s">
        <v>12</v>
      </c>
      <c r="J227" s="395" t="s">
        <v>676</v>
      </c>
      <c r="K227" s="310" t="s">
        <v>1125</v>
      </c>
      <c r="L227" s="309" t="s">
        <v>1126</v>
      </c>
      <c r="M227" s="310"/>
      <c r="N227" s="310">
        <v>2015</v>
      </c>
      <c r="O227" s="310"/>
      <c r="P227" s="310"/>
      <c r="Q227" s="309"/>
      <c r="R227" s="305">
        <v>1</v>
      </c>
      <c r="S227" s="435"/>
      <c r="T227" s="439">
        <v>57094000</v>
      </c>
      <c r="U227" s="411">
        <f t="shared" si="55"/>
        <v>951566.66666666663</v>
      </c>
      <c r="V227" s="314">
        <v>60</v>
      </c>
      <c r="W227" s="315">
        <v>59.999999999999993</v>
      </c>
      <c r="X227" s="314">
        <f t="shared" si="56"/>
        <v>0</v>
      </c>
      <c r="Y227" s="316">
        <f t="shared" si="57"/>
        <v>59.999999999999993</v>
      </c>
      <c r="Z227" s="317">
        <f t="shared" si="58"/>
        <v>0</v>
      </c>
      <c r="AA227" s="318">
        <v>57093999.999999993</v>
      </c>
      <c r="AB227" s="318">
        <v>7.4505805969238281E-9</v>
      </c>
      <c r="AC227" s="318">
        <f t="shared" si="59"/>
        <v>0</v>
      </c>
      <c r="AD227" s="318"/>
      <c r="AE227" s="318"/>
      <c r="AF227" s="318"/>
      <c r="AG227" s="318"/>
      <c r="AH227" s="318"/>
      <c r="AI227" s="318"/>
      <c r="AJ227" s="318"/>
      <c r="AK227" s="318"/>
      <c r="AL227" s="318"/>
      <c r="AM227" s="318"/>
      <c r="AN227" s="318"/>
      <c r="AO227" s="318"/>
      <c r="AP227" s="318">
        <f t="shared" si="60"/>
        <v>57093999.999999993</v>
      </c>
      <c r="AQ227" s="319">
        <f t="shared" si="61"/>
        <v>7.4505805969238281E-9</v>
      </c>
      <c r="AR227" s="320"/>
      <c r="AS227" s="320"/>
      <c r="AT227" s="384"/>
      <c r="AU227" s="322"/>
      <c r="AV227" s="146" t="s">
        <v>1236</v>
      </c>
      <c r="AW227" s="146">
        <f>IFERROR(VLOOKUP(G227,'[70]Detail Deprec_202508'!$D$33:$I$357,6,FALSE),0)</f>
        <v>0</v>
      </c>
      <c r="AX227" s="146">
        <f t="shared" si="54"/>
        <v>0</v>
      </c>
    </row>
    <row r="228" spans="1:50" outlineLevel="1">
      <c r="A228" s="324">
        <f t="shared" si="51"/>
        <v>203</v>
      </c>
      <c r="B228" s="306" t="s">
        <v>142</v>
      </c>
      <c r="C228" s="344" t="s">
        <v>143</v>
      </c>
      <c r="D228" s="305">
        <v>156</v>
      </c>
      <c r="E228" s="305" t="s">
        <v>1707</v>
      </c>
      <c r="F228" s="306"/>
      <c r="G228" s="306" t="s">
        <v>1127</v>
      </c>
      <c r="H228" s="394">
        <v>42429</v>
      </c>
      <c r="I228" s="378" t="s">
        <v>12</v>
      </c>
      <c r="J228" s="395" t="s">
        <v>1128</v>
      </c>
      <c r="K228" s="310" t="s">
        <v>1129</v>
      </c>
      <c r="L228" s="309" t="s">
        <v>1130</v>
      </c>
      <c r="M228" s="310"/>
      <c r="N228" s="310">
        <v>2016</v>
      </c>
      <c r="O228" s="310"/>
      <c r="P228" s="310"/>
      <c r="Q228" s="309"/>
      <c r="R228" s="305">
        <v>1</v>
      </c>
      <c r="S228" s="440">
        <v>74000</v>
      </c>
      <c r="T228" s="436">
        <v>721588060</v>
      </c>
      <c r="U228" s="411">
        <f t="shared" si="55"/>
        <v>12026467.666666666</v>
      </c>
      <c r="V228" s="314">
        <v>60</v>
      </c>
      <c r="W228" s="315">
        <v>60</v>
      </c>
      <c r="X228" s="314">
        <f t="shared" si="56"/>
        <v>0</v>
      </c>
      <c r="Y228" s="316">
        <f t="shared" si="57"/>
        <v>60</v>
      </c>
      <c r="Z228" s="317">
        <f t="shared" si="58"/>
        <v>0</v>
      </c>
      <c r="AA228" s="318">
        <v>721588060</v>
      </c>
      <c r="AB228" s="318">
        <v>0</v>
      </c>
      <c r="AC228" s="318">
        <f t="shared" si="59"/>
        <v>0</v>
      </c>
      <c r="AD228" s="318"/>
      <c r="AE228" s="318"/>
      <c r="AF228" s="318"/>
      <c r="AG228" s="318"/>
      <c r="AH228" s="318"/>
      <c r="AI228" s="318"/>
      <c r="AJ228" s="318"/>
      <c r="AK228" s="318"/>
      <c r="AL228" s="318"/>
      <c r="AM228" s="318"/>
      <c r="AN228" s="318"/>
      <c r="AO228" s="318"/>
      <c r="AP228" s="318">
        <f t="shared" si="60"/>
        <v>721588060</v>
      </c>
      <c r="AQ228" s="319">
        <f t="shared" si="61"/>
        <v>0</v>
      </c>
      <c r="AR228" s="320"/>
      <c r="AS228" s="320"/>
      <c r="AT228" s="384"/>
      <c r="AU228" s="322"/>
      <c r="AV228" s="146" t="s">
        <v>1236</v>
      </c>
      <c r="AW228" s="146">
        <f>IFERROR(VLOOKUP(G228,'[70]Detail Deprec_202508'!$D$33:$I$357,6,FALSE),0)</f>
        <v>0</v>
      </c>
      <c r="AX228" s="146">
        <f t="shared" si="54"/>
        <v>0</v>
      </c>
    </row>
    <row r="229" spans="1:50" outlineLevel="1">
      <c r="A229" s="324">
        <f t="shared" si="51"/>
        <v>204</v>
      </c>
      <c r="B229" s="306" t="s">
        <v>142</v>
      </c>
      <c r="C229" s="344" t="s">
        <v>143</v>
      </c>
      <c r="D229" s="305">
        <v>156</v>
      </c>
      <c r="E229" s="305" t="s">
        <v>1706</v>
      </c>
      <c r="F229" s="306" t="s">
        <v>1131</v>
      </c>
      <c r="G229" s="306" t="s">
        <v>1132</v>
      </c>
      <c r="H229" s="394">
        <v>42660</v>
      </c>
      <c r="I229" s="378" t="s">
        <v>12</v>
      </c>
      <c r="J229" s="395" t="s">
        <v>349</v>
      </c>
      <c r="K229" s="310" t="s">
        <v>1133</v>
      </c>
      <c r="L229" s="309" t="s">
        <v>235</v>
      </c>
      <c r="M229" s="310" t="s">
        <v>1134</v>
      </c>
      <c r="N229" s="310">
        <v>2016</v>
      </c>
      <c r="O229" s="310"/>
      <c r="P229" s="310"/>
      <c r="Q229" s="309"/>
      <c r="R229" s="305">
        <v>1</v>
      </c>
      <c r="S229" s="440"/>
      <c r="T229" s="436">
        <v>100000000</v>
      </c>
      <c r="U229" s="411">
        <f t="shared" si="55"/>
        <v>1666666.6666666667</v>
      </c>
      <c r="V229" s="314">
        <v>60</v>
      </c>
      <c r="W229" s="315">
        <v>60</v>
      </c>
      <c r="X229" s="314">
        <f t="shared" si="56"/>
        <v>0</v>
      </c>
      <c r="Y229" s="316">
        <f t="shared" si="57"/>
        <v>60</v>
      </c>
      <c r="Z229" s="317">
        <f t="shared" si="58"/>
        <v>0</v>
      </c>
      <c r="AA229" s="318">
        <v>100000000</v>
      </c>
      <c r="AB229" s="318">
        <v>0</v>
      </c>
      <c r="AC229" s="318">
        <f t="shared" si="59"/>
        <v>0</v>
      </c>
      <c r="AD229" s="318"/>
      <c r="AE229" s="318"/>
      <c r="AF229" s="318"/>
      <c r="AG229" s="318"/>
      <c r="AH229" s="318"/>
      <c r="AI229" s="318"/>
      <c r="AJ229" s="318"/>
      <c r="AK229" s="318"/>
      <c r="AL229" s="318"/>
      <c r="AM229" s="318"/>
      <c r="AN229" s="318"/>
      <c r="AO229" s="318"/>
      <c r="AP229" s="318">
        <f t="shared" si="60"/>
        <v>100000000</v>
      </c>
      <c r="AQ229" s="319">
        <f t="shared" si="61"/>
        <v>0</v>
      </c>
      <c r="AR229" s="320"/>
      <c r="AS229" s="320"/>
      <c r="AT229" s="384"/>
      <c r="AU229" s="322"/>
      <c r="AV229" s="146" t="s">
        <v>1236</v>
      </c>
      <c r="AW229" s="146">
        <f>IFERROR(VLOOKUP(G229,'[70]Detail Deprec_202508'!$D$33:$I$357,6,FALSE),0)</f>
        <v>0</v>
      </c>
      <c r="AX229" s="146">
        <f t="shared" si="54"/>
        <v>0</v>
      </c>
    </row>
    <row r="230" spans="1:50" outlineLevel="1">
      <c r="A230" s="324">
        <f t="shared" si="51"/>
        <v>205</v>
      </c>
      <c r="B230" s="306" t="s">
        <v>142</v>
      </c>
      <c r="C230" s="344" t="s">
        <v>143</v>
      </c>
      <c r="D230" s="305">
        <v>156</v>
      </c>
      <c r="E230" s="305" t="s">
        <v>1707</v>
      </c>
      <c r="F230" s="306" t="s">
        <v>1135</v>
      </c>
      <c r="G230" s="306" t="s">
        <v>1136</v>
      </c>
      <c r="H230" s="394">
        <v>42794</v>
      </c>
      <c r="I230" s="378" t="s">
        <v>12</v>
      </c>
      <c r="J230" s="395">
        <v>24</v>
      </c>
      <c r="K230" s="310" t="s">
        <v>1137</v>
      </c>
      <c r="L230" s="309" t="s">
        <v>332</v>
      </c>
      <c r="M230" s="310" t="s">
        <v>1112</v>
      </c>
      <c r="N230" s="310">
        <v>2017</v>
      </c>
      <c r="O230" s="310"/>
      <c r="P230" s="310" t="s">
        <v>1138</v>
      </c>
      <c r="Q230" s="310" t="s">
        <v>1139</v>
      </c>
      <c r="R230" s="305">
        <v>1</v>
      </c>
      <c r="S230" s="435"/>
      <c r="T230" s="436">
        <v>37645000</v>
      </c>
      <c r="U230" s="411">
        <f t="shared" si="55"/>
        <v>627416.66666666663</v>
      </c>
      <c r="V230" s="314">
        <v>60</v>
      </c>
      <c r="W230" s="315">
        <v>60.000000000000007</v>
      </c>
      <c r="X230" s="314">
        <f t="shared" si="56"/>
        <v>0</v>
      </c>
      <c r="Y230" s="316">
        <f t="shared" si="57"/>
        <v>60.000000000000007</v>
      </c>
      <c r="Z230" s="317">
        <f t="shared" si="58"/>
        <v>0</v>
      </c>
      <c r="AA230" s="318">
        <v>37645000</v>
      </c>
      <c r="AB230" s="318">
        <v>0</v>
      </c>
      <c r="AC230" s="318">
        <f t="shared" ref="AC230:AC243" si="62">SUM(AD230:AL230)</f>
        <v>0</v>
      </c>
      <c r="AD230" s="318"/>
      <c r="AE230" s="318"/>
      <c r="AF230" s="318"/>
      <c r="AG230" s="318"/>
      <c r="AH230" s="318"/>
      <c r="AI230" s="318"/>
      <c r="AJ230" s="318"/>
      <c r="AK230" s="318"/>
      <c r="AL230" s="318"/>
      <c r="AM230" s="318"/>
      <c r="AN230" s="318"/>
      <c r="AO230" s="318"/>
      <c r="AP230" s="318">
        <f t="shared" si="60"/>
        <v>37645000</v>
      </c>
      <c r="AQ230" s="319">
        <f t="shared" si="61"/>
        <v>0</v>
      </c>
      <c r="AR230" s="320"/>
      <c r="AS230" s="320"/>
      <c r="AT230" s="384"/>
      <c r="AU230" s="322"/>
      <c r="AV230" s="146" t="s">
        <v>1236</v>
      </c>
      <c r="AW230" s="146">
        <f>IFERROR(VLOOKUP(G230,'[70]Detail Deprec_202508'!$D$33:$I$357,6,FALSE),0)</f>
        <v>0</v>
      </c>
      <c r="AX230" s="146">
        <f t="shared" si="54"/>
        <v>0</v>
      </c>
    </row>
    <row r="231" spans="1:50" outlineLevel="1">
      <c r="A231" s="324">
        <f t="shared" si="51"/>
        <v>206</v>
      </c>
      <c r="B231" s="306" t="s">
        <v>142</v>
      </c>
      <c r="C231" s="309" t="s">
        <v>143</v>
      </c>
      <c r="D231" s="305">
        <v>156</v>
      </c>
      <c r="E231" s="305" t="s">
        <v>1707</v>
      </c>
      <c r="F231" s="306" t="s">
        <v>1140</v>
      </c>
      <c r="G231" s="306" t="s">
        <v>1141</v>
      </c>
      <c r="H231" s="394">
        <v>42824</v>
      </c>
      <c r="I231" s="378" t="s">
        <v>12</v>
      </c>
      <c r="J231" s="310">
        <v>19</v>
      </c>
      <c r="K231" s="310" t="s">
        <v>1137</v>
      </c>
      <c r="L231" s="309" t="s">
        <v>332</v>
      </c>
      <c r="M231" s="310" t="s">
        <v>1112</v>
      </c>
      <c r="N231" s="310">
        <v>2017</v>
      </c>
      <c r="O231" s="310"/>
      <c r="P231" s="310" t="s">
        <v>1142</v>
      </c>
      <c r="Q231" s="309"/>
      <c r="R231" s="305">
        <v>1</v>
      </c>
      <c r="S231" s="435"/>
      <c r="T231" s="436">
        <v>37645000</v>
      </c>
      <c r="U231" s="411">
        <f t="shared" si="55"/>
        <v>1568541.6666666667</v>
      </c>
      <c r="V231" s="314">
        <v>24</v>
      </c>
      <c r="W231" s="315">
        <v>24</v>
      </c>
      <c r="X231" s="314">
        <f t="shared" si="56"/>
        <v>0</v>
      </c>
      <c r="Y231" s="316">
        <f t="shared" si="57"/>
        <v>24</v>
      </c>
      <c r="Z231" s="317">
        <f t="shared" si="58"/>
        <v>0</v>
      </c>
      <c r="AA231" s="318">
        <v>37645000</v>
      </c>
      <c r="AB231" s="318">
        <v>0</v>
      </c>
      <c r="AC231" s="318">
        <f t="shared" si="62"/>
        <v>0</v>
      </c>
      <c r="AD231" s="318"/>
      <c r="AE231" s="318"/>
      <c r="AF231" s="318"/>
      <c r="AG231" s="318"/>
      <c r="AH231" s="318"/>
      <c r="AI231" s="318"/>
      <c r="AJ231" s="318"/>
      <c r="AK231" s="318"/>
      <c r="AL231" s="318"/>
      <c r="AM231" s="318"/>
      <c r="AN231" s="318"/>
      <c r="AO231" s="318"/>
      <c r="AP231" s="318">
        <f t="shared" si="60"/>
        <v>37645000</v>
      </c>
      <c r="AQ231" s="319">
        <f t="shared" si="61"/>
        <v>0</v>
      </c>
      <c r="AR231" s="320"/>
      <c r="AS231" s="320"/>
      <c r="AT231" s="384"/>
      <c r="AU231" s="322"/>
      <c r="AV231" s="146" t="s">
        <v>1236</v>
      </c>
      <c r="AW231" s="146">
        <f>IFERROR(VLOOKUP(G231,'[70]Detail Deprec_202508'!$D$33:$I$357,6,FALSE),0)</f>
        <v>0</v>
      </c>
      <c r="AX231" s="146">
        <f t="shared" si="54"/>
        <v>0</v>
      </c>
    </row>
    <row r="232" spans="1:50" outlineLevel="1">
      <c r="A232" s="324">
        <f t="shared" ref="A232:A254" si="63">+A231+1</f>
        <v>207</v>
      </c>
      <c r="B232" s="306" t="s">
        <v>142</v>
      </c>
      <c r="C232" s="344" t="s">
        <v>143</v>
      </c>
      <c r="D232" s="305">
        <v>156</v>
      </c>
      <c r="E232" s="305" t="s">
        <v>1707</v>
      </c>
      <c r="F232" s="306" t="s">
        <v>1143</v>
      </c>
      <c r="G232" s="306" t="s">
        <v>1144</v>
      </c>
      <c r="H232" s="394">
        <v>42824</v>
      </c>
      <c r="I232" s="378" t="s">
        <v>12</v>
      </c>
      <c r="J232" s="310">
        <v>19</v>
      </c>
      <c r="K232" s="310" t="s">
        <v>1145</v>
      </c>
      <c r="L232" s="309" t="s">
        <v>332</v>
      </c>
      <c r="M232" s="310"/>
      <c r="N232" s="310">
        <v>2017</v>
      </c>
      <c r="O232" s="310"/>
      <c r="P232" s="310" t="s">
        <v>1138</v>
      </c>
      <c r="Q232" s="309"/>
      <c r="R232" s="305">
        <v>5</v>
      </c>
      <c r="S232" s="435"/>
      <c r="T232" s="436">
        <v>109000000</v>
      </c>
      <c r="U232" s="411">
        <f t="shared" si="55"/>
        <v>1816666.6666666667</v>
      </c>
      <c r="V232" s="314">
        <v>60</v>
      </c>
      <c r="W232" s="315">
        <v>60</v>
      </c>
      <c r="X232" s="314">
        <f t="shared" si="56"/>
        <v>0</v>
      </c>
      <c r="Y232" s="316">
        <f t="shared" si="57"/>
        <v>60</v>
      </c>
      <c r="Z232" s="317">
        <f t="shared" si="58"/>
        <v>0</v>
      </c>
      <c r="AA232" s="318">
        <v>109000000</v>
      </c>
      <c r="AB232" s="318">
        <v>0</v>
      </c>
      <c r="AC232" s="318">
        <f t="shared" si="62"/>
        <v>0</v>
      </c>
      <c r="AD232" s="318"/>
      <c r="AE232" s="318"/>
      <c r="AF232" s="318"/>
      <c r="AG232" s="318"/>
      <c r="AH232" s="318"/>
      <c r="AI232" s="318"/>
      <c r="AJ232" s="318"/>
      <c r="AK232" s="318"/>
      <c r="AL232" s="318"/>
      <c r="AM232" s="318"/>
      <c r="AN232" s="318"/>
      <c r="AO232" s="318"/>
      <c r="AP232" s="318">
        <f t="shared" si="60"/>
        <v>109000000</v>
      </c>
      <c r="AQ232" s="319">
        <f t="shared" si="61"/>
        <v>0</v>
      </c>
      <c r="AR232" s="320"/>
      <c r="AS232" s="320"/>
      <c r="AT232" s="384"/>
      <c r="AU232" s="322"/>
      <c r="AV232" s="146" t="s">
        <v>1241</v>
      </c>
      <c r="AW232" s="146">
        <f>IFERROR(VLOOKUP(G232,'[70]Detail Deprec_202508'!$D$33:$I$357,6,FALSE),0)</f>
        <v>0</v>
      </c>
      <c r="AX232" s="146">
        <f t="shared" si="54"/>
        <v>0</v>
      </c>
    </row>
    <row r="233" spans="1:50" outlineLevel="1">
      <c r="A233" s="324">
        <f t="shared" si="63"/>
        <v>208</v>
      </c>
      <c r="B233" s="306" t="s">
        <v>142</v>
      </c>
      <c r="C233" s="344" t="s">
        <v>143</v>
      </c>
      <c r="D233" s="305">
        <v>156</v>
      </c>
      <c r="E233" s="305" t="s">
        <v>1707</v>
      </c>
      <c r="F233" s="306" t="s">
        <v>1146</v>
      </c>
      <c r="G233" s="306" t="s">
        <v>1147</v>
      </c>
      <c r="H233" s="394">
        <v>42824</v>
      </c>
      <c r="I233" s="378" t="s">
        <v>12</v>
      </c>
      <c r="J233" s="395" t="s">
        <v>345</v>
      </c>
      <c r="K233" s="310" t="s">
        <v>1148</v>
      </c>
      <c r="L233" s="309" t="s">
        <v>1149</v>
      </c>
      <c r="M233" s="310" t="s">
        <v>1150</v>
      </c>
      <c r="N233" s="310">
        <v>2017</v>
      </c>
      <c r="O233" s="310"/>
      <c r="P233" s="310" t="s">
        <v>1142</v>
      </c>
      <c r="Q233" s="309" t="s">
        <v>1151</v>
      </c>
      <c r="R233" s="305">
        <v>3</v>
      </c>
      <c r="S233" s="435"/>
      <c r="T233" s="436">
        <v>62640000</v>
      </c>
      <c r="U233" s="411">
        <f t="shared" si="55"/>
        <v>1044000</v>
      </c>
      <c r="V233" s="314">
        <v>60</v>
      </c>
      <c r="W233" s="315">
        <v>60</v>
      </c>
      <c r="X233" s="314">
        <f t="shared" si="56"/>
        <v>0</v>
      </c>
      <c r="Y233" s="316">
        <f t="shared" si="57"/>
        <v>60</v>
      </c>
      <c r="Z233" s="317">
        <f t="shared" si="58"/>
        <v>0</v>
      </c>
      <c r="AA233" s="318">
        <v>62640000</v>
      </c>
      <c r="AB233" s="318">
        <v>0</v>
      </c>
      <c r="AC233" s="318">
        <f t="shared" si="62"/>
        <v>0</v>
      </c>
      <c r="AD233" s="318"/>
      <c r="AE233" s="318"/>
      <c r="AF233" s="318"/>
      <c r="AG233" s="318"/>
      <c r="AH233" s="318"/>
      <c r="AI233" s="318"/>
      <c r="AJ233" s="318"/>
      <c r="AK233" s="318"/>
      <c r="AL233" s="318"/>
      <c r="AM233" s="318"/>
      <c r="AN233" s="318"/>
      <c r="AO233" s="318"/>
      <c r="AP233" s="318">
        <f t="shared" si="60"/>
        <v>62640000</v>
      </c>
      <c r="AQ233" s="319">
        <f t="shared" si="61"/>
        <v>0</v>
      </c>
      <c r="AR233" s="320"/>
      <c r="AS233" s="320"/>
      <c r="AT233" s="384"/>
      <c r="AU233" s="322"/>
      <c r="AV233" s="146" t="s">
        <v>1236</v>
      </c>
      <c r="AW233" s="146">
        <f>IFERROR(VLOOKUP(G233,'[70]Detail Deprec_202508'!$D$33:$I$357,6,FALSE),0)</f>
        <v>0</v>
      </c>
      <c r="AX233" s="146">
        <f t="shared" si="54"/>
        <v>0</v>
      </c>
    </row>
    <row r="234" spans="1:50" outlineLevel="1">
      <c r="A234" s="324">
        <f t="shared" si="63"/>
        <v>209</v>
      </c>
      <c r="B234" s="306" t="s">
        <v>142</v>
      </c>
      <c r="C234" s="344" t="s">
        <v>143</v>
      </c>
      <c r="D234" s="305">
        <v>156</v>
      </c>
      <c r="E234" s="305" t="s">
        <v>1707</v>
      </c>
      <c r="F234" s="306" t="s">
        <v>1152</v>
      </c>
      <c r="G234" s="306" t="s">
        <v>1153</v>
      </c>
      <c r="H234" s="394">
        <v>42908</v>
      </c>
      <c r="I234" s="378" t="s">
        <v>12</v>
      </c>
      <c r="J234" s="395">
        <v>18</v>
      </c>
      <c r="K234" s="310" t="s">
        <v>1154</v>
      </c>
      <c r="L234" s="309" t="s">
        <v>1149</v>
      </c>
      <c r="M234" s="310" t="s">
        <v>1150</v>
      </c>
      <c r="N234" s="310">
        <v>2017</v>
      </c>
      <c r="O234" s="310"/>
      <c r="P234" s="310" t="s">
        <v>1142</v>
      </c>
      <c r="Q234" s="309"/>
      <c r="R234" s="305">
        <v>2</v>
      </c>
      <c r="S234" s="435"/>
      <c r="T234" s="436">
        <v>41760000</v>
      </c>
      <c r="U234" s="411">
        <f t="shared" si="55"/>
        <v>696000</v>
      </c>
      <c r="V234" s="314">
        <v>60</v>
      </c>
      <c r="W234" s="315">
        <v>60</v>
      </c>
      <c r="X234" s="314">
        <f t="shared" si="56"/>
        <v>0</v>
      </c>
      <c r="Y234" s="316">
        <f t="shared" si="57"/>
        <v>60</v>
      </c>
      <c r="Z234" s="317">
        <f t="shared" si="58"/>
        <v>0</v>
      </c>
      <c r="AA234" s="318">
        <v>41760000</v>
      </c>
      <c r="AB234" s="318">
        <v>0</v>
      </c>
      <c r="AC234" s="318">
        <f t="shared" si="62"/>
        <v>0</v>
      </c>
      <c r="AD234" s="318"/>
      <c r="AE234" s="318"/>
      <c r="AF234" s="318"/>
      <c r="AG234" s="318"/>
      <c r="AH234" s="318"/>
      <c r="AI234" s="318"/>
      <c r="AJ234" s="318"/>
      <c r="AK234" s="318"/>
      <c r="AL234" s="318"/>
      <c r="AM234" s="318"/>
      <c r="AN234" s="318"/>
      <c r="AO234" s="318"/>
      <c r="AP234" s="318">
        <f t="shared" si="60"/>
        <v>41760000</v>
      </c>
      <c r="AQ234" s="319">
        <f t="shared" si="61"/>
        <v>0</v>
      </c>
      <c r="AR234" s="320"/>
      <c r="AS234" s="320"/>
      <c r="AT234" s="384"/>
      <c r="AU234" s="322"/>
      <c r="AV234" s="146" t="s">
        <v>1236</v>
      </c>
      <c r="AW234" s="146">
        <f>IFERROR(VLOOKUP(G234,'[70]Detail Deprec_202508'!$D$33:$I$357,6,FALSE),0)</f>
        <v>0</v>
      </c>
      <c r="AX234" s="146">
        <f t="shared" si="54"/>
        <v>0</v>
      </c>
    </row>
    <row r="235" spans="1:50" outlineLevel="1">
      <c r="A235" s="324">
        <f t="shared" si="63"/>
        <v>210</v>
      </c>
      <c r="B235" s="306" t="s">
        <v>142</v>
      </c>
      <c r="C235" s="344" t="s">
        <v>143</v>
      </c>
      <c r="D235" s="305">
        <v>156</v>
      </c>
      <c r="E235" s="305" t="s">
        <v>1707</v>
      </c>
      <c r="F235" s="306" t="s">
        <v>1155</v>
      </c>
      <c r="G235" s="306" t="s">
        <v>1156</v>
      </c>
      <c r="H235" s="420">
        <v>43279</v>
      </c>
      <c r="I235" s="378" t="s">
        <v>12</v>
      </c>
      <c r="J235" s="310" t="s">
        <v>1157</v>
      </c>
      <c r="K235" s="310" t="s">
        <v>1158</v>
      </c>
      <c r="L235" s="421" t="s">
        <v>1149</v>
      </c>
      <c r="M235" s="310"/>
      <c r="N235" s="310">
        <v>2018</v>
      </c>
      <c r="O235" s="310"/>
      <c r="P235" s="310"/>
      <c r="Q235" s="310"/>
      <c r="R235" s="305">
        <v>3</v>
      </c>
      <c r="S235" s="441"/>
      <c r="T235" s="423">
        <v>100285000</v>
      </c>
      <c r="U235" s="411">
        <f t="shared" si="55"/>
        <v>1671416.6666666667</v>
      </c>
      <c r="V235" s="314">
        <v>60</v>
      </c>
      <c r="W235" s="315">
        <v>59.999999999999986</v>
      </c>
      <c r="X235" s="314">
        <f t="shared" si="56"/>
        <v>0</v>
      </c>
      <c r="Y235" s="316">
        <f t="shared" si="57"/>
        <v>59.999999999999986</v>
      </c>
      <c r="Z235" s="317">
        <f t="shared" si="58"/>
        <v>0</v>
      </c>
      <c r="AA235" s="318">
        <v>100284999.99999999</v>
      </c>
      <c r="AB235" s="318">
        <v>1.4901161193847656E-8</v>
      </c>
      <c r="AC235" s="318">
        <f t="shared" si="62"/>
        <v>0</v>
      </c>
      <c r="AD235" s="318"/>
      <c r="AE235" s="318"/>
      <c r="AF235" s="318"/>
      <c r="AG235" s="318"/>
      <c r="AH235" s="318"/>
      <c r="AI235" s="318"/>
      <c r="AJ235" s="318"/>
      <c r="AK235" s="318"/>
      <c r="AL235" s="318"/>
      <c r="AM235" s="318"/>
      <c r="AN235" s="318"/>
      <c r="AO235" s="318"/>
      <c r="AP235" s="318">
        <f t="shared" si="60"/>
        <v>100284999.99999999</v>
      </c>
      <c r="AQ235" s="319">
        <f t="shared" si="61"/>
        <v>1.4901161193847656E-8</v>
      </c>
      <c r="AR235" s="320"/>
      <c r="AS235" s="380"/>
      <c r="AT235" s="424"/>
      <c r="AU235" s="381"/>
      <c r="AV235" s="146" t="s">
        <v>1236</v>
      </c>
      <c r="AW235" s="146">
        <f>IFERROR(VLOOKUP(G235,'[70]Detail Deprec_202508'!$D$33:$I$357,6,FALSE),0)</f>
        <v>0</v>
      </c>
      <c r="AX235" s="146">
        <f t="shared" si="54"/>
        <v>0</v>
      </c>
    </row>
    <row r="236" spans="1:50" outlineLevel="1">
      <c r="A236" s="324">
        <f t="shared" si="63"/>
        <v>211</v>
      </c>
      <c r="B236" s="306" t="s">
        <v>142</v>
      </c>
      <c r="C236" s="344" t="s">
        <v>143</v>
      </c>
      <c r="D236" s="305">
        <v>156</v>
      </c>
      <c r="E236" s="305" t="s">
        <v>1707</v>
      </c>
      <c r="F236" s="306" t="s">
        <v>1159</v>
      </c>
      <c r="G236" s="306" t="s">
        <v>1160</v>
      </c>
      <c r="H236" s="420">
        <v>43279</v>
      </c>
      <c r="I236" s="378" t="s">
        <v>12</v>
      </c>
      <c r="J236" s="310" t="s">
        <v>1157</v>
      </c>
      <c r="K236" s="310" t="s">
        <v>1154</v>
      </c>
      <c r="L236" s="421" t="s">
        <v>1149</v>
      </c>
      <c r="M236" s="310"/>
      <c r="N236" s="310">
        <v>2018</v>
      </c>
      <c r="O236" s="310"/>
      <c r="P236" s="310"/>
      <c r="Q236" s="310"/>
      <c r="R236" s="305">
        <v>8</v>
      </c>
      <c r="S236" s="441"/>
      <c r="T236" s="423">
        <v>160040000</v>
      </c>
      <c r="U236" s="411">
        <f t="shared" si="55"/>
        <v>2667333.3333333335</v>
      </c>
      <c r="V236" s="314">
        <v>60</v>
      </c>
      <c r="W236" s="315">
        <v>59.999999999999986</v>
      </c>
      <c r="X236" s="314">
        <f t="shared" si="56"/>
        <v>0</v>
      </c>
      <c r="Y236" s="316">
        <f t="shared" si="57"/>
        <v>59.999999999999986</v>
      </c>
      <c r="Z236" s="317">
        <f t="shared" si="58"/>
        <v>0</v>
      </c>
      <c r="AA236" s="318">
        <v>160039999.99999997</v>
      </c>
      <c r="AB236" s="318">
        <v>2.9802322387695313E-8</v>
      </c>
      <c r="AC236" s="318">
        <f t="shared" si="62"/>
        <v>0</v>
      </c>
      <c r="AD236" s="318"/>
      <c r="AE236" s="318"/>
      <c r="AF236" s="318"/>
      <c r="AG236" s="318"/>
      <c r="AH236" s="318"/>
      <c r="AI236" s="318"/>
      <c r="AJ236" s="318"/>
      <c r="AK236" s="318"/>
      <c r="AL236" s="318"/>
      <c r="AM236" s="318"/>
      <c r="AN236" s="318"/>
      <c r="AO236" s="318"/>
      <c r="AP236" s="318">
        <f t="shared" si="60"/>
        <v>160039999.99999997</v>
      </c>
      <c r="AQ236" s="319">
        <f t="shared" si="61"/>
        <v>2.9802322387695313E-8</v>
      </c>
      <c r="AR236" s="320"/>
      <c r="AS236" s="380"/>
      <c r="AT236" s="424"/>
      <c r="AU236" s="381"/>
      <c r="AV236" s="146" t="s">
        <v>1236</v>
      </c>
      <c r="AW236" s="146">
        <f>IFERROR(VLOOKUP(G236,'[70]Detail Deprec_202508'!$D$33:$I$357,6,FALSE),0)</f>
        <v>0</v>
      </c>
      <c r="AX236" s="146">
        <f t="shared" si="54"/>
        <v>0</v>
      </c>
    </row>
    <row r="237" spans="1:50" outlineLevel="1">
      <c r="A237" s="324">
        <f t="shared" si="63"/>
        <v>212</v>
      </c>
      <c r="B237" s="306" t="s">
        <v>142</v>
      </c>
      <c r="C237" s="344" t="s">
        <v>143</v>
      </c>
      <c r="D237" s="305">
        <v>156</v>
      </c>
      <c r="E237" s="634" t="s">
        <v>1706</v>
      </c>
      <c r="F237" t="s">
        <v>1161</v>
      </c>
      <c r="G237" s="306" t="s">
        <v>1162</v>
      </c>
      <c r="H237" s="420">
        <v>43279</v>
      </c>
      <c r="I237" s="378" t="s">
        <v>12</v>
      </c>
      <c r="J237" s="310" t="s">
        <v>1163</v>
      </c>
      <c r="K237" s="310" t="s">
        <v>1164</v>
      </c>
      <c r="L237" s="421" t="s">
        <v>235</v>
      </c>
      <c r="M237" s="310" t="s">
        <v>1165</v>
      </c>
      <c r="N237" s="310">
        <v>2018</v>
      </c>
      <c r="O237" s="310"/>
      <c r="P237" s="310"/>
      <c r="Q237" s="310"/>
      <c r="R237" s="305">
        <v>1</v>
      </c>
      <c r="S237" s="441"/>
      <c r="T237" s="423">
        <v>580000000</v>
      </c>
      <c r="U237" s="411">
        <f t="shared" si="55"/>
        <v>9666666.666666666</v>
      </c>
      <c r="V237" s="314">
        <v>60</v>
      </c>
      <c r="W237" s="315">
        <v>60.000000000000007</v>
      </c>
      <c r="X237" s="314">
        <f t="shared" si="56"/>
        <v>0</v>
      </c>
      <c r="Y237" s="316">
        <f t="shared" si="57"/>
        <v>60.000000000000007</v>
      </c>
      <c r="Z237" s="317">
        <f t="shared" si="58"/>
        <v>0</v>
      </c>
      <c r="AA237" s="318">
        <v>580000000</v>
      </c>
      <c r="AB237" s="318">
        <v>0</v>
      </c>
      <c r="AC237" s="318">
        <f t="shared" si="62"/>
        <v>0</v>
      </c>
      <c r="AD237" s="318"/>
      <c r="AE237" s="318"/>
      <c r="AF237" s="318"/>
      <c r="AG237" s="318"/>
      <c r="AH237" s="318"/>
      <c r="AI237" s="318"/>
      <c r="AJ237" s="318"/>
      <c r="AK237" s="318"/>
      <c r="AL237" s="318"/>
      <c r="AM237" s="318"/>
      <c r="AN237" s="318"/>
      <c r="AO237" s="318"/>
      <c r="AP237" s="318">
        <f t="shared" si="60"/>
        <v>580000000</v>
      </c>
      <c r="AQ237" s="319">
        <f t="shared" si="61"/>
        <v>0</v>
      </c>
      <c r="AR237" s="320"/>
      <c r="AS237" s="380"/>
      <c r="AT237" s="424"/>
      <c r="AU237" s="381"/>
      <c r="AV237" s="146" t="s">
        <v>1236</v>
      </c>
      <c r="AW237" s="146">
        <f>IFERROR(VLOOKUP(G237,'[71]Detail Deprec_202501'!$D$1:$I$393,6,FALSE),0)</f>
        <v>0</v>
      </c>
      <c r="AX237" s="146">
        <f t="shared" si="54"/>
        <v>0</v>
      </c>
    </row>
    <row r="238" spans="1:50" outlineLevel="1">
      <c r="A238" s="324">
        <f t="shared" si="63"/>
        <v>213</v>
      </c>
      <c r="B238" s="341" t="s">
        <v>142</v>
      </c>
      <c r="C238" s="344" t="s">
        <v>143</v>
      </c>
      <c r="D238" s="305">
        <v>156</v>
      </c>
      <c r="E238" s="634" t="s">
        <v>1707</v>
      </c>
      <c r="F238" t="s">
        <v>1166</v>
      </c>
      <c r="G238" s="341" t="s">
        <v>1167</v>
      </c>
      <c r="H238" s="429">
        <v>43753</v>
      </c>
      <c r="I238" s="378" t="s">
        <v>12</v>
      </c>
      <c r="J238" s="311" t="s">
        <v>1168</v>
      </c>
      <c r="K238" s="311" t="s">
        <v>1169</v>
      </c>
      <c r="L238" s="430" t="s">
        <v>1170</v>
      </c>
      <c r="M238" s="311" t="s">
        <v>1171</v>
      </c>
      <c r="N238" s="310">
        <v>2019</v>
      </c>
      <c r="O238" s="311"/>
      <c r="P238" s="311"/>
      <c r="Q238" s="311"/>
      <c r="R238" s="305">
        <v>1</v>
      </c>
      <c r="S238" s="442"/>
      <c r="T238" s="432">
        <v>23882100</v>
      </c>
      <c r="U238" s="313">
        <f t="shared" si="55"/>
        <v>497543.75</v>
      </c>
      <c r="V238" s="314">
        <v>48</v>
      </c>
      <c r="W238" s="315">
        <v>48</v>
      </c>
      <c r="X238" s="314">
        <f t="shared" si="56"/>
        <v>0</v>
      </c>
      <c r="Y238" s="316">
        <f t="shared" si="57"/>
        <v>48</v>
      </c>
      <c r="Z238" s="317">
        <f t="shared" si="58"/>
        <v>0</v>
      </c>
      <c r="AA238" s="318">
        <v>23882100</v>
      </c>
      <c r="AB238" s="318">
        <v>0</v>
      </c>
      <c r="AC238" s="318">
        <f t="shared" si="62"/>
        <v>0</v>
      </c>
      <c r="AD238" s="318"/>
      <c r="AE238" s="318"/>
      <c r="AF238" s="318"/>
      <c r="AG238" s="318"/>
      <c r="AH238" s="318"/>
      <c r="AI238" s="318"/>
      <c r="AJ238" s="318"/>
      <c r="AK238" s="318"/>
      <c r="AL238" s="318"/>
      <c r="AM238" s="318"/>
      <c r="AN238" s="318"/>
      <c r="AO238" s="318"/>
      <c r="AP238" s="318">
        <f t="shared" si="60"/>
        <v>23882100</v>
      </c>
      <c r="AQ238" s="319">
        <f t="shared" si="61"/>
        <v>0</v>
      </c>
      <c r="AR238" s="320"/>
      <c r="AS238" s="380"/>
      <c r="AT238" s="424"/>
      <c r="AU238" s="381"/>
      <c r="AV238" s="146" t="s">
        <v>1236</v>
      </c>
      <c r="AW238" s="146">
        <f>IFERROR(VLOOKUP(G238,'[70]Detail Deprec_202508'!$D$33:$I$357,6,FALSE),0)</f>
        <v>0</v>
      </c>
      <c r="AX238" s="146">
        <f t="shared" si="54"/>
        <v>0</v>
      </c>
    </row>
    <row r="239" spans="1:50" outlineLevel="1">
      <c r="A239" s="324">
        <f t="shared" si="63"/>
        <v>214</v>
      </c>
      <c r="B239" s="341" t="s">
        <v>142</v>
      </c>
      <c r="C239" s="344" t="s">
        <v>143</v>
      </c>
      <c r="D239" s="305">
        <v>156</v>
      </c>
      <c r="E239" s="634" t="s">
        <v>1707</v>
      </c>
      <c r="F239" t="s">
        <v>1172</v>
      </c>
      <c r="G239" s="341" t="s">
        <v>1173</v>
      </c>
      <c r="H239" s="429">
        <v>43753</v>
      </c>
      <c r="I239" s="378" t="s">
        <v>12</v>
      </c>
      <c r="J239" s="311" t="s">
        <v>1168</v>
      </c>
      <c r="K239" s="311" t="s">
        <v>1169</v>
      </c>
      <c r="L239" s="430" t="s">
        <v>1170</v>
      </c>
      <c r="M239" s="311" t="s">
        <v>1174</v>
      </c>
      <c r="N239" s="310">
        <v>2019</v>
      </c>
      <c r="O239" s="311"/>
      <c r="P239" s="311"/>
      <c r="Q239" s="311"/>
      <c r="R239" s="305">
        <v>1</v>
      </c>
      <c r="S239" s="442"/>
      <c r="T239" s="432">
        <v>23882100</v>
      </c>
      <c r="U239" s="313">
        <f t="shared" si="55"/>
        <v>497543.75</v>
      </c>
      <c r="V239" s="314">
        <v>48</v>
      </c>
      <c r="W239" s="315">
        <v>48</v>
      </c>
      <c r="X239" s="314">
        <f t="shared" si="56"/>
        <v>0</v>
      </c>
      <c r="Y239" s="316">
        <f t="shared" si="57"/>
        <v>48</v>
      </c>
      <c r="Z239" s="317">
        <f t="shared" si="58"/>
        <v>0</v>
      </c>
      <c r="AA239" s="318">
        <v>23882100</v>
      </c>
      <c r="AB239" s="318">
        <v>0</v>
      </c>
      <c r="AC239" s="318">
        <f t="shared" si="62"/>
        <v>0</v>
      </c>
      <c r="AD239" s="318"/>
      <c r="AE239" s="318"/>
      <c r="AF239" s="318"/>
      <c r="AG239" s="318"/>
      <c r="AH239" s="318"/>
      <c r="AI239" s="318"/>
      <c r="AJ239" s="318"/>
      <c r="AK239" s="318"/>
      <c r="AL239" s="318"/>
      <c r="AM239" s="318"/>
      <c r="AN239" s="318"/>
      <c r="AO239" s="318"/>
      <c r="AP239" s="318">
        <f t="shared" si="60"/>
        <v>23882100</v>
      </c>
      <c r="AQ239" s="319">
        <f t="shared" si="61"/>
        <v>0</v>
      </c>
      <c r="AR239" s="320"/>
      <c r="AS239" s="380"/>
      <c r="AT239" s="424"/>
      <c r="AU239" s="381"/>
      <c r="AV239" s="146" t="s">
        <v>1236</v>
      </c>
      <c r="AW239" s="146">
        <f>IFERROR(VLOOKUP(G239,'[70]Detail Deprec_202508'!$D$33:$I$357,6,FALSE),0)</f>
        <v>0</v>
      </c>
      <c r="AX239" s="146">
        <f>AW239-AK239</f>
        <v>0</v>
      </c>
    </row>
    <row r="240" spans="1:50" outlineLevel="1">
      <c r="A240" s="324">
        <f t="shared" si="63"/>
        <v>215</v>
      </c>
      <c r="B240" s="341" t="s">
        <v>142</v>
      </c>
      <c r="C240" s="344" t="s">
        <v>143</v>
      </c>
      <c r="D240" s="305">
        <v>156</v>
      </c>
      <c r="E240" s="305" t="s">
        <v>1709</v>
      </c>
      <c r="F240" s="341" t="s">
        <v>1175</v>
      </c>
      <c r="G240" s="341" t="s">
        <v>1176</v>
      </c>
      <c r="H240" s="429">
        <v>43827</v>
      </c>
      <c r="I240" s="378" t="s">
        <v>12</v>
      </c>
      <c r="J240" s="311" t="s">
        <v>1177</v>
      </c>
      <c r="K240" s="311" t="s">
        <v>1119</v>
      </c>
      <c r="L240" s="430" t="s">
        <v>191</v>
      </c>
      <c r="M240" s="311" t="s">
        <v>299</v>
      </c>
      <c r="N240" s="310">
        <v>2019</v>
      </c>
      <c r="O240" s="311" t="s">
        <v>1178</v>
      </c>
      <c r="P240" s="311"/>
      <c r="Q240" s="311"/>
      <c r="R240" s="305">
        <v>1</v>
      </c>
      <c r="S240" s="442"/>
      <c r="T240" s="432">
        <v>24490000</v>
      </c>
      <c r="U240" s="313">
        <f t="shared" si="55"/>
        <v>408166.66666666669</v>
      </c>
      <c r="V240" s="314">
        <v>60</v>
      </c>
      <c r="W240" s="315">
        <v>59.999999999999993</v>
      </c>
      <c r="X240" s="314">
        <f t="shared" si="56"/>
        <v>0</v>
      </c>
      <c r="Y240" s="316">
        <f t="shared" si="57"/>
        <v>59.999999999999993</v>
      </c>
      <c r="Z240" s="317">
        <f t="shared" si="58"/>
        <v>0</v>
      </c>
      <c r="AA240" s="318">
        <v>24490000</v>
      </c>
      <c r="AB240" s="318">
        <v>0</v>
      </c>
      <c r="AC240" s="318">
        <f t="shared" si="62"/>
        <v>0</v>
      </c>
      <c r="AD240" s="318"/>
      <c r="AE240" s="318"/>
      <c r="AF240" s="318"/>
      <c r="AG240" s="318"/>
      <c r="AH240" s="318"/>
      <c r="AI240" s="318"/>
      <c r="AJ240" s="318"/>
      <c r="AK240" s="318"/>
      <c r="AL240" s="318"/>
      <c r="AM240" s="318"/>
      <c r="AN240" s="318"/>
      <c r="AO240" s="318"/>
      <c r="AP240" s="318">
        <f t="shared" si="60"/>
        <v>24490000</v>
      </c>
      <c r="AQ240" s="319">
        <f t="shared" si="61"/>
        <v>0</v>
      </c>
      <c r="AR240" s="320"/>
      <c r="AS240" s="380"/>
      <c r="AT240" s="424"/>
      <c r="AU240" s="381"/>
      <c r="AV240" s="146" t="s">
        <v>1236</v>
      </c>
      <c r="AW240" s="146">
        <f>IFERROR(VLOOKUP(G240,'[70]Detail Deprec_202508'!$D$33:$I$357,6,FALSE),0)</f>
        <v>0</v>
      </c>
      <c r="AX240" s="146">
        <f t="shared" ref="AX240:AX254" si="64">AW240-AK240</f>
        <v>0</v>
      </c>
    </row>
    <row r="241" spans="1:51" outlineLevel="1">
      <c r="A241" s="324">
        <f t="shared" si="63"/>
        <v>216</v>
      </c>
      <c r="B241" s="341" t="s">
        <v>142</v>
      </c>
      <c r="C241" s="344" t="s">
        <v>143</v>
      </c>
      <c r="D241" s="305">
        <v>156</v>
      </c>
      <c r="E241" s="305" t="s">
        <v>1707</v>
      </c>
      <c r="F241" s="341" t="s">
        <v>1179</v>
      </c>
      <c r="G241" s="341" t="s">
        <v>1180</v>
      </c>
      <c r="H241" s="429">
        <v>43827</v>
      </c>
      <c r="I241" s="378" t="s">
        <v>12</v>
      </c>
      <c r="J241" s="311" t="s">
        <v>1181</v>
      </c>
      <c r="K241" s="311" t="s">
        <v>1145</v>
      </c>
      <c r="L241" s="430" t="s">
        <v>1170</v>
      </c>
      <c r="M241" s="311"/>
      <c r="N241" s="310">
        <v>2019</v>
      </c>
      <c r="O241" s="311"/>
      <c r="P241" s="311"/>
      <c r="Q241" s="311"/>
      <c r="R241" s="305">
        <v>9</v>
      </c>
      <c r="S241" s="442"/>
      <c r="T241" s="432">
        <v>214938900</v>
      </c>
      <c r="U241" s="313">
        <f t="shared" si="55"/>
        <v>3582315</v>
      </c>
      <c r="V241" s="314">
        <v>60</v>
      </c>
      <c r="W241" s="315">
        <v>60</v>
      </c>
      <c r="X241" s="314">
        <f t="shared" si="56"/>
        <v>0</v>
      </c>
      <c r="Y241" s="316">
        <f t="shared" si="57"/>
        <v>60</v>
      </c>
      <c r="Z241" s="317">
        <f t="shared" si="58"/>
        <v>0</v>
      </c>
      <c r="AA241" s="318">
        <v>214938900</v>
      </c>
      <c r="AB241" s="318">
        <v>0</v>
      </c>
      <c r="AC241" s="318">
        <f t="shared" si="62"/>
        <v>0</v>
      </c>
      <c r="AD241" s="318"/>
      <c r="AE241" s="318"/>
      <c r="AF241" s="318"/>
      <c r="AG241" s="318"/>
      <c r="AH241" s="318"/>
      <c r="AI241" s="318"/>
      <c r="AJ241" s="318"/>
      <c r="AK241" s="318"/>
      <c r="AL241" s="318"/>
      <c r="AM241" s="318"/>
      <c r="AN241" s="318"/>
      <c r="AO241" s="318"/>
      <c r="AP241" s="318">
        <f t="shared" si="60"/>
        <v>214938900</v>
      </c>
      <c r="AQ241" s="319">
        <f t="shared" si="61"/>
        <v>0</v>
      </c>
      <c r="AR241" s="320"/>
      <c r="AS241" s="380"/>
      <c r="AT241" s="424"/>
      <c r="AU241" s="381"/>
      <c r="AV241" s="146" t="s">
        <v>1236</v>
      </c>
      <c r="AW241" s="146">
        <f>IFERROR(VLOOKUP(G241,'[70]Detail Deprec_202508'!$D$33:$I$357,6,FALSE),0)</f>
        <v>0</v>
      </c>
      <c r="AX241" s="146">
        <f t="shared" si="64"/>
        <v>0</v>
      </c>
    </row>
    <row r="242" spans="1:51" outlineLevel="1">
      <c r="A242" s="324">
        <f t="shared" si="63"/>
        <v>217</v>
      </c>
      <c r="B242" s="341" t="s">
        <v>142</v>
      </c>
      <c r="C242" s="344" t="s">
        <v>143</v>
      </c>
      <c r="D242" s="305">
        <v>156</v>
      </c>
      <c r="E242" s="305" t="s">
        <v>1712</v>
      </c>
      <c r="F242" s="341" t="s">
        <v>1182</v>
      </c>
      <c r="G242" s="341" t="s">
        <v>1183</v>
      </c>
      <c r="H242" s="429">
        <v>44042</v>
      </c>
      <c r="I242" s="378" t="s">
        <v>12</v>
      </c>
      <c r="J242" s="311" t="s">
        <v>1184</v>
      </c>
      <c r="K242" s="311" t="s">
        <v>1185</v>
      </c>
      <c r="L242" s="336" t="s">
        <v>191</v>
      </c>
      <c r="M242" s="311"/>
      <c r="N242" s="310">
        <v>2020</v>
      </c>
      <c r="O242" s="311"/>
      <c r="P242" s="311"/>
      <c r="Q242" s="311"/>
      <c r="R242" s="305">
        <v>1</v>
      </c>
      <c r="S242" s="442"/>
      <c r="T242" s="432">
        <v>110940000</v>
      </c>
      <c r="U242" s="313">
        <f t="shared" si="55"/>
        <v>2311250</v>
      </c>
      <c r="V242" s="314">
        <v>48</v>
      </c>
      <c r="W242" s="315">
        <v>48</v>
      </c>
      <c r="X242" s="314">
        <f t="shared" si="56"/>
        <v>0</v>
      </c>
      <c r="Y242" s="316">
        <f t="shared" si="57"/>
        <v>48</v>
      </c>
      <c r="Z242" s="317">
        <f t="shared" si="58"/>
        <v>0</v>
      </c>
      <c r="AA242" s="318">
        <v>110940000</v>
      </c>
      <c r="AB242" s="318">
        <v>0</v>
      </c>
      <c r="AC242" s="318">
        <f t="shared" si="62"/>
        <v>0</v>
      </c>
      <c r="AD242" s="318"/>
      <c r="AE242" s="318"/>
      <c r="AF242" s="318"/>
      <c r="AG242" s="318"/>
      <c r="AH242" s="318"/>
      <c r="AI242" s="318"/>
      <c r="AJ242" s="318"/>
      <c r="AK242" s="318"/>
      <c r="AL242" s="318"/>
      <c r="AM242" s="318"/>
      <c r="AN242" s="318"/>
      <c r="AO242" s="318"/>
      <c r="AP242" s="318">
        <f t="shared" si="60"/>
        <v>110940000</v>
      </c>
      <c r="AQ242" s="319">
        <f t="shared" si="61"/>
        <v>0</v>
      </c>
      <c r="AR242" s="320"/>
      <c r="AS242" s="380"/>
      <c r="AT242" s="424"/>
      <c r="AU242" s="381"/>
      <c r="AV242" s="146" t="s">
        <v>1236</v>
      </c>
      <c r="AW242" s="146">
        <f>IFERROR(VLOOKUP(G242,'[70]Detail Deprec_202508'!$D$33:$I$357,6,FALSE),0)</f>
        <v>0</v>
      </c>
      <c r="AX242" s="146">
        <f t="shared" si="64"/>
        <v>0</v>
      </c>
    </row>
    <row r="243" spans="1:51" outlineLevel="1">
      <c r="A243" s="324">
        <f t="shared" si="63"/>
        <v>218</v>
      </c>
      <c r="B243" s="341" t="s">
        <v>142</v>
      </c>
      <c r="C243" s="344" t="s">
        <v>143</v>
      </c>
      <c r="D243" s="305">
        <v>156</v>
      </c>
      <c r="E243" s="305" t="s">
        <v>1712</v>
      </c>
      <c r="F243" s="341" t="s">
        <v>1186</v>
      </c>
      <c r="G243" s="341" t="s">
        <v>1187</v>
      </c>
      <c r="H243" s="429">
        <v>44180</v>
      </c>
      <c r="I243" s="378" t="s">
        <v>12</v>
      </c>
      <c r="J243" s="311" t="s">
        <v>1188</v>
      </c>
      <c r="K243" s="311" t="s">
        <v>1119</v>
      </c>
      <c r="L243" s="336" t="s">
        <v>191</v>
      </c>
      <c r="M243" s="311" t="s">
        <v>1189</v>
      </c>
      <c r="N243" s="310">
        <v>2020</v>
      </c>
      <c r="O243" s="311" t="s">
        <v>1189</v>
      </c>
      <c r="P243" s="311" t="s">
        <v>1189</v>
      </c>
      <c r="Q243" s="311" t="s">
        <v>1189</v>
      </c>
      <c r="R243" s="305">
        <v>1</v>
      </c>
      <c r="S243" s="442"/>
      <c r="T243" s="432">
        <v>19380000</v>
      </c>
      <c r="U243" s="313">
        <f t="shared" si="55"/>
        <v>1615000</v>
      </c>
      <c r="V243" s="314">
        <v>12</v>
      </c>
      <c r="W243" s="315">
        <v>12</v>
      </c>
      <c r="X243" s="314">
        <f t="shared" si="56"/>
        <v>0</v>
      </c>
      <c r="Y243" s="316">
        <f t="shared" si="57"/>
        <v>12</v>
      </c>
      <c r="Z243" s="317">
        <f t="shared" si="58"/>
        <v>0</v>
      </c>
      <c r="AA243" s="318">
        <v>19380000</v>
      </c>
      <c r="AB243" s="318">
        <v>0</v>
      </c>
      <c r="AC243" s="318">
        <f t="shared" si="62"/>
        <v>0</v>
      </c>
      <c r="AD243" s="318"/>
      <c r="AE243" s="318"/>
      <c r="AF243" s="318"/>
      <c r="AG243" s="318"/>
      <c r="AH243" s="318"/>
      <c r="AI243" s="318"/>
      <c r="AJ243" s="318"/>
      <c r="AK243" s="318"/>
      <c r="AL243" s="318"/>
      <c r="AM243" s="318"/>
      <c r="AN243" s="318"/>
      <c r="AO243" s="318"/>
      <c r="AP243" s="318">
        <f t="shared" si="60"/>
        <v>19380000</v>
      </c>
      <c r="AQ243" s="319">
        <f t="shared" si="61"/>
        <v>0</v>
      </c>
      <c r="AR243" s="320"/>
      <c r="AS243" s="380"/>
      <c r="AT243" s="424"/>
      <c r="AU243" s="381"/>
      <c r="AV243" s="146" t="s">
        <v>1236</v>
      </c>
      <c r="AW243" s="146">
        <f>IFERROR(VLOOKUP(G243,'[70]Detail Deprec_202508'!$D$33:$I$357,6,FALSE),0)</f>
        <v>0</v>
      </c>
      <c r="AX243" s="146">
        <f t="shared" si="64"/>
        <v>0</v>
      </c>
    </row>
    <row r="244" spans="1:51" s="522" customFormat="1" outlineLevel="1">
      <c r="A244" s="719">
        <f t="shared" si="63"/>
        <v>219</v>
      </c>
      <c r="B244" s="495" t="s">
        <v>142</v>
      </c>
      <c r="C244" s="496" t="s">
        <v>143</v>
      </c>
      <c r="D244" s="720">
        <v>156</v>
      </c>
      <c r="E244" s="720" t="s">
        <v>1707</v>
      </c>
      <c r="F244" s="495"/>
      <c r="G244" s="495" t="s">
        <v>1192</v>
      </c>
      <c r="H244" s="721">
        <v>44406</v>
      </c>
      <c r="I244" s="722" t="s">
        <v>12</v>
      </c>
      <c r="J244" s="723" t="s">
        <v>1193</v>
      </c>
      <c r="K244" s="723" t="s">
        <v>1194</v>
      </c>
      <c r="L244" s="724" t="s">
        <v>1195</v>
      </c>
      <c r="M244" s="723"/>
      <c r="N244" s="723">
        <v>2021</v>
      </c>
      <c r="O244" s="723"/>
      <c r="P244" s="723"/>
      <c r="Q244" s="723"/>
      <c r="R244" s="720">
        <v>1</v>
      </c>
      <c r="S244" s="725"/>
      <c r="T244" s="726">
        <v>337000000</v>
      </c>
      <c r="U244" s="497">
        <f t="shared" si="55"/>
        <v>5616666.666666667</v>
      </c>
      <c r="V244" s="551">
        <v>60</v>
      </c>
      <c r="W244" s="550">
        <f>43+12</f>
        <v>55</v>
      </c>
      <c r="X244" s="551">
        <f t="shared" si="56"/>
        <v>5</v>
      </c>
      <c r="Y244" s="549">
        <f t="shared" si="57"/>
        <v>60</v>
      </c>
      <c r="Z244" s="552">
        <f t="shared" si="58"/>
        <v>0</v>
      </c>
      <c r="AA244" s="498">
        <v>308916666.66666663</v>
      </c>
      <c r="AB244" s="498">
        <v>28083333.333333373</v>
      </c>
      <c r="AC244" s="498">
        <f t="shared" ref="AC244:AC254" si="65">SUM(AD244:AO244)</f>
        <v>28083333.333333336</v>
      </c>
      <c r="AD244" s="498">
        <v>5616666.666666667</v>
      </c>
      <c r="AE244" s="498">
        <v>5616666.666666667</v>
      </c>
      <c r="AF244" s="498">
        <v>5616666.666666667</v>
      </c>
      <c r="AG244" s="498">
        <v>5616666.666666667</v>
      </c>
      <c r="AH244" s="498">
        <v>5616666.666666667</v>
      </c>
      <c r="AI244" s="498"/>
      <c r="AJ244" s="498"/>
      <c r="AK244" s="498"/>
      <c r="AL244" s="498"/>
      <c r="AM244" s="498"/>
      <c r="AN244" s="498"/>
      <c r="AO244" s="498"/>
      <c r="AP244" s="498">
        <f t="shared" si="60"/>
        <v>336999999.99999994</v>
      </c>
      <c r="AQ244" s="553">
        <f t="shared" si="61"/>
        <v>5.9604644775390625E-8</v>
      </c>
      <c r="AR244" s="499"/>
      <c r="AS244" s="499"/>
      <c r="AT244" s="727"/>
      <c r="AU244" s="728"/>
      <c r="AV244" s="655" t="s">
        <v>1236</v>
      </c>
      <c r="AW244" s="655">
        <f>IFERROR(VLOOKUP(G244,'[70]Detail Deprec_202508'!$D$33:$I$357,6,FALSE),0)</f>
        <v>5616666.6699999999</v>
      </c>
      <c r="AX244" s="655">
        <f t="shared" si="64"/>
        <v>5616666.6699999999</v>
      </c>
      <c r="AY244" s="729"/>
    </row>
    <row r="245" spans="1:51" outlineLevel="1">
      <c r="A245" s="324">
        <f t="shared" si="63"/>
        <v>220</v>
      </c>
      <c r="B245" s="341" t="s">
        <v>142</v>
      </c>
      <c r="C245" s="344" t="s">
        <v>143</v>
      </c>
      <c r="D245" s="305">
        <v>156</v>
      </c>
      <c r="E245" s="305" t="s">
        <v>1705</v>
      </c>
      <c r="F245" s="341" t="s">
        <v>1199</v>
      </c>
      <c r="G245" s="341" t="s">
        <v>1200</v>
      </c>
      <c r="H245" s="429">
        <v>44592</v>
      </c>
      <c r="I245" s="378" t="s">
        <v>12</v>
      </c>
      <c r="J245" s="311" t="s">
        <v>1201</v>
      </c>
      <c r="K245" s="311" t="s">
        <v>191</v>
      </c>
      <c r="L245" s="430" t="s">
        <v>1202</v>
      </c>
      <c r="M245" s="311"/>
      <c r="N245" s="310">
        <v>2022</v>
      </c>
      <c r="O245" s="311" t="s">
        <v>1203</v>
      </c>
      <c r="P245" s="311" t="s">
        <v>1203</v>
      </c>
      <c r="Q245" s="311" t="s">
        <v>1203</v>
      </c>
      <c r="R245" s="305">
        <v>1</v>
      </c>
      <c r="S245" s="442"/>
      <c r="T245" s="432">
        <v>282660000</v>
      </c>
      <c r="U245" s="313">
        <f t="shared" si="55"/>
        <v>4711000</v>
      </c>
      <c r="V245" s="314">
        <v>60</v>
      </c>
      <c r="W245" s="315">
        <f>36+12</f>
        <v>48</v>
      </c>
      <c r="X245" s="314">
        <f t="shared" si="56"/>
        <v>12</v>
      </c>
      <c r="Y245" s="316">
        <f t="shared" si="57"/>
        <v>60</v>
      </c>
      <c r="Z245" s="317">
        <f t="shared" si="58"/>
        <v>0</v>
      </c>
      <c r="AA245" s="318">
        <v>226128000</v>
      </c>
      <c r="AB245" s="318">
        <v>56532000</v>
      </c>
      <c r="AC245" s="318">
        <f t="shared" si="65"/>
        <v>56532000</v>
      </c>
      <c r="AD245" s="318">
        <v>4711000</v>
      </c>
      <c r="AE245" s="318">
        <v>4711000</v>
      </c>
      <c r="AF245" s="318">
        <v>4711000</v>
      </c>
      <c r="AG245" s="318">
        <v>4711000</v>
      </c>
      <c r="AH245" s="318">
        <v>4711000</v>
      </c>
      <c r="AI245" s="318">
        <v>4711000</v>
      </c>
      <c r="AJ245" s="318">
        <v>4711000</v>
      </c>
      <c r="AK245" s="318">
        <v>4711000</v>
      </c>
      <c r="AL245" s="318">
        <v>4711000</v>
      </c>
      <c r="AM245" s="318">
        <v>4711000</v>
      </c>
      <c r="AN245" s="318">
        <v>4711000</v>
      </c>
      <c r="AO245" s="318">
        <v>4711000</v>
      </c>
      <c r="AP245" s="318">
        <f t="shared" si="60"/>
        <v>282660000</v>
      </c>
      <c r="AQ245" s="319">
        <f t="shared" si="61"/>
        <v>0</v>
      </c>
      <c r="AR245" s="320"/>
      <c r="AS245" s="380"/>
      <c r="AT245" s="424"/>
      <c r="AU245" s="381"/>
      <c r="AV245" s="146" t="s">
        <v>1236</v>
      </c>
      <c r="AW245" s="146">
        <f>IFERROR(VLOOKUP(G245,'[70]Detail Deprec_202508'!$D$33:$I$357,6,FALSE),0)</f>
        <v>4711000</v>
      </c>
      <c r="AX245" s="146">
        <f t="shared" si="64"/>
        <v>0</v>
      </c>
    </row>
    <row r="246" spans="1:51" outlineLevel="1">
      <c r="A246" s="324">
        <f t="shared" si="63"/>
        <v>221</v>
      </c>
      <c r="B246" s="341" t="s">
        <v>142</v>
      </c>
      <c r="C246" s="344" t="s">
        <v>143</v>
      </c>
      <c r="D246" s="305">
        <v>156</v>
      </c>
      <c r="E246" s="305" t="s">
        <v>1706</v>
      </c>
      <c r="F246" s="341" t="s">
        <v>1204</v>
      </c>
      <c r="G246" s="341" t="s">
        <v>1205</v>
      </c>
      <c r="H246" s="429">
        <v>44592</v>
      </c>
      <c r="I246" s="378" t="s">
        <v>12</v>
      </c>
      <c r="J246" s="311" t="s">
        <v>1206</v>
      </c>
      <c r="K246" s="311" t="s">
        <v>191</v>
      </c>
      <c r="L246" s="430" t="s">
        <v>1207</v>
      </c>
      <c r="M246" s="311"/>
      <c r="N246" s="310">
        <v>2022</v>
      </c>
      <c r="O246" s="311" t="s">
        <v>1203</v>
      </c>
      <c r="P246" s="311" t="s">
        <v>1203</v>
      </c>
      <c r="Q246" s="311" t="s">
        <v>1203</v>
      </c>
      <c r="R246" s="305">
        <v>1</v>
      </c>
      <c r="S246" s="442"/>
      <c r="T246" s="432">
        <v>337790000</v>
      </c>
      <c r="U246" s="313">
        <f t="shared" si="55"/>
        <v>5629833.333333333</v>
      </c>
      <c r="V246" s="314">
        <v>60</v>
      </c>
      <c r="W246" s="315">
        <f>36+12</f>
        <v>48</v>
      </c>
      <c r="X246" s="314">
        <f t="shared" si="56"/>
        <v>12.000000000000004</v>
      </c>
      <c r="Y246" s="316">
        <f t="shared" si="57"/>
        <v>60</v>
      </c>
      <c r="Z246" s="317">
        <f t="shared" si="58"/>
        <v>0</v>
      </c>
      <c r="AA246" s="318">
        <v>270232000.00000006</v>
      </c>
      <c r="AB246" s="318">
        <v>67557999.99999994</v>
      </c>
      <c r="AC246" s="318">
        <f t="shared" si="65"/>
        <v>67558000.000000015</v>
      </c>
      <c r="AD246" s="318">
        <v>5629833.333333333</v>
      </c>
      <c r="AE246" s="318">
        <v>5629833.333333333</v>
      </c>
      <c r="AF246" s="318">
        <v>5629833.333333333</v>
      </c>
      <c r="AG246" s="318">
        <v>5629833.333333333</v>
      </c>
      <c r="AH246" s="318">
        <v>5629833.333333333</v>
      </c>
      <c r="AI246" s="318">
        <v>5629833.333333333</v>
      </c>
      <c r="AJ246" s="318">
        <v>5629833.333333333</v>
      </c>
      <c r="AK246" s="318">
        <v>5629833.333333333</v>
      </c>
      <c r="AL246" s="318">
        <v>5629833.333333333</v>
      </c>
      <c r="AM246" s="318">
        <v>5629833.333333333</v>
      </c>
      <c r="AN246" s="318">
        <v>5629833.333333333</v>
      </c>
      <c r="AO246" s="318">
        <v>5629833.333333333</v>
      </c>
      <c r="AP246" s="318">
        <f t="shared" si="60"/>
        <v>337790000.00000006</v>
      </c>
      <c r="AQ246" s="319">
        <f t="shared" si="61"/>
        <v>-5.9604644775390625E-8</v>
      </c>
      <c r="AR246" s="320"/>
      <c r="AS246" s="380"/>
      <c r="AT246" s="424"/>
      <c r="AU246" s="381"/>
      <c r="AV246" s="146" t="s">
        <v>1236</v>
      </c>
      <c r="AW246" s="146">
        <f>IFERROR(VLOOKUP(G246,'[70]Detail Deprec_202508'!$D$33:$I$357,6,FALSE),0)</f>
        <v>5629833.3300000001</v>
      </c>
      <c r="AX246" s="146">
        <f t="shared" si="64"/>
        <v>-3.3333329483866692E-3</v>
      </c>
    </row>
    <row r="247" spans="1:51" outlineLevel="1">
      <c r="A247" s="324">
        <f t="shared" si="63"/>
        <v>222</v>
      </c>
      <c r="B247" s="341" t="s">
        <v>142</v>
      </c>
      <c r="C247" s="344" t="s">
        <v>143</v>
      </c>
      <c r="D247" s="305">
        <v>156</v>
      </c>
      <c r="E247" s="305" t="s">
        <v>1706</v>
      </c>
      <c r="F247" s="341" t="s">
        <v>1204</v>
      </c>
      <c r="G247" s="341" t="s">
        <v>1208</v>
      </c>
      <c r="H247" s="429">
        <v>44678</v>
      </c>
      <c r="I247" s="378" t="s">
        <v>12</v>
      </c>
      <c r="J247" s="311" t="s">
        <v>1209</v>
      </c>
      <c r="K247" s="311" t="s">
        <v>191</v>
      </c>
      <c r="L247" s="430" t="s">
        <v>1210</v>
      </c>
      <c r="M247" s="311"/>
      <c r="N247" s="310">
        <v>2022</v>
      </c>
      <c r="O247" s="311" t="s">
        <v>1203</v>
      </c>
      <c r="P247" s="311" t="s">
        <v>1203</v>
      </c>
      <c r="Q247" s="311" t="s">
        <v>1203</v>
      </c>
      <c r="R247" s="305">
        <v>1</v>
      </c>
      <c r="S247" s="442"/>
      <c r="T247" s="432">
        <v>45520000</v>
      </c>
      <c r="U247" s="313">
        <f t="shared" si="55"/>
        <v>758666.66666666663</v>
      </c>
      <c r="V247" s="314">
        <v>60</v>
      </c>
      <c r="W247" s="315">
        <f>36+12</f>
        <v>48</v>
      </c>
      <c r="X247" s="314">
        <f t="shared" si="56"/>
        <v>12.000000000000004</v>
      </c>
      <c r="Y247" s="316">
        <f t="shared" si="57"/>
        <v>60</v>
      </c>
      <c r="Z247" s="317">
        <f t="shared" si="58"/>
        <v>0</v>
      </c>
      <c r="AA247" s="318">
        <v>36416000.000000007</v>
      </c>
      <c r="AB247" s="318">
        <v>9103999.9999999925</v>
      </c>
      <c r="AC247" s="318">
        <f t="shared" si="65"/>
        <v>9104000.0000000019</v>
      </c>
      <c r="AD247" s="318">
        <v>758666.66666666663</v>
      </c>
      <c r="AE247" s="318">
        <v>758666.66666666663</v>
      </c>
      <c r="AF247" s="318">
        <v>758666.66666666663</v>
      </c>
      <c r="AG247" s="318">
        <v>758666.66666666663</v>
      </c>
      <c r="AH247" s="318">
        <v>758666.66666666663</v>
      </c>
      <c r="AI247" s="318">
        <v>758666.66666666663</v>
      </c>
      <c r="AJ247" s="318">
        <v>758666.66666666663</v>
      </c>
      <c r="AK247" s="318">
        <v>758666.66666666663</v>
      </c>
      <c r="AL247" s="318">
        <v>758666.66666666663</v>
      </c>
      <c r="AM247" s="318">
        <v>758666.66666666663</v>
      </c>
      <c r="AN247" s="318">
        <v>758666.66666666663</v>
      </c>
      <c r="AO247" s="318">
        <v>758666.66666666663</v>
      </c>
      <c r="AP247" s="318">
        <f t="shared" si="60"/>
        <v>45520000.000000007</v>
      </c>
      <c r="AQ247" s="319">
        <f t="shared" si="61"/>
        <v>-7.4505805969238281E-9</v>
      </c>
      <c r="AR247" s="320"/>
      <c r="AS247" s="380"/>
      <c r="AT247" s="424"/>
      <c r="AU247" s="381"/>
      <c r="AV247" s="146" t="s">
        <v>1236</v>
      </c>
      <c r="AW247" s="146">
        <f>IFERROR(VLOOKUP(G247,'[70]Detail Deprec_202508'!$D$33:$I$357,6,FALSE),0)</f>
        <v>758666.67</v>
      </c>
      <c r="AX247" s="146">
        <f t="shared" si="64"/>
        <v>3.3333334140479565E-3</v>
      </c>
    </row>
    <row r="248" spans="1:51" s="522" customFormat="1" outlineLevel="1">
      <c r="A248" s="719">
        <f t="shared" si="63"/>
        <v>223</v>
      </c>
      <c r="B248" s="495" t="s">
        <v>142</v>
      </c>
      <c r="C248" s="496" t="s">
        <v>143</v>
      </c>
      <c r="D248" s="720">
        <v>156</v>
      </c>
      <c r="E248" s="720" t="s">
        <v>1707</v>
      </c>
      <c r="F248" s="495" t="s">
        <v>1215</v>
      </c>
      <c r="G248" s="495" t="s">
        <v>1216</v>
      </c>
      <c r="H248" s="721">
        <v>45076</v>
      </c>
      <c r="I248" s="722" t="s">
        <v>12</v>
      </c>
      <c r="J248" s="723" t="s">
        <v>1217</v>
      </c>
      <c r="K248" s="723" t="s">
        <v>1218</v>
      </c>
      <c r="L248" s="522" t="s">
        <v>1219</v>
      </c>
      <c r="M248" s="723" t="s">
        <v>456</v>
      </c>
      <c r="N248" s="723">
        <v>2023</v>
      </c>
      <c r="O248" s="723">
        <v>2022101665</v>
      </c>
      <c r="P248" s="723">
        <v>2022101665</v>
      </c>
      <c r="Q248" s="723">
        <v>2022101665</v>
      </c>
      <c r="R248" s="720">
        <v>1</v>
      </c>
      <c r="S248" s="725"/>
      <c r="T248" s="726">
        <v>11880000</v>
      </c>
      <c r="U248" s="497">
        <f t="shared" si="55"/>
        <v>330000</v>
      </c>
      <c r="V248" s="551">
        <v>36</v>
      </c>
      <c r="W248" s="550">
        <f>20+12</f>
        <v>32</v>
      </c>
      <c r="X248" s="551">
        <f t="shared" si="56"/>
        <v>4</v>
      </c>
      <c r="Y248" s="549">
        <f t="shared" si="57"/>
        <v>36</v>
      </c>
      <c r="Z248" s="552">
        <f t="shared" si="58"/>
        <v>0</v>
      </c>
      <c r="AA248" s="498">
        <v>10560000</v>
      </c>
      <c r="AB248" s="498">
        <v>1320000</v>
      </c>
      <c r="AC248" s="498">
        <f t="shared" si="65"/>
        <v>1320000</v>
      </c>
      <c r="AD248" s="498">
        <v>330000</v>
      </c>
      <c r="AE248" s="498">
        <v>330000</v>
      </c>
      <c r="AF248" s="498">
        <v>330000</v>
      </c>
      <c r="AG248" s="498">
        <v>330000</v>
      </c>
      <c r="AH248" s="498"/>
      <c r="AI248" s="498"/>
      <c r="AJ248" s="498"/>
      <c r="AK248" s="498"/>
      <c r="AL248" s="498"/>
      <c r="AM248" s="498"/>
      <c r="AN248" s="498"/>
      <c r="AO248" s="498"/>
      <c r="AP248" s="498">
        <f t="shared" si="60"/>
        <v>11880000</v>
      </c>
      <c r="AQ248" s="553">
        <f t="shared" si="61"/>
        <v>0</v>
      </c>
      <c r="AR248" s="499"/>
      <c r="AS248" s="499"/>
      <c r="AT248" s="727"/>
      <c r="AU248" s="728"/>
      <c r="AV248" s="655" t="s">
        <v>1236</v>
      </c>
      <c r="AW248" s="655">
        <f>IFERROR(VLOOKUP(G248,'[70]Detail Deprec_202508'!$D$33:$I$357,6,FALSE),0)</f>
        <v>330000</v>
      </c>
      <c r="AX248" s="655">
        <f t="shared" si="64"/>
        <v>330000</v>
      </c>
    </row>
    <row r="249" spans="1:51" s="40" customFormat="1" outlineLevel="1">
      <c r="A249" s="324">
        <f t="shared" si="63"/>
        <v>224</v>
      </c>
      <c r="B249" s="306" t="s">
        <v>142</v>
      </c>
      <c r="C249" s="309" t="s">
        <v>143</v>
      </c>
      <c r="D249" s="305">
        <v>156</v>
      </c>
      <c r="E249" s="305" t="s">
        <v>1707</v>
      </c>
      <c r="F249" s="305"/>
      <c r="G249" s="341" t="s">
        <v>1597</v>
      </c>
      <c r="H249" s="429">
        <v>45544</v>
      </c>
      <c r="I249" s="378" t="s">
        <v>12</v>
      </c>
      <c r="J249" s="311"/>
      <c r="K249" s="311" t="s">
        <v>1598</v>
      </c>
      <c r="L249" s="311" t="s">
        <v>191</v>
      </c>
      <c r="M249" s="311" t="s">
        <v>1599</v>
      </c>
      <c r="N249" s="310">
        <v>2024</v>
      </c>
      <c r="O249" s="311" t="s">
        <v>1600</v>
      </c>
      <c r="P249" s="311" t="s">
        <v>1601</v>
      </c>
      <c r="Q249" s="311" t="s">
        <v>1601</v>
      </c>
      <c r="R249" s="305">
        <v>1</v>
      </c>
      <c r="S249" s="442"/>
      <c r="T249" s="432">
        <v>28052500</v>
      </c>
      <c r="U249" s="313">
        <f t="shared" si="55"/>
        <v>467541.66666666669</v>
      </c>
      <c r="V249" s="314">
        <v>60</v>
      </c>
      <c r="W249" s="315">
        <f>4+12</f>
        <v>16</v>
      </c>
      <c r="X249" s="314">
        <f t="shared" si="56"/>
        <v>12.000000000000002</v>
      </c>
      <c r="Y249" s="316">
        <f t="shared" si="57"/>
        <v>28</v>
      </c>
      <c r="Z249" s="317">
        <f t="shared" si="58"/>
        <v>32</v>
      </c>
      <c r="AA249" s="318">
        <v>7480666.6666666679</v>
      </c>
      <c r="AB249" s="318">
        <v>20571833.333333332</v>
      </c>
      <c r="AC249" s="318">
        <f t="shared" si="65"/>
        <v>5610500.0000000009</v>
      </c>
      <c r="AD249" s="318">
        <v>467541.66666666669</v>
      </c>
      <c r="AE249" s="318">
        <v>467541.66666666669</v>
      </c>
      <c r="AF249" s="318">
        <v>467541.66666666669</v>
      </c>
      <c r="AG249" s="318">
        <v>467541.66666666669</v>
      </c>
      <c r="AH249" s="318">
        <v>467541.66666666669</v>
      </c>
      <c r="AI249" s="318">
        <v>467541.66666666669</v>
      </c>
      <c r="AJ249" s="318">
        <v>467541.66666666669</v>
      </c>
      <c r="AK249" s="318">
        <v>467541.66666666669</v>
      </c>
      <c r="AL249" s="318">
        <v>467541.66666666669</v>
      </c>
      <c r="AM249" s="318">
        <v>467541.66666666669</v>
      </c>
      <c r="AN249" s="318">
        <v>467541.66666666669</v>
      </c>
      <c r="AO249" s="318">
        <v>467541.66666666669</v>
      </c>
      <c r="AP249" s="318">
        <f t="shared" si="60"/>
        <v>13091166.666666668</v>
      </c>
      <c r="AQ249" s="319">
        <f t="shared" si="61"/>
        <v>14961333.333333332</v>
      </c>
      <c r="AR249" s="320"/>
      <c r="AS249" s="380"/>
      <c r="AT249" s="524"/>
      <c r="AU249" s="381"/>
      <c r="AV249" s="146" t="s">
        <v>1236</v>
      </c>
      <c r="AW249" s="525">
        <f>IFERROR(VLOOKUP(G249,'[70]Detail Deprec_202508'!$D$33:$I$357,6,FALSE),0)</f>
        <v>467541.67</v>
      </c>
      <c r="AX249" s="525">
        <f t="shared" si="64"/>
        <v>3.3333332976326346E-3</v>
      </c>
    </row>
    <row r="250" spans="1:51" s="40" customFormat="1" outlineLevel="1">
      <c r="A250" s="324">
        <f t="shared" si="63"/>
        <v>225</v>
      </c>
      <c r="B250" s="306" t="s">
        <v>142</v>
      </c>
      <c r="C250" s="309" t="s">
        <v>143</v>
      </c>
      <c r="D250" s="305">
        <v>156</v>
      </c>
      <c r="E250" s="305" t="s">
        <v>1707</v>
      </c>
      <c r="F250" s="310" t="s">
        <v>1610</v>
      </c>
      <c r="G250" s="341" t="s">
        <v>1611</v>
      </c>
      <c r="H250" s="429">
        <v>45658</v>
      </c>
      <c r="I250" s="378"/>
      <c r="J250" s="311"/>
      <c r="K250" s="311" t="s">
        <v>1714</v>
      </c>
      <c r="L250" s="311"/>
      <c r="M250" s="311">
        <v>860297</v>
      </c>
      <c r="N250" s="310">
        <v>2025</v>
      </c>
      <c r="O250" s="311" t="s">
        <v>1612</v>
      </c>
      <c r="P250" s="311" t="s">
        <v>1609</v>
      </c>
      <c r="Q250" s="311" t="s">
        <v>1613</v>
      </c>
      <c r="R250" s="305">
        <v>1</v>
      </c>
      <c r="S250" s="442"/>
      <c r="T250" s="432">
        <v>122000000</v>
      </c>
      <c r="U250" s="313">
        <f t="shared" si="55"/>
        <v>2033333.3333333333</v>
      </c>
      <c r="V250" s="314">
        <v>60</v>
      </c>
      <c r="W250" s="315">
        <v>12</v>
      </c>
      <c r="X250" s="314">
        <f>+AC250/U250</f>
        <v>11.999999999999998</v>
      </c>
      <c r="Y250" s="316">
        <f t="shared" si="57"/>
        <v>24</v>
      </c>
      <c r="Z250" s="317">
        <f t="shared" si="58"/>
        <v>36</v>
      </c>
      <c r="AA250" s="318">
        <v>24399999.999999996</v>
      </c>
      <c r="AB250" s="318">
        <v>97600000</v>
      </c>
      <c r="AC250" s="318">
        <f t="shared" si="65"/>
        <v>24399999.999999996</v>
      </c>
      <c r="AD250" s="318">
        <v>2033333.3333333333</v>
      </c>
      <c r="AE250" s="318">
        <v>2033333.3333333333</v>
      </c>
      <c r="AF250" s="318">
        <v>2033333.3333333333</v>
      </c>
      <c r="AG250" s="318">
        <v>2033333.3333333333</v>
      </c>
      <c r="AH250" s="318">
        <v>2033333.3333333333</v>
      </c>
      <c r="AI250" s="318">
        <v>2033333.3333333333</v>
      </c>
      <c r="AJ250" s="318">
        <v>2033333.3333333333</v>
      </c>
      <c r="AK250" s="318">
        <v>2033333.3333333333</v>
      </c>
      <c r="AL250" s="318">
        <v>2033333.3333333333</v>
      </c>
      <c r="AM250" s="318">
        <v>2033333.3333333333</v>
      </c>
      <c r="AN250" s="318">
        <v>2033333.3333333333</v>
      </c>
      <c r="AO250" s="318">
        <v>2033333.3333333333</v>
      </c>
      <c r="AP250" s="318">
        <f t="shared" si="60"/>
        <v>48799999.999999993</v>
      </c>
      <c r="AQ250" s="319">
        <f t="shared" si="61"/>
        <v>73200000</v>
      </c>
      <c r="AR250" s="320" t="s">
        <v>38</v>
      </c>
      <c r="AS250" s="380"/>
      <c r="AT250" s="524"/>
      <c r="AU250" s="381"/>
      <c r="AV250" s="146" t="s">
        <v>1236</v>
      </c>
      <c r="AW250" s="525">
        <f>IFERROR(VLOOKUP(G250,'[70]Detail Deprec_202508'!$D$33:$I$357,6,FALSE),0)</f>
        <v>2033333.32</v>
      </c>
      <c r="AX250" s="525">
        <f t="shared" si="64"/>
        <v>-1.3333333190530539E-2</v>
      </c>
    </row>
    <row r="251" spans="1:51" outlineLevel="1">
      <c r="A251" s="324">
        <f t="shared" si="63"/>
        <v>226</v>
      </c>
      <c r="B251" s="336" t="s">
        <v>142</v>
      </c>
      <c r="C251" s="351" t="s">
        <v>143</v>
      </c>
      <c r="D251" s="304">
        <v>153</v>
      </c>
      <c r="E251" s="304" t="s">
        <v>1707</v>
      </c>
      <c r="F251" s="336" t="s">
        <v>130</v>
      </c>
      <c r="G251" s="336" t="s">
        <v>130</v>
      </c>
      <c r="H251" s="325">
        <v>45961</v>
      </c>
      <c r="I251" s="326" t="s">
        <v>9</v>
      </c>
      <c r="J251" s="351" t="s">
        <v>280</v>
      </c>
      <c r="K251" s="336" t="s">
        <v>281</v>
      </c>
      <c r="L251" s="336" t="s">
        <v>135</v>
      </c>
      <c r="M251" s="336"/>
      <c r="N251" s="351">
        <v>2025</v>
      </c>
      <c r="O251" s="351"/>
      <c r="P251" s="351"/>
      <c r="Q251" s="351"/>
      <c r="R251" s="335">
        <v>2</v>
      </c>
      <c r="S251" s="366"/>
      <c r="T251" s="419">
        <v>220000000</v>
      </c>
      <c r="U251" s="685">
        <f t="shared" si="55"/>
        <v>3666666.6666666665</v>
      </c>
      <c r="V251" s="336">
        <v>60</v>
      </c>
      <c r="W251" s="329">
        <v>3</v>
      </c>
      <c r="X251" s="686">
        <f t="shared" si="56"/>
        <v>12</v>
      </c>
      <c r="Y251" s="330">
        <f>+W251+X251</f>
        <v>15</v>
      </c>
      <c r="Z251" s="330">
        <f t="shared" si="58"/>
        <v>45</v>
      </c>
      <c r="AA251" s="687">
        <v>11000000</v>
      </c>
      <c r="AB251" s="687">
        <v>209000000</v>
      </c>
      <c r="AC251" s="687">
        <f t="shared" si="65"/>
        <v>44000000</v>
      </c>
      <c r="AD251" s="687">
        <v>3666666.6666666665</v>
      </c>
      <c r="AE251" s="687">
        <v>3666666.6666666665</v>
      </c>
      <c r="AF251" s="687">
        <v>3666666.6666666665</v>
      </c>
      <c r="AG251" s="687">
        <v>3666666.6666666665</v>
      </c>
      <c r="AH251" s="687">
        <v>3666666.6666666665</v>
      </c>
      <c r="AI251" s="687">
        <v>3666666.6666666665</v>
      </c>
      <c r="AJ251" s="687">
        <v>3666666.6666666665</v>
      </c>
      <c r="AK251" s="687">
        <v>3666666.6666666665</v>
      </c>
      <c r="AL251" s="687">
        <v>3666666.6666666665</v>
      </c>
      <c r="AM251" s="687">
        <v>3666666.6666666665</v>
      </c>
      <c r="AN251" s="687">
        <v>3666666.6666666665</v>
      </c>
      <c r="AO251" s="687">
        <v>3666666.6666666665</v>
      </c>
      <c r="AP251" s="687">
        <f t="shared" si="60"/>
        <v>55000000</v>
      </c>
      <c r="AQ251" s="688">
        <f t="shared" si="61"/>
        <v>165000000</v>
      </c>
      <c r="AR251" s="689"/>
      <c r="AS251" s="689"/>
      <c r="AT251" s="416"/>
      <c r="AU251" s="690"/>
      <c r="AV251" s="631" t="s">
        <v>1236</v>
      </c>
      <c r="AW251" s="631">
        <f>IFERROR(VLOOKUP(G251,'[70]Detail Deprec_202508'!$D$33:$I$357,6,FALSE),0)</f>
        <v>0</v>
      </c>
      <c r="AX251" s="631">
        <f t="shared" si="64"/>
        <v>-3666666.6666666665</v>
      </c>
    </row>
    <row r="252" spans="1:51" ht="12.9" customHeight="1" outlineLevel="1">
      <c r="A252" s="324">
        <f t="shared" si="63"/>
        <v>227</v>
      </c>
      <c r="B252" s="336" t="s">
        <v>142</v>
      </c>
      <c r="C252" s="309" t="s">
        <v>474</v>
      </c>
      <c r="D252" s="382">
        <v>155</v>
      </c>
      <c r="E252" s="382" t="s">
        <v>1711</v>
      </c>
      <c r="F252" s="336" t="s">
        <v>130</v>
      </c>
      <c r="G252" s="336" t="s">
        <v>130</v>
      </c>
      <c r="H252" s="325">
        <v>45961</v>
      </c>
      <c r="I252" s="392" t="s">
        <v>11</v>
      </c>
      <c r="J252" s="390" t="s">
        <v>749</v>
      </c>
      <c r="K252" s="351" t="s">
        <v>1715</v>
      </c>
      <c r="L252" s="351" t="s">
        <v>748</v>
      </c>
      <c r="M252" s="379" t="s">
        <v>296</v>
      </c>
      <c r="N252" s="379">
        <v>2025</v>
      </c>
      <c r="O252" s="379" t="s">
        <v>800</v>
      </c>
      <c r="P252" s="351"/>
      <c r="Q252" s="351"/>
      <c r="R252" s="377">
        <v>1</v>
      </c>
      <c r="S252" s="418"/>
      <c r="T252" s="419">
        <v>154000000</v>
      </c>
      <c r="U252" s="411">
        <f t="shared" si="55"/>
        <v>2566666.6666666665</v>
      </c>
      <c r="V252" s="316">
        <v>60</v>
      </c>
      <c r="W252" s="315">
        <v>3</v>
      </c>
      <c r="X252" s="412">
        <f t="shared" si="56"/>
        <v>12.000000000000002</v>
      </c>
      <c r="Y252" s="412">
        <f t="shared" ref="Y252:Y254" si="66">+W252+X252</f>
        <v>15.000000000000002</v>
      </c>
      <c r="Z252" s="330">
        <f t="shared" si="58"/>
        <v>45</v>
      </c>
      <c r="AA252" s="413">
        <v>7700000</v>
      </c>
      <c r="AB252" s="687">
        <v>146300000</v>
      </c>
      <c r="AC252" s="687">
        <f t="shared" si="65"/>
        <v>30800000.000000004</v>
      </c>
      <c r="AD252" s="413">
        <v>2566666.6666666665</v>
      </c>
      <c r="AE252" s="413">
        <v>2566666.6666666665</v>
      </c>
      <c r="AF252" s="413">
        <v>2566666.6666666665</v>
      </c>
      <c r="AG252" s="413">
        <v>2566666.6666666665</v>
      </c>
      <c r="AH252" s="413">
        <v>2566666.6666666665</v>
      </c>
      <c r="AI252" s="413">
        <v>2566666.6666666665</v>
      </c>
      <c r="AJ252" s="413">
        <v>2566666.6666666665</v>
      </c>
      <c r="AK252" s="413">
        <v>2566666.6666666665</v>
      </c>
      <c r="AL252" s="413">
        <v>2566666.6666666665</v>
      </c>
      <c r="AM252" s="413">
        <v>2566666.6666666665</v>
      </c>
      <c r="AN252" s="413">
        <v>2566666.6666666665</v>
      </c>
      <c r="AO252" s="413">
        <v>2566666.6666666665</v>
      </c>
      <c r="AP252" s="687">
        <f t="shared" si="60"/>
        <v>38500000</v>
      </c>
      <c r="AQ252" s="414">
        <f t="shared" si="61"/>
        <v>115500000</v>
      </c>
      <c r="AR252" s="415"/>
      <c r="AS252" s="415"/>
      <c r="AT252" s="416"/>
      <c r="AU252" s="405"/>
      <c r="AV252" s="631" t="s">
        <v>1236</v>
      </c>
      <c r="AW252" s="631">
        <f>IFERROR(VLOOKUP(G252,'[71]Detail Deprec_202501'!$D$246:$I$393,6,FALSE),0)</f>
        <v>0</v>
      </c>
      <c r="AX252" s="501">
        <f t="shared" si="64"/>
        <v>-2566666.6666666665</v>
      </c>
    </row>
    <row r="253" spans="1:51" s="654" customFormat="1" ht="12.9" customHeight="1" outlineLevel="1">
      <c r="A253" s="635">
        <f t="shared" si="63"/>
        <v>228</v>
      </c>
      <c r="B253" s="691" t="s">
        <v>142</v>
      </c>
      <c r="C253" s="700" t="s">
        <v>143</v>
      </c>
      <c r="D253" s="701">
        <v>155</v>
      </c>
      <c r="E253" s="701" t="s">
        <v>1707</v>
      </c>
      <c r="F253" s="691" t="s">
        <v>130</v>
      </c>
      <c r="G253" s="691" t="s">
        <v>130</v>
      </c>
      <c r="H253" s="702">
        <v>46084</v>
      </c>
      <c r="I253" s="658" t="s">
        <v>11</v>
      </c>
      <c r="J253" s="703"/>
      <c r="K253" s="704" t="s">
        <v>468</v>
      </c>
      <c r="L253" s="705"/>
      <c r="M253" s="704" t="s">
        <v>1604</v>
      </c>
      <c r="N253" s="699">
        <v>2026</v>
      </c>
      <c r="O253" s="704" t="s">
        <v>1622</v>
      </c>
      <c r="P253" s="704" t="s">
        <v>1622</v>
      </c>
      <c r="Q253" s="704" t="s">
        <v>1622</v>
      </c>
      <c r="R253" s="706">
        <v>1</v>
      </c>
      <c r="S253" s="707"/>
      <c r="T253" s="708">
        <v>426000000</v>
      </c>
      <c r="U253" s="708">
        <f t="shared" si="55"/>
        <v>7100000</v>
      </c>
      <c r="V253" s="709">
        <v>60</v>
      </c>
      <c r="W253" s="710">
        <v>0</v>
      </c>
      <c r="X253" s="711">
        <f t="shared" si="56"/>
        <v>10</v>
      </c>
      <c r="Y253" s="712">
        <f t="shared" si="66"/>
        <v>10</v>
      </c>
      <c r="Z253" s="712">
        <f t="shared" si="58"/>
        <v>50</v>
      </c>
      <c r="AA253" s="713">
        <v>0</v>
      </c>
      <c r="AB253" s="713">
        <v>0</v>
      </c>
      <c r="AC253" s="713">
        <f t="shared" si="65"/>
        <v>71000000</v>
      </c>
      <c r="AD253" s="713"/>
      <c r="AE253" s="713"/>
      <c r="AF253" s="713">
        <v>7100000</v>
      </c>
      <c r="AG253" s="713">
        <v>7100000</v>
      </c>
      <c r="AH253" s="713">
        <v>7100000</v>
      </c>
      <c r="AI253" s="713">
        <v>7100000</v>
      </c>
      <c r="AJ253" s="713">
        <v>7100000</v>
      </c>
      <c r="AK253" s="713">
        <v>7100000</v>
      </c>
      <c r="AL253" s="713">
        <v>7100000</v>
      </c>
      <c r="AM253" s="713">
        <v>7100000</v>
      </c>
      <c r="AN253" s="713">
        <v>7100000</v>
      </c>
      <c r="AO253" s="713">
        <v>7100000</v>
      </c>
      <c r="AP253" s="666">
        <f>+AA253+AC253</f>
        <v>71000000</v>
      </c>
      <c r="AQ253" s="667">
        <f t="shared" ref="AQ253:AQ254" si="67">IF(AS253=$AS$24,((T253-AP253)*0),T253-AP253)</f>
        <v>355000000</v>
      </c>
      <c r="AR253" s="714" t="s">
        <v>38</v>
      </c>
      <c r="AS253" s="714"/>
      <c r="AT253" s="715"/>
      <c r="AU253" s="716"/>
      <c r="AV253" s="653" t="s">
        <v>1236</v>
      </c>
      <c r="AW253" s="653">
        <f>IFERROR(VLOOKUP(G253,'[70]Detail Deprec_202508'!$D$33:$I$357,6,FALSE),0)</f>
        <v>0</v>
      </c>
      <c r="AX253" s="653">
        <f t="shared" si="64"/>
        <v>-7100000</v>
      </c>
    </row>
    <row r="254" spans="1:51" s="654" customFormat="1" ht="12.9" customHeight="1" outlineLevel="1">
      <c r="A254" s="635">
        <f t="shared" si="63"/>
        <v>229</v>
      </c>
      <c r="B254" s="691" t="s">
        <v>142</v>
      </c>
      <c r="C254" s="700" t="s">
        <v>143</v>
      </c>
      <c r="D254" s="701">
        <v>155</v>
      </c>
      <c r="E254" s="701" t="s">
        <v>1707</v>
      </c>
      <c r="F254" s="691" t="s">
        <v>130</v>
      </c>
      <c r="G254" s="691" t="s">
        <v>130</v>
      </c>
      <c r="H254" s="702">
        <v>46084</v>
      </c>
      <c r="I254" s="658" t="s">
        <v>11</v>
      </c>
      <c r="J254" s="703"/>
      <c r="K254" s="704" t="s">
        <v>468</v>
      </c>
      <c r="L254" s="705"/>
      <c r="M254" s="704" t="s">
        <v>823</v>
      </c>
      <c r="N254" s="699">
        <v>2026</v>
      </c>
      <c r="O254" s="704" t="s">
        <v>1620</v>
      </c>
      <c r="P254" s="704" t="s">
        <v>1620</v>
      </c>
      <c r="Q254" s="704" t="s">
        <v>1620</v>
      </c>
      <c r="R254" s="706">
        <v>2</v>
      </c>
      <c r="S254" s="707"/>
      <c r="T254" s="708">
        <v>1004000000</v>
      </c>
      <c r="U254" s="708">
        <f t="shared" si="55"/>
        <v>16733333.333333334</v>
      </c>
      <c r="V254" s="709">
        <v>60</v>
      </c>
      <c r="W254" s="710">
        <v>0</v>
      </c>
      <c r="X254" s="711">
        <f t="shared" si="56"/>
        <v>10</v>
      </c>
      <c r="Y254" s="712">
        <f t="shared" si="66"/>
        <v>10</v>
      </c>
      <c r="Z254" s="712">
        <f t="shared" si="58"/>
        <v>50</v>
      </c>
      <c r="AA254" s="713">
        <v>0</v>
      </c>
      <c r="AB254" s="713">
        <v>0</v>
      </c>
      <c r="AC254" s="713">
        <f t="shared" si="65"/>
        <v>167333333.33333334</v>
      </c>
      <c r="AD254" s="713"/>
      <c r="AE254" s="713"/>
      <c r="AF254" s="713">
        <v>16733333.333333334</v>
      </c>
      <c r="AG254" s="713">
        <v>16733333.333333334</v>
      </c>
      <c r="AH254" s="713">
        <v>16733333.333333334</v>
      </c>
      <c r="AI254" s="713">
        <v>16733333.333333334</v>
      </c>
      <c r="AJ254" s="713">
        <v>16733333.333333334</v>
      </c>
      <c r="AK254" s="713">
        <v>16733333.333333334</v>
      </c>
      <c r="AL254" s="713">
        <v>16733333.333333334</v>
      </c>
      <c r="AM254" s="713">
        <v>16733333.333333334</v>
      </c>
      <c r="AN254" s="713">
        <v>16733333.333333334</v>
      </c>
      <c r="AO254" s="713">
        <v>16733333.333333334</v>
      </c>
      <c r="AP254" s="666">
        <f t="shared" ref="AP254" si="68">+AA254+AC254</f>
        <v>167333333.33333334</v>
      </c>
      <c r="AQ254" s="667">
        <f t="shared" si="67"/>
        <v>836666666.66666663</v>
      </c>
      <c r="AR254" s="714" t="s">
        <v>38</v>
      </c>
      <c r="AS254" s="714"/>
      <c r="AT254" s="715"/>
      <c r="AU254" s="716"/>
      <c r="AV254" s="653" t="s">
        <v>1241</v>
      </c>
      <c r="AW254" s="653">
        <f>IFERROR(VLOOKUP(G254,'[70]Detail Deprec_202508'!$D$33:$I$357,6,FALSE),0)</f>
        <v>0</v>
      </c>
      <c r="AX254" s="653">
        <f t="shared" si="64"/>
        <v>-16733333.333333334</v>
      </c>
    </row>
    <row r="255" spans="1:51" s="811" customFormat="1" ht="12.9" customHeight="1" outlineLevel="1">
      <c r="A255" s="787"/>
      <c r="B255" s="788" t="s">
        <v>142</v>
      </c>
      <c r="C255" s="789" t="s">
        <v>1743</v>
      </c>
      <c r="D255" s="790"/>
      <c r="E255" s="790" t="s">
        <v>1710</v>
      </c>
      <c r="F255" s="788"/>
      <c r="G255" s="788"/>
      <c r="H255" s="791">
        <v>45809</v>
      </c>
      <c r="I255" s="792" t="s">
        <v>129</v>
      </c>
      <c r="J255" s="793"/>
      <c r="K255" s="794" t="s">
        <v>1744</v>
      </c>
      <c r="L255" s="794" t="s">
        <v>1745</v>
      </c>
      <c r="M255" s="795"/>
      <c r="N255" s="795">
        <v>2025</v>
      </c>
      <c r="O255" s="795"/>
      <c r="P255" s="794"/>
      <c r="Q255" s="794"/>
      <c r="R255" s="796">
        <v>1</v>
      </c>
      <c r="S255" s="797"/>
      <c r="T255" s="798"/>
      <c r="U255" s="812">
        <v>101851852</v>
      </c>
      <c r="V255" s="799"/>
      <c r="W255" s="800"/>
      <c r="X255" s="801"/>
      <c r="Y255" s="801"/>
      <c r="Z255" s="802"/>
      <c r="AA255" s="803"/>
      <c r="AB255" s="803"/>
      <c r="AC255" s="803"/>
      <c r="AD255" s="804">
        <v>101851852</v>
      </c>
      <c r="AE255" s="804">
        <v>101851852</v>
      </c>
      <c r="AF255" s="804">
        <v>101851852</v>
      </c>
      <c r="AG255" s="804">
        <v>101851852</v>
      </c>
      <c r="AH255" s="804">
        <v>101851852</v>
      </c>
      <c r="AI255" s="804">
        <v>101851852</v>
      </c>
      <c r="AJ255" s="804">
        <v>101851852</v>
      </c>
      <c r="AK255" s="804">
        <v>101851852</v>
      </c>
      <c r="AL255" s="804">
        <v>101851852</v>
      </c>
      <c r="AM255" s="804">
        <v>101851852</v>
      </c>
      <c r="AN255" s="804">
        <v>101851852</v>
      </c>
      <c r="AO255" s="804">
        <v>101851852</v>
      </c>
      <c r="AP255" s="804"/>
      <c r="AQ255" s="805"/>
      <c r="AR255" s="806"/>
      <c r="AS255" s="806"/>
      <c r="AT255" s="807"/>
      <c r="AU255" s="808"/>
      <c r="AV255" s="809"/>
      <c r="AW255" s="809"/>
      <c r="AX255" s="810"/>
    </row>
    <row r="256" spans="1:51" s="811" customFormat="1" ht="12.9" customHeight="1" outlineLevel="1">
      <c r="A256" s="787"/>
      <c r="B256" s="788" t="s">
        <v>142</v>
      </c>
      <c r="C256" s="789" t="s">
        <v>1743</v>
      </c>
      <c r="D256" s="790"/>
      <c r="E256" s="790" t="s">
        <v>1709</v>
      </c>
      <c r="F256" s="788"/>
      <c r="G256" s="788"/>
      <c r="H256" s="791">
        <v>45596</v>
      </c>
      <c r="I256" s="792" t="s">
        <v>129</v>
      </c>
      <c r="J256" s="793"/>
      <c r="K256" s="794" t="s">
        <v>1746</v>
      </c>
      <c r="L256" s="794" t="s">
        <v>1747</v>
      </c>
      <c r="M256" s="795"/>
      <c r="N256" s="795">
        <v>2024</v>
      </c>
      <c r="O256" s="795"/>
      <c r="P256" s="794"/>
      <c r="Q256" s="794"/>
      <c r="R256" s="796">
        <v>1</v>
      </c>
      <c r="S256" s="797"/>
      <c r="T256" s="798"/>
      <c r="U256" s="812">
        <v>13333333</v>
      </c>
      <c r="V256" s="799"/>
      <c r="W256" s="800"/>
      <c r="X256" s="801"/>
      <c r="Y256" s="801"/>
      <c r="Z256" s="802"/>
      <c r="AA256" s="803"/>
      <c r="AB256" s="803"/>
      <c r="AC256" s="803"/>
      <c r="AD256" s="804">
        <v>13333333</v>
      </c>
      <c r="AE256" s="804">
        <v>13333333</v>
      </c>
      <c r="AF256" s="804">
        <v>13333333</v>
      </c>
      <c r="AG256" s="804">
        <v>13333333</v>
      </c>
      <c r="AH256" s="804"/>
      <c r="AI256" s="804"/>
      <c r="AJ256" s="804"/>
      <c r="AK256" s="804"/>
      <c r="AL256" s="804"/>
      <c r="AM256" s="804"/>
      <c r="AN256" s="804"/>
      <c r="AO256" s="804"/>
      <c r="AP256" s="804"/>
      <c r="AQ256" s="805"/>
      <c r="AR256" s="806"/>
      <c r="AS256" s="806"/>
      <c r="AT256" s="807"/>
      <c r="AU256" s="808"/>
      <c r="AV256" s="809"/>
      <c r="AW256" s="809"/>
      <c r="AX256" s="810"/>
    </row>
    <row r="257" spans="1:50" ht="14.4" outlineLevel="1" thickBot="1">
      <c r="A257" s="303"/>
      <c r="B257" s="341"/>
      <c r="C257" s="344"/>
      <c r="D257" s="377"/>
      <c r="E257" s="377"/>
      <c r="F257" s="341"/>
      <c r="G257" s="341"/>
      <c r="H257" s="429"/>
      <c r="I257" s="378"/>
      <c r="J257" s="443"/>
      <c r="K257" s="311"/>
      <c r="L257" s="430"/>
      <c r="M257" s="311"/>
      <c r="N257" s="310"/>
      <c r="O257" s="311"/>
      <c r="P257" s="311"/>
      <c r="Q257" s="311"/>
      <c r="R257" s="305"/>
      <c r="S257" s="444"/>
      <c r="T257" s="432"/>
      <c r="U257" s="445"/>
      <c r="V257" s="446"/>
      <c r="W257" s="446"/>
      <c r="X257" s="446"/>
      <c r="Y257" s="446"/>
      <c r="Z257" s="446"/>
      <c r="AA257" s="447"/>
      <c r="AB257" s="447"/>
      <c r="AC257" s="447"/>
      <c r="AD257" s="446"/>
      <c r="AE257" s="446"/>
      <c r="AF257" s="446"/>
      <c r="AG257" s="446"/>
      <c r="AH257" s="446"/>
      <c r="AI257" s="446"/>
      <c r="AJ257" s="446"/>
      <c r="AK257" s="446"/>
      <c r="AL257" s="446"/>
      <c r="AM257" s="446"/>
      <c r="AN257" s="446"/>
      <c r="AO257" s="446"/>
      <c r="AP257" s="447"/>
      <c r="AQ257" s="448"/>
      <c r="AR257" s="380"/>
      <c r="AS257" s="380"/>
      <c r="AT257" s="424"/>
      <c r="AU257" s="381"/>
    </row>
    <row r="258" spans="1:50" ht="14.4" thickBot="1">
      <c r="A258" s="449"/>
      <c r="B258" s="451"/>
      <c r="C258" s="453"/>
      <c r="D258" s="450"/>
      <c r="E258" s="450"/>
      <c r="F258" s="451" t="str">
        <f>I258</f>
        <v>Grand Total</v>
      </c>
      <c r="G258" s="451"/>
      <c r="H258" s="452"/>
      <c r="I258" s="453" t="s">
        <v>59</v>
      </c>
      <c r="J258" s="453"/>
      <c r="K258" s="453"/>
      <c r="L258" s="453"/>
      <c r="M258" s="453"/>
      <c r="N258" s="453"/>
      <c r="O258" s="454"/>
      <c r="P258" s="453"/>
      <c r="Q258" s="453"/>
      <c r="R258" s="450"/>
      <c r="S258" s="451"/>
      <c r="T258" s="451" t="e">
        <f>+#REF!+#REF!+#REF!+#REF!+#REF!+#REF!+#REF!</f>
        <v>#REF!</v>
      </c>
      <c r="U258" s="451"/>
      <c r="V258" s="451"/>
      <c r="W258" s="451"/>
      <c r="X258" s="451"/>
      <c r="Y258" s="451"/>
      <c r="Z258" s="451"/>
      <c r="AA258" s="451">
        <v>625899060186.18591</v>
      </c>
      <c r="AB258" s="451">
        <v>241885970250.38773</v>
      </c>
      <c r="AC258" s="451" t="e">
        <f>#REF!+#REF!+#REF!+#REF!+#REF!+#REF!</f>
        <v>#REF!</v>
      </c>
      <c r="AD258" s="451" t="e">
        <f>#REF!+#REF!+#REF!+#REF!+#REF!+#REF!</f>
        <v>#REF!</v>
      </c>
      <c r="AE258" s="451" t="e">
        <f>#REF!+#REF!+#REF!+#REF!+#REF!+#REF!</f>
        <v>#REF!</v>
      </c>
      <c r="AF258" s="451" t="e">
        <f>#REF!+#REF!+#REF!+#REF!+#REF!+#REF!</f>
        <v>#REF!</v>
      </c>
      <c r="AG258" s="451" t="e">
        <f>#REF!+#REF!+#REF!+#REF!+#REF!+#REF!</f>
        <v>#REF!</v>
      </c>
      <c r="AH258" s="451" t="e">
        <f>#REF!+#REF!+#REF!+#REF!+#REF!+#REF!</f>
        <v>#REF!</v>
      </c>
      <c r="AI258" s="451" t="e">
        <f>#REF!+#REF!+#REF!+#REF!+#REF!+#REF!</f>
        <v>#REF!</v>
      </c>
      <c r="AJ258" s="451" t="e">
        <f>#REF!+#REF!+#REF!+#REF!+#REF!+#REF!</f>
        <v>#REF!</v>
      </c>
      <c r="AK258" s="451" t="e">
        <f>#REF!+#REF!+#REF!+#REF!+#REF!+#REF!</f>
        <v>#REF!</v>
      </c>
      <c r="AL258" s="451" t="e">
        <f>#REF!+#REF!+#REF!+#REF!+#REF!+#REF!</f>
        <v>#REF!</v>
      </c>
      <c r="AM258" s="451" t="e">
        <f>#REF!+#REF!+#REF!+#REF!+#REF!+#REF!</f>
        <v>#REF!</v>
      </c>
      <c r="AN258" s="451" t="e">
        <f>#REF!+#REF!+#REF!+#REF!+#REF!+#REF!</f>
        <v>#REF!</v>
      </c>
      <c r="AO258" s="451" t="e">
        <f>#REF!+#REF!+#REF!+#REF!+#REF!+#REF!</f>
        <v>#REF!</v>
      </c>
      <c r="AP258" s="451" t="e">
        <f>#REF!+#REF!+#REF!+#REF!+#REF!+#REF!</f>
        <v>#REF!</v>
      </c>
      <c r="AQ258" s="455" t="e">
        <f>#REF!+#REF!+#REF!+#REF!+#REF!+#REF!</f>
        <v>#REF!</v>
      </c>
      <c r="AR258" s="456"/>
      <c r="AS258" s="456"/>
      <c r="AT258" s="453"/>
      <c r="AU258" s="457"/>
    </row>
    <row r="259" spans="1:50">
      <c r="A259" s="87" t="s">
        <v>59</v>
      </c>
      <c r="B259" s="87"/>
      <c r="C259" s="485"/>
      <c r="D259" s="87"/>
      <c r="E259" s="87"/>
      <c r="F259" s="87"/>
      <c r="G259" s="87"/>
      <c r="H259" s="87"/>
      <c r="I259" s="87"/>
      <c r="J259" s="88"/>
      <c r="K259" s="87"/>
      <c r="L259" s="87"/>
      <c r="M259" s="87"/>
      <c r="N259" s="59"/>
      <c r="O259" s="36"/>
      <c r="P259" s="36"/>
      <c r="Q259" s="36"/>
      <c r="R259" s="35"/>
      <c r="S259" s="35"/>
      <c r="T259" s="60"/>
      <c r="U259" s="61"/>
      <c r="V259" s="41"/>
      <c r="W259" s="41"/>
      <c r="X259" s="41"/>
      <c r="Y259" s="41"/>
      <c r="Z259" s="41"/>
      <c r="AA259" s="41"/>
      <c r="AB259" s="41"/>
      <c r="AC259" s="41"/>
      <c r="AD259" s="35"/>
      <c r="AE259" s="35"/>
      <c r="AF259" s="302"/>
      <c r="AG259" s="58"/>
      <c r="AH259" s="35"/>
      <c r="AI259" s="35"/>
      <c r="AJ259" s="35"/>
      <c r="AK259" s="35"/>
      <c r="AL259" s="35"/>
      <c r="AM259" s="35"/>
      <c r="AN259" s="35"/>
      <c r="AO259" s="35"/>
      <c r="AP259" s="62"/>
      <c r="AQ259" s="275"/>
      <c r="AR259" s="36"/>
      <c r="AS259" s="36"/>
      <c r="AT259" s="37"/>
      <c r="AU259" s="36"/>
    </row>
    <row r="260" spans="1:50" ht="14.4">
      <c r="T260" s="600"/>
      <c r="AA260" s="606"/>
      <c r="AX260" s="146"/>
    </row>
    <row r="261" spans="1:50">
      <c r="AA261" s="606"/>
    </row>
    <row r="263" spans="1:50">
      <c r="T263" s="599"/>
    </row>
    <row r="265" spans="1:50" s="146" customFormat="1">
      <c r="A265" s="606"/>
      <c r="B265" s="625"/>
      <c r="C265" s="492"/>
      <c r="D265" s="606"/>
      <c r="E265" s="606"/>
      <c r="F265" s="625"/>
      <c r="G265" s="625"/>
      <c r="H265" s="626"/>
      <c r="I265" s="24"/>
      <c r="J265" s="24"/>
      <c r="K265" s="626"/>
      <c r="L265" s="626"/>
      <c r="M265" s="626"/>
      <c r="N265" s="626"/>
      <c r="O265" s="626"/>
      <c r="P265" s="626"/>
      <c r="Q265" s="626"/>
      <c r="R265" s="606"/>
      <c r="S265" s="606"/>
      <c r="T265" s="627"/>
      <c r="U265" s="627"/>
      <c r="V265" s="606"/>
      <c r="W265" s="606"/>
      <c r="X265" s="606"/>
      <c r="Y265" s="606"/>
      <c r="Z265" s="606"/>
      <c r="AA265" s="606"/>
      <c r="AB265" s="606"/>
      <c r="AC265" s="606"/>
      <c r="AD265" s="606"/>
      <c r="AE265" s="606"/>
      <c r="AF265" s="606"/>
      <c r="AG265" s="606"/>
      <c r="AH265" s="606"/>
      <c r="AI265" s="606"/>
      <c r="AJ265" s="606"/>
      <c r="AK265" s="606"/>
      <c r="AL265" s="606"/>
      <c r="AM265" s="606"/>
      <c r="AN265" s="606"/>
      <c r="AO265" s="606"/>
      <c r="AP265" s="606"/>
      <c r="AQ265" s="606"/>
      <c r="AR265" s="626"/>
      <c r="AS265" s="626"/>
      <c r="AT265" s="628"/>
      <c r="AU265" s="626"/>
    </row>
    <row r="266" spans="1:50" s="146" customFormat="1">
      <c r="A266" s="606"/>
      <c r="B266" s="625"/>
      <c r="C266" s="492"/>
      <c r="D266" s="606"/>
      <c r="E266" s="606"/>
      <c r="F266" s="625"/>
      <c r="G266" s="625"/>
      <c r="H266" s="626"/>
      <c r="I266" s="24"/>
      <c r="J266" s="24"/>
      <c r="K266" s="626"/>
      <c r="L266" s="626"/>
      <c r="M266" s="626"/>
      <c r="N266" s="626"/>
      <c r="O266" s="626"/>
      <c r="P266" s="626"/>
      <c r="Q266" s="626"/>
      <c r="R266" s="606"/>
      <c r="S266" s="606"/>
      <c r="T266" s="627"/>
      <c r="U266" s="627"/>
      <c r="V266" s="606"/>
      <c r="W266" s="606"/>
      <c r="X266" s="606"/>
      <c r="Y266" s="606"/>
      <c r="Z266" s="606"/>
      <c r="AA266" s="606"/>
      <c r="AB266" s="606"/>
      <c r="AC266" s="606"/>
      <c r="AD266" s="606"/>
      <c r="AE266" s="606"/>
      <c r="AF266" s="606"/>
      <c r="AG266" s="606"/>
      <c r="AH266" s="606"/>
      <c r="AI266" s="606"/>
      <c r="AJ266" s="606"/>
      <c r="AK266" s="606"/>
      <c r="AL266" s="606"/>
      <c r="AM266" s="606"/>
      <c r="AN266" s="606"/>
      <c r="AO266" s="606"/>
      <c r="AP266" s="606"/>
      <c r="AQ266" s="606"/>
      <c r="AR266" s="626"/>
      <c r="AS266" s="626"/>
      <c r="AT266" s="628"/>
      <c r="AU266" s="626"/>
    </row>
    <row r="267" spans="1:50" s="146" customFormat="1">
      <c r="A267" s="606"/>
      <c r="B267" s="625"/>
      <c r="C267" s="492"/>
      <c r="D267" s="606"/>
      <c r="E267" s="606"/>
      <c r="F267" s="625"/>
      <c r="G267" s="625"/>
      <c r="H267" s="626"/>
      <c r="I267" s="24"/>
      <c r="J267" s="24"/>
      <c r="K267" s="626"/>
      <c r="L267" s="626"/>
      <c r="M267" s="626"/>
      <c r="N267" s="626"/>
      <c r="O267" s="626"/>
      <c r="P267" s="626"/>
      <c r="Q267" s="626"/>
      <c r="R267" s="606"/>
      <c r="S267" s="606"/>
      <c r="T267" s="627"/>
      <c r="U267" s="627"/>
      <c r="V267" s="606"/>
      <c r="W267" s="606"/>
      <c r="X267" s="606"/>
      <c r="Y267" s="606"/>
      <c r="Z267" s="606"/>
      <c r="AA267" s="606"/>
      <c r="AB267" s="606"/>
      <c r="AC267" s="606"/>
      <c r="AD267" s="606"/>
      <c r="AE267" s="606"/>
      <c r="AF267" s="606"/>
      <c r="AG267" s="606"/>
      <c r="AH267" s="606"/>
      <c r="AI267" s="606"/>
      <c r="AJ267" s="606"/>
      <c r="AK267" s="606"/>
      <c r="AL267" s="606"/>
      <c r="AM267" s="606"/>
      <c r="AN267" s="606"/>
      <c r="AO267" s="606"/>
      <c r="AP267" s="606"/>
      <c r="AQ267" s="606"/>
      <c r="AR267" s="626"/>
      <c r="AS267" s="626"/>
      <c r="AT267" s="628"/>
      <c r="AU267" s="626"/>
    </row>
    <row r="268" spans="1:50">
      <c r="AD268" s="606"/>
    </row>
    <row r="269" spans="1:50">
      <c r="AK269" s="629"/>
    </row>
  </sheetData>
  <autoFilter ref="A25:BH259" xr:uid="{00000000-0001-0000-0100-000000000000}"/>
  <mergeCells count="25">
    <mergeCell ref="BF23:BG23"/>
    <mergeCell ref="AU23:AU24"/>
    <mergeCell ref="AV23:AV24"/>
    <mergeCell ref="AX23:AY23"/>
    <mergeCell ref="AZ23:BA23"/>
    <mergeCell ref="BB23:BC23"/>
    <mergeCell ref="BD23:BE23"/>
    <mergeCell ref="AR23:AS23"/>
    <mergeCell ref="I23:I24"/>
    <mergeCell ref="K23:K24"/>
    <mergeCell ref="L23:L24"/>
    <mergeCell ref="M23:M24"/>
    <mergeCell ref="N23:N24"/>
    <mergeCell ref="R23:R24"/>
    <mergeCell ref="S23:S24"/>
    <mergeCell ref="T23:T24"/>
    <mergeCell ref="U23:U24"/>
    <mergeCell ref="V23:Z23"/>
    <mergeCell ref="AD23:AO23"/>
    <mergeCell ref="H23:H24"/>
    <mergeCell ref="A3:D3"/>
    <mergeCell ref="A23:A24"/>
    <mergeCell ref="B23:B24"/>
    <mergeCell ref="C23:C24"/>
    <mergeCell ref="E23:E24"/>
  </mergeCells>
  <conditionalFormatting sqref="G198:G219">
    <cfRule type="duplicateValues" dxfId="14" priority="7"/>
  </conditionalFormatting>
  <conditionalFormatting sqref="G253:G254">
    <cfRule type="duplicateValues" dxfId="13" priority="4"/>
  </conditionalFormatting>
  <conditionalFormatting sqref="G255:G256">
    <cfRule type="duplicateValues" dxfId="12" priority="2"/>
  </conditionalFormatting>
  <conditionalFormatting sqref="G257:G1048576 G220:G252 G1:G4 G16 G22:G197">
    <cfRule type="duplicateValues" dxfId="11" priority="6"/>
  </conditionalFormatting>
  <conditionalFormatting sqref="Z1:Z64536">
    <cfRule type="cellIs" dxfId="10" priority="1" stopIfTrue="1" operator="lessThan">
      <formula>0</formula>
    </cfRule>
  </conditionalFormatting>
  <pageMargins left="0" right="0" top="0.62992125984251968" bottom="0.74803149606299213" header="0.31496062992125984" footer="0.31496062992125984"/>
  <pageSetup paperSize="8" scale="80" orientation="landscape" r:id="rId1"/>
  <headerFooter alignWithMargins="0">
    <oddFooter>&amp;L&amp;F&amp;C&amp;P/&amp;N&amp;R&amp;D&amp;T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B8D8E-8767-4463-BA7E-4ED2AB34CA8F}">
  <dimension ref="D4:E10"/>
  <sheetViews>
    <sheetView zoomScale="160" zoomScaleNormal="160" workbookViewId="0">
      <selection activeCell="E13" sqref="E13"/>
    </sheetView>
  </sheetViews>
  <sheetFormatPr defaultRowHeight="13.2"/>
  <cols>
    <col min="4" max="4" width="31.6640625" customWidth="1"/>
    <col min="5" max="5" width="31.33203125" bestFit="1" customWidth="1"/>
  </cols>
  <sheetData>
    <row r="4" spans="4:5">
      <c r="D4" s="578" t="s">
        <v>7</v>
      </c>
      <c r="E4" s="578" t="s">
        <v>1222</v>
      </c>
    </row>
    <row r="5" spans="4:5">
      <c r="D5" s="578" t="s">
        <v>8</v>
      </c>
      <c r="E5" s="578" t="s">
        <v>1223</v>
      </c>
    </row>
    <row r="6" spans="4:5">
      <c r="D6" s="578" t="s">
        <v>9</v>
      </c>
      <c r="E6" s="578" t="s">
        <v>1224</v>
      </c>
    </row>
    <row r="7" spans="4:5">
      <c r="D7" s="578" t="s">
        <v>51</v>
      </c>
      <c r="E7" s="578" t="s">
        <v>1225</v>
      </c>
    </row>
    <row r="8" spans="4:5">
      <c r="D8" s="578" t="s">
        <v>11</v>
      </c>
      <c r="E8" s="578" t="s">
        <v>1226</v>
      </c>
    </row>
    <row r="9" spans="4:5">
      <c r="D9" s="578" t="s">
        <v>55</v>
      </c>
      <c r="E9" s="578" t="s">
        <v>1227</v>
      </c>
    </row>
    <row r="10" spans="4:5">
      <c r="D10" s="578" t="s">
        <v>1228</v>
      </c>
      <c r="E10" s="578" t="s">
        <v>1229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0E322-CCF2-4853-B3D0-5C21693C0279}">
  <sheetPr>
    <tabColor rgb="FF66CCFF"/>
  </sheetPr>
  <dimension ref="A1:P88"/>
  <sheetViews>
    <sheetView showGridLines="0" view="pageBreakPreview" zoomScaleNormal="110" zoomScaleSheetLayoutView="100" workbookViewId="0">
      <pane ySplit="7" topLeftCell="A8" activePane="bottomLeft" state="frozen"/>
      <selection activeCell="O26" sqref="O26"/>
      <selection pane="bottomLeft" activeCell="N61" sqref="N61"/>
    </sheetView>
  </sheetViews>
  <sheetFormatPr defaultRowHeight="15"/>
  <cols>
    <col min="1" max="1" width="3.88671875" style="97" customWidth="1"/>
    <col min="2" max="2" width="6.109375" customWidth="1"/>
    <col min="3" max="3" width="5.88671875" customWidth="1"/>
    <col min="4" max="4" width="10" bestFit="1" customWidth="1"/>
    <col min="5" max="5" width="9.44140625" customWidth="1"/>
    <col min="6" max="6" width="13.6640625" style="244" bestFit="1" customWidth="1"/>
    <col min="7" max="7" width="10.33203125" style="79" bestFit="1" customWidth="1"/>
    <col min="8" max="8" width="11" customWidth="1"/>
    <col min="9" max="9" width="13.44140625" style="72" bestFit="1" customWidth="1"/>
    <col min="10" max="10" width="22.33203125" bestFit="1" customWidth="1"/>
    <col min="11" max="11" width="16" style="247" customWidth="1"/>
    <col min="12" max="12" width="10.88671875" customWidth="1"/>
    <col min="13" max="13" width="8.6640625" customWidth="1"/>
    <col min="14" max="14" width="20.109375" bestFit="1" customWidth="1"/>
    <col min="15" max="15" width="18.44140625" style="240" bestFit="1" customWidth="1"/>
    <col min="16" max="16" width="9.109375" style="197"/>
  </cols>
  <sheetData>
    <row r="1" spans="1:15" s="197" customFormat="1">
      <c r="A1" s="69" t="s">
        <v>63</v>
      </c>
      <c r="B1"/>
      <c r="C1" s="38"/>
      <c r="D1"/>
      <c r="E1"/>
      <c r="F1" s="243"/>
      <c r="G1" s="79"/>
      <c r="H1"/>
      <c r="I1" s="38"/>
      <c r="J1"/>
      <c r="K1" s="247"/>
      <c r="L1"/>
      <c r="M1"/>
      <c r="N1"/>
      <c r="O1" s="240"/>
    </row>
    <row r="2" spans="1:15" s="197" customFormat="1">
      <c r="A2" s="69" t="s">
        <v>1231</v>
      </c>
      <c r="B2"/>
      <c r="C2" s="38"/>
      <c r="D2"/>
      <c r="E2"/>
      <c r="F2" s="243"/>
      <c r="G2" s="79"/>
      <c r="H2"/>
      <c r="I2" s="38"/>
      <c r="J2"/>
      <c r="K2" s="247"/>
      <c r="L2"/>
      <c r="M2"/>
      <c r="N2"/>
      <c r="O2" s="240"/>
    </row>
    <row r="3" spans="1:15" s="197" customFormat="1" ht="15.6">
      <c r="A3" s="102" t="s">
        <v>1259</v>
      </c>
      <c r="B3" s="84"/>
      <c r="C3"/>
      <c r="D3"/>
      <c r="E3"/>
      <c r="F3" s="244"/>
      <c r="G3" s="79"/>
      <c r="H3"/>
      <c r="I3" s="72"/>
      <c r="J3"/>
      <c r="K3" s="247"/>
      <c r="L3"/>
      <c r="M3"/>
      <c r="N3"/>
      <c r="O3" s="240"/>
    </row>
    <row r="4" spans="1:15" s="197" customFormat="1" ht="15.6" thickBot="1">
      <c r="A4" s="97"/>
      <c r="B4"/>
      <c r="C4"/>
      <c r="D4"/>
      <c r="E4"/>
      <c r="F4" s="244"/>
      <c r="G4" s="79"/>
      <c r="H4"/>
      <c r="I4" s="72"/>
      <c r="J4"/>
      <c r="K4" s="247"/>
      <c r="L4"/>
      <c r="M4"/>
      <c r="N4"/>
      <c r="O4" s="240"/>
    </row>
    <row r="5" spans="1:15" s="197" customFormat="1" ht="14.25" customHeight="1">
      <c r="A5" s="873" t="s">
        <v>34</v>
      </c>
      <c r="B5" s="875" t="s">
        <v>109</v>
      </c>
      <c r="C5" s="875" t="s">
        <v>66</v>
      </c>
      <c r="D5" s="877" t="s">
        <v>1232</v>
      </c>
      <c r="E5" s="878"/>
      <c r="F5" s="877" t="s">
        <v>1247</v>
      </c>
      <c r="G5" s="878"/>
      <c r="H5" s="879" t="s">
        <v>1260</v>
      </c>
      <c r="I5" s="875" t="s">
        <v>1233</v>
      </c>
      <c r="J5" s="875" t="s">
        <v>73</v>
      </c>
      <c r="K5" s="881" t="s">
        <v>1234</v>
      </c>
      <c r="L5" s="883" t="s">
        <v>87</v>
      </c>
      <c r="M5" s="884"/>
      <c r="N5" s="871" t="s">
        <v>1235</v>
      </c>
      <c r="O5" s="240"/>
    </row>
    <row r="6" spans="1:15" s="197" customFormat="1" ht="15.6" thickBot="1">
      <c r="A6" s="874"/>
      <c r="B6" s="876"/>
      <c r="C6" s="876"/>
      <c r="D6" s="515" t="s">
        <v>95</v>
      </c>
      <c r="E6" s="515" t="s">
        <v>34</v>
      </c>
      <c r="F6" s="519" t="s">
        <v>34</v>
      </c>
      <c r="G6" s="517" t="s">
        <v>1230</v>
      </c>
      <c r="H6" s="880"/>
      <c r="I6" s="876"/>
      <c r="J6" s="876"/>
      <c r="K6" s="882"/>
      <c r="L6" s="518" t="s">
        <v>88</v>
      </c>
      <c r="M6" s="518" t="s">
        <v>39</v>
      </c>
      <c r="N6" s="872"/>
      <c r="O6" s="240"/>
    </row>
    <row r="7" spans="1:15" s="197" customFormat="1" ht="18" customHeight="1">
      <c r="A7" s="500"/>
      <c r="B7" s="73"/>
      <c r="C7" s="94"/>
      <c r="D7" s="73"/>
      <c r="E7" s="73"/>
      <c r="F7" s="94"/>
      <c r="G7" s="74"/>
      <c r="H7" s="74"/>
      <c r="I7" s="209"/>
      <c r="J7" s="73"/>
      <c r="K7" s="254"/>
      <c r="L7" s="73"/>
      <c r="M7" s="73"/>
      <c r="N7" s="73"/>
      <c r="O7" s="241"/>
    </row>
    <row r="8" spans="1:15" s="197" customFormat="1" ht="18" customHeight="1">
      <c r="A8" s="207">
        <v>1</v>
      </c>
      <c r="B8" s="70" t="s">
        <v>128</v>
      </c>
      <c r="C8" s="75" t="s">
        <v>134</v>
      </c>
      <c r="D8" s="70" t="s">
        <v>1261</v>
      </c>
      <c r="E8" s="70" t="s">
        <v>1262</v>
      </c>
      <c r="F8" s="75" t="s">
        <v>1252</v>
      </c>
      <c r="G8" s="71">
        <v>44592</v>
      </c>
      <c r="H8" s="71">
        <v>44608</v>
      </c>
      <c r="I8" s="77" t="s">
        <v>1263</v>
      </c>
      <c r="J8" s="70" t="s">
        <v>467</v>
      </c>
      <c r="K8" s="249">
        <v>60000000</v>
      </c>
      <c r="L8" s="70"/>
      <c r="M8" s="96" t="s">
        <v>39</v>
      </c>
      <c r="N8" s="70" t="s">
        <v>1264</v>
      </c>
      <c r="O8" s="241" t="s">
        <v>1236</v>
      </c>
    </row>
    <row r="9" spans="1:15" s="197" customFormat="1" ht="18" customHeight="1">
      <c r="A9" s="207">
        <v>2</v>
      </c>
      <c r="B9" s="70" t="s">
        <v>128</v>
      </c>
      <c r="C9" s="75" t="s">
        <v>134</v>
      </c>
      <c r="D9" s="70" t="s">
        <v>982</v>
      </c>
      <c r="E9" s="95" t="s">
        <v>981</v>
      </c>
      <c r="F9" s="75" t="s">
        <v>1252</v>
      </c>
      <c r="G9" s="71">
        <v>44592</v>
      </c>
      <c r="H9" s="71">
        <v>44834</v>
      </c>
      <c r="I9" s="77" t="s">
        <v>1265</v>
      </c>
      <c r="J9" s="70" t="s">
        <v>1266</v>
      </c>
      <c r="K9" s="250">
        <v>1075000000</v>
      </c>
      <c r="L9" s="96" t="s">
        <v>88</v>
      </c>
      <c r="M9" s="70"/>
      <c r="N9" s="70" t="s">
        <v>1267</v>
      </c>
      <c r="O9" s="241" t="s">
        <v>1236</v>
      </c>
    </row>
    <row r="10" spans="1:15" s="197" customFormat="1" ht="18" customHeight="1">
      <c r="A10" s="207">
        <v>3</v>
      </c>
      <c r="B10" s="70" t="s">
        <v>142</v>
      </c>
      <c r="C10" s="75" t="s">
        <v>143</v>
      </c>
      <c r="D10" s="70" t="s">
        <v>1268</v>
      </c>
      <c r="E10" s="70" t="s">
        <v>1269</v>
      </c>
      <c r="F10" s="75" t="s">
        <v>1270</v>
      </c>
      <c r="G10" s="71">
        <v>44606</v>
      </c>
      <c r="H10" s="71">
        <v>44606</v>
      </c>
      <c r="I10" s="77" t="s">
        <v>1271</v>
      </c>
      <c r="J10" s="70" t="s">
        <v>1272</v>
      </c>
      <c r="K10" s="248" t="s">
        <v>130</v>
      </c>
      <c r="L10" s="96"/>
      <c r="M10" s="96" t="s">
        <v>39</v>
      </c>
      <c r="N10" s="70" t="s">
        <v>143</v>
      </c>
      <c r="O10" s="241" t="s">
        <v>1236</v>
      </c>
    </row>
    <row r="11" spans="1:15" s="197" customFormat="1" ht="18" customHeight="1">
      <c r="A11" s="862">
        <v>4</v>
      </c>
      <c r="B11" s="108" t="s">
        <v>138</v>
      </c>
      <c r="C11" s="109" t="s">
        <v>1237</v>
      </c>
      <c r="D11" s="108" t="s">
        <v>957</v>
      </c>
      <c r="E11" s="108" t="s">
        <v>956</v>
      </c>
      <c r="F11" s="109"/>
      <c r="G11" s="111">
        <v>44607</v>
      </c>
      <c r="H11" s="111">
        <v>44642</v>
      </c>
      <c r="I11" s="203" t="s">
        <v>1273</v>
      </c>
      <c r="J11" s="108" t="s">
        <v>1274</v>
      </c>
      <c r="K11" s="251">
        <v>540419432</v>
      </c>
      <c r="L11" s="112" t="s">
        <v>88</v>
      </c>
      <c r="M11" s="112"/>
      <c r="N11" s="108" t="s">
        <v>1275</v>
      </c>
      <c r="O11" s="241" t="s">
        <v>1236</v>
      </c>
    </row>
    <row r="12" spans="1:15" s="197" customFormat="1" ht="18" customHeight="1">
      <c r="A12" s="863"/>
      <c r="B12" s="114" t="s">
        <v>261</v>
      </c>
      <c r="C12" s="115" t="s">
        <v>1243</v>
      </c>
      <c r="D12" s="114" t="s">
        <v>954</v>
      </c>
      <c r="E12" s="114" t="s">
        <v>953</v>
      </c>
      <c r="F12" s="115" t="s">
        <v>1276</v>
      </c>
      <c r="G12" s="117">
        <v>44607</v>
      </c>
      <c r="H12" s="117">
        <v>44642</v>
      </c>
      <c r="I12" s="204" t="s">
        <v>1273</v>
      </c>
      <c r="J12" s="114" t="s">
        <v>1274</v>
      </c>
      <c r="K12" s="253">
        <v>540419432</v>
      </c>
      <c r="L12" s="153" t="s">
        <v>88</v>
      </c>
      <c r="M12" s="153"/>
      <c r="N12" s="114" t="s">
        <v>1275</v>
      </c>
      <c r="O12" s="241" t="s">
        <v>1236</v>
      </c>
    </row>
    <row r="13" spans="1:15" s="197" customFormat="1" ht="18" customHeight="1">
      <c r="A13" s="207">
        <v>5</v>
      </c>
      <c r="B13" s="70" t="s">
        <v>138</v>
      </c>
      <c r="C13" s="75" t="s">
        <v>1237</v>
      </c>
      <c r="D13" s="70" t="s">
        <v>1277</v>
      </c>
      <c r="E13" s="70" t="s">
        <v>1278</v>
      </c>
      <c r="F13" s="75" t="s">
        <v>1279</v>
      </c>
      <c r="G13" s="71">
        <v>44614</v>
      </c>
      <c r="H13" s="71">
        <v>44651</v>
      </c>
      <c r="I13" s="77" t="s">
        <v>1280</v>
      </c>
      <c r="J13" s="70" t="s">
        <v>1281</v>
      </c>
      <c r="K13" s="248">
        <v>500000000</v>
      </c>
      <c r="L13" s="96"/>
      <c r="M13" s="96" t="s">
        <v>39</v>
      </c>
      <c r="N13" s="70" t="s">
        <v>1282</v>
      </c>
      <c r="O13" s="241" t="s">
        <v>1236</v>
      </c>
    </row>
    <row r="14" spans="1:15" s="197" customFormat="1" ht="18" customHeight="1">
      <c r="A14" s="862">
        <v>6</v>
      </c>
      <c r="B14" s="867" t="s">
        <v>110</v>
      </c>
      <c r="C14" s="109">
        <v>502</v>
      </c>
      <c r="D14" s="108" t="s">
        <v>270</v>
      </c>
      <c r="E14" s="108"/>
      <c r="F14" s="109" t="s">
        <v>1283</v>
      </c>
      <c r="G14" s="111">
        <v>44621</v>
      </c>
      <c r="H14" s="111">
        <v>44651</v>
      </c>
      <c r="I14" s="203" t="s">
        <v>1284</v>
      </c>
      <c r="J14" s="108" t="s">
        <v>1285</v>
      </c>
      <c r="K14" s="251">
        <v>32768000</v>
      </c>
      <c r="L14" s="112" t="s">
        <v>88</v>
      </c>
      <c r="M14" s="112"/>
      <c r="N14" s="108" t="s">
        <v>1286</v>
      </c>
      <c r="O14" s="241" t="s">
        <v>1236</v>
      </c>
    </row>
    <row r="15" spans="1:15" s="197" customFormat="1" ht="18" customHeight="1">
      <c r="A15" s="863"/>
      <c r="B15" s="868"/>
      <c r="C15" s="115">
        <v>502</v>
      </c>
      <c r="D15" s="114" t="s">
        <v>272</v>
      </c>
      <c r="E15" s="114"/>
      <c r="F15" s="115" t="s">
        <v>1283</v>
      </c>
      <c r="G15" s="117">
        <v>44621</v>
      </c>
      <c r="H15" s="117">
        <v>44651</v>
      </c>
      <c r="I15" s="204" t="s">
        <v>1284</v>
      </c>
      <c r="J15" s="114" t="s">
        <v>1285</v>
      </c>
      <c r="K15" s="253">
        <v>33700500</v>
      </c>
      <c r="L15" s="153" t="s">
        <v>88</v>
      </c>
      <c r="M15" s="153"/>
      <c r="N15" s="114" t="s">
        <v>1286</v>
      </c>
      <c r="O15" s="241" t="s">
        <v>1236</v>
      </c>
    </row>
    <row r="16" spans="1:15" s="197" customFormat="1" ht="18" customHeight="1">
      <c r="A16" s="207">
        <v>7</v>
      </c>
      <c r="B16" s="70" t="s">
        <v>128</v>
      </c>
      <c r="C16" s="75" t="s">
        <v>134</v>
      </c>
      <c r="D16" s="70" t="s">
        <v>997</v>
      </c>
      <c r="E16" s="70"/>
      <c r="F16" s="75" t="s">
        <v>1253</v>
      </c>
      <c r="G16" s="71">
        <v>44636</v>
      </c>
      <c r="H16" s="71">
        <v>44880</v>
      </c>
      <c r="I16" s="77" t="s">
        <v>1287</v>
      </c>
      <c r="J16" s="70" t="s">
        <v>1288</v>
      </c>
      <c r="K16" s="248">
        <v>890000000</v>
      </c>
      <c r="L16" s="96" t="s">
        <v>88</v>
      </c>
      <c r="M16" s="70"/>
      <c r="N16" s="70" t="s">
        <v>1267</v>
      </c>
      <c r="O16" s="241" t="s">
        <v>1236</v>
      </c>
    </row>
    <row r="17" spans="1:15" s="197" customFormat="1" ht="18" customHeight="1">
      <c r="A17" s="207">
        <v>8</v>
      </c>
      <c r="B17" s="70" t="s">
        <v>138</v>
      </c>
      <c r="C17" s="75" t="s">
        <v>1237</v>
      </c>
      <c r="D17" s="70" t="s">
        <v>1289</v>
      </c>
      <c r="E17" s="70" t="s">
        <v>1290</v>
      </c>
      <c r="F17" s="75" t="s">
        <v>1291</v>
      </c>
      <c r="G17" s="71">
        <v>44641</v>
      </c>
      <c r="H17" s="71">
        <v>44651</v>
      </c>
      <c r="I17" s="77" t="s">
        <v>1292</v>
      </c>
      <c r="J17" s="70" t="s">
        <v>1293</v>
      </c>
      <c r="K17" s="248">
        <v>136363636</v>
      </c>
      <c r="L17" s="70"/>
      <c r="M17" s="96" t="s">
        <v>39</v>
      </c>
      <c r="N17" s="70" t="s">
        <v>1244</v>
      </c>
      <c r="O17" s="241" t="s">
        <v>1236</v>
      </c>
    </row>
    <row r="18" spans="1:15" s="197" customFormat="1" ht="18" customHeight="1">
      <c r="A18" s="207">
        <v>9</v>
      </c>
      <c r="B18" s="70" t="s">
        <v>261</v>
      </c>
      <c r="C18" s="75" t="s">
        <v>1243</v>
      </c>
      <c r="D18" s="70" t="s">
        <v>1294</v>
      </c>
      <c r="E18" s="70" t="s">
        <v>1295</v>
      </c>
      <c r="F18" s="75" t="s">
        <v>1250</v>
      </c>
      <c r="G18" s="71">
        <v>44641</v>
      </c>
      <c r="H18" s="71">
        <v>44651</v>
      </c>
      <c r="I18" s="77" t="s">
        <v>1292</v>
      </c>
      <c r="J18" s="70" t="s">
        <v>1293</v>
      </c>
      <c r="K18" s="248">
        <v>136363636</v>
      </c>
      <c r="L18" s="70"/>
      <c r="M18" s="96" t="s">
        <v>39</v>
      </c>
      <c r="N18" s="70" t="s">
        <v>1244</v>
      </c>
      <c r="O18" s="241" t="s">
        <v>1241</v>
      </c>
    </row>
    <row r="19" spans="1:15" s="197" customFormat="1" ht="18" customHeight="1">
      <c r="A19" s="862">
        <v>10</v>
      </c>
      <c r="B19" s="867" t="s">
        <v>1296</v>
      </c>
      <c r="C19" s="109">
        <v>7</v>
      </c>
      <c r="D19" s="108" t="s">
        <v>274</v>
      </c>
      <c r="E19" s="108" t="s">
        <v>273</v>
      </c>
      <c r="F19" s="109" t="s">
        <v>1297</v>
      </c>
      <c r="G19" s="111">
        <v>44650</v>
      </c>
      <c r="H19" s="111">
        <v>44665</v>
      </c>
      <c r="I19" s="203" t="s">
        <v>1298</v>
      </c>
      <c r="J19" s="108" t="s">
        <v>271</v>
      </c>
      <c r="K19" s="251">
        <v>63625000</v>
      </c>
      <c r="L19" s="112" t="s">
        <v>88</v>
      </c>
      <c r="M19" s="108"/>
      <c r="N19" s="108" t="s">
        <v>275</v>
      </c>
      <c r="O19" s="241" t="s">
        <v>1236</v>
      </c>
    </row>
    <row r="20" spans="1:15" s="197" customFormat="1" ht="18" customHeight="1">
      <c r="A20" s="863"/>
      <c r="B20" s="868"/>
      <c r="C20" s="115">
        <v>7</v>
      </c>
      <c r="D20" s="114" t="s">
        <v>277</v>
      </c>
      <c r="E20" s="114" t="s">
        <v>276</v>
      </c>
      <c r="F20" s="115" t="s">
        <v>1297</v>
      </c>
      <c r="G20" s="117">
        <v>44650</v>
      </c>
      <c r="H20" s="117">
        <v>44665</v>
      </c>
      <c r="I20" s="204" t="s">
        <v>1298</v>
      </c>
      <c r="J20" s="114" t="s">
        <v>271</v>
      </c>
      <c r="K20" s="253">
        <v>63625000</v>
      </c>
      <c r="L20" s="153" t="s">
        <v>88</v>
      </c>
      <c r="M20" s="114"/>
      <c r="N20" s="114" t="s">
        <v>275</v>
      </c>
      <c r="O20" s="241" t="s">
        <v>1236</v>
      </c>
    </row>
    <row r="21" spans="1:15" s="197" customFormat="1" ht="18" customHeight="1">
      <c r="A21" s="862">
        <v>11</v>
      </c>
      <c r="B21" s="108" t="s">
        <v>138</v>
      </c>
      <c r="C21" s="109" t="s">
        <v>1237</v>
      </c>
      <c r="D21" s="108" t="s">
        <v>437</v>
      </c>
      <c r="E21" s="108" t="s">
        <v>436</v>
      </c>
      <c r="F21" s="109" t="s">
        <v>1299</v>
      </c>
      <c r="G21" s="111">
        <v>12145</v>
      </c>
      <c r="H21" s="111">
        <v>44694</v>
      </c>
      <c r="I21" s="203" t="s">
        <v>1300</v>
      </c>
      <c r="J21" s="108" t="s">
        <v>1301</v>
      </c>
      <c r="K21" s="251">
        <v>16041200</v>
      </c>
      <c r="L21" s="112" t="s">
        <v>88</v>
      </c>
      <c r="M21" s="108"/>
      <c r="N21" s="108" t="s">
        <v>1302</v>
      </c>
      <c r="O21" s="241" t="s">
        <v>1236</v>
      </c>
    </row>
    <row r="22" spans="1:15" ht="18" customHeight="1">
      <c r="A22" s="863"/>
      <c r="B22" s="114" t="s">
        <v>138</v>
      </c>
      <c r="C22" s="115" t="s">
        <v>1237</v>
      </c>
      <c r="D22" s="114" t="s">
        <v>439</v>
      </c>
      <c r="E22" s="114" t="s">
        <v>438</v>
      </c>
      <c r="F22" s="115" t="s">
        <v>1299</v>
      </c>
      <c r="G22" s="117">
        <v>12145</v>
      </c>
      <c r="H22" s="117">
        <v>44694</v>
      </c>
      <c r="I22" s="204" t="s">
        <v>1300</v>
      </c>
      <c r="J22" s="114" t="s">
        <v>1301</v>
      </c>
      <c r="K22" s="253">
        <v>16041200</v>
      </c>
      <c r="L22" s="153" t="s">
        <v>88</v>
      </c>
      <c r="M22" s="114"/>
      <c r="N22" s="114" t="s">
        <v>1302</v>
      </c>
      <c r="O22" s="241" t="s">
        <v>1236</v>
      </c>
    </row>
    <row r="23" spans="1:15" ht="18" customHeight="1">
      <c r="A23" s="207">
        <v>12</v>
      </c>
      <c r="B23" s="70" t="s">
        <v>110</v>
      </c>
      <c r="C23" s="75">
        <v>502</v>
      </c>
      <c r="D23" s="70" t="s">
        <v>964</v>
      </c>
      <c r="E23" s="70"/>
      <c r="F23" s="75" t="s">
        <v>1303</v>
      </c>
      <c r="G23" s="71">
        <v>44662</v>
      </c>
      <c r="H23" s="71">
        <v>44711</v>
      </c>
      <c r="I23" s="77" t="s">
        <v>1304</v>
      </c>
      <c r="J23" s="70" t="s">
        <v>1305</v>
      </c>
      <c r="K23" s="248">
        <v>192151181</v>
      </c>
      <c r="L23" s="96" t="s">
        <v>88</v>
      </c>
      <c r="M23" s="70"/>
      <c r="N23" s="70" t="s">
        <v>1306</v>
      </c>
      <c r="O23" s="241" t="s">
        <v>1236</v>
      </c>
    </row>
    <row r="24" spans="1:15" ht="18" customHeight="1">
      <c r="A24" s="207">
        <v>13</v>
      </c>
      <c r="B24" s="70" t="s">
        <v>142</v>
      </c>
      <c r="C24" s="75" t="s">
        <v>474</v>
      </c>
      <c r="D24" s="70" t="s">
        <v>1307</v>
      </c>
      <c r="E24" s="70" t="s">
        <v>1308</v>
      </c>
      <c r="F24" s="70" t="s">
        <v>1308</v>
      </c>
      <c r="G24" s="71">
        <v>44677</v>
      </c>
      <c r="H24" s="71">
        <v>44712</v>
      </c>
      <c r="I24" s="77" t="s">
        <v>1309</v>
      </c>
      <c r="J24" s="70" t="s">
        <v>1310</v>
      </c>
      <c r="K24" s="248">
        <v>58000000</v>
      </c>
      <c r="L24" s="70"/>
      <c r="M24" s="96" t="s">
        <v>39</v>
      </c>
      <c r="N24" s="70" t="s">
        <v>1311</v>
      </c>
      <c r="O24" s="241" t="s">
        <v>1236</v>
      </c>
    </row>
    <row r="25" spans="1:15" ht="18" customHeight="1">
      <c r="A25" s="207">
        <v>14</v>
      </c>
      <c r="B25" s="70" t="s">
        <v>142</v>
      </c>
      <c r="C25" s="75" t="s">
        <v>1312</v>
      </c>
      <c r="D25" s="70" t="s">
        <v>1313</v>
      </c>
      <c r="E25" s="70"/>
      <c r="F25" s="75" t="s">
        <v>1308</v>
      </c>
      <c r="G25" s="71">
        <v>44704</v>
      </c>
      <c r="H25" s="71">
        <v>44712</v>
      </c>
      <c r="I25" s="77" t="s">
        <v>1314</v>
      </c>
      <c r="J25" s="70" t="s">
        <v>468</v>
      </c>
      <c r="K25" s="248">
        <v>160000000</v>
      </c>
      <c r="L25" s="70"/>
      <c r="M25" s="96" t="s">
        <v>39</v>
      </c>
      <c r="N25" s="70" t="s">
        <v>1315</v>
      </c>
      <c r="O25" s="241" t="s">
        <v>1236</v>
      </c>
    </row>
    <row r="26" spans="1:15" ht="18" customHeight="1">
      <c r="A26" s="207">
        <v>15</v>
      </c>
      <c r="B26" s="70" t="s">
        <v>137</v>
      </c>
      <c r="C26" s="75">
        <v>7</v>
      </c>
      <c r="D26" s="70" t="s">
        <v>1316</v>
      </c>
      <c r="E26" s="70" t="s">
        <v>1317</v>
      </c>
      <c r="F26" s="75" t="s">
        <v>1297</v>
      </c>
      <c r="G26" s="71">
        <v>44691</v>
      </c>
      <c r="H26" s="71">
        <v>44712</v>
      </c>
      <c r="I26" s="77" t="s">
        <v>1318</v>
      </c>
      <c r="J26" s="70" t="s">
        <v>955</v>
      </c>
      <c r="K26" s="248">
        <v>117117117</v>
      </c>
      <c r="L26" s="70"/>
      <c r="M26" s="96" t="s">
        <v>39</v>
      </c>
      <c r="N26" s="70" t="s">
        <v>1319</v>
      </c>
      <c r="O26" s="241" t="s">
        <v>1236</v>
      </c>
    </row>
    <row r="27" spans="1:15" ht="18" customHeight="1">
      <c r="A27" s="207">
        <v>16</v>
      </c>
      <c r="B27" s="70" t="s">
        <v>132</v>
      </c>
      <c r="C27" s="75" t="s">
        <v>133</v>
      </c>
      <c r="D27" s="70" t="s">
        <v>1320</v>
      </c>
      <c r="E27" s="70" t="s">
        <v>1321</v>
      </c>
      <c r="F27" s="75"/>
      <c r="G27" s="71">
        <v>44706</v>
      </c>
      <c r="H27" s="71">
        <v>44742</v>
      </c>
      <c r="I27" s="77" t="s">
        <v>1322</v>
      </c>
      <c r="J27" s="70" t="s">
        <v>1323</v>
      </c>
      <c r="K27" s="248">
        <v>54954955</v>
      </c>
      <c r="L27" s="70"/>
      <c r="M27" s="96" t="s">
        <v>39</v>
      </c>
      <c r="N27" s="70" t="s">
        <v>1240</v>
      </c>
      <c r="O27" s="241" t="s">
        <v>1236</v>
      </c>
    </row>
    <row r="28" spans="1:15" ht="18" customHeight="1">
      <c r="A28" s="207">
        <v>17</v>
      </c>
      <c r="B28" s="70" t="s">
        <v>132</v>
      </c>
      <c r="C28" s="75" t="s">
        <v>133</v>
      </c>
      <c r="D28" s="70" t="s">
        <v>1324</v>
      </c>
      <c r="E28" s="70" t="s">
        <v>1325</v>
      </c>
      <c r="F28" s="75"/>
      <c r="G28" s="71">
        <v>44719</v>
      </c>
      <c r="H28" s="71">
        <v>44742</v>
      </c>
      <c r="I28" s="77" t="s">
        <v>1326</v>
      </c>
      <c r="J28" s="70" t="s">
        <v>1327</v>
      </c>
      <c r="K28" s="248">
        <v>67567568</v>
      </c>
      <c r="L28" s="70"/>
      <c r="M28" s="96" t="s">
        <v>39</v>
      </c>
      <c r="N28" s="70" t="s">
        <v>1328</v>
      </c>
      <c r="O28" s="241" t="s">
        <v>1236</v>
      </c>
    </row>
    <row r="29" spans="1:15" ht="18" customHeight="1">
      <c r="A29" s="862">
        <v>18</v>
      </c>
      <c r="B29" s="108" t="s">
        <v>261</v>
      </c>
      <c r="C29" s="109" t="s">
        <v>1243</v>
      </c>
      <c r="D29" s="108" t="s">
        <v>1020</v>
      </c>
      <c r="E29" s="108" t="s">
        <v>1019</v>
      </c>
      <c r="F29" s="109" t="s">
        <v>1329</v>
      </c>
      <c r="G29" s="111">
        <v>44714</v>
      </c>
      <c r="H29" s="111">
        <v>45085</v>
      </c>
      <c r="I29" s="203" t="s">
        <v>1330</v>
      </c>
      <c r="J29" s="108" t="s">
        <v>844</v>
      </c>
      <c r="K29" s="251">
        <v>2275000000</v>
      </c>
      <c r="L29" s="112" t="s">
        <v>88</v>
      </c>
      <c r="M29" s="112"/>
      <c r="N29" s="108" t="s">
        <v>677</v>
      </c>
      <c r="O29" s="241" t="s">
        <v>1236</v>
      </c>
    </row>
    <row r="30" spans="1:15" ht="18" customHeight="1">
      <c r="A30" s="864"/>
      <c r="B30" s="123" t="s">
        <v>261</v>
      </c>
      <c r="C30" s="124" t="s">
        <v>1243</v>
      </c>
      <c r="D30" s="108" t="s">
        <v>1018</v>
      </c>
      <c r="E30" s="108" t="s">
        <v>1017</v>
      </c>
      <c r="F30" s="124" t="s">
        <v>1329</v>
      </c>
      <c r="G30" s="126">
        <v>44714</v>
      </c>
      <c r="H30" s="126">
        <v>45085</v>
      </c>
      <c r="I30" s="205" t="s">
        <v>1330</v>
      </c>
      <c r="J30" s="123" t="s">
        <v>844</v>
      </c>
      <c r="K30" s="252">
        <v>2275000000</v>
      </c>
      <c r="L30" s="214" t="s">
        <v>88</v>
      </c>
      <c r="M30" s="214"/>
      <c r="N30" s="123" t="s">
        <v>677</v>
      </c>
      <c r="O30" s="241" t="s">
        <v>1236</v>
      </c>
    </row>
    <row r="31" spans="1:15" ht="18" customHeight="1">
      <c r="A31" s="864"/>
      <c r="B31" s="123" t="s">
        <v>261</v>
      </c>
      <c r="C31" s="124" t="s">
        <v>1243</v>
      </c>
      <c r="D31" s="123" t="s">
        <v>1023</v>
      </c>
      <c r="E31" s="123" t="s">
        <v>1331</v>
      </c>
      <c r="F31" s="124" t="s">
        <v>1329</v>
      </c>
      <c r="G31" s="126">
        <v>44714</v>
      </c>
      <c r="H31" s="126">
        <v>45107</v>
      </c>
      <c r="I31" s="205" t="s">
        <v>1332</v>
      </c>
      <c r="J31" s="123" t="s">
        <v>844</v>
      </c>
      <c r="K31" s="252">
        <v>2275000000</v>
      </c>
      <c r="L31" s="214" t="s">
        <v>88</v>
      </c>
      <c r="M31" s="214"/>
      <c r="N31" s="123" t="s">
        <v>677</v>
      </c>
      <c r="O31" s="241" t="s">
        <v>1241</v>
      </c>
    </row>
    <row r="32" spans="1:15" ht="18" customHeight="1">
      <c r="A32" s="864"/>
      <c r="B32" s="123" t="s">
        <v>261</v>
      </c>
      <c r="C32" s="124" t="s">
        <v>1243</v>
      </c>
      <c r="D32" s="108" t="s">
        <v>1022</v>
      </c>
      <c r="E32" s="108" t="s">
        <v>1021</v>
      </c>
      <c r="F32" s="124" t="s">
        <v>1329</v>
      </c>
      <c r="G32" s="126">
        <v>44714</v>
      </c>
      <c r="H32" s="126">
        <v>45085</v>
      </c>
      <c r="I32" s="205" t="s">
        <v>1330</v>
      </c>
      <c r="J32" s="123" t="s">
        <v>844</v>
      </c>
      <c r="K32" s="252">
        <v>1530000000</v>
      </c>
      <c r="L32" s="214" t="s">
        <v>88</v>
      </c>
      <c r="M32" s="214"/>
      <c r="N32" s="123" t="s">
        <v>677</v>
      </c>
      <c r="O32" s="241" t="s">
        <v>1236</v>
      </c>
    </row>
    <row r="33" spans="1:16" ht="18" customHeight="1">
      <c r="A33" s="864"/>
      <c r="B33" s="123" t="s">
        <v>261</v>
      </c>
      <c r="C33" s="124" t="s">
        <v>1243</v>
      </c>
      <c r="D33" s="123" t="s">
        <v>1011</v>
      </c>
      <c r="E33" s="123" t="s">
        <v>1010</v>
      </c>
      <c r="F33" s="124" t="s">
        <v>1329</v>
      </c>
      <c r="G33" s="126">
        <v>44714</v>
      </c>
      <c r="H33" s="126">
        <v>44985</v>
      </c>
      <c r="I33" s="205" t="s">
        <v>1333</v>
      </c>
      <c r="J33" s="123" t="s">
        <v>844</v>
      </c>
      <c r="K33" s="252">
        <v>3150000000</v>
      </c>
      <c r="L33" s="214" t="s">
        <v>88</v>
      </c>
      <c r="M33" s="214"/>
      <c r="N33" s="123" t="s">
        <v>677</v>
      </c>
      <c r="O33" s="241" t="s">
        <v>1236</v>
      </c>
    </row>
    <row r="34" spans="1:16" ht="18" customHeight="1">
      <c r="A34" s="863"/>
      <c r="B34" s="114" t="s">
        <v>261</v>
      </c>
      <c r="C34" s="115" t="s">
        <v>1243</v>
      </c>
      <c r="D34" s="114" t="s">
        <v>995</v>
      </c>
      <c r="E34" s="114" t="s">
        <v>994</v>
      </c>
      <c r="F34" s="115" t="s">
        <v>1329</v>
      </c>
      <c r="G34" s="117">
        <v>44714</v>
      </c>
      <c r="H34" s="117">
        <v>44819</v>
      </c>
      <c r="I34" s="204" t="s">
        <v>1334</v>
      </c>
      <c r="J34" s="114" t="s">
        <v>996</v>
      </c>
      <c r="K34" s="253">
        <v>1400000000</v>
      </c>
      <c r="L34" s="153" t="s">
        <v>88</v>
      </c>
      <c r="M34" s="153"/>
      <c r="N34" s="114" t="s">
        <v>677</v>
      </c>
      <c r="O34" s="241" t="s">
        <v>1236</v>
      </c>
    </row>
    <row r="35" spans="1:16" ht="18" customHeight="1">
      <c r="A35" s="862">
        <v>19</v>
      </c>
      <c r="B35" s="108" t="s">
        <v>261</v>
      </c>
      <c r="C35" s="109" t="s">
        <v>1243</v>
      </c>
      <c r="D35" s="108" t="s">
        <v>441</v>
      </c>
      <c r="E35" s="108" t="s">
        <v>440</v>
      </c>
      <c r="F35" s="109" t="s">
        <v>1335</v>
      </c>
      <c r="G35" s="111">
        <v>44714</v>
      </c>
      <c r="H35" s="111">
        <v>44771</v>
      </c>
      <c r="I35" s="203" t="s">
        <v>1336</v>
      </c>
      <c r="J35" s="108" t="s">
        <v>1337</v>
      </c>
      <c r="K35" s="251">
        <v>39000000</v>
      </c>
      <c r="L35" s="112" t="s">
        <v>88</v>
      </c>
      <c r="M35" s="112"/>
      <c r="N35" s="108" t="s">
        <v>1338</v>
      </c>
      <c r="O35" s="241" t="s">
        <v>1236</v>
      </c>
    </row>
    <row r="36" spans="1:16" ht="18" customHeight="1">
      <c r="A36" s="863"/>
      <c r="B36" s="114" t="s">
        <v>261</v>
      </c>
      <c r="C36" s="115" t="s">
        <v>1243</v>
      </c>
      <c r="D36" s="114" t="s">
        <v>443</v>
      </c>
      <c r="E36" s="114" t="s">
        <v>442</v>
      </c>
      <c r="F36" s="115" t="s">
        <v>1335</v>
      </c>
      <c r="G36" s="117">
        <v>44714</v>
      </c>
      <c r="H36" s="117">
        <v>44771</v>
      </c>
      <c r="I36" s="204" t="s">
        <v>1336</v>
      </c>
      <c r="J36" s="114" t="s">
        <v>1337</v>
      </c>
      <c r="K36" s="253">
        <v>39000000</v>
      </c>
      <c r="L36" s="153" t="s">
        <v>88</v>
      </c>
      <c r="M36" s="153"/>
      <c r="N36" s="114" t="s">
        <v>1338</v>
      </c>
      <c r="O36" s="241" t="s">
        <v>1236</v>
      </c>
    </row>
    <row r="37" spans="1:16" ht="18" customHeight="1">
      <c r="A37" s="207">
        <v>20</v>
      </c>
      <c r="B37" s="70" t="s">
        <v>261</v>
      </c>
      <c r="C37" s="75" t="s">
        <v>1243</v>
      </c>
      <c r="D37" s="70" t="s">
        <v>1006</v>
      </c>
      <c r="E37" s="70" t="s">
        <v>1005</v>
      </c>
      <c r="F37" s="75" t="s">
        <v>1339</v>
      </c>
      <c r="G37" s="71">
        <v>44714</v>
      </c>
      <c r="H37" s="71">
        <v>44956</v>
      </c>
      <c r="I37" s="77" t="s">
        <v>1340</v>
      </c>
      <c r="J37" s="70" t="s">
        <v>1341</v>
      </c>
      <c r="K37" s="248">
        <v>505000000</v>
      </c>
      <c r="L37" s="96" t="s">
        <v>88</v>
      </c>
      <c r="M37" s="96"/>
      <c r="N37" s="70" t="s">
        <v>378</v>
      </c>
      <c r="O37" s="241" t="s">
        <v>1236</v>
      </c>
      <c r="P37" s="502"/>
    </row>
    <row r="38" spans="1:16" ht="18" customHeight="1">
      <c r="A38" s="207">
        <v>21</v>
      </c>
      <c r="B38" s="70"/>
      <c r="C38" s="75"/>
      <c r="D38" s="70"/>
      <c r="E38" s="70"/>
      <c r="F38" s="75"/>
      <c r="G38" s="71"/>
      <c r="H38" s="71"/>
      <c r="I38" s="77"/>
      <c r="J38" s="70"/>
      <c r="K38" s="248"/>
      <c r="L38" s="96"/>
      <c r="M38" s="96"/>
      <c r="N38" s="70"/>
      <c r="O38" s="241"/>
    </row>
    <row r="39" spans="1:16" ht="18" customHeight="1">
      <c r="A39" s="207">
        <v>22</v>
      </c>
      <c r="B39" s="70"/>
      <c r="C39" s="75"/>
      <c r="D39" s="70"/>
      <c r="E39" s="70"/>
      <c r="F39" s="75"/>
      <c r="G39" s="71"/>
      <c r="H39" s="71"/>
      <c r="I39" s="77"/>
      <c r="J39" s="70"/>
      <c r="K39" s="248"/>
      <c r="L39" s="96"/>
      <c r="M39" s="96"/>
      <c r="N39" s="70"/>
      <c r="O39" s="241"/>
    </row>
    <row r="40" spans="1:16" ht="18" customHeight="1" thickBot="1">
      <c r="A40" s="503"/>
      <c r="B40" s="504"/>
      <c r="C40" s="505"/>
      <c r="D40" s="504"/>
      <c r="E40" s="504"/>
      <c r="F40" s="505"/>
      <c r="G40" s="506"/>
      <c r="H40" s="506"/>
      <c r="I40" s="507"/>
      <c r="J40" s="504"/>
      <c r="K40" s="508"/>
      <c r="L40" s="504"/>
      <c r="M40" s="504"/>
      <c r="N40" s="504"/>
      <c r="O40" s="241"/>
    </row>
    <row r="41" spans="1:16" ht="14.25" customHeight="1">
      <c r="A41" s="873" t="s">
        <v>34</v>
      </c>
      <c r="B41" s="875" t="s">
        <v>109</v>
      </c>
      <c r="C41" s="875" t="s">
        <v>66</v>
      </c>
      <c r="D41" s="877" t="s">
        <v>1232</v>
      </c>
      <c r="E41" s="878"/>
      <c r="F41" s="877" t="s">
        <v>1247</v>
      </c>
      <c r="G41" s="878"/>
      <c r="H41" s="879" t="s">
        <v>1260</v>
      </c>
      <c r="I41" s="875" t="s">
        <v>1233</v>
      </c>
      <c r="J41" s="875" t="s">
        <v>73</v>
      </c>
      <c r="K41" s="885" t="s">
        <v>1234</v>
      </c>
      <c r="L41" s="883" t="s">
        <v>87</v>
      </c>
      <c r="M41" s="884"/>
      <c r="N41" s="871" t="s">
        <v>1235</v>
      </c>
    </row>
    <row r="42" spans="1:16" ht="15.6" thickBot="1">
      <c r="A42" s="874"/>
      <c r="B42" s="876"/>
      <c r="C42" s="876"/>
      <c r="D42" s="515" t="s">
        <v>95</v>
      </c>
      <c r="E42" s="515" t="s">
        <v>34</v>
      </c>
      <c r="F42" s="516" t="s">
        <v>34</v>
      </c>
      <c r="G42" s="517" t="s">
        <v>1230</v>
      </c>
      <c r="H42" s="880"/>
      <c r="I42" s="876"/>
      <c r="J42" s="876"/>
      <c r="K42" s="886"/>
      <c r="L42" s="518" t="s">
        <v>88</v>
      </c>
      <c r="M42" s="518" t="s">
        <v>39</v>
      </c>
      <c r="N42" s="872"/>
    </row>
    <row r="43" spans="1:16" ht="18" customHeight="1">
      <c r="A43" s="865">
        <v>23</v>
      </c>
      <c r="B43" s="509" t="s">
        <v>138</v>
      </c>
      <c r="C43" s="510" t="s">
        <v>1237</v>
      </c>
      <c r="D43" s="509" t="s">
        <v>1001</v>
      </c>
      <c r="E43" s="509" t="s">
        <v>1000</v>
      </c>
      <c r="F43" s="510" t="s">
        <v>1342</v>
      </c>
      <c r="G43" s="511">
        <v>44774</v>
      </c>
      <c r="H43" s="511">
        <v>44925</v>
      </c>
      <c r="I43" s="512" t="s">
        <v>1343</v>
      </c>
      <c r="J43" s="509" t="s">
        <v>1344</v>
      </c>
      <c r="K43" s="513">
        <v>1380000000</v>
      </c>
      <c r="L43" s="514" t="s">
        <v>88</v>
      </c>
      <c r="M43" s="509"/>
      <c r="N43" s="509" t="s">
        <v>677</v>
      </c>
      <c r="O43" s="241" t="s">
        <v>1236</v>
      </c>
    </row>
    <row r="44" spans="1:16" ht="18" customHeight="1">
      <c r="A44" s="866"/>
      <c r="B44" s="114" t="s">
        <v>138</v>
      </c>
      <c r="C44" s="115" t="s">
        <v>1237</v>
      </c>
      <c r="D44" s="114" t="s">
        <v>1003</v>
      </c>
      <c r="E44" s="114" t="s">
        <v>1002</v>
      </c>
      <c r="F44" s="115" t="s">
        <v>1342</v>
      </c>
      <c r="G44" s="117">
        <v>44774</v>
      </c>
      <c r="H44" s="117">
        <v>44925</v>
      </c>
      <c r="I44" s="204" t="s">
        <v>1345</v>
      </c>
      <c r="J44" s="114" t="s">
        <v>1346</v>
      </c>
      <c r="K44" s="253">
        <v>810000000</v>
      </c>
      <c r="L44" s="153" t="s">
        <v>88</v>
      </c>
      <c r="M44" s="114"/>
      <c r="N44" s="114" t="s">
        <v>677</v>
      </c>
      <c r="O44" s="241" t="s">
        <v>1236</v>
      </c>
    </row>
    <row r="45" spans="1:16" ht="18" customHeight="1">
      <c r="A45" s="207">
        <v>24</v>
      </c>
      <c r="B45" s="70" t="s">
        <v>138</v>
      </c>
      <c r="C45" s="75" t="s">
        <v>1237</v>
      </c>
      <c r="D45" s="70" t="s">
        <v>1347</v>
      </c>
      <c r="E45" s="70" t="s">
        <v>1348</v>
      </c>
      <c r="F45" s="75" t="s">
        <v>1349</v>
      </c>
      <c r="G45" s="71">
        <v>44776</v>
      </c>
      <c r="H45" s="71">
        <v>44804</v>
      </c>
      <c r="I45" s="77" t="s">
        <v>1350</v>
      </c>
      <c r="J45" s="70" t="s">
        <v>1351</v>
      </c>
      <c r="K45" s="248">
        <v>11000000</v>
      </c>
      <c r="L45" s="96"/>
      <c r="M45" s="96" t="s">
        <v>39</v>
      </c>
      <c r="N45" s="70" t="s">
        <v>1102</v>
      </c>
      <c r="O45" s="241" t="s">
        <v>1236</v>
      </c>
    </row>
    <row r="46" spans="1:16" ht="18" customHeight="1">
      <c r="A46" s="207">
        <v>25</v>
      </c>
      <c r="B46" s="70" t="s">
        <v>138</v>
      </c>
      <c r="C46" s="75" t="s">
        <v>1237</v>
      </c>
      <c r="D46" s="70" t="s">
        <v>1212</v>
      </c>
      <c r="E46" s="70" t="s">
        <v>1211</v>
      </c>
      <c r="F46" s="75" t="s">
        <v>1352</v>
      </c>
      <c r="G46" s="71">
        <v>44776</v>
      </c>
      <c r="H46" s="71">
        <v>44804</v>
      </c>
      <c r="I46" s="77" t="s">
        <v>1353</v>
      </c>
      <c r="J46" s="70" t="s">
        <v>1351</v>
      </c>
      <c r="K46" s="248">
        <v>83500000</v>
      </c>
      <c r="L46" s="96" t="s">
        <v>88</v>
      </c>
      <c r="M46" s="96"/>
      <c r="N46" s="70" t="s">
        <v>1102</v>
      </c>
      <c r="O46" s="241" t="s">
        <v>1236</v>
      </c>
    </row>
    <row r="47" spans="1:16" ht="18" customHeight="1">
      <c r="A47" s="207">
        <v>26</v>
      </c>
      <c r="B47" s="70" t="s">
        <v>142</v>
      </c>
      <c r="C47" s="75" t="s">
        <v>143</v>
      </c>
      <c r="D47" s="70" t="s">
        <v>988</v>
      </c>
      <c r="E47" s="70" t="s">
        <v>987</v>
      </c>
      <c r="F47" s="75" t="s">
        <v>987</v>
      </c>
      <c r="G47" s="71">
        <v>44781</v>
      </c>
      <c r="H47" s="71">
        <v>44726</v>
      </c>
      <c r="I47" s="77" t="s">
        <v>1354</v>
      </c>
      <c r="J47" s="70" t="s">
        <v>990</v>
      </c>
      <c r="K47" s="248">
        <v>328364415</v>
      </c>
      <c r="L47" s="96" t="s">
        <v>88</v>
      </c>
      <c r="M47" s="70"/>
      <c r="N47" s="70" t="s">
        <v>1306</v>
      </c>
      <c r="O47" s="241" t="s">
        <v>1236</v>
      </c>
      <c r="P47" s="273"/>
    </row>
    <row r="48" spans="1:16" ht="18" customHeight="1">
      <c r="A48" s="207">
        <v>27</v>
      </c>
      <c r="B48" s="70" t="s">
        <v>261</v>
      </c>
      <c r="C48" s="75" t="s">
        <v>1243</v>
      </c>
      <c r="D48" s="70" t="s">
        <v>1355</v>
      </c>
      <c r="E48" s="70" t="s">
        <v>1356</v>
      </c>
      <c r="F48" s="75" t="s">
        <v>1357</v>
      </c>
      <c r="G48" s="71">
        <v>44784</v>
      </c>
      <c r="H48" s="71">
        <v>44834</v>
      </c>
      <c r="I48" s="77" t="s">
        <v>1358</v>
      </c>
      <c r="J48" s="70" t="s">
        <v>844</v>
      </c>
      <c r="K48" s="248">
        <v>13000000</v>
      </c>
      <c r="L48" s="96"/>
      <c r="M48" s="96" t="s">
        <v>39</v>
      </c>
      <c r="N48" s="70" t="s">
        <v>1245</v>
      </c>
      <c r="O48" s="241" t="s">
        <v>1236</v>
      </c>
      <c r="P48" s="273"/>
    </row>
    <row r="49" spans="1:16" ht="18" customHeight="1">
      <c r="A49" s="869">
        <v>28</v>
      </c>
      <c r="B49" s="108" t="s">
        <v>261</v>
      </c>
      <c r="C49" s="109" t="s">
        <v>1243</v>
      </c>
      <c r="D49" s="108" t="s">
        <v>1359</v>
      </c>
      <c r="E49" s="108" t="s">
        <v>1360</v>
      </c>
      <c r="F49" s="109" t="s">
        <v>1257</v>
      </c>
      <c r="G49" s="111">
        <v>44784</v>
      </c>
      <c r="H49" s="111">
        <v>44834</v>
      </c>
      <c r="I49" s="203" t="s">
        <v>1358</v>
      </c>
      <c r="J49" s="108" t="s">
        <v>949</v>
      </c>
      <c r="K49" s="251">
        <v>1000000</v>
      </c>
      <c r="L49" s="112"/>
      <c r="M49" s="112" t="s">
        <v>39</v>
      </c>
      <c r="N49" s="108" t="s">
        <v>1245</v>
      </c>
      <c r="O49" s="241" t="s">
        <v>1236</v>
      </c>
      <c r="P49" s="273"/>
    </row>
    <row r="50" spans="1:16" ht="18" customHeight="1">
      <c r="A50" s="870"/>
      <c r="B50" s="114" t="s">
        <v>261</v>
      </c>
      <c r="C50" s="115" t="s">
        <v>1243</v>
      </c>
      <c r="D50" s="114" t="s">
        <v>1361</v>
      </c>
      <c r="E50" s="114" t="s">
        <v>1362</v>
      </c>
      <c r="F50" s="115" t="s">
        <v>1257</v>
      </c>
      <c r="G50" s="117">
        <v>44784</v>
      </c>
      <c r="H50" s="117">
        <v>44834</v>
      </c>
      <c r="I50" s="204" t="s">
        <v>1358</v>
      </c>
      <c r="J50" s="114" t="s">
        <v>949</v>
      </c>
      <c r="K50" s="253">
        <v>1000000</v>
      </c>
      <c r="L50" s="153"/>
      <c r="M50" s="153" t="s">
        <v>39</v>
      </c>
      <c r="N50" s="114" t="s">
        <v>1245</v>
      </c>
      <c r="O50" s="241" t="s">
        <v>1236</v>
      </c>
      <c r="P50" s="273"/>
    </row>
    <row r="51" spans="1:16" ht="18" customHeight="1">
      <c r="A51" s="862">
        <v>29</v>
      </c>
      <c r="B51" s="108" t="s">
        <v>138</v>
      </c>
      <c r="C51" s="109" t="s">
        <v>1237</v>
      </c>
      <c r="D51" s="108" t="s">
        <v>1013</v>
      </c>
      <c r="E51" s="108" t="s">
        <v>1012</v>
      </c>
      <c r="F51" s="109" t="s">
        <v>1363</v>
      </c>
      <c r="G51" s="111">
        <v>44788</v>
      </c>
      <c r="H51" s="111" t="s">
        <v>1364</v>
      </c>
      <c r="I51" s="203" t="s">
        <v>1365</v>
      </c>
      <c r="J51" s="108" t="s">
        <v>1014</v>
      </c>
      <c r="K51" s="251">
        <v>1380000000</v>
      </c>
      <c r="L51" s="112" t="s">
        <v>88</v>
      </c>
      <c r="M51" s="108"/>
      <c r="N51" s="108" t="s">
        <v>677</v>
      </c>
      <c r="O51" s="241" t="s">
        <v>1236</v>
      </c>
      <c r="P51" s="273"/>
    </row>
    <row r="52" spans="1:16" ht="18" customHeight="1">
      <c r="A52" s="863"/>
      <c r="B52" s="114" t="s">
        <v>138</v>
      </c>
      <c r="C52" s="115" t="s">
        <v>1237</v>
      </c>
      <c r="D52" s="114" t="s">
        <v>1016</v>
      </c>
      <c r="E52" s="114" t="s">
        <v>1015</v>
      </c>
      <c r="F52" s="115" t="s">
        <v>1363</v>
      </c>
      <c r="G52" s="117">
        <v>44788</v>
      </c>
      <c r="H52" s="117" t="s">
        <v>1364</v>
      </c>
      <c r="I52" s="204" t="s">
        <v>1365</v>
      </c>
      <c r="J52" s="114" t="s">
        <v>1004</v>
      </c>
      <c r="K52" s="253">
        <v>810000000</v>
      </c>
      <c r="L52" s="153" t="s">
        <v>88</v>
      </c>
      <c r="M52" s="114"/>
      <c r="N52" s="114" t="s">
        <v>677</v>
      </c>
      <c r="O52" s="241" t="s">
        <v>1236</v>
      </c>
      <c r="P52" s="273"/>
    </row>
    <row r="53" spans="1:16" ht="18" customHeight="1">
      <c r="A53" s="207">
        <v>30</v>
      </c>
      <c r="B53" s="70" t="s">
        <v>132</v>
      </c>
      <c r="C53" s="75" t="s">
        <v>133</v>
      </c>
      <c r="D53" s="70" t="s">
        <v>1214</v>
      </c>
      <c r="E53" s="70" t="s">
        <v>1213</v>
      </c>
      <c r="F53" s="75" t="s">
        <v>1366</v>
      </c>
      <c r="G53" s="71">
        <v>44798</v>
      </c>
      <c r="H53" s="71">
        <v>44804</v>
      </c>
      <c r="I53" s="77" t="s">
        <v>1367</v>
      </c>
      <c r="J53" s="70" t="s">
        <v>1368</v>
      </c>
      <c r="K53" s="248"/>
      <c r="L53" s="96" t="s">
        <v>88</v>
      </c>
      <c r="M53" s="70"/>
      <c r="N53" s="70" t="s">
        <v>1369</v>
      </c>
      <c r="O53" s="241" t="s">
        <v>1241</v>
      </c>
      <c r="P53" s="273"/>
    </row>
    <row r="54" spans="1:16" ht="18" customHeight="1">
      <c r="A54" s="862">
        <v>31</v>
      </c>
      <c r="B54" s="108" t="s">
        <v>142</v>
      </c>
      <c r="C54" s="109" t="s">
        <v>143</v>
      </c>
      <c r="D54" s="108" t="s">
        <v>279</v>
      </c>
      <c r="E54" s="108" t="s">
        <v>1370</v>
      </c>
      <c r="F54" s="109"/>
      <c r="G54" s="111">
        <v>44802</v>
      </c>
      <c r="H54" s="111">
        <v>44865</v>
      </c>
      <c r="I54" s="203" t="s">
        <v>1371</v>
      </c>
      <c r="J54" s="108" t="s">
        <v>281</v>
      </c>
      <c r="K54" s="251">
        <v>62500000</v>
      </c>
      <c r="L54" s="112" t="s">
        <v>88</v>
      </c>
      <c r="M54" s="108"/>
      <c r="N54" s="108" t="s">
        <v>135</v>
      </c>
      <c r="O54" s="241" t="s">
        <v>1241</v>
      </c>
      <c r="P54" s="273"/>
    </row>
    <row r="55" spans="1:16" ht="18" customHeight="1">
      <c r="A55" s="863"/>
      <c r="B55" s="114" t="s">
        <v>142</v>
      </c>
      <c r="C55" s="115" t="s">
        <v>143</v>
      </c>
      <c r="D55" s="114" t="s">
        <v>282</v>
      </c>
      <c r="E55" s="114" t="s">
        <v>1372</v>
      </c>
      <c r="F55" s="115"/>
      <c r="G55" s="117">
        <v>44802</v>
      </c>
      <c r="H55" s="117">
        <v>44865</v>
      </c>
      <c r="I55" s="204" t="s">
        <v>1371</v>
      </c>
      <c r="J55" s="114" t="s">
        <v>281</v>
      </c>
      <c r="K55" s="253">
        <v>62500000</v>
      </c>
      <c r="L55" s="153" t="s">
        <v>88</v>
      </c>
      <c r="M55" s="114"/>
      <c r="N55" s="114" t="s">
        <v>135</v>
      </c>
      <c r="O55" s="241" t="s">
        <v>1241</v>
      </c>
      <c r="P55" s="273"/>
    </row>
    <row r="56" spans="1:16" ht="18" customHeight="1">
      <c r="A56" s="207">
        <v>32</v>
      </c>
      <c r="B56" s="70" t="s">
        <v>138</v>
      </c>
      <c r="C56" s="75" t="s">
        <v>1237</v>
      </c>
      <c r="D56" s="70" t="s">
        <v>999</v>
      </c>
      <c r="E56" s="70" t="s">
        <v>998</v>
      </c>
      <c r="F56" s="75" t="s">
        <v>1373</v>
      </c>
      <c r="G56" s="71">
        <v>44823</v>
      </c>
      <c r="H56" s="71">
        <v>44925</v>
      </c>
      <c r="I56" s="77" t="s">
        <v>1374</v>
      </c>
      <c r="J56" s="70" t="s">
        <v>1375</v>
      </c>
      <c r="K56" s="248">
        <v>6780000000</v>
      </c>
      <c r="L56" s="96" t="s">
        <v>88</v>
      </c>
      <c r="M56" s="70"/>
      <c r="N56" s="70" t="s">
        <v>677</v>
      </c>
      <c r="O56" s="241" t="s">
        <v>1236</v>
      </c>
      <c r="P56" s="273"/>
    </row>
    <row r="57" spans="1:16" ht="18" customHeight="1">
      <c r="A57" s="207">
        <v>33</v>
      </c>
      <c r="B57" s="70" t="s">
        <v>142</v>
      </c>
      <c r="C57" s="75" t="s">
        <v>143</v>
      </c>
      <c r="D57" s="70" t="s">
        <v>460</v>
      </c>
      <c r="E57" s="70" t="s">
        <v>408</v>
      </c>
      <c r="F57" s="75"/>
      <c r="G57" s="71">
        <v>44837</v>
      </c>
      <c r="H57" s="71">
        <v>44957</v>
      </c>
      <c r="I57" s="77" t="s">
        <v>1376</v>
      </c>
      <c r="J57" s="70" t="s">
        <v>1377</v>
      </c>
      <c r="K57" s="248">
        <v>929200000</v>
      </c>
      <c r="L57" s="96" t="s">
        <v>88</v>
      </c>
      <c r="M57" s="70"/>
      <c r="N57" s="70" t="s">
        <v>135</v>
      </c>
      <c r="O57" s="241" t="s">
        <v>1236</v>
      </c>
      <c r="P57" s="273"/>
    </row>
    <row r="58" spans="1:16" ht="18" customHeight="1">
      <c r="A58" s="207">
        <v>34</v>
      </c>
      <c r="B58" s="70" t="s">
        <v>138</v>
      </c>
      <c r="C58" s="75" t="s">
        <v>1237</v>
      </c>
      <c r="D58" s="70" t="s">
        <v>1008</v>
      </c>
      <c r="E58" s="70" t="s">
        <v>1007</v>
      </c>
      <c r="F58" s="75" t="s">
        <v>1378</v>
      </c>
      <c r="G58" s="71">
        <v>44904</v>
      </c>
      <c r="H58" s="71">
        <v>44985</v>
      </c>
      <c r="I58" s="77" t="s">
        <v>1379</v>
      </c>
      <c r="J58" s="70" t="s">
        <v>1009</v>
      </c>
      <c r="K58" s="248">
        <v>221050226</v>
      </c>
      <c r="L58" s="96" t="s">
        <v>88</v>
      </c>
      <c r="M58" s="70"/>
      <c r="N58" s="70" t="s">
        <v>1380</v>
      </c>
      <c r="O58" s="241" t="s">
        <v>1236</v>
      </c>
      <c r="P58" s="273"/>
    </row>
    <row r="59" spans="1:16" ht="18" customHeight="1">
      <c r="A59" s="862">
        <v>35</v>
      </c>
      <c r="B59" s="108" t="s">
        <v>138</v>
      </c>
      <c r="C59" s="109" t="s">
        <v>1237</v>
      </c>
      <c r="D59" s="108" t="s">
        <v>451</v>
      </c>
      <c r="E59" s="108" t="s">
        <v>450</v>
      </c>
      <c r="F59" s="110" t="s">
        <v>1381</v>
      </c>
      <c r="G59" s="111">
        <v>44915</v>
      </c>
      <c r="H59" s="111">
        <v>44925</v>
      </c>
      <c r="I59" s="203" t="s">
        <v>1382</v>
      </c>
      <c r="J59" s="108" t="s">
        <v>1383</v>
      </c>
      <c r="K59" s="251">
        <v>49875000</v>
      </c>
      <c r="L59" s="112" t="s">
        <v>88</v>
      </c>
      <c r="M59" s="108"/>
      <c r="N59" s="108" t="s">
        <v>1384</v>
      </c>
      <c r="O59" s="241" t="s">
        <v>1236</v>
      </c>
      <c r="P59" s="273"/>
    </row>
    <row r="60" spans="1:16" ht="18" customHeight="1">
      <c r="A60" s="863"/>
      <c r="B60" s="114" t="s">
        <v>138</v>
      </c>
      <c r="C60" s="115" t="s">
        <v>1237</v>
      </c>
      <c r="D60" s="114" t="s">
        <v>453</v>
      </c>
      <c r="E60" s="114" t="s">
        <v>452</v>
      </c>
      <c r="F60" s="116" t="s">
        <v>1381</v>
      </c>
      <c r="G60" s="117">
        <v>44915</v>
      </c>
      <c r="H60" s="117">
        <v>44925</v>
      </c>
      <c r="I60" s="204" t="s">
        <v>1382</v>
      </c>
      <c r="J60" s="114" t="s">
        <v>1383</v>
      </c>
      <c r="K60" s="253">
        <v>49875000</v>
      </c>
      <c r="L60" s="153" t="s">
        <v>88</v>
      </c>
      <c r="M60" s="114"/>
      <c r="N60" s="114" t="s">
        <v>1384</v>
      </c>
      <c r="O60" s="241" t="s">
        <v>1236</v>
      </c>
      <c r="P60" s="273"/>
    </row>
    <row r="61" spans="1:16" ht="18" customHeight="1">
      <c r="A61" s="862">
        <v>36</v>
      </c>
      <c r="B61" s="108" t="s">
        <v>138</v>
      </c>
      <c r="C61" s="109" t="s">
        <v>1237</v>
      </c>
      <c r="D61" s="108" t="s">
        <v>455</v>
      </c>
      <c r="E61" s="108" t="s">
        <v>454</v>
      </c>
      <c r="F61" s="110" t="s">
        <v>1385</v>
      </c>
      <c r="G61" s="111">
        <v>44915</v>
      </c>
      <c r="H61" s="111">
        <v>44925</v>
      </c>
      <c r="I61" s="203" t="s">
        <v>1382</v>
      </c>
      <c r="J61" s="108" t="s">
        <v>1386</v>
      </c>
      <c r="K61" s="251">
        <v>92625000</v>
      </c>
      <c r="L61" s="112" t="s">
        <v>88</v>
      </c>
      <c r="M61" s="108"/>
      <c r="N61" s="108" t="s">
        <v>1384</v>
      </c>
      <c r="O61" s="241" t="s">
        <v>1236</v>
      </c>
      <c r="P61" s="273"/>
    </row>
    <row r="62" spans="1:16" ht="18" customHeight="1">
      <c r="A62" s="863"/>
      <c r="B62" s="114" t="s">
        <v>138</v>
      </c>
      <c r="C62" s="115" t="s">
        <v>1237</v>
      </c>
      <c r="D62" s="114" t="s">
        <v>458</v>
      </c>
      <c r="E62" s="114" t="s">
        <v>457</v>
      </c>
      <c r="F62" s="116" t="s">
        <v>1385</v>
      </c>
      <c r="G62" s="117">
        <v>44915</v>
      </c>
      <c r="H62" s="117">
        <v>44925</v>
      </c>
      <c r="I62" s="204" t="s">
        <v>1382</v>
      </c>
      <c r="J62" s="114" t="s">
        <v>1386</v>
      </c>
      <c r="K62" s="253">
        <v>92625000</v>
      </c>
      <c r="L62" s="153" t="s">
        <v>88</v>
      </c>
      <c r="M62" s="114"/>
      <c r="N62" s="114" t="s">
        <v>1384</v>
      </c>
      <c r="O62" s="241" t="s">
        <v>1236</v>
      </c>
      <c r="P62" s="273"/>
    </row>
    <row r="63" spans="1:16" s="101" customFormat="1" ht="18" customHeight="1">
      <c r="A63" s="862">
        <v>37</v>
      </c>
      <c r="B63" s="108" t="s">
        <v>138</v>
      </c>
      <c r="C63" s="109" t="s">
        <v>1237</v>
      </c>
      <c r="D63" s="212" t="s">
        <v>445</v>
      </c>
      <c r="E63" s="108" t="s">
        <v>444</v>
      </c>
      <c r="F63" s="110" t="s">
        <v>1387</v>
      </c>
      <c r="G63" s="111">
        <v>44915</v>
      </c>
      <c r="H63" s="111">
        <v>44925</v>
      </c>
      <c r="I63" s="203" t="s">
        <v>1382</v>
      </c>
      <c r="J63" s="108" t="s">
        <v>1388</v>
      </c>
      <c r="K63" s="251">
        <v>183000000</v>
      </c>
      <c r="L63" s="112" t="s">
        <v>88</v>
      </c>
      <c r="M63" s="108"/>
      <c r="N63" s="108" t="s">
        <v>1384</v>
      </c>
      <c r="O63" s="241" t="s">
        <v>1236</v>
      </c>
      <c r="P63" s="198"/>
    </row>
    <row r="64" spans="1:16" s="101" customFormat="1" ht="18" customHeight="1">
      <c r="A64" s="864"/>
      <c r="B64" s="123" t="s">
        <v>138</v>
      </c>
      <c r="C64" s="124" t="s">
        <v>1237</v>
      </c>
      <c r="D64" s="493" t="s">
        <v>447</v>
      </c>
      <c r="E64" s="123" t="s">
        <v>446</v>
      </c>
      <c r="F64" s="125" t="s">
        <v>1387</v>
      </c>
      <c r="G64" s="126">
        <v>44915</v>
      </c>
      <c r="H64" s="126">
        <v>44925</v>
      </c>
      <c r="I64" s="205" t="s">
        <v>1382</v>
      </c>
      <c r="J64" s="123" t="s">
        <v>1388</v>
      </c>
      <c r="K64" s="252">
        <v>112000000</v>
      </c>
      <c r="L64" s="214" t="s">
        <v>88</v>
      </c>
      <c r="M64" s="123"/>
      <c r="N64" s="123" t="s">
        <v>1384</v>
      </c>
      <c r="O64" s="241" t="s">
        <v>1236</v>
      </c>
      <c r="P64" s="198"/>
    </row>
    <row r="65" spans="1:16" s="101" customFormat="1" ht="18" customHeight="1">
      <c r="A65" s="863"/>
      <c r="B65" s="114" t="s">
        <v>138</v>
      </c>
      <c r="C65" s="115" t="s">
        <v>1237</v>
      </c>
      <c r="D65" s="494" t="s">
        <v>449</v>
      </c>
      <c r="E65" s="114" t="s">
        <v>448</v>
      </c>
      <c r="F65" s="116" t="s">
        <v>1387</v>
      </c>
      <c r="G65" s="117">
        <v>44915</v>
      </c>
      <c r="H65" s="117">
        <v>44925</v>
      </c>
      <c r="I65" s="204" t="s">
        <v>1382</v>
      </c>
      <c r="J65" s="114" t="s">
        <v>1388</v>
      </c>
      <c r="K65" s="253">
        <v>112000000</v>
      </c>
      <c r="L65" s="153" t="s">
        <v>88</v>
      </c>
      <c r="M65" s="114"/>
      <c r="N65" s="114" t="s">
        <v>1384</v>
      </c>
      <c r="O65" s="241" t="s">
        <v>1236</v>
      </c>
      <c r="P65" s="198"/>
    </row>
    <row r="66" spans="1:16" s="101" customFormat="1" ht="18" customHeight="1">
      <c r="A66" s="237"/>
      <c r="B66" s="70"/>
      <c r="C66" s="75"/>
      <c r="D66" s="221"/>
      <c r="E66" s="70"/>
      <c r="F66" s="106"/>
      <c r="G66" s="71"/>
      <c r="H66" s="71"/>
      <c r="I66" s="77"/>
      <c r="J66" s="70"/>
      <c r="K66" s="248"/>
      <c r="L66" s="70"/>
      <c r="M66" s="70"/>
      <c r="N66" s="70"/>
      <c r="O66" s="227"/>
      <c r="P66" s="198"/>
    </row>
    <row r="67" spans="1:16" s="101" customFormat="1" ht="18" customHeight="1">
      <c r="A67" s="237"/>
      <c r="B67" s="70"/>
      <c r="C67" s="75"/>
      <c r="D67" s="95"/>
      <c r="E67" s="70"/>
      <c r="F67" s="106"/>
      <c r="G67" s="71"/>
      <c r="H67" s="71"/>
      <c r="I67" s="77"/>
      <c r="J67" s="70"/>
      <c r="K67" s="248"/>
      <c r="L67" s="70"/>
      <c r="M67" s="70"/>
      <c r="N67" s="70"/>
      <c r="O67" s="227"/>
      <c r="P67" s="198"/>
    </row>
    <row r="68" spans="1:16" s="101" customFormat="1" ht="18" customHeight="1">
      <c r="A68" s="237"/>
      <c r="B68" s="70"/>
      <c r="C68" s="75"/>
      <c r="D68" s="95"/>
      <c r="E68" s="70"/>
      <c r="F68" s="106"/>
      <c r="G68" s="71"/>
      <c r="H68" s="71"/>
      <c r="I68" s="77"/>
      <c r="J68" s="70"/>
      <c r="K68" s="248"/>
      <c r="L68" s="70"/>
      <c r="M68" s="70"/>
      <c r="N68" s="70"/>
      <c r="O68" s="227"/>
      <c r="P68" s="198"/>
    </row>
    <row r="69" spans="1:16" s="101" customFormat="1" ht="18" customHeight="1">
      <c r="A69" s="237"/>
      <c r="B69" s="70"/>
      <c r="C69" s="75"/>
      <c r="D69" s="95"/>
      <c r="E69" s="70"/>
      <c r="F69" s="106"/>
      <c r="G69" s="71"/>
      <c r="H69" s="71"/>
      <c r="I69" s="77"/>
      <c r="J69" s="70"/>
      <c r="K69" s="248"/>
      <c r="L69" s="70"/>
      <c r="M69" s="70"/>
      <c r="N69" s="70"/>
      <c r="O69" s="227"/>
      <c r="P69" s="198"/>
    </row>
    <row r="70" spans="1:16" s="101" customFormat="1" ht="18" customHeight="1">
      <c r="A70" s="237"/>
      <c r="B70" s="70"/>
      <c r="C70" s="75"/>
      <c r="D70" s="95"/>
      <c r="E70" s="70"/>
      <c r="F70" s="106"/>
      <c r="G70" s="71"/>
      <c r="H70" s="71"/>
      <c r="I70" s="77"/>
      <c r="J70" s="70"/>
      <c r="K70" s="248"/>
      <c r="L70" s="70"/>
      <c r="M70" s="70"/>
      <c r="N70" s="70"/>
      <c r="O70" s="227"/>
      <c r="P70" s="198"/>
    </row>
    <row r="71" spans="1:16" s="101" customFormat="1" ht="18" customHeight="1">
      <c r="A71" s="237"/>
      <c r="B71" s="70"/>
      <c r="C71" s="75"/>
      <c r="D71" s="95"/>
      <c r="E71" s="70"/>
      <c r="F71" s="106"/>
      <c r="G71" s="71"/>
      <c r="H71" s="71"/>
      <c r="I71" s="77"/>
      <c r="J71" s="70"/>
      <c r="K71" s="248"/>
      <c r="L71" s="70"/>
      <c r="M71" s="70"/>
      <c r="N71" s="70"/>
      <c r="O71" s="227"/>
      <c r="P71" s="198"/>
    </row>
    <row r="72" spans="1:16" s="101" customFormat="1" ht="18" customHeight="1">
      <c r="A72" s="237"/>
      <c r="B72" s="70"/>
      <c r="C72" s="75"/>
      <c r="D72" s="95"/>
      <c r="E72" s="70"/>
      <c r="F72" s="106"/>
      <c r="G72" s="71"/>
      <c r="H72" s="71"/>
      <c r="I72" s="77"/>
      <c r="J72" s="70"/>
      <c r="K72" s="248"/>
      <c r="L72" s="70"/>
      <c r="M72" s="70"/>
      <c r="N72" s="70"/>
      <c r="O72" s="227"/>
      <c r="P72" s="198"/>
    </row>
    <row r="73" spans="1:16" s="101" customFormat="1" ht="18" customHeight="1">
      <c r="A73" s="237"/>
      <c r="B73" s="70"/>
      <c r="C73" s="75"/>
      <c r="D73" s="95"/>
      <c r="E73" s="70"/>
      <c r="F73" s="106"/>
      <c r="G73" s="71"/>
      <c r="H73" s="71"/>
      <c r="I73" s="77"/>
      <c r="J73" s="70"/>
      <c r="K73" s="248"/>
      <c r="L73" s="70"/>
      <c r="M73" s="70"/>
      <c r="N73" s="70"/>
      <c r="O73" s="227"/>
      <c r="P73" s="198"/>
    </row>
    <row r="74" spans="1:16" s="101" customFormat="1" ht="18" customHeight="1">
      <c r="A74" s="237"/>
      <c r="B74" s="70"/>
      <c r="C74" s="75"/>
      <c r="D74" s="95"/>
      <c r="E74" s="70"/>
      <c r="F74" s="106"/>
      <c r="G74" s="71"/>
      <c r="H74" s="71"/>
      <c r="I74" s="77"/>
      <c r="J74" s="70"/>
      <c r="K74" s="248"/>
      <c r="L74" s="70"/>
      <c r="M74" s="70"/>
      <c r="N74" s="70"/>
      <c r="O74" s="227"/>
      <c r="P74" s="198"/>
    </row>
    <row r="75" spans="1:16" s="101" customFormat="1" ht="18" customHeight="1">
      <c r="A75" s="237"/>
      <c r="B75" s="70"/>
      <c r="C75" s="75"/>
      <c r="D75" s="95"/>
      <c r="E75" s="70"/>
      <c r="F75" s="106"/>
      <c r="G75" s="71"/>
      <c r="H75" s="71"/>
      <c r="I75" s="77"/>
      <c r="J75" s="70"/>
      <c r="K75" s="248"/>
      <c r="L75" s="70"/>
      <c r="M75" s="70"/>
      <c r="N75" s="70"/>
      <c r="O75" s="227"/>
      <c r="P75" s="198"/>
    </row>
    <row r="76" spans="1:16" s="101" customFormat="1" ht="18" customHeight="1">
      <c r="A76" s="237"/>
      <c r="B76" s="70"/>
      <c r="C76" s="75"/>
      <c r="D76" s="95"/>
      <c r="E76" s="70"/>
      <c r="F76" s="106"/>
      <c r="G76" s="71"/>
      <c r="H76" s="71"/>
      <c r="I76" s="77"/>
      <c r="J76" s="70"/>
      <c r="K76" s="248"/>
      <c r="L76" s="70"/>
      <c r="M76" s="70"/>
      <c r="N76" s="70"/>
      <c r="O76" s="227"/>
      <c r="P76" s="198"/>
    </row>
    <row r="77" spans="1:16" s="101" customFormat="1" ht="18" customHeight="1">
      <c r="A77" s="237"/>
      <c r="B77" s="70"/>
      <c r="C77" s="75"/>
      <c r="D77" s="95"/>
      <c r="E77" s="70"/>
      <c r="F77" s="106"/>
      <c r="G77" s="71"/>
      <c r="H77" s="71"/>
      <c r="I77" s="77"/>
      <c r="J77" s="70"/>
      <c r="K77" s="248"/>
      <c r="L77" s="70"/>
      <c r="M77" s="70"/>
      <c r="N77" s="70"/>
      <c r="O77" s="227"/>
      <c r="P77" s="198"/>
    </row>
    <row r="78" spans="1:16" s="101" customFormat="1" ht="18" customHeight="1">
      <c r="A78" s="207"/>
      <c r="B78" s="70"/>
      <c r="C78" s="75"/>
      <c r="D78" s="95"/>
      <c r="E78" s="95"/>
      <c r="F78" s="106"/>
      <c r="G78" s="71"/>
      <c r="H78" s="71"/>
      <c r="I78" s="77"/>
      <c r="J78" s="70"/>
      <c r="K78" s="248"/>
      <c r="L78" s="70"/>
      <c r="M78" s="70"/>
      <c r="N78" s="70"/>
      <c r="O78" s="227"/>
      <c r="P78" s="198"/>
    </row>
    <row r="79" spans="1:16" s="101" customFormat="1" ht="18" customHeight="1">
      <c r="A79" s="237"/>
      <c r="B79" s="70"/>
      <c r="C79" s="75"/>
      <c r="D79" s="95"/>
      <c r="E79" s="95"/>
      <c r="F79" s="106"/>
      <c r="G79" s="71"/>
      <c r="H79" s="71"/>
      <c r="I79" s="77"/>
      <c r="J79" s="70"/>
      <c r="K79" s="248"/>
      <c r="L79" s="70"/>
      <c r="M79" s="70"/>
      <c r="N79" s="70"/>
      <c r="O79" s="227"/>
      <c r="P79" s="198"/>
    </row>
    <row r="80" spans="1:16" s="101" customFormat="1" ht="18" customHeight="1">
      <c r="A80" s="237"/>
      <c r="B80" s="70"/>
      <c r="C80" s="75"/>
      <c r="D80" s="95"/>
      <c r="E80" s="95"/>
      <c r="F80" s="106"/>
      <c r="G80" s="71"/>
      <c r="H80" s="71"/>
      <c r="I80" s="77"/>
      <c r="J80" s="70"/>
      <c r="K80" s="248"/>
      <c r="L80" s="70"/>
      <c r="M80" s="70"/>
      <c r="N80" s="70"/>
      <c r="O80" s="227"/>
      <c r="P80" s="198"/>
    </row>
    <row r="81" spans="1:16" s="101" customFormat="1" ht="18" customHeight="1">
      <c r="A81" s="237"/>
      <c r="B81" s="70"/>
      <c r="C81" s="75"/>
      <c r="D81" s="70"/>
      <c r="E81" s="95"/>
      <c r="F81" s="106"/>
      <c r="G81" s="71"/>
      <c r="H81" s="71"/>
      <c r="I81" s="77"/>
      <c r="J81" s="70"/>
      <c r="K81" s="248"/>
      <c r="L81" s="70"/>
      <c r="M81" s="70"/>
      <c r="N81" s="70"/>
      <c r="O81" s="227"/>
      <c r="P81" s="198"/>
    </row>
    <row r="82" spans="1:16" s="101" customFormat="1" ht="18" customHeight="1">
      <c r="A82" s="237"/>
      <c r="B82" s="70"/>
      <c r="C82" s="75"/>
      <c r="D82" s="95"/>
      <c r="E82" s="95"/>
      <c r="F82" s="106"/>
      <c r="G82" s="71"/>
      <c r="H82" s="71"/>
      <c r="I82" s="77"/>
      <c r="J82" s="70"/>
      <c r="K82" s="248"/>
      <c r="L82" s="70"/>
      <c r="M82" s="70"/>
      <c r="N82" s="70"/>
      <c r="O82" s="227"/>
      <c r="P82" s="198"/>
    </row>
    <row r="83" spans="1:16" s="101" customFormat="1" ht="18" customHeight="1">
      <c r="A83" s="237"/>
      <c r="B83" s="70"/>
      <c r="C83" s="75"/>
      <c r="D83" s="95"/>
      <c r="E83" s="95"/>
      <c r="F83" s="106"/>
      <c r="G83" s="71"/>
      <c r="H83" s="71"/>
      <c r="I83" s="77"/>
      <c r="J83" s="70"/>
      <c r="K83" s="248"/>
      <c r="L83" s="70"/>
      <c r="M83" s="70"/>
      <c r="N83" s="70"/>
      <c r="O83" s="227"/>
      <c r="P83" s="198"/>
    </row>
    <row r="84" spans="1:16" s="101" customFormat="1" ht="18" customHeight="1">
      <c r="A84" s="237"/>
      <c r="B84" s="70"/>
      <c r="C84" s="75"/>
      <c r="D84" s="95"/>
      <c r="E84" s="95"/>
      <c r="F84" s="106"/>
      <c r="G84" s="71"/>
      <c r="H84" s="71"/>
      <c r="I84" s="77"/>
      <c r="J84" s="70"/>
      <c r="K84" s="248"/>
      <c r="L84" s="70"/>
      <c r="M84" s="70"/>
      <c r="N84" s="70"/>
      <c r="O84" s="227"/>
      <c r="P84" s="198"/>
    </row>
    <row r="85" spans="1:16" s="101" customFormat="1" ht="18" customHeight="1">
      <c r="A85" s="237"/>
      <c r="B85" s="70"/>
      <c r="C85" s="75"/>
      <c r="D85" s="95"/>
      <c r="E85" s="95"/>
      <c r="F85" s="106"/>
      <c r="G85" s="71"/>
      <c r="H85" s="71"/>
      <c r="I85" s="77"/>
      <c r="J85" s="70"/>
      <c r="K85" s="248"/>
      <c r="L85" s="70"/>
      <c r="M85" s="70"/>
      <c r="N85" s="70"/>
      <c r="O85" s="227"/>
      <c r="P85" s="198"/>
    </row>
    <row r="86" spans="1:16" s="101" customFormat="1" ht="18" customHeight="1">
      <c r="A86" s="237"/>
      <c r="B86" s="70"/>
      <c r="C86" s="75"/>
      <c r="D86" s="70"/>
      <c r="E86" s="70"/>
      <c r="F86" s="76"/>
      <c r="G86" s="71"/>
      <c r="H86" s="71"/>
      <c r="I86" s="77"/>
      <c r="J86" s="70"/>
      <c r="K86" s="248"/>
      <c r="L86" s="70"/>
      <c r="M86" s="96"/>
      <c r="N86" s="70"/>
      <c r="O86" s="227"/>
      <c r="P86" s="198"/>
    </row>
    <row r="87" spans="1:16" s="101" customFormat="1" ht="18" customHeight="1">
      <c r="A87" s="237"/>
      <c r="B87" s="70"/>
      <c r="C87" s="75"/>
      <c r="D87" s="70"/>
      <c r="E87" s="70"/>
      <c r="F87" s="76"/>
      <c r="G87" s="71"/>
      <c r="H87" s="71"/>
      <c r="I87" s="77"/>
      <c r="J87" s="70"/>
      <c r="K87" s="249"/>
      <c r="L87" s="268"/>
      <c r="M87" s="268"/>
      <c r="N87" s="70"/>
      <c r="O87" s="227"/>
      <c r="P87" s="198"/>
    </row>
    <row r="88" spans="1:16" s="101" customFormat="1" ht="18" customHeight="1">
      <c r="A88" s="237"/>
      <c r="B88" s="70"/>
      <c r="C88" s="75"/>
      <c r="D88" s="70"/>
      <c r="E88" s="70"/>
      <c r="F88" s="76"/>
      <c r="G88" s="71"/>
      <c r="H88" s="71"/>
      <c r="I88" s="77"/>
      <c r="J88" s="70"/>
      <c r="K88" s="248"/>
      <c r="L88" s="70"/>
      <c r="M88" s="70"/>
      <c r="N88" s="70"/>
      <c r="O88" s="227"/>
      <c r="P88" s="198"/>
    </row>
  </sheetData>
  <autoFilter ref="A7:N88" xr:uid="{1C90E322-CCF2-4853-B3D0-5C21693C0279}"/>
  <mergeCells count="37">
    <mergeCell ref="H41:H42"/>
    <mergeCell ref="A41:A42"/>
    <mergeCell ref="B41:B42"/>
    <mergeCell ref="C41:C42"/>
    <mergeCell ref="D41:E41"/>
    <mergeCell ref="F41:G41"/>
    <mergeCell ref="I41:I42"/>
    <mergeCell ref="J41:J42"/>
    <mergeCell ref="K41:K42"/>
    <mergeCell ref="L41:M41"/>
    <mergeCell ref="N41:N42"/>
    <mergeCell ref="N5:N6"/>
    <mergeCell ref="A5:A6"/>
    <mergeCell ref="B5:B6"/>
    <mergeCell ref="C5:C6"/>
    <mergeCell ref="D5:E5"/>
    <mergeCell ref="F5:G5"/>
    <mergeCell ref="H5:H6"/>
    <mergeCell ref="I5:I6"/>
    <mergeCell ref="J5:J6"/>
    <mergeCell ref="K5:K6"/>
    <mergeCell ref="L5:M5"/>
    <mergeCell ref="B14:B15"/>
    <mergeCell ref="A19:A20"/>
    <mergeCell ref="B19:B20"/>
    <mergeCell ref="A49:A50"/>
    <mergeCell ref="A21:A22"/>
    <mergeCell ref="A29:A34"/>
    <mergeCell ref="A35:A36"/>
    <mergeCell ref="A59:A60"/>
    <mergeCell ref="A61:A62"/>
    <mergeCell ref="A63:A65"/>
    <mergeCell ref="A54:A55"/>
    <mergeCell ref="A11:A12"/>
    <mergeCell ref="A14:A15"/>
    <mergeCell ref="A43:A44"/>
    <mergeCell ref="A51:A52"/>
  </mergeCells>
  <conditionalFormatting sqref="D63:D65">
    <cfRule type="duplicateValues" dxfId="9" priority="1" stopIfTrue="1"/>
  </conditionalFormatting>
  <conditionalFormatting sqref="D66">
    <cfRule type="duplicateValues" dxfId="8" priority="4" stopIfTrue="1"/>
  </conditionalFormatting>
  <conditionalFormatting sqref="D67:D77">
    <cfRule type="duplicateValues" dxfId="7" priority="3" stopIfTrue="1"/>
  </conditionalFormatting>
  <conditionalFormatting sqref="D78:D85">
    <cfRule type="duplicateValues" dxfId="6" priority="2" stopIfTrue="1"/>
  </conditionalFormatting>
  <pageMargins left="0.11811023622047245" right="0.11811023622047245" top="0.55118110236220474" bottom="0.15748031496062992" header="0.31496062992125984" footer="0.31496062992125984"/>
  <pageSetup paperSize="9" scale="63" fitToHeight="0" orientation="portrait" r:id="rId1"/>
  <rowBreaks count="1" manualBreakCount="1">
    <brk id="39" max="1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CFF"/>
  </sheetPr>
  <dimension ref="A1:P185"/>
  <sheetViews>
    <sheetView zoomScale="110" zoomScaleNormal="110" workbookViewId="0">
      <pane xSplit="14" ySplit="6" topLeftCell="O19" activePane="bottomRight" state="frozen"/>
      <selection pane="topRight" activeCell="O26" sqref="O26"/>
      <selection pane="bottomLeft" activeCell="O26" sqref="O26"/>
      <selection pane="bottomRight" activeCell="D28" sqref="D28"/>
    </sheetView>
  </sheetViews>
  <sheetFormatPr defaultRowHeight="15"/>
  <cols>
    <col min="1" max="1" width="3.88671875" style="97" customWidth="1"/>
    <col min="2" max="2" width="6.109375" customWidth="1"/>
    <col min="3" max="3" width="5.88671875" customWidth="1"/>
    <col min="4" max="4" width="10" bestFit="1" customWidth="1"/>
    <col min="5" max="5" width="9.44140625" customWidth="1"/>
    <col min="6" max="6" width="13.6640625" style="244" bestFit="1" customWidth="1"/>
    <col min="7" max="7" width="10.33203125" style="79" bestFit="1" customWidth="1"/>
    <col min="8" max="8" width="8.88671875" customWidth="1"/>
    <col min="9" max="9" width="13.44140625" style="72" bestFit="1" customWidth="1"/>
    <col min="10" max="10" width="22.33203125" bestFit="1" customWidth="1"/>
    <col min="11" max="11" width="15.33203125" style="247" customWidth="1"/>
    <col min="12" max="12" width="10.88671875" customWidth="1"/>
    <col min="13" max="13" width="8.6640625" customWidth="1"/>
    <col min="14" max="14" width="14.6640625" customWidth="1"/>
    <col min="15" max="15" width="14.109375" style="240" bestFit="1" customWidth="1"/>
    <col min="16" max="16" width="9.109375" style="197"/>
  </cols>
  <sheetData>
    <row r="1" spans="1:15">
      <c r="A1" s="69" t="s">
        <v>63</v>
      </c>
      <c r="C1" s="38"/>
      <c r="F1" s="243"/>
      <c r="I1" s="38"/>
    </row>
    <row r="2" spans="1:15">
      <c r="A2" s="69" t="s">
        <v>1231</v>
      </c>
      <c r="C2" s="38"/>
      <c r="F2" s="243"/>
      <c r="I2" s="38"/>
    </row>
    <row r="3" spans="1:15" ht="15.6">
      <c r="A3" s="102" t="s">
        <v>1389</v>
      </c>
      <c r="B3" s="84"/>
    </row>
    <row r="4" spans="1:15" ht="15.6" thickBot="1"/>
    <row r="5" spans="1:15">
      <c r="A5" s="901" t="s">
        <v>34</v>
      </c>
      <c r="B5" s="888" t="s">
        <v>109</v>
      </c>
      <c r="C5" s="888" t="s">
        <v>66</v>
      </c>
      <c r="D5" s="877" t="s">
        <v>1232</v>
      </c>
      <c r="E5" s="878"/>
      <c r="F5" s="877" t="s">
        <v>1247</v>
      </c>
      <c r="G5" s="878"/>
      <c r="H5" s="879" t="s">
        <v>1260</v>
      </c>
      <c r="I5" s="888" t="s">
        <v>1233</v>
      </c>
      <c r="J5" s="875" t="s">
        <v>73</v>
      </c>
      <c r="K5" s="885" t="s">
        <v>1234</v>
      </c>
      <c r="L5" s="894" t="s">
        <v>87</v>
      </c>
      <c r="M5" s="894"/>
      <c r="N5" s="871" t="s">
        <v>1235</v>
      </c>
    </row>
    <row r="6" spans="1:15">
      <c r="A6" s="902"/>
      <c r="B6" s="889"/>
      <c r="C6" s="890"/>
      <c r="D6" s="85" t="s">
        <v>95</v>
      </c>
      <c r="E6" s="85" t="s">
        <v>34</v>
      </c>
      <c r="F6" s="238" t="s">
        <v>34</v>
      </c>
      <c r="G6" s="261" t="s">
        <v>1230</v>
      </c>
      <c r="H6" s="891"/>
      <c r="I6" s="890"/>
      <c r="J6" s="892"/>
      <c r="K6" s="893"/>
      <c r="L6" s="86" t="s">
        <v>88</v>
      </c>
      <c r="M6" s="86" t="s">
        <v>39</v>
      </c>
      <c r="N6" s="887"/>
    </row>
    <row r="7" spans="1:15" ht="18" customHeight="1">
      <c r="A7" s="207">
        <v>1</v>
      </c>
      <c r="B7" s="70" t="s">
        <v>1091</v>
      </c>
      <c r="C7" s="75" t="s">
        <v>1390</v>
      </c>
      <c r="D7" s="70" t="s">
        <v>1391</v>
      </c>
      <c r="E7" s="70"/>
      <c r="F7" s="75" t="s">
        <v>1392</v>
      </c>
      <c r="G7" s="71">
        <v>44209</v>
      </c>
      <c r="H7" s="71">
        <v>44225</v>
      </c>
      <c r="I7" s="77" t="s">
        <v>1393</v>
      </c>
      <c r="J7" s="70" t="s">
        <v>1394</v>
      </c>
      <c r="K7" s="248">
        <v>0</v>
      </c>
      <c r="L7" s="70"/>
      <c r="M7" s="70" t="s">
        <v>39</v>
      </c>
      <c r="N7" s="70" t="s">
        <v>1395</v>
      </c>
      <c r="O7" s="241" t="s">
        <v>1236</v>
      </c>
    </row>
    <row r="8" spans="1:15" ht="18" customHeight="1">
      <c r="A8" s="207">
        <f>A7+1</f>
        <v>2</v>
      </c>
      <c r="B8" s="70" t="s">
        <v>1396</v>
      </c>
      <c r="C8" s="75" t="s">
        <v>1092</v>
      </c>
      <c r="D8" s="70" t="s">
        <v>1397</v>
      </c>
      <c r="E8" s="70"/>
      <c r="F8" s="75" t="s">
        <v>1398</v>
      </c>
      <c r="G8" s="71">
        <v>44209</v>
      </c>
      <c r="H8" s="71">
        <v>44225</v>
      </c>
      <c r="I8" s="77" t="s">
        <v>1399</v>
      </c>
      <c r="J8" s="70" t="s">
        <v>1400</v>
      </c>
      <c r="K8" s="249">
        <v>0</v>
      </c>
      <c r="L8" s="70"/>
      <c r="M8" s="70" t="s">
        <v>39</v>
      </c>
      <c r="N8" s="70" t="s">
        <v>1395</v>
      </c>
      <c r="O8" s="241" t="s">
        <v>1236</v>
      </c>
    </row>
    <row r="9" spans="1:15" ht="18" customHeight="1">
      <c r="A9" s="207">
        <f t="shared" ref="A9:A10" si="0">A8+1</f>
        <v>3</v>
      </c>
      <c r="B9" s="70" t="s">
        <v>1091</v>
      </c>
      <c r="C9" s="75" t="s">
        <v>1092</v>
      </c>
      <c r="D9" s="70" t="s">
        <v>1401</v>
      </c>
      <c r="E9" s="95"/>
      <c r="F9" s="76" t="s">
        <v>1402</v>
      </c>
      <c r="G9" s="71">
        <v>44209</v>
      </c>
      <c r="H9" s="71">
        <v>44225</v>
      </c>
      <c r="I9" s="77" t="s">
        <v>1403</v>
      </c>
      <c r="J9" s="70" t="s">
        <v>1404</v>
      </c>
      <c r="K9" s="250">
        <v>0</v>
      </c>
      <c r="L9" s="96"/>
      <c r="M9" s="70" t="s">
        <v>39</v>
      </c>
      <c r="N9" s="70" t="s">
        <v>1395</v>
      </c>
      <c r="O9" s="241" t="s">
        <v>1236</v>
      </c>
    </row>
    <row r="10" spans="1:15" ht="18" customHeight="1">
      <c r="A10" s="207">
        <f t="shared" si="0"/>
        <v>4</v>
      </c>
      <c r="B10" s="70" t="s">
        <v>1091</v>
      </c>
      <c r="C10" s="75" t="s">
        <v>1092</v>
      </c>
      <c r="D10" s="70" t="s">
        <v>1405</v>
      </c>
      <c r="E10" s="70"/>
      <c r="F10" s="75" t="s">
        <v>1406</v>
      </c>
      <c r="G10" s="71">
        <v>44209</v>
      </c>
      <c r="H10" s="71">
        <v>44225</v>
      </c>
      <c r="I10" s="77" t="s">
        <v>1407</v>
      </c>
      <c r="J10" s="70" t="s">
        <v>1408</v>
      </c>
      <c r="K10" s="248">
        <v>0</v>
      </c>
      <c r="L10" s="96"/>
      <c r="M10" s="70" t="s">
        <v>39</v>
      </c>
      <c r="N10" s="70" t="s">
        <v>1395</v>
      </c>
      <c r="O10" s="241" t="s">
        <v>1236</v>
      </c>
    </row>
    <row r="11" spans="1:15" ht="18" customHeight="1">
      <c r="A11" s="154">
        <v>5</v>
      </c>
      <c r="B11" s="70" t="s">
        <v>261</v>
      </c>
      <c r="C11" s="75" t="s">
        <v>1243</v>
      </c>
      <c r="D11" s="70" t="s">
        <v>1409</v>
      </c>
      <c r="E11" s="70" t="s">
        <v>1410</v>
      </c>
      <c r="F11" s="75" t="s">
        <v>1339</v>
      </c>
      <c r="G11" s="71">
        <v>44243</v>
      </c>
      <c r="H11" s="71">
        <v>44253</v>
      </c>
      <c r="I11" s="77" t="s">
        <v>1411</v>
      </c>
      <c r="J11" s="70" t="s">
        <v>468</v>
      </c>
      <c r="K11" s="248">
        <v>45000000</v>
      </c>
      <c r="L11" s="96"/>
      <c r="M11" s="70" t="s">
        <v>39</v>
      </c>
      <c r="N11" s="78" t="s">
        <v>1412</v>
      </c>
      <c r="O11" s="241" t="s">
        <v>1236</v>
      </c>
    </row>
    <row r="12" spans="1:15" ht="18" customHeight="1">
      <c r="A12" s="862">
        <v>6</v>
      </c>
      <c r="B12" s="108" t="s">
        <v>261</v>
      </c>
      <c r="C12" s="109" t="s">
        <v>1243</v>
      </c>
      <c r="D12" s="108" t="s">
        <v>1413</v>
      </c>
      <c r="E12" s="108" t="s">
        <v>1414</v>
      </c>
      <c r="F12" s="109" t="s">
        <v>1415</v>
      </c>
      <c r="G12" s="111">
        <v>44243</v>
      </c>
      <c r="H12" s="111">
        <v>44253</v>
      </c>
      <c r="I12" s="203" t="s">
        <v>1416</v>
      </c>
      <c r="J12" s="108" t="s">
        <v>468</v>
      </c>
      <c r="K12" s="251">
        <v>45000000</v>
      </c>
      <c r="L12" s="108"/>
      <c r="M12" s="108" t="s">
        <v>39</v>
      </c>
      <c r="N12" s="108" t="s">
        <v>1417</v>
      </c>
      <c r="O12" s="241" t="s">
        <v>1236</v>
      </c>
    </row>
    <row r="13" spans="1:15" ht="18" customHeight="1">
      <c r="A13" s="864"/>
      <c r="B13" s="123" t="s">
        <v>261</v>
      </c>
      <c r="C13" s="124" t="s">
        <v>1243</v>
      </c>
      <c r="D13" s="123" t="s">
        <v>1418</v>
      </c>
      <c r="E13" s="123" t="s">
        <v>1419</v>
      </c>
      <c r="F13" s="124" t="s">
        <v>1415</v>
      </c>
      <c r="G13" s="126">
        <v>44243</v>
      </c>
      <c r="H13" s="126">
        <v>44253</v>
      </c>
      <c r="I13" s="205" t="s">
        <v>1416</v>
      </c>
      <c r="J13" s="123" t="s">
        <v>468</v>
      </c>
      <c r="K13" s="252">
        <v>45000000</v>
      </c>
      <c r="L13" s="123"/>
      <c r="M13" s="123" t="s">
        <v>39</v>
      </c>
      <c r="N13" s="123" t="s">
        <v>1417</v>
      </c>
      <c r="O13" s="241" t="s">
        <v>1236</v>
      </c>
    </row>
    <row r="14" spans="1:15" ht="18" customHeight="1">
      <c r="A14" s="863"/>
      <c r="B14" s="114" t="s">
        <v>261</v>
      </c>
      <c r="C14" s="115" t="s">
        <v>1243</v>
      </c>
      <c r="D14" s="114" t="s">
        <v>1420</v>
      </c>
      <c r="E14" s="114" t="s">
        <v>1421</v>
      </c>
      <c r="F14" s="115" t="s">
        <v>1415</v>
      </c>
      <c r="G14" s="117">
        <v>44243</v>
      </c>
      <c r="H14" s="117">
        <v>44253</v>
      </c>
      <c r="I14" s="204" t="s">
        <v>1416</v>
      </c>
      <c r="J14" s="114" t="s">
        <v>468</v>
      </c>
      <c r="K14" s="253">
        <v>45000000</v>
      </c>
      <c r="L14" s="114"/>
      <c r="M14" s="114" t="s">
        <v>39</v>
      </c>
      <c r="N14" s="114" t="s">
        <v>1417</v>
      </c>
      <c r="O14" s="241" t="s">
        <v>1236</v>
      </c>
    </row>
    <row r="15" spans="1:15" ht="18" customHeight="1">
      <c r="A15" s="862">
        <v>7</v>
      </c>
      <c r="B15" s="108" t="s">
        <v>261</v>
      </c>
      <c r="C15" s="109" t="s">
        <v>1243</v>
      </c>
      <c r="D15" s="108" t="s">
        <v>1422</v>
      </c>
      <c r="E15" s="108" t="s">
        <v>1423</v>
      </c>
      <c r="F15" s="109" t="s">
        <v>1424</v>
      </c>
      <c r="G15" s="111">
        <v>44243</v>
      </c>
      <c r="H15" s="111">
        <v>44253</v>
      </c>
      <c r="I15" s="203" t="s">
        <v>1425</v>
      </c>
      <c r="J15" s="108" t="s">
        <v>930</v>
      </c>
      <c r="K15" s="251">
        <v>30000000</v>
      </c>
      <c r="L15" s="108"/>
      <c r="M15" s="108" t="s">
        <v>39</v>
      </c>
      <c r="N15" s="108" t="s">
        <v>1245</v>
      </c>
      <c r="O15" s="241" t="s">
        <v>1236</v>
      </c>
    </row>
    <row r="16" spans="1:15" ht="18" customHeight="1">
      <c r="A16" s="863"/>
      <c r="B16" s="114" t="s">
        <v>261</v>
      </c>
      <c r="C16" s="115" t="s">
        <v>1243</v>
      </c>
      <c r="D16" s="114" t="s">
        <v>1426</v>
      </c>
      <c r="E16" s="114" t="s">
        <v>1427</v>
      </c>
      <c r="F16" s="115" t="s">
        <v>1424</v>
      </c>
      <c r="G16" s="117">
        <v>44243</v>
      </c>
      <c r="H16" s="117">
        <v>44253</v>
      </c>
      <c r="I16" s="204" t="s">
        <v>1425</v>
      </c>
      <c r="J16" s="114" t="s">
        <v>844</v>
      </c>
      <c r="K16" s="253">
        <v>20000000</v>
      </c>
      <c r="L16" s="114"/>
      <c r="M16" s="114" t="s">
        <v>39</v>
      </c>
      <c r="N16" s="114" t="s">
        <v>1245</v>
      </c>
      <c r="O16" s="241" t="s">
        <v>1236</v>
      </c>
    </row>
    <row r="17" spans="1:16" ht="18" customHeight="1">
      <c r="A17" s="862">
        <v>8</v>
      </c>
      <c r="B17" s="108" t="s">
        <v>261</v>
      </c>
      <c r="C17" s="109" t="s">
        <v>1243</v>
      </c>
      <c r="D17" s="108" t="s">
        <v>1428</v>
      </c>
      <c r="E17" s="108" t="s">
        <v>1429</v>
      </c>
      <c r="F17" s="109" t="s">
        <v>1430</v>
      </c>
      <c r="G17" s="111">
        <v>44243</v>
      </c>
      <c r="H17" s="111">
        <v>44253</v>
      </c>
      <c r="I17" s="204" t="s">
        <v>1431</v>
      </c>
      <c r="J17" s="108" t="s">
        <v>468</v>
      </c>
      <c r="K17" s="251">
        <v>25454545</v>
      </c>
      <c r="L17" s="108"/>
      <c r="M17" s="108" t="s">
        <v>39</v>
      </c>
      <c r="N17" s="108" t="s">
        <v>1432</v>
      </c>
      <c r="O17" s="241" t="s">
        <v>1236</v>
      </c>
    </row>
    <row r="18" spans="1:16" ht="18" customHeight="1">
      <c r="A18" s="864"/>
      <c r="B18" s="123" t="s">
        <v>261</v>
      </c>
      <c r="C18" s="124" t="s">
        <v>1243</v>
      </c>
      <c r="D18" s="123" t="s">
        <v>1433</v>
      </c>
      <c r="E18" s="123" t="s">
        <v>1434</v>
      </c>
      <c r="F18" s="124" t="s">
        <v>1430</v>
      </c>
      <c r="G18" s="126">
        <v>44243</v>
      </c>
      <c r="H18" s="126">
        <v>44253</v>
      </c>
      <c r="I18" s="205" t="s">
        <v>1431</v>
      </c>
      <c r="J18" s="123" t="s">
        <v>468</v>
      </c>
      <c r="K18" s="252">
        <v>27272727</v>
      </c>
      <c r="L18" s="123"/>
      <c r="M18" s="123" t="s">
        <v>39</v>
      </c>
      <c r="N18" s="123" t="s">
        <v>1432</v>
      </c>
      <c r="O18" s="241" t="s">
        <v>1236</v>
      </c>
    </row>
    <row r="19" spans="1:16" ht="18" customHeight="1">
      <c r="A19" s="864"/>
      <c r="B19" s="123" t="s">
        <v>261</v>
      </c>
      <c r="C19" s="124" t="s">
        <v>1243</v>
      </c>
      <c r="D19" s="123" t="s">
        <v>1435</v>
      </c>
      <c r="E19" s="123" t="s">
        <v>1436</v>
      </c>
      <c r="F19" s="124" t="s">
        <v>1430</v>
      </c>
      <c r="G19" s="126">
        <v>44243</v>
      </c>
      <c r="H19" s="126">
        <v>44253</v>
      </c>
      <c r="I19" s="205" t="s">
        <v>1431</v>
      </c>
      <c r="J19" s="123" t="s">
        <v>468</v>
      </c>
      <c r="K19" s="252">
        <v>31818182</v>
      </c>
      <c r="L19" s="123"/>
      <c r="M19" s="123" t="s">
        <v>39</v>
      </c>
      <c r="N19" s="123" t="s">
        <v>1432</v>
      </c>
      <c r="O19" s="241" t="s">
        <v>1236</v>
      </c>
    </row>
    <row r="20" spans="1:16" ht="18" customHeight="1">
      <c r="A20" s="864"/>
      <c r="B20" s="123" t="s">
        <v>261</v>
      </c>
      <c r="C20" s="124" t="s">
        <v>1243</v>
      </c>
      <c r="D20" s="123" t="s">
        <v>1437</v>
      </c>
      <c r="E20" s="123" t="s">
        <v>1438</v>
      </c>
      <c r="F20" s="124" t="s">
        <v>1430</v>
      </c>
      <c r="G20" s="126">
        <v>44243</v>
      </c>
      <c r="H20" s="126">
        <v>44253</v>
      </c>
      <c r="I20" s="205" t="s">
        <v>1431</v>
      </c>
      <c r="J20" s="123" t="s">
        <v>468</v>
      </c>
      <c r="K20" s="252">
        <v>44636364</v>
      </c>
      <c r="L20" s="123"/>
      <c r="M20" s="123" t="s">
        <v>39</v>
      </c>
      <c r="N20" s="123" t="s">
        <v>1432</v>
      </c>
      <c r="O20" s="241" t="s">
        <v>1236</v>
      </c>
    </row>
    <row r="21" spans="1:16" ht="18" customHeight="1">
      <c r="A21" s="864"/>
      <c r="B21" s="123" t="s">
        <v>261</v>
      </c>
      <c r="C21" s="124" t="s">
        <v>1243</v>
      </c>
      <c r="D21" s="123" t="s">
        <v>1439</v>
      </c>
      <c r="E21" s="123" t="s">
        <v>1440</v>
      </c>
      <c r="F21" s="124" t="s">
        <v>1430</v>
      </c>
      <c r="G21" s="126">
        <v>44243</v>
      </c>
      <c r="H21" s="126">
        <v>44253</v>
      </c>
      <c r="I21" s="205" t="s">
        <v>1431</v>
      </c>
      <c r="J21" s="123" t="s">
        <v>468</v>
      </c>
      <c r="K21" s="252">
        <v>32272727</v>
      </c>
      <c r="L21" s="123"/>
      <c r="M21" s="123" t="s">
        <v>39</v>
      </c>
      <c r="N21" s="123" t="s">
        <v>1432</v>
      </c>
      <c r="O21" s="241" t="s">
        <v>1236</v>
      </c>
    </row>
    <row r="22" spans="1:16" ht="18" customHeight="1">
      <c r="A22" s="863"/>
      <c r="B22" s="114" t="s">
        <v>261</v>
      </c>
      <c r="C22" s="115" t="s">
        <v>1243</v>
      </c>
      <c r="D22" s="114" t="s">
        <v>1441</v>
      </c>
      <c r="E22" s="114" t="s">
        <v>1442</v>
      </c>
      <c r="F22" s="115" t="s">
        <v>1430</v>
      </c>
      <c r="G22" s="117">
        <v>44243</v>
      </c>
      <c r="H22" s="117">
        <v>44253</v>
      </c>
      <c r="I22" s="204" t="s">
        <v>1431</v>
      </c>
      <c r="J22" s="114" t="s">
        <v>468</v>
      </c>
      <c r="K22" s="253">
        <v>29272727</v>
      </c>
      <c r="L22" s="114"/>
      <c r="M22" s="114" t="s">
        <v>39</v>
      </c>
      <c r="N22" s="114" t="s">
        <v>1432</v>
      </c>
      <c r="O22" s="241" t="s">
        <v>1236</v>
      </c>
    </row>
    <row r="23" spans="1:16" ht="18" customHeight="1">
      <c r="A23" s="862">
        <v>9</v>
      </c>
      <c r="B23" s="108" t="s">
        <v>261</v>
      </c>
      <c r="C23" s="109" t="s">
        <v>1243</v>
      </c>
      <c r="D23" s="108" t="s">
        <v>1443</v>
      </c>
      <c r="E23" s="108" t="s">
        <v>1444</v>
      </c>
      <c r="F23" s="109" t="s">
        <v>1357</v>
      </c>
      <c r="G23" s="111">
        <v>44243</v>
      </c>
      <c r="H23" s="111">
        <v>44253</v>
      </c>
      <c r="I23" s="203" t="s">
        <v>1445</v>
      </c>
      <c r="J23" s="108" t="s">
        <v>468</v>
      </c>
      <c r="K23" s="251">
        <v>36363636</v>
      </c>
      <c r="L23" s="108"/>
      <c r="M23" s="108" t="s">
        <v>39</v>
      </c>
      <c r="N23" s="108" t="s">
        <v>1446</v>
      </c>
      <c r="O23" s="241" t="s">
        <v>1236</v>
      </c>
    </row>
    <row r="24" spans="1:16" ht="18" customHeight="1">
      <c r="A24" s="863"/>
      <c r="B24" s="114" t="s">
        <v>261</v>
      </c>
      <c r="C24" s="115" t="s">
        <v>1243</v>
      </c>
      <c r="D24" s="114" t="s">
        <v>1447</v>
      </c>
      <c r="E24" s="114" t="s">
        <v>1448</v>
      </c>
      <c r="F24" s="115" t="s">
        <v>1357</v>
      </c>
      <c r="G24" s="117">
        <v>44243</v>
      </c>
      <c r="H24" s="117">
        <v>44253</v>
      </c>
      <c r="I24" s="204" t="s">
        <v>1445</v>
      </c>
      <c r="J24" s="114" t="s">
        <v>468</v>
      </c>
      <c r="K24" s="253">
        <v>40909091</v>
      </c>
      <c r="L24" s="114"/>
      <c r="M24" s="114" t="s">
        <v>39</v>
      </c>
      <c r="N24" s="114" t="s">
        <v>1446</v>
      </c>
      <c r="O24" s="241" t="s">
        <v>1236</v>
      </c>
    </row>
    <row r="25" spans="1:16" ht="18" customHeight="1">
      <c r="A25" s="862">
        <v>10</v>
      </c>
      <c r="B25" s="108" t="s">
        <v>138</v>
      </c>
      <c r="C25" s="109" t="s">
        <v>1237</v>
      </c>
      <c r="D25" s="108" t="s">
        <v>1449</v>
      </c>
      <c r="E25" s="108" t="s">
        <v>1450</v>
      </c>
      <c r="F25" s="109" t="s">
        <v>1451</v>
      </c>
      <c r="G25" s="111">
        <v>44253</v>
      </c>
      <c r="H25" s="111">
        <v>44286</v>
      </c>
      <c r="I25" s="203" t="s">
        <v>1452</v>
      </c>
      <c r="J25" s="108" t="s">
        <v>468</v>
      </c>
      <c r="K25" s="251">
        <v>20000000</v>
      </c>
      <c r="L25" s="108"/>
      <c r="M25" s="108" t="s">
        <v>39</v>
      </c>
      <c r="N25" s="108" t="s">
        <v>1453</v>
      </c>
      <c r="O25" s="241" t="s">
        <v>1236</v>
      </c>
    </row>
    <row r="26" spans="1:16" ht="18" customHeight="1">
      <c r="A26" s="864"/>
      <c r="B26" s="123" t="s">
        <v>138</v>
      </c>
      <c r="C26" s="124" t="s">
        <v>1237</v>
      </c>
      <c r="D26" s="123" t="s">
        <v>1454</v>
      </c>
      <c r="E26" s="123" t="s">
        <v>1455</v>
      </c>
      <c r="F26" s="124" t="s">
        <v>1451</v>
      </c>
      <c r="G26" s="126">
        <v>44253</v>
      </c>
      <c r="H26" s="126">
        <v>44286</v>
      </c>
      <c r="I26" s="205" t="s">
        <v>1452</v>
      </c>
      <c r="J26" s="123" t="s">
        <v>468</v>
      </c>
      <c r="K26" s="252">
        <v>20000000</v>
      </c>
      <c r="L26" s="123"/>
      <c r="M26" s="123" t="s">
        <v>39</v>
      </c>
      <c r="N26" s="123" t="s">
        <v>1453</v>
      </c>
      <c r="O26" s="241" t="s">
        <v>1236</v>
      </c>
    </row>
    <row r="27" spans="1:16" ht="18" customHeight="1">
      <c r="A27" s="863"/>
      <c r="B27" s="114" t="s">
        <v>138</v>
      </c>
      <c r="C27" s="115" t="s">
        <v>1237</v>
      </c>
      <c r="D27" s="114" t="s">
        <v>1456</v>
      </c>
      <c r="E27" s="114" t="s">
        <v>1457</v>
      </c>
      <c r="F27" s="115" t="s">
        <v>1451</v>
      </c>
      <c r="G27" s="117">
        <v>44253</v>
      </c>
      <c r="H27" s="117">
        <v>44286</v>
      </c>
      <c r="I27" s="204" t="s">
        <v>1452</v>
      </c>
      <c r="J27" s="114" t="s">
        <v>468</v>
      </c>
      <c r="K27" s="253">
        <v>15000000</v>
      </c>
      <c r="L27" s="153"/>
      <c r="M27" s="114" t="s">
        <v>39</v>
      </c>
      <c r="N27" s="114" t="s">
        <v>1453</v>
      </c>
      <c r="O27" s="241" t="s">
        <v>1236</v>
      </c>
      <c r="P27" s="273"/>
    </row>
    <row r="28" spans="1:16" ht="18" customHeight="1">
      <c r="A28" s="211">
        <v>11</v>
      </c>
      <c r="B28" s="73" t="s">
        <v>110</v>
      </c>
      <c r="C28" s="94">
        <v>502</v>
      </c>
      <c r="D28" s="73" t="s">
        <v>1191</v>
      </c>
      <c r="E28" s="73"/>
      <c r="F28" s="94" t="s">
        <v>1239</v>
      </c>
      <c r="G28" s="74">
        <v>44253</v>
      </c>
      <c r="H28" s="74">
        <v>44286</v>
      </c>
      <c r="I28" s="209" t="s">
        <v>1458</v>
      </c>
      <c r="J28" s="73" t="s">
        <v>1459</v>
      </c>
      <c r="K28" s="254">
        <v>587130000</v>
      </c>
      <c r="L28" s="206" t="s">
        <v>88</v>
      </c>
      <c r="M28" s="73"/>
      <c r="N28" s="210" t="s">
        <v>1220</v>
      </c>
      <c r="O28" s="241" t="s">
        <v>1236</v>
      </c>
      <c r="P28" s="273"/>
    </row>
    <row r="29" spans="1:16" ht="18" customHeight="1">
      <c r="A29" s="225">
        <v>12</v>
      </c>
      <c r="B29" s="108" t="s">
        <v>142</v>
      </c>
      <c r="C29" s="94">
        <v>502</v>
      </c>
      <c r="D29" s="108" t="s">
        <v>1192</v>
      </c>
      <c r="E29" s="108" t="s">
        <v>142</v>
      </c>
      <c r="F29" s="109" t="s">
        <v>1460</v>
      </c>
      <c r="G29" s="111">
        <v>44265</v>
      </c>
      <c r="H29" s="111">
        <v>44286</v>
      </c>
      <c r="I29" s="203" t="s">
        <v>1461</v>
      </c>
      <c r="J29" s="108" t="s">
        <v>1462</v>
      </c>
      <c r="K29" s="251">
        <v>337000000</v>
      </c>
      <c r="L29" s="112" t="s">
        <v>88</v>
      </c>
      <c r="M29" s="108"/>
      <c r="N29" s="213" t="s">
        <v>1463</v>
      </c>
      <c r="O29" s="241" t="s">
        <v>1236</v>
      </c>
      <c r="P29" s="273"/>
    </row>
    <row r="30" spans="1:16" ht="18" customHeight="1">
      <c r="A30" s="898">
        <v>13</v>
      </c>
      <c r="B30" s="108" t="s">
        <v>132</v>
      </c>
      <c r="C30" s="109" t="s">
        <v>133</v>
      </c>
      <c r="D30" s="108" t="s">
        <v>1464</v>
      </c>
      <c r="E30" s="108" t="s">
        <v>1465</v>
      </c>
      <c r="F30" s="109" t="s">
        <v>133</v>
      </c>
      <c r="G30" s="111">
        <v>44267</v>
      </c>
      <c r="H30" s="111">
        <v>44286</v>
      </c>
      <c r="I30" s="203" t="s">
        <v>1466</v>
      </c>
      <c r="J30" s="108" t="s">
        <v>468</v>
      </c>
      <c r="K30" s="251">
        <v>25000000</v>
      </c>
      <c r="L30" s="112"/>
      <c r="M30" s="108" t="s">
        <v>39</v>
      </c>
      <c r="N30" s="213" t="s">
        <v>1453</v>
      </c>
      <c r="O30" s="241" t="s">
        <v>1236</v>
      </c>
      <c r="P30" s="273"/>
    </row>
    <row r="31" spans="1:16" ht="18" customHeight="1">
      <c r="A31" s="900"/>
      <c r="B31" s="114" t="s">
        <v>132</v>
      </c>
      <c r="C31" s="115" t="s">
        <v>133</v>
      </c>
      <c r="D31" s="114" t="s">
        <v>1467</v>
      </c>
      <c r="E31" s="114" t="s">
        <v>1468</v>
      </c>
      <c r="F31" s="115" t="s">
        <v>133</v>
      </c>
      <c r="G31" s="117">
        <v>44267</v>
      </c>
      <c r="H31" s="117">
        <v>44286</v>
      </c>
      <c r="I31" s="204" t="s">
        <v>1466</v>
      </c>
      <c r="J31" s="114" t="s">
        <v>468</v>
      </c>
      <c r="K31" s="253">
        <v>25000000</v>
      </c>
      <c r="L31" s="153"/>
      <c r="M31" s="114" t="s">
        <v>39</v>
      </c>
      <c r="N31" s="216" t="s">
        <v>1453</v>
      </c>
      <c r="O31" s="241" t="s">
        <v>1236</v>
      </c>
      <c r="P31" s="273"/>
    </row>
    <row r="32" spans="1:16" ht="18" customHeight="1">
      <c r="A32" s="211">
        <v>14</v>
      </c>
      <c r="B32" s="73" t="s">
        <v>142</v>
      </c>
      <c r="C32" s="94" t="s">
        <v>143</v>
      </c>
      <c r="D32" s="73" t="s">
        <v>421</v>
      </c>
      <c r="E32" s="73" t="s">
        <v>142</v>
      </c>
      <c r="F32" s="94" t="s">
        <v>1469</v>
      </c>
      <c r="G32" s="74">
        <v>44270</v>
      </c>
      <c r="H32" s="74">
        <v>44286</v>
      </c>
      <c r="I32" s="209" t="s">
        <v>1470</v>
      </c>
      <c r="J32" s="73" t="s">
        <v>411</v>
      </c>
      <c r="K32" s="254">
        <v>1487754320</v>
      </c>
      <c r="L32" s="206" t="s">
        <v>88</v>
      </c>
      <c r="M32" s="73"/>
      <c r="N32" s="210" t="s">
        <v>1061</v>
      </c>
      <c r="O32" s="241" t="s">
        <v>1236</v>
      </c>
      <c r="P32" s="273"/>
    </row>
    <row r="33" spans="1:16" ht="18" customHeight="1">
      <c r="A33" s="898">
        <v>15</v>
      </c>
      <c r="B33" s="108" t="s">
        <v>138</v>
      </c>
      <c r="C33" s="109" t="s">
        <v>1237</v>
      </c>
      <c r="D33" s="108" t="s">
        <v>902</v>
      </c>
      <c r="E33" s="108" t="s">
        <v>901</v>
      </c>
      <c r="F33" s="109" t="s">
        <v>1471</v>
      </c>
      <c r="G33" s="111">
        <v>44272</v>
      </c>
      <c r="H33" s="111">
        <v>44308</v>
      </c>
      <c r="I33" s="203" t="s">
        <v>1472</v>
      </c>
      <c r="J33" s="108" t="s">
        <v>1473</v>
      </c>
      <c r="K33" s="251">
        <v>188114886</v>
      </c>
      <c r="L33" s="112" t="s">
        <v>88</v>
      </c>
      <c r="M33" s="108"/>
      <c r="N33" s="213" t="s">
        <v>1251</v>
      </c>
      <c r="O33" s="241" t="s">
        <v>1236</v>
      </c>
      <c r="P33" s="273"/>
    </row>
    <row r="34" spans="1:16" ht="18" customHeight="1">
      <c r="A34" s="899"/>
      <c r="B34" s="123" t="s">
        <v>138</v>
      </c>
      <c r="C34" s="124" t="s">
        <v>1237</v>
      </c>
      <c r="D34" s="123" t="s">
        <v>904</v>
      </c>
      <c r="E34" s="123" t="s">
        <v>903</v>
      </c>
      <c r="F34" s="124" t="s">
        <v>1471</v>
      </c>
      <c r="G34" s="126">
        <v>44272</v>
      </c>
      <c r="H34" s="126">
        <v>44308</v>
      </c>
      <c r="I34" s="205" t="s">
        <v>1472</v>
      </c>
      <c r="J34" s="123" t="s">
        <v>1473</v>
      </c>
      <c r="K34" s="252">
        <v>188114886</v>
      </c>
      <c r="L34" s="214" t="s">
        <v>88</v>
      </c>
      <c r="M34" s="123"/>
      <c r="N34" s="215" t="s">
        <v>1251</v>
      </c>
      <c r="O34" s="241" t="s">
        <v>1236</v>
      </c>
      <c r="P34" s="273"/>
    </row>
    <row r="35" spans="1:16" ht="18" customHeight="1">
      <c r="A35" s="899"/>
      <c r="B35" s="123" t="s">
        <v>138</v>
      </c>
      <c r="C35" s="124" t="s">
        <v>1237</v>
      </c>
      <c r="D35" s="123" t="s">
        <v>906</v>
      </c>
      <c r="E35" s="123" t="s">
        <v>905</v>
      </c>
      <c r="F35" s="124" t="s">
        <v>1471</v>
      </c>
      <c r="G35" s="126">
        <v>44272</v>
      </c>
      <c r="H35" s="126">
        <v>44308</v>
      </c>
      <c r="I35" s="205" t="s">
        <v>1472</v>
      </c>
      <c r="J35" s="123" t="s">
        <v>1473</v>
      </c>
      <c r="K35" s="252">
        <v>188114886</v>
      </c>
      <c r="L35" s="214" t="s">
        <v>88</v>
      </c>
      <c r="M35" s="123"/>
      <c r="N35" s="215" t="s">
        <v>1251</v>
      </c>
      <c r="O35" s="241" t="s">
        <v>1236</v>
      </c>
      <c r="P35" s="273"/>
    </row>
    <row r="36" spans="1:16" ht="18" customHeight="1">
      <c r="A36" s="900"/>
      <c r="B36" s="114" t="s">
        <v>138</v>
      </c>
      <c r="C36" s="115" t="s">
        <v>1237</v>
      </c>
      <c r="D36" s="114" t="s">
        <v>908</v>
      </c>
      <c r="E36" s="114" t="s">
        <v>907</v>
      </c>
      <c r="F36" s="116" t="s">
        <v>1471</v>
      </c>
      <c r="G36" s="117">
        <v>44272</v>
      </c>
      <c r="H36" s="117">
        <v>44308</v>
      </c>
      <c r="I36" s="204" t="s">
        <v>1472</v>
      </c>
      <c r="J36" s="114" t="s">
        <v>1473</v>
      </c>
      <c r="K36" s="253">
        <v>188114886</v>
      </c>
      <c r="L36" s="153" t="s">
        <v>88</v>
      </c>
      <c r="M36" s="114"/>
      <c r="N36" s="118" t="s">
        <v>1251</v>
      </c>
      <c r="O36" s="241" t="s">
        <v>1236</v>
      </c>
      <c r="P36" s="273"/>
    </row>
    <row r="37" spans="1:16" ht="18" customHeight="1">
      <c r="A37" s="211">
        <v>16</v>
      </c>
      <c r="B37" s="73" t="s">
        <v>132</v>
      </c>
      <c r="C37" s="94" t="s">
        <v>133</v>
      </c>
      <c r="D37" s="73" t="s">
        <v>912</v>
      </c>
      <c r="E37" s="73" t="s">
        <v>911</v>
      </c>
      <c r="F37" s="94" t="s">
        <v>1474</v>
      </c>
      <c r="G37" s="74">
        <v>44272</v>
      </c>
      <c r="H37" s="74">
        <v>44286</v>
      </c>
      <c r="I37" s="209" t="s">
        <v>1475</v>
      </c>
      <c r="J37" s="73" t="s">
        <v>466</v>
      </c>
      <c r="K37" s="254">
        <v>750000000</v>
      </c>
      <c r="L37" s="206" t="s">
        <v>88</v>
      </c>
      <c r="M37" s="73"/>
      <c r="N37" s="210" t="s">
        <v>1476</v>
      </c>
      <c r="O37" s="241" t="s">
        <v>1236</v>
      </c>
      <c r="P37" s="273"/>
    </row>
    <row r="38" spans="1:16" s="101" customFormat="1" ht="18" customHeight="1">
      <c r="A38" s="222">
        <v>17</v>
      </c>
      <c r="B38" s="141" t="s">
        <v>261</v>
      </c>
      <c r="C38" s="142" t="s">
        <v>1243</v>
      </c>
      <c r="D38" s="223" t="s">
        <v>910</v>
      </c>
      <c r="E38" s="141" t="s">
        <v>909</v>
      </c>
      <c r="F38" s="220" t="s">
        <v>1477</v>
      </c>
      <c r="G38" s="144">
        <v>44278</v>
      </c>
      <c r="H38" s="144">
        <v>44316</v>
      </c>
      <c r="I38" s="219" t="s">
        <v>1478</v>
      </c>
      <c r="J38" s="141" t="s">
        <v>1473</v>
      </c>
      <c r="K38" s="255">
        <v>188114886</v>
      </c>
      <c r="L38" s="224" t="s">
        <v>88</v>
      </c>
      <c r="M38" s="208"/>
      <c r="N38" s="145" t="s">
        <v>1251</v>
      </c>
      <c r="O38" s="227" t="s">
        <v>1236</v>
      </c>
      <c r="P38" s="198"/>
    </row>
    <row r="39" spans="1:16" s="101" customFormat="1" ht="27" customHeight="1">
      <c r="A39" s="207">
        <v>18</v>
      </c>
      <c r="B39" s="70" t="s">
        <v>261</v>
      </c>
      <c r="C39" s="75" t="s">
        <v>1243</v>
      </c>
      <c r="D39" s="221" t="s">
        <v>1479</v>
      </c>
      <c r="E39" s="70" t="s">
        <v>1480</v>
      </c>
      <c r="F39" s="106" t="s">
        <v>1257</v>
      </c>
      <c r="G39" s="144">
        <v>44278</v>
      </c>
      <c r="H39" s="71">
        <v>44286</v>
      </c>
      <c r="I39" s="77" t="s">
        <v>1481</v>
      </c>
      <c r="J39" s="70" t="s">
        <v>538</v>
      </c>
      <c r="K39" s="248">
        <v>22727273</v>
      </c>
      <c r="L39" s="70"/>
      <c r="M39" s="70" t="s">
        <v>39</v>
      </c>
      <c r="N39" s="70" t="s">
        <v>1446</v>
      </c>
      <c r="O39" s="227" t="s">
        <v>1236</v>
      </c>
      <c r="P39" s="198"/>
    </row>
    <row r="40" spans="1:16" s="101" customFormat="1" ht="18" customHeight="1">
      <c r="A40" s="207">
        <v>19</v>
      </c>
      <c r="B40" s="70" t="s">
        <v>135</v>
      </c>
      <c r="C40" s="75" t="s">
        <v>1258</v>
      </c>
      <c r="D40" s="221" t="s">
        <v>1482</v>
      </c>
      <c r="E40" s="70"/>
      <c r="F40" s="106" t="s">
        <v>1483</v>
      </c>
      <c r="G40" s="71">
        <v>44280</v>
      </c>
      <c r="H40" s="71">
        <v>44286</v>
      </c>
      <c r="I40" s="77" t="s">
        <v>1484</v>
      </c>
      <c r="J40" s="70" t="s">
        <v>1485</v>
      </c>
      <c r="K40" s="248">
        <v>0</v>
      </c>
      <c r="L40" s="70"/>
      <c r="M40" s="70" t="s">
        <v>39</v>
      </c>
      <c r="N40" s="70" t="s">
        <v>135</v>
      </c>
      <c r="O40" s="227" t="s">
        <v>1236</v>
      </c>
      <c r="P40" s="198"/>
    </row>
    <row r="41" spans="1:16" s="101" customFormat="1" ht="18" customHeight="1">
      <c r="A41" s="862">
        <v>20</v>
      </c>
      <c r="B41" s="108" t="s">
        <v>138</v>
      </c>
      <c r="C41" s="109" t="s">
        <v>1237</v>
      </c>
      <c r="D41" s="212" t="s">
        <v>1486</v>
      </c>
      <c r="E41" s="108" t="s">
        <v>1487</v>
      </c>
      <c r="F41" s="136" t="s">
        <v>1488</v>
      </c>
      <c r="G41" s="111">
        <v>44284</v>
      </c>
      <c r="H41" s="111">
        <v>44316</v>
      </c>
      <c r="I41" s="203" t="s">
        <v>1489</v>
      </c>
      <c r="J41" s="108" t="s">
        <v>1490</v>
      </c>
      <c r="K41" s="251">
        <v>73636364</v>
      </c>
      <c r="L41" s="108"/>
      <c r="M41" s="108" t="s">
        <v>39</v>
      </c>
      <c r="N41" s="108" t="s">
        <v>1248</v>
      </c>
      <c r="O41" s="227" t="s">
        <v>1236</v>
      </c>
      <c r="P41" s="198"/>
    </row>
    <row r="42" spans="1:16" s="101" customFormat="1" ht="18" customHeight="1">
      <c r="A42" s="864"/>
      <c r="B42" s="123" t="s">
        <v>138</v>
      </c>
      <c r="C42" s="124" t="s">
        <v>1237</v>
      </c>
      <c r="D42" s="140" t="s">
        <v>1491</v>
      </c>
      <c r="E42" s="123" t="s">
        <v>1492</v>
      </c>
      <c r="F42" s="137" t="s">
        <v>1493</v>
      </c>
      <c r="G42" s="126">
        <v>44284</v>
      </c>
      <c r="H42" s="126">
        <v>44316</v>
      </c>
      <c r="I42" s="205" t="s">
        <v>1489</v>
      </c>
      <c r="J42" s="123" t="s">
        <v>538</v>
      </c>
      <c r="K42" s="252">
        <v>63636364</v>
      </c>
      <c r="L42" s="123"/>
      <c r="M42" s="123" t="s">
        <v>39</v>
      </c>
      <c r="N42" s="123" t="s">
        <v>1248</v>
      </c>
      <c r="O42" s="227" t="s">
        <v>1236</v>
      </c>
      <c r="P42" s="198"/>
    </row>
    <row r="43" spans="1:16" s="101" customFormat="1" ht="18" customHeight="1">
      <c r="A43" s="864"/>
      <c r="B43" s="123" t="s">
        <v>138</v>
      </c>
      <c r="C43" s="124" t="s">
        <v>1237</v>
      </c>
      <c r="D43" s="140" t="s">
        <v>1494</v>
      </c>
      <c r="E43" s="123" t="s">
        <v>1495</v>
      </c>
      <c r="F43" s="137" t="s">
        <v>1496</v>
      </c>
      <c r="G43" s="126">
        <v>44284</v>
      </c>
      <c r="H43" s="126">
        <v>44316</v>
      </c>
      <c r="I43" s="205" t="s">
        <v>1489</v>
      </c>
      <c r="J43" s="123" t="s">
        <v>538</v>
      </c>
      <c r="K43" s="252">
        <v>65909090</v>
      </c>
      <c r="L43" s="123"/>
      <c r="M43" s="123" t="s">
        <v>39</v>
      </c>
      <c r="N43" s="123" t="s">
        <v>1248</v>
      </c>
      <c r="O43" s="227" t="s">
        <v>1236</v>
      </c>
      <c r="P43" s="198"/>
    </row>
    <row r="44" spans="1:16" s="101" customFormat="1" ht="18" customHeight="1">
      <c r="A44" s="863"/>
      <c r="B44" s="70" t="s">
        <v>138</v>
      </c>
      <c r="C44" s="115" t="s">
        <v>1237</v>
      </c>
      <c r="D44" s="138" t="s">
        <v>1497</v>
      </c>
      <c r="E44" s="114" t="s">
        <v>1498</v>
      </c>
      <c r="F44" s="139" t="s">
        <v>1499</v>
      </c>
      <c r="G44" s="117">
        <v>44284</v>
      </c>
      <c r="H44" s="117">
        <v>44316</v>
      </c>
      <c r="I44" s="204" t="s">
        <v>1489</v>
      </c>
      <c r="J44" s="114" t="s">
        <v>538</v>
      </c>
      <c r="K44" s="253">
        <v>63636364</v>
      </c>
      <c r="L44" s="114"/>
      <c r="M44" s="114" t="s">
        <v>39</v>
      </c>
      <c r="N44" s="114" t="s">
        <v>1248</v>
      </c>
      <c r="O44" s="227" t="s">
        <v>1236</v>
      </c>
      <c r="P44" s="198"/>
    </row>
    <row r="45" spans="1:16" s="101" customFormat="1" ht="18" customHeight="1">
      <c r="A45" s="898">
        <v>21</v>
      </c>
      <c r="B45" s="108" t="s">
        <v>138</v>
      </c>
      <c r="C45" s="109" t="s">
        <v>1237</v>
      </c>
      <c r="D45" s="217" t="s">
        <v>428</v>
      </c>
      <c r="E45" s="108" t="s">
        <v>427</v>
      </c>
      <c r="F45" s="136" t="s">
        <v>1500</v>
      </c>
      <c r="G45" s="111">
        <v>44295</v>
      </c>
      <c r="H45" s="111">
        <v>44316</v>
      </c>
      <c r="I45" s="203" t="s">
        <v>1501</v>
      </c>
      <c r="J45" s="108" t="s">
        <v>1502</v>
      </c>
      <c r="K45" s="251">
        <v>24000000</v>
      </c>
      <c r="L45" s="108" t="s">
        <v>88</v>
      </c>
      <c r="M45" s="108"/>
      <c r="N45" s="113" t="s">
        <v>1503</v>
      </c>
      <c r="O45" s="227" t="s">
        <v>1236</v>
      </c>
      <c r="P45" s="198"/>
    </row>
    <row r="46" spans="1:16" s="101" customFormat="1" ht="18" customHeight="1">
      <c r="A46" s="900"/>
      <c r="B46" s="114" t="s">
        <v>138</v>
      </c>
      <c r="C46" s="115" t="s">
        <v>1237</v>
      </c>
      <c r="D46" s="138" t="s">
        <v>430</v>
      </c>
      <c r="E46" s="114" t="s">
        <v>429</v>
      </c>
      <c r="F46" s="139" t="s">
        <v>1500</v>
      </c>
      <c r="G46" s="117">
        <v>44295</v>
      </c>
      <c r="H46" s="117">
        <v>44316</v>
      </c>
      <c r="I46" s="204" t="s">
        <v>1501</v>
      </c>
      <c r="J46" s="114" t="s">
        <v>1502</v>
      </c>
      <c r="K46" s="253">
        <v>24000000</v>
      </c>
      <c r="L46" s="114" t="s">
        <v>88</v>
      </c>
      <c r="M46" s="114"/>
      <c r="N46" s="118" t="s">
        <v>1503</v>
      </c>
      <c r="O46" s="227" t="s">
        <v>1236</v>
      </c>
      <c r="P46" s="198"/>
    </row>
    <row r="47" spans="1:16" s="101" customFormat="1" ht="18" customHeight="1">
      <c r="A47" s="895">
        <v>22</v>
      </c>
      <c r="B47" s="108" t="s">
        <v>138</v>
      </c>
      <c r="C47" s="109" t="s">
        <v>1237</v>
      </c>
      <c r="D47" s="217" t="s">
        <v>914</v>
      </c>
      <c r="E47" s="108" t="s">
        <v>913</v>
      </c>
      <c r="F47" s="136" t="s">
        <v>1504</v>
      </c>
      <c r="G47" s="111">
        <v>44306</v>
      </c>
      <c r="H47" s="111">
        <v>44347</v>
      </c>
      <c r="I47" s="203" t="s">
        <v>1505</v>
      </c>
      <c r="J47" s="108" t="s">
        <v>764</v>
      </c>
      <c r="K47" s="251">
        <v>600000000</v>
      </c>
      <c r="L47" s="108" t="s">
        <v>88</v>
      </c>
      <c r="M47" s="108"/>
      <c r="N47" s="113" t="s">
        <v>915</v>
      </c>
      <c r="O47" s="227" t="s">
        <v>1236</v>
      </c>
      <c r="P47" s="198"/>
    </row>
    <row r="48" spans="1:16" s="101" customFormat="1" ht="18" customHeight="1">
      <c r="A48" s="896"/>
      <c r="B48" s="123" t="s">
        <v>138</v>
      </c>
      <c r="C48" s="124" t="s">
        <v>1237</v>
      </c>
      <c r="D48" s="140" t="s">
        <v>917</v>
      </c>
      <c r="E48" s="123" t="s">
        <v>916</v>
      </c>
      <c r="F48" s="137" t="s">
        <v>1504</v>
      </c>
      <c r="G48" s="126">
        <v>44306</v>
      </c>
      <c r="H48" s="126">
        <v>44347</v>
      </c>
      <c r="I48" s="205" t="s">
        <v>1505</v>
      </c>
      <c r="J48" s="123" t="s">
        <v>1506</v>
      </c>
      <c r="K48" s="252">
        <v>147000000</v>
      </c>
      <c r="L48" s="123" t="s">
        <v>88</v>
      </c>
      <c r="M48" s="123"/>
      <c r="N48" s="135" t="s">
        <v>915</v>
      </c>
      <c r="O48" s="227" t="s">
        <v>1236</v>
      </c>
      <c r="P48" s="198"/>
    </row>
    <row r="49" spans="1:16" s="101" customFormat="1" ht="18" customHeight="1">
      <c r="A49" s="896"/>
      <c r="B49" s="123" t="s">
        <v>138</v>
      </c>
      <c r="C49" s="124" t="s">
        <v>1237</v>
      </c>
      <c r="D49" s="140" t="s">
        <v>919</v>
      </c>
      <c r="E49" s="123" t="s">
        <v>918</v>
      </c>
      <c r="F49" s="137" t="s">
        <v>1504</v>
      </c>
      <c r="G49" s="126">
        <v>44306</v>
      </c>
      <c r="H49" s="126">
        <v>44347</v>
      </c>
      <c r="I49" s="205" t="s">
        <v>1505</v>
      </c>
      <c r="J49" s="123" t="s">
        <v>764</v>
      </c>
      <c r="K49" s="252">
        <v>600000000</v>
      </c>
      <c r="L49" s="123" t="s">
        <v>88</v>
      </c>
      <c r="M49" s="123"/>
      <c r="N49" s="135" t="s">
        <v>915</v>
      </c>
      <c r="O49" s="227" t="s">
        <v>1236</v>
      </c>
      <c r="P49" s="198"/>
    </row>
    <row r="50" spans="1:16" s="101" customFormat="1" ht="18" customHeight="1">
      <c r="A50" s="896"/>
      <c r="B50" s="123" t="s">
        <v>138</v>
      </c>
      <c r="C50" s="124" t="s">
        <v>1237</v>
      </c>
      <c r="D50" s="140" t="s">
        <v>921</v>
      </c>
      <c r="E50" s="123" t="s">
        <v>920</v>
      </c>
      <c r="F50" s="137" t="s">
        <v>1504</v>
      </c>
      <c r="G50" s="126">
        <v>44306</v>
      </c>
      <c r="H50" s="126">
        <v>44347</v>
      </c>
      <c r="I50" s="205" t="s">
        <v>1505</v>
      </c>
      <c r="J50" s="123" t="s">
        <v>1506</v>
      </c>
      <c r="K50" s="252">
        <v>147000000</v>
      </c>
      <c r="L50" s="123" t="s">
        <v>88</v>
      </c>
      <c r="M50" s="123"/>
      <c r="N50" s="135" t="s">
        <v>915</v>
      </c>
      <c r="O50" s="227" t="s">
        <v>1236</v>
      </c>
      <c r="P50" s="198"/>
    </row>
    <row r="51" spans="1:16" s="101" customFormat="1" ht="18" customHeight="1">
      <c r="A51" s="896"/>
      <c r="B51" s="123" t="s">
        <v>138</v>
      </c>
      <c r="C51" s="124" t="s">
        <v>1237</v>
      </c>
      <c r="D51" s="140" t="s">
        <v>923</v>
      </c>
      <c r="E51" s="123" t="s">
        <v>922</v>
      </c>
      <c r="F51" s="137" t="s">
        <v>1504</v>
      </c>
      <c r="G51" s="126">
        <v>44306</v>
      </c>
      <c r="H51" s="126">
        <v>44347</v>
      </c>
      <c r="I51" s="205" t="s">
        <v>1505</v>
      </c>
      <c r="J51" s="123" t="s">
        <v>764</v>
      </c>
      <c r="K51" s="252">
        <v>600000000</v>
      </c>
      <c r="L51" s="123" t="s">
        <v>88</v>
      </c>
      <c r="M51" s="123"/>
      <c r="N51" s="135" t="s">
        <v>915</v>
      </c>
      <c r="O51" s="227" t="s">
        <v>1236</v>
      </c>
      <c r="P51" s="198"/>
    </row>
    <row r="52" spans="1:16" s="101" customFormat="1" ht="18" customHeight="1">
      <c r="A52" s="897"/>
      <c r="B52" s="114" t="s">
        <v>138</v>
      </c>
      <c r="C52" s="115" t="s">
        <v>1237</v>
      </c>
      <c r="D52" s="138" t="s">
        <v>925</v>
      </c>
      <c r="E52" s="114" t="s">
        <v>924</v>
      </c>
      <c r="F52" s="139" t="s">
        <v>1504</v>
      </c>
      <c r="G52" s="117">
        <v>44306</v>
      </c>
      <c r="H52" s="117">
        <v>44347</v>
      </c>
      <c r="I52" s="204" t="s">
        <v>1505</v>
      </c>
      <c r="J52" s="114" t="s">
        <v>1506</v>
      </c>
      <c r="K52" s="253">
        <v>147000000</v>
      </c>
      <c r="L52" s="114" t="s">
        <v>88</v>
      </c>
      <c r="M52" s="114"/>
      <c r="N52" s="118" t="s">
        <v>915</v>
      </c>
      <c r="O52" s="227" t="s">
        <v>1236</v>
      </c>
      <c r="P52" s="198"/>
    </row>
    <row r="53" spans="1:16" s="101" customFormat="1" ht="18" customHeight="1">
      <c r="A53" s="154">
        <v>23</v>
      </c>
      <c r="B53" s="70" t="s">
        <v>138</v>
      </c>
      <c r="C53" s="75" t="s">
        <v>1237</v>
      </c>
      <c r="D53" s="95" t="s">
        <v>927</v>
      </c>
      <c r="E53" s="95" t="s">
        <v>926</v>
      </c>
      <c r="F53" s="106" t="s">
        <v>1507</v>
      </c>
      <c r="G53" s="71">
        <v>44306</v>
      </c>
      <c r="H53" s="71">
        <v>44347</v>
      </c>
      <c r="I53" s="77" t="s">
        <v>1505</v>
      </c>
      <c r="J53" s="70" t="s">
        <v>1508</v>
      </c>
      <c r="K53" s="248">
        <v>1850000000</v>
      </c>
      <c r="L53" s="70" t="s">
        <v>88</v>
      </c>
      <c r="M53" s="70"/>
      <c r="N53" s="78" t="s">
        <v>915</v>
      </c>
      <c r="O53" s="227" t="s">
        <v>1236</v>
      </c>
      <c r="P53" s="198"/>
    </row>
    <row r="54" spans="1:16" s="101" customFormat="1" ht="18" customHeight="1">
      <c r="A54" s="895">
        <v>24</v>
      </c>
      <c r="B54" s="108" t="s">
        <v>261</v>
      </c>
      <c r="C54" s="109" t="s">
        <v>1243</v>
      </c>
      <c r="D54" s="217" t="s">
        <v>929</v>
      </c>
      <c r="E54" s="217" t="s">
        <v>928</v>
      </c>
      <c r="F54" s="136" t="s">
        <v>1509</v>
      </c>
      <c r="G54" s="111">
        <v>44354</v>
      </c>
      <c r="H54" s="111">
        <v>44452</v>
      </c>
      <c r="I54" s="203" t="s">
        <v>1510</v>
      </c>
      <c r="J54" s="108" t="s">
        <v>765</v>
      </c>
      <c r="K54" s="251">
        <v>1400000000</v>
      </c>
      <c r="L54" s="108" t="s">
        <v>88</v>
      </c>
      <c r="M54" s="108"/>
      <c r="N54" s="113" t="s">
        <v>1246</v>
      </c>
      <c r="O54" s="227" t="s">
        <v>1236</v>
      </c>
      <c r="P54" s="198"/>
    </row>
    <row r="55" spans="1:16" s="101" customFormat="1" ht="18" customHeight="1">
      <c r="A55" s="896"/>
      <c r="B55" s="123" t="s">
        <v>261</v>
      </c>
      <c r="C55" s="124" t="s">
        <v>1243</v>
      </c>
      <c r="D55" s="140" t="s">
        <v>946</v>
      </c>
      <c r="E55" s="140" t="s">
        <v>945</v>
      </c>
      <c r="F55" s="137" t="s">
        <v>1509</v>
      </c>
      <c r="G55" s="126">
        <v>44354</v>
      </c>
      <c r="H55" s="126">
        <v>44616</v>
      </c>
      <c r="I55" s="205" t="s">
        <v>1511</v>
      </c>
      <c r="J55" s="123" t="s">
        <v>1078</v>
      </c>
      <c r="K55" s="252">
        <v>618000000</v>
      </c>
      <c r="L55" s="123" t="s">
        <v>88</v>
      </c>
      <c r="M55" s="123"/>
      <c r="N55" s="135" t="s">
        <v>378</v>
      </c>
      <c r="O55" s="227" t="s">
        <v>1236</v>
      </c>
      <c r="P55" s="198"/>
    </row>
    <row r="56" spans="1:16" s="101" customFormat="1" ht="18" customHeight="1">
      <c r="A56" s="897"/>
      <c r="B56" s="114" t="s">
        <v>261</v>
      </c>
      <c r="C56" s="115" t="s">
        <v>1243</v>
      </c>
      <c r="D56" s="114" t="s">
        <v>944</v>
      </c>
      <c r="E56" s="138" t="s">
        <v>943</v>
      </c>
      <c r="F56" s="139" t="s">
        <v>1509</v>
      </c>
      <c r="G56" s="117">
        <v>44354</v>
      </c>
      <c r="H56" s="117">
        <v>44592</v>
      </c>
      <c r="I56" s="204" t="s">
        <v>1512</v>
      </c>
      <c r="J56" s="114" t="s">
        <v>1078</v>
      </c>
      <c r="K56" s="253">
        <v>400000000</v>
      </c>
      <c r="L56" s="114" t="s">
        <v>88</v>
      </c>
      <c r="M56" s="114"/>
      <c r="N56" s="118" t="s">
        <v>378</v>
      </c>
      <c r="O56" s="227" t="s">
        <v>1241</v>
      </c>
      <c r="P56" s="198"/>
    </row>
    <row r="57" spans="1:16" s="101" customFormat="1" ht="18" customHeight="1">
      <c r="A57" s="895">
        <v>25</v>
      </c>
      <c r="B57" s="108" t="s">
        <v>261</v>
      </c>
      <c r="C57" s="109" t="s">
        <v>1243</v>
      </c>
      <c r="D57" s="217" t="s">
        <v>968</v>
      </c>
      <c r="E57" s="217" t="s">
        <v>967</v>
      </c>
      <c r="F57" s="136" t="s">
        <v>1513</v>
      </c>
      <c r="G57" s="111">
        <v>44354</v>
      </c>
      <c r="H57" s="111">
        <v>44712</v>
      </c>
      <c r="I57" s="203" t="s">
        <v>1514</v>
      </c>
      <c r="J57" s="108" t="s">
        <v>1077</v>
      </c>
      <c r="K57" s="251">
        <v>548000000</v>
      </c>
      <c r="L57" s="108" t="s">
        <v>88</v>
      </c>
      <c r="M57" s="108"/>
      <c r="N57" s="113" t="s">
        <v>378</v>
      </c>
      <c r="O57" s="227" t="s">
        <v>1241</v>
      </c>
      <c r="P57" s="198"/>
    </row>
    <row r="58" spans="1:16" s="101" customFormat="1" ht="18" customHeight="1">
      <c r="A58" s="896"/>
      <c r="B58" s="123" t="s">
        <v>261</v>
      </c>
      <c r="C58" s="124" t="s">
        <v>1243</v>
      </c>
      <c r="D58" s="140" t="s">
        <v>970</v>
      </c>
      <c r="E58" s="140" t="s">
        <v>969</v>
      </c>
      <c r="F58" s="137" t="s">
        <v>1513</v>
      </c>
      <c r="G58" s="126">
        <v>44354</v>
      </c>
      <c r="H58" s="126">
        <v>44712</v>
      </c>
      <c r="I58" s="205" t="s">
        <v>1514</v>
      </c>
      <c r="J58" s="123" t="s">
        <v>1077</v>
      </c>
      <c r="K58" s="252">
        <v>548000000</v>
      </c>
      <c r="L58" s="123" t="s">
        <v>88</v>
      </c>
      <c r="M58" s="123"/>
      <c r="N58" s="135" t="s">
        <v>378</v>
      </c>
      <c r="O58" s="227" t="s">
        <v>1241</v>
      </c>
      <c r="P58" s="198"/>
    </row>
    <row r="59" spans="1:16" s="101" customFormat="1" ht="18" customHeight="1">
      <c r="A59" s="896"/>
      <c r="B59" s="123" t="s">
        <v>261</v>
      </c>
      <c r="C59" s="124" t="s">
        <v>1243</v>
      </c>
      <c r="D59" s="140" t="s">
        <v>972</v>
      </c>
      <c r="E59" s="140" t="s">
        <v>971</v>
      </c>
      <c r="F59" s="137" t="s">
        <v>1513</v>
      </c>
      <c r="G59" s="126">
        <v>44354</v>
      </c>
      <c r="H59" s="126">
        <v>44712</v>
      </c>
      <c r="I59" s="205" t="s">
        <v>1514</v>
      </c>
      <c r="J59" s="123" t="s">
        <v>1077</v>
      </c>
      <c r="K59" s="252">
        <v>548000000</v>
      </c>
      <c r="L59" s="123" t="s">
        <v>88</v>
      </c>
      <c r="M59" s="123"/>
      <c r="N59" s="135" t="s">
        <v>378</v>
      </c>
      <c r="O59" s="227" t="s">
        <v>1241</v>
      </c>
      <c r="P59" s="198"/>
    </row>
    <row r="60" spans="1:16" s="101" customFormat="1" ht="18" customHeight="1">
      <c r="A60" s="897"/>
      <c r="B60" s="114" t="s">
        <v>261</v>
      </c>
      <c r="C60" s="115" t="s">
        <v>1243</v>
      </c>
      <c r="D60" s="138" t="s">
        <v>1515</v>
      </c>
      <c r="E60" s="138"/>
      <c r="F60" s="139" t="s">
        <v>1513</v>
      </c>
      <c r="G60" s="117">
        <v>44354</v>
      </c>
      <c r="H60" s="117"/>
      <c r="I60" s="204"/>
      <c r="J60" s="114" t="s">
        <v>1077</v>
      </c>
      <c r="K60" s="253"/>
      <c r="L60" s="114" t="s">
        <v>88</v>
      </c>
      <c r="M60" s="114"/>
      <c r="N60" s="118" t="s">
        <v>378</v>
      </c>
      <c r="O60" s="227" t="s">
        <v>1516</v>
      </c>
      <c r="P60" s="198"/>
    </row>
    <row r="61" spans="1:16" s="101" customFormat="1" ht="18" customHeight="1">
      <c r="A61" s="895">
        <v>26</v>
      </c>
      <c r="B61" s="108" t="s">
        <v>465</v>
      </c>
      <c r="C61" s="109" t="s">
        <v>1221</v>
      </c>
      <c r="D61" s="108" t="s">
        <v>1517</v>
      </c>
      <c r="E61" s="108" t="s">
        <v>1518</v>
      </c>
      <c r="F61" s="110" t="s">
        <v>1519</v>
      </c>
      <c r="G61" s="111">
        <v>44368</v>
      </c>
      <c r="H61" s="111">
        <v>44377</v>
      </c>
      <c r="I61" s="203" t="s">
        <v>1520</v>
      </c>
      <c r="J61" s="108" t="s">
        <v>468</v>
      </c>
      <c r="K61" s="251">
        <v>19500000</v>
      </c>
      <c r="L61" s="108"/>
      <c r="M61" s="112" t="s">
        <v>39</v>
      </c>
      <c r="N61" s="113" t="s">
        <v>1190</v>
      </c>
      <c r="O61" s="227" t="s">
        <v>1236</v>
      </c>
      <c r="P61" s="198"/>
    </row>
    <row r="62" spans="1:16" s="101" customFormat="1" ht="18" customHeight="1">
      <c r="A62" s="897"/>
      <c r="B62" s="114" t="s">
        <v>465</v>
      </c>
      <c r="C62" s="115" t="s">
        <v>1221</v>
      </c>
      <c r="D62" s="114" t="s">
        <v>1521</v>
      </c>
      <c r="E62" s="114" t="s">
        <v>1522</v>
      </c>
      <c r="F62" s="116" t="s">
        <v>1523</v>
      </c>
      <c r="G62" s="117">
        <v>44368</v>
      </c>
      <c r="H62" s="117">
        <v>44377</v>
      </c>
      <c r="I62" s="204" t="s">
        <v>1520</v>
      </c>
      <c r="J62" s="114" t="s">
        <v>468</v>
      </c>
      <c r="K62" s="256">
        <v>51500000</v>
      </c>
      <c r="L62" s="133"/>
      <c r="M62" s="133" t="s">
        <v>39</v>
      </c>
      <c r="N62" s="118" t="s">
        <v>1190</v>
      </c>
      <c r="O62" s="227" t="s">
        <v>1236</v>
      </c>
      <c r="P62" s="198"/>
    </row>
    <row r="63" spans="1:16" s="101" customFormat="1" ht="18" customHeight="1">
      <c r="A63" s="237">
        <v>27</v>
      </c>
      <c r="B63" s="70" t="s">
        <v>1296</v>
      </c>
      <c r="C63" s="75">
        <v>7</v>
      </c>
      <c r="D63" s="70" t="s">
        <v>1197</v>
      </c>
      <c r="E63" s="70" t="s">
        <v>1196</v>
      </c>
      <c r="F63" s="76" t="s">
        <v>1524</v>
      </c>
      <c r="G63" s="71">
        <v>44287</v>
      </c>
      <c r="H63" s="71">
        <v>44407</v>
      </c>
      <c r="I63" s="77" t="s">
        <v>1525</v>
      </c>
      <c r="J63" s="70" t="s">
        <v>1526</v>
      </c>
      <c r="K63" s="248">
        <v>39545455</v>
      </c>
      <c r="L63" s="70" t="s">
        <v>88</v>
      </c>
      <c r="M63" s="70"/>
      <c r="N63" s="78" t="s">
        <v>1198</v>
      </c>
      <c r="O63" s="227" t="s">
        <v>1236</v>
      </c>
      <c r="P63" s="198"/>
    </row>
    <row r="64" spans="1:16" s="101" customFormat="1" ht="18" customHeight="1">
      <c r="A64" s="226"/>
      <c r="B64" s="82"/>
      <c r="C64" s="227"/>
      <c r="D64" s="82"/>
      <c r="E64" s="82"/>
      <c r="F64" s="228"/>
      <c r="G64" s="83"/>
      <c r="H64" s="83"/>
      <c r="I64" s="80"/>
      <c r="J64" s="82"/>
      <c r="K64" s="257"/>
      <c r="L64" s="82"/>
      <c r="M64" s="82"/>
      <c r="N64" s="229"/>
      <c r="O64" s="227"/>
      <c r="P64" s="198"/>
    </row>
    <row r="65" spans="1:16" s="101" customFormat="1" ht="18" customHeight="1" thickBot="1">
      <c r="A65" s="230"/>
      <c r="B65" s="231"/>
      <c r="C65" s="232"/>
      <c r="D65" s="231"/>
      <c r="E65" s="231"/>
      <c r="F65" s="233"/>
      <c r="G65" s="234"/>
      <c r="H65" s="234"/>
      <c r="I65" s="235"/>
      <c r="J65" s="231"/>
      <c r="K65" s="258"/>
      <c r="L65" s="231"/>
      <c r="M65" s="231"/>
      <c r="N65" s="236"/>
      <c r="O65" s="227"/>
      <c r="P65" s="198"/>
    </row>
    <row r="66" spans="1:16">
      <c r="A66" s="901" t="s">
        <v>34</v>
      </c>
      <c r="B66" s="888" t="s">
        <v>109</v>
      </c>
      <c r="C66" s="888" t="s">
        <v>66</v>
      </c>
      <c r="D66" s="877" t="s">
        <v>1232</v>
      </c>
      <c r="E66" s="878"/>
      <c r="F66" s="877" t="s">
        <v>1247</v>
      </c>
      <c r="G66" s="878"/>
      <c r="H66" s="879" t="s">
        <v>1260</v>
      </c>
      <c r="I66" s="888" t="s">
        <v>1233</v>
      </c>
      <c r="J66" s="875" t="s">
        <v>73</v>
      </c>
      <c r="K66" s="885" t="s">
        <v>1234</v>
      </c>
      <c r="L66" s="894" t="s">
        <v>87</v>
      </c>
      <c r="M66" s="894"/>
      <c r="N66" s="871" t="s">
        <v>1235</v>
      </c>
    </row>
    <row r="67" spans="1:16">
      <c r="A67" s="902"/>
      <c r="B67" s="889"/>
      <c r="C67" s="890"/>
      <c r="D67" s="85" t="s">
        <v>95</v>
      </c>
      <c r="E67" s="85" t="s">
        <v>34</v>
      </c>
      <c r="F67" s="245" t="s">
        <v>34</v>
      </c>
      <c r="G67" s="261" t="s">
        <v>1230</v>
      </c>
      <c r="H67" s="891"/>
      <c r="I67" s="890"/>
      <c r="J67" s="892"/>
      <c r="K67" s="893"/>
      <c r="L67" s="86" t="s">
        <v>88</v>
      </c>
      <c r="M67" s="86" t="s">
        <v>39</v>
      </c>
      <c r="N67" s="887"/>
    </row>
    <row r="68" spans="1:16" s="101" customFormat="1" ht="18" customHeight="1">
      <c r="A68" s="895">
        <v>1</v>
      </c>
      <c r="B68" s="108" t="s">
        <v>131</v>
      </c>
      <c r="C68" s="109" t="s">
        <v>1527</v>
      </c>
      <c r="D68" s="108" t="s">
        <v>1528</v>
      </c>
      <c r="E68" s="108"/>
      <c r="F68" s="110" t="s">
        <v>1529</v>
      </c>
      <c r="G68" s="111">
        <v>44382</v>
      </c>
      <c r="H68" s="111">
        <v>44439</v>
      </c>
      <c r="I68" s="203" t="s">
        <v>1530</v>
      </c>
      <c r="J68" s="108" t="s">
        <v>763</v>
      </c>
      <c r="K68" s="251">
        <v>1000000</v>
      </c>
      <c r="L68" s="108"/>
      <c r="M68" s="108" t="s">
        <v>39</v>
      </c>
      <c r="N68" s="113" t="s">
        <v>1531</v>
      </c>
      <c r="O68" s="242" t="s">
        <v>1241</v>
      </c>
    </row>
    <row r="69" spans="1:16" s="101" customFormat="1" ht="18" customHeight="1">
      <c r="A69" s="896"/>
      <c r="B69" s="123" t="s">
        <v>131</v>
      </c>
      <c r="C69" s="124" t="s">
        <v>1527</v>
      </c>
      <c r="D69" s="123" t="s">
        <v>1532</v>
      </c>
      <c r="E69" s="123"/>
      <c r="F69" s="125" t="s">
        <v>1533</v>
      </c>
      <c r="G69" s="126">
        <v>44382</v>
      </c>
      <c r="H69" s="126">
        <v>44439</v>
      </c>
      <c r="I69" s="205" t="s">
        <v>1530</v>
      </c>
      <c r="J69" s="123" t="s">
        <v>763</v>
      </c>
      <c r="K69" s="252">
        <v>1000000</v>
      </c>
      <c r="L69" s="123"/>
      <c r="M69" s="123" t="s">
        <v>39</v>
      </c>
      <c r="N69" s="135" t="s">
        <v>1531</v>
      </c>
      <c r="O69" s="242" t="s">
        <v>1241</v>
      </c>
    </row>
    <row r="70" spans="1:16" s="101" customFormat="1" ht="18" customHeight="1">
      <c r="A70" s="896"/>
      <c r="B70" s="123" t="s">
        <v>131</v>
      </c>
      <c r="C70" s="124" t="s">
        <v>1527</v>
      </c>
      <c r="D70" s="123" t="s">
        <v>1534</v>
      </c>
      <c r="E70" s="123"/>
      <c r="F70" s="125" t="s">
        <v>1535</v>
      </c>
      <c r="G70" s="126">
        <v>44382</v>
      </c>
      <c r="H70" s="126">
        <v>44439</v>
      </c>
      <c r="I70" s="205" t="s">
        <v>1530</v>
      </c>
      <c r="J70" s="123" t="s">
        <v>763</v>
      </c>
      <c r="K70" s="252">
        <v>1000000</v>
      </c>
      <c r="L70" s="123"/>
      <c r="M70" s="123" t="s">
        <v>39</v>
      </c>
      <c r="N70" s="135" t="s">
        <v>1531</v>
      </c>
      <c r="O70" s="242" t="s">
        <v>1241</v>
      </c>
    </row>
    <row r="71" spans="1:16" s="101" customFormat="1" ht="18" customHeight="1">
      <c r="A71" s="897"/>
      <c r="B71" s="114" t="s">
        <v>131</v>
      </c>
      <c r="C71" s="115" t="s">
        <v>1527</v>
      </c>
      <c r="D71" s="114" t="s">
        <v>1536</v>
      </c>
      <c r="E71" s="114"/>
      <c r="F71" s="116" t="s">
        <v>1537</v>
      </c>
      <c r="G71" s="117">
        <v>44382</v>
      </c>
      <c r="H71" s="117">
        <v>44439</v>
      </c>
      <c r="I71" s="204" t="s">
        <v>1530</v>
      </c>
      <c r="J71" s="114" t="s">
        <v>763</v>
      </c>
      <c r="K71" s="253">
        <v>1000000</v>
      </c>
      <c r="L71" s="114"/>
      <c r="M71" s="114" t="s">
        <v>39</v>
      </c>
      <c r="N71" s="118" t="s">
        <v>1531</v>
      </c>
      <c r="O71" s="242" t="s">
        <v>1241</v>
      </c>
    </row>
    <row r="72" spans="1:16" s="101" customFormat="1" ht="18" customHeight="1">
      <c r="A72" s="895">
        <v>2</v>
      </c>
      <c r="B72" s="108" t="s">
        <v>128</v>
      </c>
      <c r="C72" s="109" t="s">
        <v>134</v>
      </c>
      <c r="D72" s="108" t="s">
        <v>1538</v>
      </c>
      <c r="E72" s="108" t="s">
        <v>1539</v>
      </c>
      <c r="F72" s="110" t="s">
        <v>1540</v>
      </c>
      <c r="G72" s="111">
        <v>44398</v>
      </c>
      <c r="H72" s="111">
        <v>44407</v>
      </c>
      <c r="I72" s="203" t="s">
        <v>1541</v>
      </c>
      <c r="J72" s="108" t="s">
        <v>1542</v>
      </c>
      <c r="K72" s="251">
        <v>35000000</v>
      </c>
      <c r="L72" s="108"/>
      <c r="M72" s="108" t="s">
        <v>39</v>
      </c>
      <c r="N72" s="113" t="s">
        <v>1238</v>
      </c>
      <c r="O72" s="242" t="s">
        <v>1241</v>
      </c>
    </row>
    <row r="73" spans="1:16" s="101" customFormat="1" ht="18" customHeight="1">
      <c r="A73" s="896"/>
      <c r="B73" s="123" t="s">
        <v>128</v>
      </c>
      <c r="C73" s="124" t="s">
        <v>136</v>
      </c>
      <c r="D73" s="123" t="s">
        <v>1543</v>
      </c>
      <c r="E73" s="123" t="s">
        <v>1544</v>
      </c>
      <c r="F73" s="125" t="s">
        <v>1255</v>
      </c>
      <c r="G73" s="126">
        <v>44398</v>
      </c>
      <c r="H73" s="126">
        <v>44407</v>
      </c>
      <c r="I73" s="205" t="s">
        <v>1541</v>
      </c>
      <c r="J73" s="123" t="s">
        <v>468</v>
      </c>
      <c r="K73" s="252">
        <v>33000000</v>
      </c>
      <c r="L73" s="123"/>
      <c r="M73" s="123" t="s">
        <v>39</v>
      </c>
      <c r="N73" s="135" t="s">
        <v>1238</v>
      </c>
      <c r="O73" s="242" t="s">
        <v>1241</v>
      </c>
    </row>
    <row r="74" spans="1:16" s="101" customFormat="1" ht="18" customHeight="1">
      <c r="A74" s="896"/>
      <c r="B74" s="123" t="s">
        <v>128</v>
      </c>
      <c r="C74" s="124" t="s">
        <v>134</v>
      </c>
      <c r="D74" s="123" t="s">
        <v>1545</v>
      </c>
      <c r="E74" s="123" t="s">
        <v>1546</v>
      </c>
      <c r="F74" s="125" t="s">
        <v>1254</v>
      </c>
      <c r="G74" s="126">
        <v>44398</v>
      </c>
      <c r="H74" s="126">
        <v>44407</v>
      </c>
      <c r="I74" s="205" t="s">
        <v>1541</v>
      </c>
      <c r="J74" s="123" t="s">
        <v>468</v>
      </c>
      <c r="K74" s="252">
        <v>25000000</v>
      </c>
      <c r="L74" s="123"/>
      <c r="M74" s="123" t="s">
        <v>39</v>
      </c>
      <c r="N74" s="135" t="s">
        <v>1238</v>
      </c>
      <c r="O74" s="242" t="s">
        <v>1241</v>
      </c>
    </row>
    <row r="75" spans="1:16" s="101" customFormat="1" ht="18" customHeight="1">
      <c r="A75" s="896"/>
      <c r="B75" s="123" t="s">
        <v>128</v>
      </c>
      <c r="C75" s="124" t="s">
        <v>134</v>
      </c>
      <c r="D75" s="123" t="s">
        <v>1547</v>
      </c>
      <c r="E75" s="123" t="s">
        <v>1548</v>
      </c>
      <c r="F75" s="125" t="s">
        <v>1549</v>
      </c>
      <c r="G75" s="126">
        <v>44398</v>
      </c>
      <c r="H75" s="126">
        <v>44407</v>
      </c>
      <c r="I75" s="205" t="s">
        <v>1541</v>
      </c>
      <c r="J75" s="123" t="s">
        <v>468</v>
      </c>
      <c r="K75" s="252">
        <v>22000000</v>
      </c>
      <c r="L75" s="214"/>
      <c r="M75" s="123" t="s">
        <v>39</v>
      </c>
      <c r="N75" s="135" t="s">
        <v>1238</v>
      </c>
      <c r="O75" s="242" t="s">
        <v>1241</v>
      </c>
    </row>
    <row r="76" spans="1:16" s="101" customFormat="1" ht="18" customHeight="1">
      <c r="A76" s="896"/>
      <c r="B76" s="123" t="s">
        <v>128</v>
      </c>
      <c r="C76" s="124" t="s">
        <v>134</v>
      </c>
      <c r="D76" s="123" t="s">
        <v>1550</v>
      </c>
      <c r="E76" s="123" t="s">
        <v>1551</v>
      </c>
      <c r="F76" s="125" t="s">
        <v>1253</v>
      </c>
      <c r="G76" s="126">
        <v>44398</v>
      </c>
      <c r="H76" s="126">
        <v>44407</v>
      </c>
      <c r="I76" s="205" t="s">
        <v>1541</v>
      </c>
      <c r="J76" s="123" t="s">
        <v>468</v>
      </c>
      <c r="K76" s="252">
        <v>15000000</v>
      </c>
      <c r="L76" s="214"/>
      <c r="M76" s="123" t="s">
        <v>39</v>
      </c>
      <c r="N76" s="135" t="s">
        <v>1238</v>
      </c>
      <c r="O76" s="242" t="s">
        <v>1241</v>
      </c>
    </row>
    <row r="77" spans="1:16" s="101" customFormat="1" ht="18" customHeight="1">
      <c r="A77" s="897"/>
      <c r="B77" s="114" t="s">
        <v>128</v>
      </c>
      <c r="C77" s="115" t="s">
        <v>136</v>
      </c>
      <c r="D77" s="114" t="s">
        <v>1552</v>
      </c>
      <c r="E77" s="114" t="s">
        <v>1553</v>
      </c>
      <c r="F77" s="116" t="s">
        <v>1252</v>
      </c>
      <c r="G77" s="117">
        <v>44398</v>
      </c>
      <c r="H77" s="117">
        <v>44407</v>
      </c>
      <c r="I77" s="204" t="s">
        <v>1541</v>
      </c>
      <c r="J77" s="114" t="s">
        <v>468</v>
      </c>
      <c r="K77" s="253">
        <v>15000000</v>
      </c>
      <c r="L77" s="114"/>
      <c r="M77" s="153" t="s">
        <v>39</v>
      </c>
      <c r="N77" s="118" t="s">
        <v>1238</v>
      </c>
      <c r="O77" s="242" t="s">
        <v>1241</v>
      </c>
    </row>
    <row r="78" spans="1:16" s="101" customFormat="1" ht="18" customHeight="1">
      <c r="A78" s="134">
        <v>3</v>
      </c>
      <c r="B78" s="141" t="s">
        <v>138</v>
      </c>
      <c r="C78" s="142" t="s">
        <v>1237</v>
      </c>
      <c r="D78" s="141" t="s">
        <v>431</v>
      </c>
      <c r="E78" s="141" t="s">
        <v>1554</v>
      </c>
      <c r="F78" s="143" t="s">
        <v>1500</v>
      </c>
      <c r="G78" s="144">
        <v>44403</v>
      </c>
      <c r="H78" s="144">
        <v>44407</v>
      </c>
      <c r="I78" s="219" t="s">
        <v>1555</v>
      </c>
      <c r="J78" s="141" t="s">
        <v>1556</v>
      </c>
      <c r="K78" s="255">
        <v>115000000</v>
      </c>
      <c r="L78" s="141" t="s">
        <v>88</v>
      </c>
      <c r="M78" s="141"/>
      <c r="N78" s="145" t="s">
        <v>242</v>
      </c>
      <c r="O78" s="242" t="s">
        <v>1241</v>
      </c>
      <c r="P78" s="198"/>
    </row>
    <row r="79" spans="1:16" s="101" customFormat="1" ht="18" customHeight="1">
      <c r="A79" s="107">
        <v>4</v>
      </c>
      <c r="B79" s="70" t="s">
        <v>128</v>
      </c>
      <c r="C79" s="75" t="s">
        <v>134</v>
      </c>
      <c r="D79" s="70" t="s">
        <v>433</v>
      </c>
      <c r="E79" s="70" t="s">
        <v>432</v>
      </c>
      <c r="F79" s="76" t="s">
        <v>1256</v>
      </c>
      <c r="G79" s="71">
        <v>44405</v>
      </c>
      <c r="H79" s="71">
        <v>44426</v>
      </c>
      <c r="I79" s="77" t="s">
        <v>1557</v>
      </c>
      <c r="J79" s="70" t="s">
        <v>1558</v>
      </c>
      <c r="K79" s="248">
        <v>28215000</v>
      </c>
      <c r="L79" s="141" t="s">
        <v>88</v>
      </c>
      <c r="M79" s="70"/>
      <c r="N79" s="78" t="s">
        <v>1432</v>
      </c>
      <c r="O79" s="242" t="s">
        <v>1241</v>
      </c>
      <c r="P79" s="198"/>
    </row>
    <row r="80" spans="1:16" s="101" customFormat="1" ht="18" customHeight="1">
      <c r="A80" s="107">
        <v>5</v>
      </c>
      <c r="B80" s="70" t="s">
        <v>261</v>
      </c>
      <c r="C80" s="70" t="s">
        <v>1243</v>
      </c>
      <c r="D80" s="70" t="s">
        <v>980</v>
      </c>
      <c r="E80" s="70" t="s">
        <v>979</v>
      </c>
      <c r="F80" s="76" t="s">
        <v>1339</v>
      </c>
      <c r="G80" s="71">
        <v>44459</v>
      </c>
      <c r="H80" s="71">
        <v>44741</v>
      </c>
      <c r="I80" s="77" t="s">
        <v>1559</v>
      </c>
      <c r="J80" s="70" t="s">
        <v>844</v>
      </c>
      <c r="K80" s="248">
        <v>3100000000</v>
      </c>
      <c r="L80" s="141" t="s">
        <v>88</v>
      </c>
      <c r="M80" s="70"/>
      <c r="N80" s="78" t="s">
        <v>1560</v>
      </c>
      <c r="O80" s="227" t="s">
        <v>1236</v>
      </c>
      <c r="P80" s="198"/>
    </row>
    <row r="81" spans="1:16" s="101" customFormat="1" ht="18" customHeight="1">
      <c r="A81" s="107">
        <v>6</v>
      </c>
      <c r="B81" s="70" t="s">
        <v>138</v>
      </c>
      <c r="C81" s="75" t="s">
        <v>1237</v>
      </c>
      <c r="D81" s="70" t="s">
        <v>435</v>
      </c>
      <c r="E81" s="70" t="s">
        <v>434</v>
      </c>
      <c r="F81" s="246" t="s">
        <v>1561</v>
      </c>
      <c r="G81" s="119">
        <v>44461</v>
      </c>
      <c r="H81" s="71">
        <v>44592</v>
      </c>
      <c r="I81" s="77" t="s">
        <v>1562</v>
      </c>
      <c r="J81" s="70" t="s">
        <v>1563</v>
      </c>
      <c r="K81" s="248">
        <v>6780000000</v>
      </c>
      <c r="L81" s="141" t="s">
        <v>88</v>
      </c>
      <c r="M81" s="70"/>
      <c r="N81" s="78" t="s">
        <v>1560</v>
      </c>
      <c r="O81" s="227" t="s">
        <v>1236</v>
      </c>
      <c r="P81" s="198"/>
    </row>
    <row r="82" spans="1:16" s="101" customFormat="1" ht="18" customHeight="1">
      <c r="A82" s="862">
        <v>7</v>
      </c>
      <c r="B82" s="867" t="s">
        <v>261</v>
      </c>
      <c r="C82" s="867" t="s">
        <v>1243</v>
      </c>
      <c r="D82" s="108" t="s">
        <v>948</v>
      </c>
      <c r="E82" s="108" t="s">
        <v>947</v>
      </c>
      <c r="F82" s="300" t="s">
        <v>1276</v>
      </c>
      <c r="G82" s="111">
        <v>44470</v>
      </c>
      <c r="H82" s="111">
        <v>44651</v>
      </c>
      <c r="I82" s="108" t="s">
        <v>1564</v>
      </c>
      <c r="J82" s="108" t="s">
        <v>1565</v>
      </c>
      <c r="K82" s="251">
        <v>146288477</v>
      </c>
      <c r="L82" s="108" t="s">
        <v>88</v>
      </c>
      <c r="M82" s="108"/>
      <c r="N82" s="108" t="s">
        <v>950</v>
      </c>
      <c r="O82" s="227" t="s">
        <v>1236</v>
      </c>
      <c r="P82" s="198"/>
    </row>
    <row r="83" spans="1:16" s="101" customFormat="1" ht="18" customHeight="1">
      <c r="A83" s="863"/>
      <c r="B83" s="868"/>
      <c r="C83" s="868"/>
      <c r="D83" s="114" t="s">
        <v>952</v>
      </c>
      <c r="E83" s="114" t="s">
        <v>951</v>
      </c>
      <c r="F83" s="301" t="s">
        <v>1276</v>
      </c>
      <c r="G83" s="117">
        <v>44470</v>
      </c>
      <c r="H83" s="117">
        <v>44651</v>
      </c>
      <c r="I83" s="114" t="s">
        <v>1564</v>
      </c>
      <c r="J83" s="114" t="s">
        <v>1565</v>
      </c>
      <c r="K83" s="253">
        <v>146288477</v>
      </c>
      <c r="L83" s="114" t="s">
        <v>88</v>
      </c>
      <c r="M83" s="114"/>
      <c r="N83" s="114" t="s">
        <v>950</v>
      </c>
      <c r="O83" s="227" t="s">
        <v>1236</v>
      </c>
      <c r="P83" s="198"/>
    </row>
    <row r="84" spans="1:16" s="101" customFormat="1" ht="18" customHeight="1">
      <c r="A84" s="134">
        <v>8</v>
      </c>
      <c r="B84" s="141" t="s">
        <v>261</v>
      </c>
      <c r="C84" s="142" t="s">
        <v>1243</v>
      </c>
      <c r="D84" s="141" t="s">
        <v>1566</v>
      </c>
      <c r="E84" s="239" t="s">
        <v>1567</v>
      </c>
      <c r="F84" s="143" t="s">
        <v>1249</v>
      </c>
      <c r="G84" s="144">
        <v>44470</v>
      </c>
      <c r="H84" s="144">
        <v>44498</v>
      </c>
      <c r="I84" s="219" t="s">
        <v>1568</v>
      </c>
      <c r="J84" s="141" t="s">
        <v>1569</v>
      </c>
      <c r="K84" s="255">
        <v>50000000</v>
      </c>
      <c r="L84" s="141"/>
      <c r="M84" s="141" t="s">
        <v>39</v>
      </c>
      <c r="N84" s="145" t="s">
        <v>1190</v>
      </c>
      <c r="O84" s="227" t="s">
        <v>1236</v>
      </c>
      <c r="P84" s="198"/>
    </row>
    <row r="85" spans="1:16" s="101" customFormat="1" ht="18" customHeight="1">
      <c r="A85" s="895">
        <v>9</v>
      </c>
      <c r="B85" s="108" t="s">
        <v>1242</v>
      </c>
      <c r="C85" s="109" t="s">
        <v>1243</v>
      </c>
      <c r="D85" s="108" t="s">
        <v>932</v>
      </c>
      <c r="E85" s="108" t="s">
        <v>931</v>
      </c>
      <c r="F85" s="110" t="s">
        <v>1570</v>
      </c>
      <c r="G85" s="111">
        <v>44477</v>
      </c>
      <c r="H85" s="111">
        <v>44592</v>
      </c>
      <c r="I85" s="203" t="s">
        <v>1571</v>
      </c>
      <c r="J85" s="108" t="s">
        <v>899</v>
      </c>
      <c r="K85" s="251">
        <v>161500000</v>
      </c>
      <c r="L85" s="108" t="s">
        <v>88</v>
      </c>
      <c r="M85" s="108"/>
      <c r="N85" s="113" t="s">
        <v>900</v>
      </c>
      <c r="O85" s="227" t="s">
        <v>1236</v>
      </c>
      <c r="P85" s="198"/>
    </row>
    <row r="86" spans="1:16" s="101" customFormat="1" ht="18" customHeight="1">
      <c r="A86" s="896"/>
      <c r="B86" s="123" t="s">
        <v>1242</v>
      </c>
      <c r="C86" s="124" t="s">
        <v>1243</v>
      </c>
      <c r="D86" s="123" t="s">
        <v>934</v>
      </c>
      <c r="E86" s="123" t="s">
        <v>933</v>
      </c>
      <c r="F86" s="125" t="s">
        <v>1570</v>
      </c>
      <c r="G86" s="126">
        <v>44477</v>
      </c>
      <c r="H86" s="126">
        <v>44592</v>
      </c>
      <c r="I86" s="205" t="s">
        <v>1571</v>
      </c>
      <c r="J86" s="123" t="s">
        <v>899</v>
      </c>
      <c r="K86" s="252">
        <v>161500000</v>
      </c>
      <c r="L86" s="123" t="s">
        <v>88</v>
      </c>
      <c r="M86" s="123"/>
      <c r="N86" s="135" t="s">
        <v>900</v>
      </c>
      <c r="O86" s="227" t="s">
        <v>1236</v>
      </c>
      <c r="P86" s="198"/>
    </row>
    <row r="87" spans="1:16" s="101" customFormat="1" ht="18" customHeight="1">
      <c r="A87" s="896"/>
      <c r="B87" s="123" t="s">
        <v>1242</v>
      </c>
      <c r="C87" s="124" t="s">
        <v>1243</v>
      </c>
      <c r="D87" s="123" t="s">
        <v>936</v>
      </c>
      <c r="E87" s="123" t="s">
        <v>935</v>
      </c>
      <c r="F87" s="125" t="s">
        <v>1570</v>
      </c>
      <c r="G87" s="126">
        <v>44477</v>
      </c>
      <c r="H87" s="126">
        <v>44592</v>
      </c>
      <c r="I87" s="205" t="s">
        <v>1571</v>
      </c>
      <c r="J87" s="123" t="s">
        <v>899</v>
      </c>
      <c r="K87" s="252">
        <v>161500000</v>
      </c>
      <c r="L87" s="123" t="s">
        <v>88</v>
      </c>
      <c r="M87" s="123"/>
      <c r="N87" s="135" t="s">
        <v>900</v>
      </c>
      <c r="O87" s="227" t="s">
        <v>1236</v>
      </c>
      <c r="P87" s="198"/>
    </row>
    <row r="88" spans="1:16" s="101" customFormat="1" ht="18" customHeight="1">
      <c r="A88" s="896"/>
      <c r="B88" s="123" t="s">
        <v>1242</v>
      </c>
      <c r="C88" s="124" t="s">
        <v>1243</v>
      </c>
      <c r="D88" s="123" t="s">
        <v>938</v>
      </c>
      <c r="E88" s="123" t="s">
        <v>937</v>
      </c>
      <c r="F88" s="125" t="s">
        <v>1570</v>
      </c>
      <c r="G88" s="126">
        <v>44477</v>
      </c>
      <c r="H88" s="126">
        <v>44592</v>
      </c>
      <c r="I88" s="205" t="s">
        <v>1571</v>
      </c>
      <c r="J88" s="123" t="s">
        <v>899</v>
      </c>
      <c r="K88" s="252">
        <v>161500000</v>
      </c>
      <c r="L88" s="123" t="s">
        <v>88</v>
      </c>
      <c r="M88" s="123"/>
      <c r="N88" s="135" t="s">
        <v>900</v>
      </c>
      <c r="O88" s="227" t="s">
        <v>1236</v>
      </c>
      <c r="P88" s="198"/>
    </row>
    <row r="89" spans="1:16" s="101" customFormat="1" ht="18" customHeight="1">
      <c r="A89" s="896"/>
      <c r="B89" s="123" t="s">
        <v>1242</v>
      </c>
      <c r="C89" s="124" t="s">
        <v>1243</v>
      </c>
      <c r="D89" s="123" t="s">
        <v>940</v>
      </c>
      <c r="E89" s="123" t="s">
        <v>939</v>
      </c>
      <c r="F89" s="125" t="s">
        <v>1570</v>
      </c>
      <c r="G89" s="126">
        <v>44477</v>
      </c>
      <c r="H89" s="126">
        <v>44592</v>
      </c>
      <c r="I89" s="205" t="s">
        <v>1571</v>
      </c>
      <c r="J89" s="123" t="s">
        <v>899</v>
      </c>
      <c r="K89" s="252">
        <v>161500000</v>
      </c>
      <c r="L89" s="123" t="s">
        <v>88</v>
      </c>
      <c r="M89" s="123"/>
      <c r="N89" s="135" t="s">
        <v>900</v>
      </c>
      <c r="O89" s="227" t="s">
        <v>1236</v>
      </c>
      <c r="P89" s="198"/>
    </row>
    <row r="90" spans="1:16" s="101" customFormat="1" ht="18" customHeight="1">
      <c r="A90" s="897"/>
      <c r="B90" s="114" t="s">
        <v>1242</v>
      </c>
      <c r="C90" s="115" t="s">
        <v>1243</v>
      </c>
      <c r="D90" s="114" t="s">
        <v>942</v>
      </c>
      <c r="E90" s="114" t="s">
        <v>941</v>
      </c>
      <c r="F90" s="116" t="s">
        <v>1570</v>
      </c>
      <c r="G90" s="117">
        <v>44477</v>
      </c>
      <c r="H90" s="117">
        <v>44592</v>
      </c>
      <c r="I90" s="204" t="s">
        <v>1571</v>
      </c>
      <c r="J90" s="114" t="s">
        <v>899</v>
      </c>
      <c r="K90" s="253">
        <v>161500000</v>
      </c>
      <c r="L90" s="114" t="s">
        <v>88</v>
      </c>
      <c r="M90" s="114"/>
      <c r="N90" s="118" t="s">
        <v>900</v>
      </c>
      <c r="O90" s="227" t="s">
        <v>1236</v>
      </c>
      <c r="P90" s="198"/>
    </row>
    <row r="91" spans="1:16" s="101" customFormat="1" ht="18" customHeight="1">
      <c r="A91" s="895">
        <v>10</v>
      </c>
      <c r="B91" s="108" t="s">
        <v>1242</v>
      </c>
      <c r="C91" s="109" t="s">
        <v>1243</v>
      </c>
      <c r="D91" s="127" t="s">
        <v>974</v>
      </c>
      <c r="E91" s="127" t="s">
        <v>973</v>
      </c>
      <c r="F91" s="110" t="s">
        <v>1572</v>
      </c>
      <c r="G91" s="111">
        <v>44477</v>
      </c>
      <c r="H91" s="128">
        <v>44727</v>
      </c>
      <c r="I91" s="129" t="s">
        <v>1573</v>
      </c>
      <c r="J91" s="108" t="s">
        <v>468</v>
      </c>
      <c r="K91" s="259">
        <v>570000000</v>
      </c>
      <c r="L91" s="108" t="s">
        <v>88</v>
      </c>
      <c r="M91" s="127"/>
      <c r="N91" s="113" t="s">
        <v>378</v>
      </c>
      <c r="O91" s="227" t="s">
        <v>1241</v>
      </c>
      <c r="P91" s="198"/>
    </row>
    <row r="92" spans="1:16" s="101" customFormat="1" ht="18" customHeight="1">
      <c r="A92" s="896"/>
      <c r="B92" s="123" t="s">
        <v>1242</v>
      </c>
      <c r="C92" s="124" t="s">
        <v>1243</v>
      </c>
      <c r="D92" s="130" t="s">
        <v>976</v>
      </c>
      <c r="E92" s="130" t="s">
        <v>975</v>
      </c>
      <c r="F92" s="125" t="s">
        <v>1572</v>
      </c>
      <c r="G92" s="126">
        <v>44477</v>
      </c>
      <c r="H92" s="131">
        <v>44727</v>
      </c>
      <c r="I92" s="132" t="s">
        <v>1573</v>
      </c>
      <c r="J92" s="123" t="s">
        <v>468</v>
      </c>
      <c r="K92" s="260">
        <v>570000000</v>
      </c>
      <c r="L92" s="123" t="s">
        <v>88</v>
      </c>
      <c r="M92" s="130"/>
      <c r="N92" s="135" t="s">
        <v>378</v>
      </c>
      <c r="O92" s="227" t="s">
        <v>1241</v>
      </c>
      <c r="P92" s="198"/>
    </row>
    <row r="93" spans="1:16" s="101" customFormat="1" ht="18" customHeight="1">
      <c r="A93" s="896"/>
      <c r="B93" s="123" t="s">
        <v>1242</v>
      </c>
      <c r="C93" s="124" t="s">
        <v>1243</v>
      </c>
      <c r="D93" s="130" t="s">
        <v>966</v>
      </c>
      <c r="E93" s="130" t="s">
        <v>965</v>
      </c>
      <c r="F93" s="125" t="s">
        <v>1572</v>
      </c>
      <c r="G93" s="126">
        <v>44477</v>
      </c>
      <c r="H93" s="131">
        <v>44727</v>
      </c>
      <c r="I93" s="132" t="s">
        <v>1514</v>
      </c>
      <c r="J93" s="123" t="s">
        <v>468</v>
      </c>
      <c r="K93" s="260">
        <v>548000000</v>
      </c>
      <c r="L93" s="123" t="s">
        <v>88</v>
      </c>
      <c r="M93" s="130"/>
      <c r="N93" s="135" t="s">
        <v>378</v>
      </c>
      <c r="O93" s="227" t="s">
        <v>1241</v>
      </c>
      <c r="P93" s="198"/>
    </row>
    <row r="94" spans="1:16" s="101" customFormat="1" ht="18" customHeight="1">
      <c r="A94" s="896"/>
      <c r="B94" s="123" t="s">
        <v>1242</v>
      </c>
      <c r="C94" s="124" t="s">
        <v>1243</v>
      </c>
      <c r="D94" s="130" t="s">
        <v>978</v>
      </c>
      <c r="E94" s="130" t="s">
        <v>977</v>
      </c>
      <c r="F94" s="125" t="s">
        <v>1572</v>
      </c>
      <c r="G94" s="126">
        <v>44477</v>
      </c>
      <c r="H94" s="131">
        <v>44727</v>
      </c>
      <c r="I94" s="132" t="s">
        <v>1573</v>
      </c>
      <c r="J94" s="123" t="s">
        <v>468</v>
      </c>
      <c r="K94" s="260">
        <v>548000000</v>
      </c>
      <c r="L94" s="123" t="s">
        <v>88</v>
      </c>
      <c r="M94" s="130"/>
      <c r="N94" s="135" t="s">
        <v>378</v>
      </c>
      <c r="O94" s="227" t="s">
        <v>1241</v>
      </c>
      <c r="P94" s="198"/>
    </row>
    <row r="95" spans="1:16" s="101" customFormat="1" ht="18" customHeight="1">
      <c r="A95" s="896"/>
      <c r="B95" s="123" t="s">
        <v>1242</v>
      </c>
      <c r="C95" s="124" t="s">
        <v>1243</v>
      </c>
      <c r="D95" s="130" t="s">
        <v>963</v>
      </c>
      <c r="E95" s="130" t="s">
        <v>962</v>
      </c>
      <c r="F95" s="125" t="s">
        <v>1572</v>
      </c>
      <c r="G95" s="126">
        <v>44477</v>
      </c>
      <c r="H95" s="131">
        <v>44665</v>
      </c>
      <c r="I95" s="132" t="s">
        <v>1574</v>
      </c>
      <c r="J95" s="123" t="s">
        <v>468</v>
      </c>
      <c r="K95" s="260">
        <v>456000000</v>
      </c>
      <c r="L95" s="123" t="s">
        <v>88</v>
      </c>
      <c r="M95" s="130"/>
      <c r="N95" s="135" t="s">
        <v>378</v>
      </c>
      <c r="O95" s="227" t="s">
        <v>1241</v>
      </c>
      <c r="P95" s="198"/>
    </row>
    <row r="96" spans="1:16" s="101" customFormat="1" ht="18" customHeight="1">
      <c r="A96" s="896"/>
      <c r="B96" s="123" t="s">
        <v>1242</v>
      </c>
      <c r="C96" s="124" t="s">
        <v>1243</v>
      </c>
      <c r="D96" s="130" t="s">
        <v>984</v>
      </c>
      <c r="E96" s="130" t="s">
        <v>983</v>
      </c>
      <c r="F96" s="125" t="s">
        <v>1572</v>
      </c>
      <c r="G96" s="126">
        <v>44477</v>
      </c>
      <c r="H96" s="131">
        <v>44811</v>
      </c>
      <c r="I96" s="132" t="s">
        <v>1575</v>
      </c>
      <c r="J96" s="123" t="s">
        <v>468</v>
      </c>
      <c r="K96" s="260">
        <v>456000000</v>
      </c>
      <c r="L96" s="123" t="s">
        <v>88</v>
      </c>
      <c r="M96" s="130"/>
      <c r="N96" s="135" t="s">
        <v>378</v>
      </c>
      <c r="O96" s="227" t="s">
        <v>1241</v>
      </c>
      <c r="P96" s="198"/>
    </row>
    <row r="97" spans="1:15" ht="18" customHeight="1">
      <c r="A97" s="896"/>
      <c r="B97" s="123" t="s">
        <v>1242</v>
      </c>
      <c r="C97" s="124" t="s">
        <v>1243</v>
      </c>
      <c r="D97" s="130" t="s">
        <v>986</v>
      </c>
      <c r="E97" s="130" t="s">
        <v>985</v>
      </c>
      <c r="F97" s="125" t="s">
        <v>1572</v>
      </c>
      <c r="G97" s="126">
        <v>44477</v>
      </c>
      <c r="H97" s="131">
        <v>44812</v>
      </c>
      <c r="I97" s="132" t="s">
        <v>1576</v>
      </c>
      <c r="J97" s="123" t="s">
        <v>468</v>
      </c>
      <c r="K97" s="260">
        <v>456000000</v>
      </c>
      <c r="L97" s="123" t="s">
        <v>88</v>
      </c>
      <c r="M97" s="130"/>
      <c r="N97" s="135" t="s">
        <v>378</v>
      </c>
      <c r="O97" s="227" t="s">
        <v>1241</v>
      </c>
    </row>
    <row r="98" spans="1:15" ht="18" customHeight="1">
      <c r="A98" s="896"/>
      <c r="B98" s="123" t="s">
        <v>1242</v>
      </c>
      <c r="C98" s="124" t="s">
        <v>1243</v>
      </c>
      <c r="D98" s="130" t="s">
        <v>959</v>
      </c>
      <c r="E98" s="130" t="s">
        <v>958</v>
      </c>
      <c r="F98" s="125" t="s">
        <v>1572</v>
      </c>
      <c r="G98" s="126">
        <v>44477</v>
      </c>
      <c r="H98" s="131">
        <v>44665</v>
      </c>
      <c r="I98" s="132" t="s">
        <v>1574</v>
      </c>
      <c r="J98" s="123" t="s">
        <v>468</v>
      </c>
      <c r="K98" s="260">
        <v>456000000</v>
      </c>
      <c r="L98" s="123" t="s">
        <v>88</v>
      </c>
      <c r="M98" s="130"/>
      <c r="N98" s="135" t="s">
        <v>378</v>
      </c>
      <c r="O98" s="227" t="s">
        <v>1241</v>
      </c>
    </row>
    <row r="99" spans="1:15" ht="18" customHeight="1">
      <c r="A99" s="905"/>
      <c r="B99" s="239" t="s">
        <v>1242</v>
      </c>
      <c r="C99" s="239" t="s">
        <v>1243</v>
      </c>
      <c r="D99" s="239" t="s">
        <v>961</v>
      </c>
      <c r="E99" s="239" t="s">
        <v>960</v>
      </c>
      <c r="F99" s="263" t="s">
        <v>1572</v>
      </c>
      <c r="G99" s="264">
        <v>44477</v>
      </c>
      <c r="H99" s="264">
        <v>44665</v>
      </c>
      <c r="I99" s="265" t="s">
        <v>1574</v>
      </c>
      <c r="J99" s="239" t="s">
        <v>468</v>
      </c>
      <c r="K99" s="266">
        <v>456000000</v>
      </c>
      <c r="L99" s="239" t="s">
        <v>88</v>
      </c>
      <c r="M99" s="239"/>
      <c r="N99" s="267" t="s">
        <v>378</v>
      </c>
      <c r="O99" s="227" t="s">
        <v>1241</v>
      </c>
    </row>
    <row r="100" spans="1:15" ht="18" customHeight="1">
      <c r="A100" s="207">
        <v>11</v>
      </c>
      <c r="B100" s="70" t="s">
        <v>142</v>
      </c>
      <c r="C100" s="70" t="s">
        <v>143</v>
      </c>
      <c r="D100" s="268" t="s">
        <v>263</v>
      </c>
      <c r="E100" s="70" t="s">
        <v>262</v>
      </c>
      <c r="F100" s="76" t="s">
        <v>1577</v>
      </c>
      <c r="G100" s="71">
        <v>44518</v>
      </c>
      <c r="H100" s="71">
        <v>44560</v>
      </c>
      <c r="I100" s="77" t="s">
        <v>1578</v>
      </c>
      <c r="J100" s="70" t="s">
        <v>1579</v>
      </c>
      <c r="K100" s="248">
        <v>120000000</v>
      </c>
      <c r="L100" s="70" t="s">
        <v>88</v>
      </c>
      <c r="M100" s="70"/>
      <c r="N100" s="70" t="s">
        <v>1580</v>
      </c>
      <c r="O100" s="227" t="s">
        <v>1236</v>
      </c>
    </row>
    <row r="101" spans="1:15" ht="18" customHeight="1">
      <c r="A101" s="207">
        <v>12</v>
      </c>
      <c r="B101" s="70" t="s">
        <v>142</v>
      </c>
      <c r="C101" s="70" t="s">
        <v>143</v>
      </c>
      <c r="D101" s="268" t="s">
        <v>267</v>
      </c>
      <c r="E101" s="70" t="s">
        <v>266</v>
      </c>
      <c r="F101" s="76" t="s">
        <v>1577</v>
      </c>
      <c r="G101" s="71">
        <v>44518</v>
      </c>
      <c r="H101" s="71">
        <v>44560</v>
      </c>
      <c r="I101" s="77" t="s">
        <v>1581</v>
      </c>
      <c r="J101" s="70" t="s">
        <v>1582</v>
      </c>
      <c r="K101" s="248">
        <v>122900000</v>
      </c>
      <c r="L101" s="70" t="s">
        <v>88</v>
      </c>
      <c r="M101" s="70"/>
      <c r="N101" s="70" t="s">
        <v>1580</v>
      </c>
      <c r="O101" s="227" t="s">
        <v>1236</v>
      </c>
    </row>
    <row r="102" spans="1:15" ht="18" customHeight="1">
      <c r="A102" s="207">
        <v>13</v>
      </c>
      <c r="B102" s="70" t="s">
        <v>142</v>
      </c>
      <c r="C102" s="70" t="s">
        <v>143</v>
      </c>
      <c r="D102" s="268" t="s">
        <v>1200</v>
      </c>
      <c r="E102" s="70" t="s">
        <v>1199</v>
      </c>
      <c r="F102" s="76" t="s">
        <v>1583</v>
      </c>
      <c r="G102" s="71">
        <v>44522</v>
      </c>
      <c r="H102" s="71">
        <v>44592</v>
      </c>
      <c r="I102" s="77" t="s">
        <v>1584</v>
      </c>
      <c r="J102" s="70" t="s">
        <v>1585</v>
      </c>
      <c r="K102" s="248">
        <v>282660000</v>
      </c>
      <c r="L102" s="70" t="s">
        <v>88</v>
      </c>
      <c r="M102" s="70"/>
      <c r="N102" s="70" t="s">
        <v>1220</v>
      </c>
      <c r="O102" s="227" t="s">
        <v>1236</v>
      </c>
    </row>
    <row r="103" spans="1:15" ht="18" customHeight="1">
      <c r="A103" s="207">
        <v>14</v>
      </c>
      <c r="B103" s="70" t="s">
        <v>142</v>
      </c>
      <c r="C103" s="70" t="s">
        <v>143</v>
      </c>
      <c r="D103" s="268" t="s">
        <v>1205</v>
      </c>
      <c r="E103" s="70" t="s">
        <v>1204</v>
      </c>
      <c r="F103" s="76" t="s">
        <v>1586</v>
      </c>
      <c r="G103" s="71">
        <v>44522</v>
      </c>
      <c r="H103" s="71">
        <v>44592</v>
      </c>
      <c r="I103" s="77" t="s">
        <v>1584</v>
      </c>
      <c r="J103" s="70" t="s">
        <v>1587</v>
      </c>
      <c r="K103" s="248">
        <v>337790000</v>
      </c>
      <c r="L103" s="70" t="s">
        <v>88</v>
      </c>
      <c r="M103" s="70"/>
      <c r="N103" s="70" t="s">
        <v>1220</v>
      </c>
      <c r="O103" s="227" t="s">
        <v>1236</v>
      </c>
    </row>
    <row r="104" spans="1:15" ht="18" customHeight="1">
      <c r="A104" s="903">
        <v>15</v>
      </c>
      <c r="B104" s="127" t="s">
        <v>138</v>
      </c>
      <c r="C104" s="127" t="s">
        <v>133</v>
      </c>
      <c r="D104" s="127" t="s">
        <v>1588</v>
      </c>
      <c r="E104" s="127" t="s">
        <v>1589</v>
      </c>
      <c r="F104" s="127"/>
      <c r="G104" s="128">
        <v>44537</v>
      </c>
      <c r="H104" s="270">
        <v>44560</v>
      </c>
      <c r="I104" s="127" t="s">
        <v>1590</v>
      </c>
      <c r="J104" s="127" t="s">
        <v>538</v>
      </c>
      <c r="K104" s="259">
        <v>45454545.5</v>
      </c>
      <c r="L104" s="127"/>
      <c r="M104" s="127" t="s">
        <v>39</v>
      </c>
      <c r="N104" s="127" t="s">
        <v>362</v>
      </c>
      <c r="O104" s="227" t="s">
        <v>1236</v>
      </c>
    </row>
    <row r="105" spans="1:15" ht="18" customHeight="1">
      <c r="A105" s="904"/>
      <c r="B105" s="133" t="s">
        <v>138</v>
      </c>
      <c r="C105" s="133" t="s">
        <v>133</v>
      </c>
      <c r="D105" s="133" t="s">
        <v>1591</v>
      </c>
      <c r="E105" s="133" t="s">
        <v>1589</v>
      </c>
      <c r="F105" s="133"/>
      <c r="G105" s="262">
        <v>44537</v>
      </c>
      <c r="H105" s="271">
        <v>44560</v>
      </c>
      <c r="I105" s="133" t="s">
        <v>1590</v>
      </c>
      <c r="J105" s="133" t="s">
        <v>538</v>
      </c>
      <c r="K105" s="256">
        <v>45454545.5</v>
      </c>
      <c r="L105" s="133"/>
      <c r="M105" s="133" t="s">
        <v>39</v>
      </c>
      <c r="N105" s="133" t="s">
        <v>362</v>
      </c>
      <c r="O105" s="227" t="s">
        <v>1236</v>
      </c>
    </row>
    <row r="106" spans="1:15" ht="18" customHeight="1">
      <c r="A106" s="207">
        <v>16</v>
      </c>
      <c r="B106" s="70" t="s">
        <v>1091</v>
      </c>
      <c r="C106" s="70" t="s">
        <v>1592</v>
      </c>
      <c r="D106" s="268" t="s">
        <v>1593</v>
      </c>
      <c r="E106" s="152"/>
      <c r="F106" s="76"/>
      <c r="G106" s="71">
        <v>44550</v>
      </c>
      <c r="H106" s="71">
        <v>44560</v>
      </c>
      <c r="I106" s="265" t="s">
        <v>1594</v>
      </c>
      <c r="J106" s="70" t="s">
        <v>1595</v>
      </c>
      <c r="K106" s="249">
        <v>68181818</v>
      </c>
      <c r="L106" s="70"/>
      <c r="M106" s="268" t="s">
        <v>39</v>
      </c>
      <c r="N106" s="70" t="s">
        <v>1596</v>
      </c>
      <c r="O106" s="227" t="s">
        <v>1236</v>
      </c>
    </row>
    <row r="107" spans="1:15" ht="18" customHeight="1">
      <c r="A107" s="207"/>
      <c r="B107" s="70"/>
      <c r="C107" s="70"/>
      <c r="D107" s="268"/>
      <c r="E107" s="152"/>
      <c r="F107" s="76"/>
      <c r="G107" s="71"/>
      <c r="H107" s="71"/>
      <c r="I107" s="269"/>
      <c r="J107" s="70"/>
      <c r="K107" s="249"/>
      <c r="L107" s="70"/>
      <c r="M107" s="268"/>
      <c r="N107" s="70"/>
    </row>
    <row r="108" spans="1:15" ht="18" customHeight="1">
      <c r="A108" s="207"/>
      <c r="B108" s="70"/>
      <c r="C108" s="70"/>
      <c r="D108" s="268"/>
      <c r="E108" s="152"/>
      <c r="F108" s="76"/>
      <c r="G108" s="71"/>
      <c r="H108" s="71"/>
      <c r="I108" s="269"/>
      <c r="J108" s="70"/>
      <c r="K108" s="249"/>
      <c r="L108" s="70"/>
      <c r="M108" s="268"/>
      <c r="N108" s="70"/>
    </row>
    <row r="109" spans="1:15" ht="18" customHeight="1">
      <c r="A109" s="207"/>
      <c r="B109" s="70"/>
      <c r="C109" s="70"/>
      <c r="D109" s="268"/>
      <c r="E109" s="152"/>
      <c r="F109" s="76"/>
      <c r="G109" s="71"/>
      <c r="H109" s="71"/>
      <c r="I109" s="269"/>
      <c r="J109" s="70"/>
      <c r="K109" s="249"/>
      <c r="L109" s="70"/>
      <c r="M109" s="268"/>
      <c r="N109" s="70"/>
    </row>
    <row r="110" spans="1:15" ht="18" customHeight="1">
      <c r="A110" s="207"/>
      <c r="B110" s="70"/>
      <c r="C110" s="70"/>
      <c r="D110" s="268"/>
      <c r="E110" s="152"/>
      <c r="F110" s="76"/>
      <c r="G110" s="71"/>
      <c r="H110" s="71"/>
      <c r="I110" s="269"/>
      <c r="J110" s="70"/>
      <c r="K110" s="249"/>
      <c r="L110" s="70"/>
      <c r="M110" s="268"/>
      <c r="N110" s="70"/>
    </row>
    <row r="111" spans="1:15" ht="18" customHeight="1">
      <c r="A111" s="207"/>
      <c r="B111" s="70"/>
      <c r="C111" s="70"/>
      <c r="D111" s="268"/>
      <c r="E111" s="152"/>
      <c r="F111" s="76"/>
      <c r="G111" s="71"/>
      <c r="H111" s="71"/>
      <c r="I111" s="269"/>
      <c r="J111" s="70"/>
      <c r="K111" s="249"/>
      <c r="L111" s="70"/>
      <c r="M111" s="268"/>
      <c r="N111" s="70"/>
    </row>
    <row r="112" spans="1:15" ht="18" customHeight="1">
      <c r="A112" s="207"/>
      <c r="B112" s="70"/>
      <c r="C112" s="70"/>
      <c r="D112" s="268"/>
      <c r="E112" s="152"/>
      <c r="F112" s="76"/>
      <c r="G112" s="71"/>
      <c r="H112" s="71"/>
      <c r="I112" s="269"/>
      <c r="J112" s="70"/>
      <c r="K112" s="249"/>
      <c r="L112" s="70"/>
      <c r="M112" s="268"/>
      <c r="N112" s="70"/>
    </row>
    <row r="113" spans="1:14" ht="18" customHeight="1">
      <c r="A113" s="207"/>
      <c r="B113" s="70"/>
      <c r="C113" s="70"/>
      <c r="D113" s="268"/>
      <c r="E113" s="152"/>
      <c r="F113" s="76"/>
      <c r="G113" s="71"/>
      <c r="H113" s="71"/>
      <c r="I113" s="269"/>
      <c r="J113" s="70"/>
      <c r="K113" s="249"/>
      <c r="L113" s="70"/>
      <c r="M113" s="268"/>
      <c r="N113" s="70"/>
    </row>
    <row r="114" spans="1:14" ht="18" customHeight="1">
      <c r="A114" s="207"/>
      <c r="B114" s="70"/>
      <c r="C114" s="70"/>
      <c r="D114" s="268"/>
      <c r="E114" s="152"/>
      <c r="F114" s="76"/>
      <c r="G114" s="71"/>
      <c r="H114" s="71"/>
      <c r="I114" s="269"/>
      <c r="J114" s="70"/>
      <c r="K114" s="249"/>
      <c r="L114" s="70"/>
      <c r="M114" s="268"/>
      <c r="N114" s="70"/>
    </row>
    <row r="115" spans="1:14" ht="18" customHeight="1">
      <c r="A115" s="207"/>
      <c r="B115" s="70"/>
      <c r="C115" s="70"/>
      <c r="D115" s="268"/>
      <c r="E115" s="152"/>
      <c r="F115" s="76"/>
      <c r="G115" s="71"/>
      <c r="H115" s="71"/>
      <c r="I115" s="269"/>
      <c r="J115" s="70"/>
      <c r="K115" s="249"/>
      <c r="L115" s="70"/>
      <c r="M115" s="268"/>
      <c r="N115" s="70"/>
    </row>
    <row r="116" spans="1:14" ht="18" customHeight="1">
      <c r="A116" s="207"/>
      <c r="B116" s="70"/>
      <c r="C116" s="70"/>
      <c r="D116" s="268"/>
      <c r="E116" s="152"/>
      <c r="F116" s="76"/>
      <c r="G116" s="71"/>
      <c r="H116" s="71"/>
      <c r="I116" s="269"/>
      <c r="J116" s="70"/>
      <c r="K116" s="249"/>
      <c r="L116" s="70"/>
      <c r="M116" s="268"/>
      <c r="N116" s="70"/>
    </row>
    <row r="117" spans="1:14" ht="18" customHeight="1">
      <c r="A117" s="207"/>
      <c r="B117" s="70"/>
      <c r="C117" s="70"/>
      <c r="D117" s="268"/>
      <c r="E117" s="152"/>
      <c r="F117" s="76"/>
      <c r="G117" s="71"/>
      <c r="H117" s="71"/>
      <c r="I117" s="269"/>
      <c r="J117" s="70"/>
      <c r="K117" s="249"/>
      <c r="L117" s="70"/>
      <c r="M117" s="268"/>
      <c r="N117" s="70"/>
    </row>
    <row r="118" spans="1:14" ht="18" customHeight="1">
      <c r="A118" s="207"/>
      <c r="B118" s="70"/>
      <c r="C118" s="70"/>
      <c r="D118" s="268"/>
      <c r="E118" s="152"/>
      <c r="F118" s="76"/>
      <c r="G118" s="71"/>
      <c r="H118" s="71"/>
      <c r="I118" s="269"/>
      <c r="J118" s="70"/>
      <c r="K118" s="249"/>
      <c r="L118" s="70"/>
      <c r="M118" s="268"/>
      <c r="N118" s="70"/>
    </row>
    <row r="119" spans="1:14" ht="18" customHeight="1">
      <c r="A119" s="207"/>
      <c r="B119" s="70"/>
      <c r="C119" s="70"/>
      <c r="D119" s="268"/>
      <c r="E119" s="152"/>
      <c r="F119" s="76"/>
      <c r="G119" s="71"/>
      <c r="H119" s="71"/>
      <c r="I119" s="269"/>
      <c r="J119" s="70"/>
      <c r="K119" s="249"/>
      <c r="L119" s="70"/>
      <c r="M119" s="268"/>
      <c r="N119" s="70"/>
    </row>
    <row r="120" spans="1:14" ht="18" customHeight="1">
      <c r="A120" s="207"/>
      <c r="B120" s="70"/>
      <c r="C120" s="70"/>
      <c r="D120" s="268"/>
      <c r="E120" s="152"/>
      <c r="F120" s="76"/>
      <c r="G120" s="71"/>
      <c r="H120" s="71"/>
      <c r="I120" s="269"/>
      <c r="J120" s="70"/>
      <c r="K120" s="249"/>
      <c r="L120" s="70"/>
      <c r="M120" s="268"/>
      <c r="N120" s="70"/>
    </row>
    <row r="121" spans="1:14" ht="18" customHeight="1">
      <c r="A121" s="207"/>
      <c r="B121" s="70"/>
      <c r="C121" s="70"/>
      <c r="D121" s="268"/>
      <c r="E121" s="152"/>
      <c r="F121" s="76"/>
      <c r="G121" s="71"/>
      <c r="H121" s="71"/>
      <c r="I121" s="269"/>
      <c r="J121" s="70"/>
      <c r="K121" s="249"/>
      <c r="L121" s="70"/>
      <c r="M121" s="268"/>
      <c r="N121" s="70"/>
    </row>
    <row r="122" spans="1:14" ht="18" customHeight="1">
      <c r="A122" s="207"/>
      <c r="B122" s="70"/>
      <c r="C122" s="70"/>
      <c r="D122" s="268"/>
      <c r="E122" s="152"/>
      <c r="F122" s="76"/>
      <c r="G122" s="71"/>
      <c r="H122" s="71"/>
      <c r="I122" s="269"/>
      <c r="J122" s="70"/>
      <c r="K122" s="249"/>
      <c r="L122" s="70"/>
      <c r="M122" s="268"/>
      <c r="N122" s="70"/>
    </row>
    <row r="123" spans="1:14" ht="18" customHeight="1">
      <c r="A123" s="207"/>
      <c r="B123" s="70"/>
      <c r="C123" s="70"/>
      <c r="D123" s="268"/>
      <c r="E123" s="152"/>
      <c r="F123" s="76"/>
      <c r="G123" s="71"/>
      <c r="H123" s="71"/>
      <c r="I123" s="269"/>
      <c r="J123" s="70"/>
      <c r="K123" s="249"/>
      <c r="L123" s="70"/>
      <c r="M123" s="268"/>
      <c r="N123" s="70"/>
    </row>
    <row r="124" spans="1:14" ht="18" customHeight="1">
      <c r="A124" s="207"/>
      <c r="B124" s="70"/>
      <c r="C124" s="70"/>
      <c r="D124" s="268"/>
      <c r="E124" s="152"/>
      <c r="F124" s="76"/>
      <c r="G124" s="71"/>
      <c r="H124" s="71"/>
      <c r="I124" s="269"/>
      <c r="J124" s="70"/>
      <c r="K124" s="249"/>
      <c r="L124" s="70"/>
      <c r="M124" s="268"/>
      <c r="N124" s="70"/>
    </row>
    <row r="125" spans="1:14" ht="18" customHeight="1">
      <c r="A125" s="207"/>
      <c r="B125" s="70"/>
      <c r="C125" s="70"/>
      <c r="D125" s="268"/>
      <c r="E125" s="152"/>
      <c r="F125" s="76"/>
      <c r="G125" s="71"/>
      <c r="H125" s="71"/>
      <c r="I125" s="269"/>
      <c r="J125" s="70"/>
      <c r="K125" s="249"/>
      <c r="L125" s="70"/>
      <c r="M125" s="268"/>
      <c r="N125" s="70"/>
    </row>
    <row r="126" spans="1:14" ht="18" customHeight="1">
      <c r="A126" s="207"/>
      <c r="B126" s="70"/>
      <c r="C126" s="70"/>
      <c r="D126" s="268"/>
      <c r="E126" s="152"/>
      <c r="F126" s="76"/>
      <c r="G126" s="71"/>
      <c r="H126" s="71"/>
      <c r="I126" s="269"/>
      <c r="J126" s="70"/>
      <c r="K126" s="249"/>
      <c r="L126" s="70"/>
      <c r="M126" s="268"/>
      <c r="N126" s="70"/>
    </row>
    <row r="127" spans="1:14" ht="18" customHeight="1">
      <c r="A127" s="207"/>
      <c r="B127" s="70"/>
      <c r="C127" s="70"/>
      <c r="D127" s="268"/>
      <c r="E127" s="152"/>
      <c r="F127" s="76"/>
      <c r="G127" s="71"/>
      <c r="H127" s="71"/>
      <c r="I127" s="269"/>
      <c r="J127" s="70"/>
      <c r="K127" s="249"/>
      <c r="L127" s="70"/>
      <c r="M127" s="268"/>
      <c r="N127" s="70"/>
    </row>
    <row r="128" spans="1:14" ht="18" customHeight="1">
      <c r="A128" s="207"/>
      <c r="B128" s="70"/>
      <c r="C128" s="70"/>
      <c r="D128" s="268"/>
      <c r="E128" s="152"/>
      <c r="F128" s="76"/>
      <c r="G128" s="71"/>
      <c r="H128" s="71"/>
      <c r="I128" s="269"/>
      <c r="J128" s="70"/>
      <c r="K128" s="249"/>
      <c r="L128" s="70"/>
      <c r="M128" s="268"/>
      <c r="N128" s="70"/>
    </row>
    <row r="129" spans="1:14" ht="18" customHeight="1">
      <c r="A129" s="207"/>
      <c r="B129" s="70"/>
      <c r="C129" s="70"/>
      <c r="D129" s="268"/>
      <c r="E129" s="152"/>
      <c r="F129" s="76"/>
      <c r="G129" s="71"/>
      <c r="H129" s="71"/>
      <c r="I129" s="269"/>
      <c r="J129" s="70"/>
      <c r="K129" s="249"/>
      <c r="L129" s="70"/>
      <c r="M129" s="268"/>
      <c r="N129" s="70"/>
    </row>
    <row r="130" spans="1:14" ht="18" customHeight="1">
      <c r="A130" s="207"/>
      <c r="B130" s="70"/>
      <c r="C130" s="70"/>
      <c r="D130" s="268"/>
      <c r="E130" s="152"/>
      <c r="F130" s="76"/>
      <c r="G130" s="71"/>
      <c r="H130" s="71"/>
      <c r="I130" s="269"/>
      <c r="J130" s="70"/>
      <c r="K130" s="249"/>
      <c r="L130" s="70"/>
      <c r="M130" s="268"/>
      <c r="N130" s="70"/>
    </row>
    <row r="131" spans="1:14" ht="18" customHeight="1">
      <c r="A131" s="207"/>
      <c r="B131" s="70"/>
      <c r="C131" s="70"/>
      <c r="D131" s="268"/>
      <c r="E131" s="152"/>
      <c r="F131" s="76"/>
      <c r="G131" s="71"/>
      <c r="H131" s="71"/>
      <c r="I131" s="269"/>
      <c r="J131" s="70"/>
      <c r="K131" s="249"/>
      <c r="L131" s="70"/>
      <c r="M131" s="268"/>
      <c r="N131" s="70"/>
    </row>
    <row r="132" spans="1:14" ht="18" customHeight="1">
      <c r="A132" s="207"/>
      <c r="B132" s="70"/>
      <c r="C132" s="70"/>
      <c r="D132" s="268"/>
      <c r="E132" s="152"/>
      <c r="F132" s="76"/>
      <c r="G132" s="71"/>
      <c r="H132" s="71"/>
      <c r="I132" s="269"/>
      <c r="J132" s="70"/>
      <c r="K132" s="249"/>
      <c r="L132" s="70"/>
      <c r="M132" s="268"/>
      <c r="N132" s="70"/>
    </row>
    <row r="133" spans="1:14" ht="18" customHeight="1">
      <c r="A133" s="207"/>
      <c r="B133" s="70"/>
      <c r="C133" s="70"/>
      <c r="D133" s="268"/>
      <c r="E133" s="152"/>
      <c r="F133" s="76"/>
      <c r="G133" s="71"/>
      <c r="H133" s="71"/>
      <c r="I133" s="269"/>
      <c r="J133" s="70"/>
      <c r="K133" s="249"/>
      <c r="L133" s="70"/>
      <c r="M133" s="268"/>
      <c r="N133" s="70"/>
    </row>
    <row r="134" spans="1:14" ht="18" customHeight="1">
      <c r="A134" s="207"/>
      <c r="B134" s="70"/>
      <c r="C134" s="70"/>
      <c r="D134" s="268"/>
      <c r="E134" s="152"/>
      <c r="F134" s="76"/>
      <c r="G134" s="71"/>
      <c r="H134" s="71"/>
      <c r="I134" s="269"/>
      <c r="J134" s="70"/>
      <c r="K134" s="249"/>
      <c r="L134" s="70"/>
      <c r="M134" s="268"/>
      <c r="N134" s="70"/>
    </row>
    <row r="135" spans="1:14" ht="18" customHeight="1">
      <c r="A135" s="81"/>
      <c r="B135" s="82"/>
      <c r="C135" s="82"/>
      <c r="F135" s="228"/>
      <c r="G135" s="83"/>
      <c r="J135" s="82"/>
      <c r="L135" s="82"/>
      <c r="N135" s="82"/>
    </row>
    <row r="136" spans="1:14" ht="18" customHeight="1">
      <c r="A136" s="81"/>
      <c r="B136" s="82"/>
      <c r="C136" s="82"/>
      <c r="F136" s="228"/>
      <c r="G136" s="83"/>
      <c r="J136" s="82"/>
      <c r="L136" s="82"/>
      <c r="N136" s="82"/>
    </row>
    <row r="137" spans="1:14" ht="18" customHeight="1">
      <c r="A137" s="81"/>
      <c r="B137" s="82"/>
      <c r="C137" s="82"/>
      <c r="F137" s="228"/>
      <c r="G137" s="83"/>
      <c r="J137" s="82"/>
      <c r="L137" s="82"/>
      <c r="N137" s="82"/>
    </row>
    <row r="138" spans="1:14" ht="18" customHeight="1">
      <c r="A138" s="81"/>
      <c r="B138" s="82"/>
      <c r="C138" s="82"/>
      <c r="F138" s="228"/>
      <c r="G138" s="83"/>
      <c r="J138" s="82"/>
      <c r="L138" s="82"/>
      <c r="N138" s="82"/>
    </row>
    <row r="139" spans="1:14" ht="18" customHeight="1">
      <c r="A139" s="81"/>
      <c r="B139" s="82"/>
      <c r="C139" s="82"/>
      <c r="F139" s="228"/>
      <c r="G139" s="83"/>
      <c r="J139" s="82"/>
      <c r="L139" s="82"/>
      <c r="N139" s="82"/>
    </row>
    <row r="140" spans="1:14" ht="18" customHeight="1">
      <c r="A140" s="81"/>
      <c r="B140" s="82"/>
      <c r="C140" s="82"/>
      <c r="F140" s="228"/>
      <c r="G140" s="83"/>
      <c r="J140" s="82"/>
      <c r="L140" s="82"/>
      <c r="N140" s="82"/>
    </row>
    <row r="141" spans="1:14" ht="18" customHeight="1">
      <c r="A141" s="81"/>
      <c r="B141" s="82"/>
      <c r="C141" s="82"/>
      <c r="F141" s="228"/>
      <c r="G141" s="83"/>
      <c r="J141" s="82"/>
      <c r="L141" s="82"/>
      <c r="N141" s="82"/>
    </row>
    <row r="142" spans="1:14" ht="18" customHeight="1">
      <c r="A142" s="81"/>
      <c r="B142" s="82"/>
      <c r="C142" s="82"/>
      <c r="F142" s="228"/>
      <c r="G142" s="83"/>
      <c r="J142" s="82"/>
      <c r="L142" s="82"/>
      <c r="N142" s="82"/>
    </row>
    <row r="143" spans="1:14" ht="18" customHeight="1">
      <c r="A143" s="81"/>
      <c r="B143" s="82"/>
      <c r="C143" s="82"/>
      <c r="F143" s="228"/>
      <c r="G143" s="83"/>
      <c r="J143" s="82"/>
      <c r="L143" s="82"/>
      <c r="N143" s="82"/>
    </row>
    <row r="144" spans="1:14" ht="18" customHeight="1">
      <c r="A144" s="81"/>
      <c r="B144" s="82"/>
      <c r="C144" s="82"/>
      <c r="F144" s="228"/>
      <c r="G144" s="83"/>
      <c r="J144" s="82"/>
      <c r="L144" s="82"/>
      <c r="N144" s="82"/>
    </row>
    <row r="145" spans="1:14" ht="18" customHeight="1">
      <c r="A145" s="81"/>
      <c r="B145" s="82"/>
      <c r="C145" s="82"/>
      <c r="F145" s="228"/>
      <c r="G145" s="83"/>
      <c r="J145" s="82"/>
      <c r="L145" s="82"/>
      <c r="N145" s="82"/>
    </row>
    <row r="146" spans="1:14" ht="18" customHeight="1">
      <c r="A146" s="81"/>
      <c r="B146" s="82"/>
      <c r="C146" s="82"/>
      <c r="F146" s="228"/>
      <c r="G146" s="83"/>
      <c r="J146" s="82"/>
      <c r="L146" s="82"/>
      <c r="N146" s="82"/>
    </row>
    <row r="147" spans="1:14" ht="18" customHeight="1">
      <c r="A147" s="81"/>
      <c r="B147" s="82"/>
      <c r="C147" s="82"/>
      <c r="F147" s="228"/>
      <c r="G147" s="83"/>
      <c r="J147" s="82"/>
      <c r="L147" s="82"/>
      <c r="N147" s="82"/>
    </row>
    <row r="148" spans="1:14" ht="18" customHeight="1">
      <c r="A148" s="81"/>
      <c r="B148" s="82"/>
      <c r="C148" s="82"/>
      <c r="F148" s="228"/>
      <c r="G148" s="83"/>
      <c r="J148" s="82"/>
      <c r="L148" s="82"/>
      <c r="N148" s="82"/>
    </row>
    <row r="149" spans="1:14" ht="18" customHeight="1">
      <c r="A149" s="81"/>
      <c r="B149" s="82"/>
      <c r="C149" s="82"/>
      <c r="F149" s="228"/>
      <c r="G149" s="83"/>
      <c r="J149" s="82"/>
      <c r="L149" s="82"/>
      <c r="N149" s="82"/>
    </row>
    <row r="150" spans="1:14" ht="18" customHeight="1">
      <c r="A150" s="81"/>
      <c r="B150" s="82"/>
      <c r="C150" s="82"/>
      <c r="F150" s="228"/>
      <c r="G150" s="83"/>
      <c r="J150" s="82"/>
      <c r="L150" s="82"/>
      <c r="N150" s="82"/>
    </row>
    <row r="151" spans="1:14" ht="18" customHeight="1">
      <c r="A151" s="81"/>
      <c r="B151" s="82"/>
      <c r="C151" s="82"/>
      <c r="F151" s="228"/>
      <c r="G151" s="83"/>
      <c r="J151" s="82"/>
      <c r="L151" s="82"/>
      <c r="N151" s="82"/>
    </row>
    <row r="152" spans="1:14" ht="18" customHeight="1">
      <c r="A152" s="81"/>
      <c r="B152" s="82"/>
      <c r="C152" s="82"/>
      <c r="F152" s="228"/>
      <c r="G152" s="83"/>
      <c r="J152" s="82"/>
      <c r="L152" s="82"/>
      <c r="N152" s="82"/>
    </row>
    <row r="153" spans="1:14" ht="18" customHeight="1">
      <c r="A153" s="81"/>
      <c r="B153" s="82"/>
      <c r="C153" s="82"/>
      <c r="F153" s="228"/>
      <c r="G153" s="83"/>
      <c r="J153" s="82"/>
      <c r="L153" s="82"/>
      <c r="N153" s="82"/>
    </row>
    <row r="154" spans="1:14" ht="18" customHeight="1">
      <c r="A154" s="81"/>
      <c r="B154" s="82"/>
      <c r="C154" s="82"/>
      <c r="F154" s="228"/>
      <c r="G154" s="83"/>
      <c r="J154" s="82"/>
      <c r="L154" s="82"/>
      <c r="N154" s="82"/>
    </row>
    <row r="155" spans="1:14" ht="18" customHeight="1">
      <c r="A155" s="81"/>
      <c r="B155" s="82"/>
      <c r="C155" s="82"/>
      <c r="F155" s="228"/>
      <c r="G155" s="83"/>
      <c r="J155" s="82"/>
      <c r="L155" s="82"/>
      <c r="N155" s="82"/>
    </row>
    <row r="156" spans="1:14" ht="18" customHeight="1">
      <c r="A156" s="81"/>
      <c r="B156" s="82"/>
      <c r="C156" s="82"/>
      <c r="F156" s="228"/>
      <c r="G156" s="83"/>
      <c r="J156" s="82"/>
      <c r="L156" s="82"/>
      <c r="N156" s="82"/>
    </row>
    <row r="157" spans="1:14" ht="18" customHeight="1">
      <c r="A157" s="81"/>
      <c r="B157" s="82"/>
      <c r="C157" s="82"/>
      <c r="F157" s="228"/>
      <c r="G157" s="83"/>
      <c r="J157" s="82"/>
      <c r="L157" s="82"/>
      <c r="N157" s="82"/>
    </row>
    <row r="158" spans="1:14" ht="18" customHeight="1">
      <c r="A158" s="81"/>
      <c r="B158" s="82"/>
      <c r="C158" s="82"/>
      <c r="F158" s="228"/>
      <c r="G158" s="83"/>
      <c r="J158" s="82"/>
      <c r="L158" s="82"/>
      <c r="N158" s="82"/>
    </row>
    <row r="159" spans="1:14" ht="18" customHeight="1">
      <c r="A159" s="81"/>
      <c r="B159" s="82"/>
      <c r="C159" s="82"/>
      <c r="F159" s="228"/>
      <c r="G159" s="83"/>
      <c r="J159" s="82"/>
      <c r="L159" s="82"/>
      <c r="N159" s="82"/>
    </row>
    <row r="160" spans="1:14" ht="18" customHeight="1">
      <c r="A160" s="81"/>
      <c r="B160" s="82"/>
      <c r="C160" s="82"/>
      <c r="F160" s="228"/>
      <c r="G160" s="83"/>
      <c r="J160" s="82"/>
      <c r="L160" s="82"/>
      <c r="N160" s="82"/>
    </row>
    <row r="161" spans="1:14" ht="18" customHeight="1">
      <c r="A161" s="81"/>
      <c r="B161" s="82"/>
      <c r="C161" s="82"/>
      <c r="F161" s="228"/>
      <c r="G161" s="83"/>
      <c r="J161" s="82"/>
      <c r="L161" s="82"/>
      <c r="N161" s="82"/>
    </row>
    <row r="162" spans="1:14" ht="18" customHeight="1">
      <c r="A162" s="81"/>
      <c r="B162" s="82"/>
      <c r="C162" s="82"/>
      <c r="F162" s="228"/>
      <c r="G162" s="83"/>
      <c r="J162" s="82"/>
      <c r="L162" s="82"/>
      <c r="N162" s="82"/>
    </row>
    <row r="163" spans="1:14" ht="18" customHeight="1">
      <c r="A163" s="81"/>
      <c r="B163" s="82"/>
      <c r="C163" s="82"/>
      <c r="F163" s="228"/>
      <c r="G163" s="83"/>
      <c r="J163" s="82"/>
      <c r="L163" s="82"/>
      <c r="N163" s="82"/>
    </row>
    <row r="164" spans="1:14" ht="18" customHeight="1">
      <c r="A164" s="81"/>
      <c r="B164" s="82"/>
      <c r="C164" s="82"/>
      <c r="F164" s="228"/>
      <c r="G164" s="83"/>
      <c r="J164" s="82"/>
      <c r="L164" s="82"/>
      <c r="N164" s="82"/>
    </row>
    <row r="165" spans="1:14" ht="18" customHeight="1">
      <c r="A165" s="81"/>
      <c r="B165" s="82"/>
      <c r="C165" s="82"/>
      <c r="F165" s="228"/>
      <c r="G165" s="83"/>
      <c r="J165" s="82"/>
      <c r="L165" s="82"/>
      <c r="N165" s="82"/>
    </row>
    <row r="166" spans="1:14" ht="18" customHeight="1">
      <c r="A166" s="81"/>
      <c r="B166" s="82"/>
      <c r="C166" s="82"/>
      <c r="F166" s="228"/>
      <c r="G166" s="83"/>
      <c r="J166" s="82"/>
      <c r="L166" s="82"/>
      <c r="N166" s="82"/>
    </row>
    <row r="167" spans="1:14" ht="18" customHeight="1">
      <c r="A167" s="81"/>
      <c r="B167" s="82"/>
      <c r="C167" s="82"/>
      <c r="F167" s="228"/>
      <c r="G167" s="83"/>
      <c r="J167" s="82"/>
      <c r="L167" s="82"/>
      <c r="N167" s="82"/>
    </row>
    <row r="168" spans="1:14" ht="18" customHeight="1">
      <c r="A168" s="81"/>
      <c r="B168" s="82"/>
      <c r="C168" s="82"/>
      <c r="F168" s="228"/>
      <c r="G168" s="83"/>
      <c r="J168" s="82"/>
      <c r="L168" s="82"/>
      <c r="N168" s="82"/>
    </row>
    <row r="169" spans="1:14" ht="18" customHeight="1">
      <c r="A169" s="81"/>
      <c r="B169" s="82"/>
      <c r="C169" s="82"/>
      <c r="F169" s="228"/>
      <c r="G169" s="83"/>
      <c r="J169" s="82"/>
      <c r="L169" s="82"/>
      <c r="N169" s="82"/>
    </row>
    <row r="170" spans="1:14" ht="18" customHeight="1">
      <c r="A170" s="81"/>
      <c r="B170" s="82"/>
      <c r="C170" s="82"/>
      <c r="F170" s="228"/>
      <c r="G170" s="83"/>
      <c r="J170" s="82"/>
      <c r="L170" s="82"/>
      <c r="N170" s="82"/>
    </row>
    <row r="171" spans="1:14" ht="18" customHeight="1">
      <c r="A171" s="81"/>
      <c r="B171" s="82"/>
      <c r="C171" s="82"/>
      <c r="F171" s="228"/>
      <c r="G171" s="83"/>
      <c r="J171" s="82"/>
      <c r="L171" s="82"/>
      <c r="N171" s="82"/>
    </row>
    <row r="172" spans="1:14" ht="18" customHeight="1">
      <c r="A172" s="81"/>
      <c r="B172" s="82"/>
      <c r="C172" s="82"/>
      <c r="F172" s="228"/>
      <c r="G172" s="83"/>
      <c r="J172" s="82"/>
      <c r="L172" s="82"/>
      <c r="N172" s="82"/>
    </row>
    <row r="173" spans="1:14" ht="18" customHeight="1">
      <c r="A173" s="81"/>
      <c r="B173" s="82"/>
      <c r="C173" s="82"/>
      <c r="F173" s="228"/>
      <c r="G173" s="83"/>
      <c r="J173" s="82"/>
      <c r="L173" s="82"/>
      <c r="N173" s="82"/>
    </row>
    <row r="174" spans="1:14" ht="18" customHeight="1">
      <c r="A174" s="81"/>
      <c r="B174" s="82"/>
      <c r="C174" s="82"/>
      <c r="F174" s="228"/>
      <c r="G174" s="83"/>
      <c r="J174" s="82"/>
      <c r="L174" s="82"/>
      <c r="N174" s="82"/>
    </row>
    <row r="175" spans="1:14" ht="18" customHeight="1">
      <c r="A175" s="81"/>
      <c r="B175" s="82"/>
      <c r="C175" s="82"/>
      <c r="F175" s="228"/>
      <c r="G175" s="83"/>
      <c r="J175" s="82"/>
      <c r="L175" s="82"/>
      <c r="N175" s="82"/>
    </row>
    <row r="176" spans="1:14" ht="18" customHeight="1">
      <c r="A176" s="81"/>
      <c r="B176" s="82"/>
      <c r="C176" s="82"/>
      <c r="F176" s="228"/>
      <c r="G176" s="83"/>
      <c r="J176" s="82"/>
      <c r="L176" s="82"/>
      <c r="N176" s="82"/>
    </row>
    <row r="177" spans="1:14" ht="18" customHeight="1">
      <c r="A177" s="81"/>
      <c r="B177" s="82"/>
      <c r="C177" s="82"/>
      <c r="F177" s="228"/>
      <c r="G177" s="83"/>
      <c r="J177" s="82"/>
      <c r="L177" s="82"/>
      <c r="N177" s="82"/>
    </row>
    <row r="178" spans="1:14" ht="18" customHeight="1">
      <c r="A178" s="81"/>
      <c r="B178" s="82"/>
      <c r="C178" s="82"/>
      <c r="F178" s="228"/>
      <c r="G178" s="83"/>
      <c r="J178" s="82"/>
      <c r="L178" s="82"/>
      <c r="N178" s="82"/>
    </row>
    <row r="179" spans="1:14" ht="18" customHeight="1">
      <c r="A179" s="81"/>
      <c r="B179" s="82"/>
      <c r="C179" s="82"/>
      <c r="F179" s="228"/>
      <c r="G179" s="83"/>
      <c r="J179" s="82"/>
      <c r="L179" s="82"/>
      <c r="N179" s="82"/>
    </row>
    <row r="180" spans="1:14" ht="18" customHeight="1">
      <c r="A180" s="81"/>
      <c r="B180" s="82"/>
      <c r="C180" s="82"/>
      <c r="F180" s="228"/>
      <c r="G180" s="83"/>
      <c r="J180" s="82"/>
      <c r="L180" s="82"/>
      <c r="N180" s="82"/>
    </row>
    <row r="181" spans="1:14" ht="18" customHeight="1">
      <c r="A181" s="81"/>
      <c r="B181" s="82"/>
      <c r="C181" s="82"/>
      <c r="F181" s="228"/>
      <c r="G181" s="83"/>
      <c r="J181" s="82"/>
      <c r="L181" s="82"/>
      <c r="N181" s="82"/>
    </row>
    <row r="182" spans="1:14" ht="18" customHeight="1">
      <c r="A182" s="81"/>
      <c r="B182" s="82"/>
      <c r="C182" s="82"/>
      <c r="F182" s="228"/>
      <c r="G182" s="83"/>
      <c r="J182" s="82"/>
      <c r="L182" s="82"/>
      <c r="N182" s="82"/>
    </row>
    <row r="183" spans="1:14" ht="18" customHeight="1">
      <c r="A183" s="81"/>
      <c r="B183" s="82"/>
      <c r="C183" s="82"/>
      <c r="F183" s="228"/>
      <c r="G183" s="83"/>
      <c r="J183" s="82"/>
      <c r="L183" s="82"/>
      <c r="N183" s="82"/>
    </row>
    <row r="184" spans="1:14" ht="18" customHeight="1">
      <c r="A184" s="81"/>
      <c r="B184" s="82"/>
      <c r="C184" s="82"/>
      <c r="F184" s="228"/>
      <c r="G184" s="83"/>
      <c r="J184" s="82"/>
      <c r="L184" s="82"/>
      <c r="N184" s="82"/>
    </row>
    <row r="185" spans="1:14" ht="18" customHeight="1">
      <c r="A185" s="81"/>
      <c r="B185" s="82"/>
      <c r="C185" s="82"/>
      <c r="F185" s="228"/>
      <c r="G185" s="83"/>
      <c r="J185" s="82"/>
      <c r="L185" s="82"/>
      <c r="N185" s="82"/>
    </row>
  </sheetData>
  <autoFilter ref="A5:N106" xr:uid="{00000000-0009-0000-0000-000003000000}">
    <filterColumn colId="3" showButton="0"/>
    <filterColumn colId="5" showButton="0"/>
    <filterColumn colId="11" showButton="0"/>
  </autoFilter>
  <mergeCells count="43">
    <mergeCell ref="A104:A105"/>
    <mergeCell ref="A61:A62"/>
    <mergeCell ref="A66:A67"/>
    <mergeCell ref="A72:A77"/>
    <mergeCell ref="A68:A71"/>
    <mergeCell ref="A85:A90"/>
    <mergeCell ref="A91:A99"/>
    <mergeCell ref="A82:A83"/>
    <mergeCell ref="N5:N6"/>
    <mergeCell ref="A5:A6"/>
    <mergeCell ref="K5:K6"/>
    <mergeCell ref="B5:B6"/>
    <mergeCell ref="A12:A14"/>
    <mergeCell ref="L5:M5"/>
    <mergeCell ref="J5:J6"/>
    <mergeCell ref="A57:A60"/>
    <mergeCell ref="H5:H6"/>
    <mergeCell ref="I5:I6"/>
    <mergeCell ref="D5:E5"/>
    <mergeCell ref="C5:C6"/>
    <mergeCell ref="F5:G5"/>
    <mergeCell ref="A41:A44"/>
    <mergeCell ref="A33:A36"/>
    <mergeCell ref="A45:A46"/>
    <mergeCell ref="A47:A52"/>
    <mergeCell ref="A54:A56"/>
    <mergeCell ref="A25:A27"/>
    <mergeCell ref="A15:A16"/>
    <mergeCell ref="A17:A22"/>
    <mergeCell ref="A23:A24"/>
    <mergeCell ref="A30:A31"/>
    <mergeCell ref="B82:B83"/>
    <mergeCell ref="C82:C83"/>
    <mergeCell ref="N66:N67"/>
    <mergeCell ref="B66:B67"/>
    <mergeCell ref="C66:C67"/>
    <mergeCell ref="D66:E66"/>
    <mergeCell ref="F66:G66"/>
    <mergeCell ref="H66:H67"/>
    <mergeCell ref="I66:I67"/>
    <mergeCell ref="J66:J67"/>
    <mergeCell ref="K66:K67"/>
    <mergeCell ref="L66:M66"/>
  </mergeCells>
  <phoneticPr fontId="86" type="noConversion"/>
  <conditionalFormatting sqref="D38">
    <cfRule type="duplicateValues" dxfId="5" priority="1" stopIfTrue="1"/>
  </conditionalFormatting>
  <conditionalFormatting sqref="D39">
    <cfRule type="duplicateValues" dxfId="4" priority="6" stopIfTrue="1"/>
  </conditionalFormatting>
  <conditionalFormatting sqref="D40">
    <cfRule type="duplicateValues" dxfId="3" priority="5" stopIfTrue="1"/>
  </conditionalFormatting>
  <conditionalFormatting sqref="D41">
    <cfRule type="duplicateValues" dxfId="2" priority="4" stopIfTrue="1"/>
  </conditionalFormatting>
  <conditionalFormatting sqref="D42:D52">
    <cfRule type="duplicateValues" dxfId="1" priority="3" stopIfTrue="1"/>
  </conditionalFormatting>
  <conditionalFormatting sqref="D53:D60">
    <cfRule type="duplicateValues" dxfId="0" priority="2" stopIfTrue="1"/>
  </conditionalFormatting>
  <pageMargins left="0.11811023622047245" right="0.11811023622047245" top="0.55118110236220474" bottom="0.15748031496062992" header="0.31496062992125984" footer="0.31496062992125984"/>
  <pageSetup paperSize="9" scale="74" fitToHeight="0" orientation="portrait" r:id="rId1"/>
  <rowBreaks count="1" manualBreakCount="1">
    <brk id="82" max="1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08BD6BF0177244A5253243839BD302" ma:contentTypeVersion="13" ma:contentTypeDescription="Create a new document." ma:contentTypeScope="" ma:versionID="e6e69c25b24afc28c27edd5762a0cee3">
  <xsd:schema xmlns:xsd="http://www.w3.org/2001/XMLSchema" xmlns:xs="http://www.w3.org/2001/XMLSchema" xmlns:p="http://schemas.microsoft.com/office/2006/metadata/properties" xmlns:ns2="90f1749c-a69f-4dd9-9a0b-6dad033f4879" xmlns:ns3="5997b51f-919a-4c34-875d-36f8dac681e8" targetNamespace="http://schemas.microsoft.com/office/2006/metadata/properties" ma:root="true" ma:fieldsID="c670766aa7e976c3053f5c0591e3858d" ns2:_="" ns3:_="">
    <xsd:import namespace="90f1749c-a69f-4dd9-9a0b-6dad033f4879"/>
    <xsd:import namespace="5997b51f-919a-4c34-875d-36f8dac681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f1749c-a69f-4dd9-9a0b-6dad033f48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cbc8715-95cd-4665-a2b8-e63b90e589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97b51f-919a-4c34-875d-36f8dac681e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a1674cc-d983-4306-b328-8d3dca4b57ed}" ma:internalName="TaxCatchAll" ma:showField="CatchAllData" ma:web="5997b51f-919a-4c34-875d-36f8dac681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997b51f-919a-4c34-875d-36f8dac681e8" xsi:nil="true"/>
    <lcf76f155ced4ddcb4097134ff3c332f xmlns="90f1749c-a69f-4dd9-9a0b-6dad033f487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BE62B5-CAD3-48C5-B726-4D83B9F5F94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9B7C75C-A5EA-41DD-BBB3-651D354E7E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f1749c-a69f-4dd9-9a0b-6dad033f4879"/>
    <ds:schemaRef ds:uri="5997b51f-919a-4c34-875d-36f8dac681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46575F-F799-47BD-8862-24C6A310C2CC}">
  <ds:schemaRefs>
    <ds:schemaRef ds:uri="http://schemas.microsoft.com/office/2006/metadata/properties"/>
    <ds:schemaRef ds:uri="http://schemas.microsoft.com/office/infopath/2007/PartnerControls"/>
    <ds:schemaRef ds:uri="5997b51f-919a-4c34-875d-36f8dac681e8"/>
    <ds:schemaRef ds:uri="90f1749c-a69f-4dd9-9a0b-6dad033f487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9</vt:i4>
      </vt:variant>
    </vt:vector>
  </HeadingPairs>
  <TitlesOfParts>
    <vt:vector size="16" baseType="lpstr">
      <vt:lpstr>TB</vt:lpstr>
      <vt:lpstr>TOTAL</vt:lpstr>
      <vt:lpstr>FA_2025</vt:lpstr>
      <vt:lpstr>FA_2026</vt:lpstr>
      <vt:lpstr>Sheet1</vt:lpstr>
      <vt:lpstr>List Approval 2022</vt:lpstr>
      <vt:lpstr>List Approval 2021</vt:lpstr>
      <vt:lpstr>FA_2025!Print_Area</vt:lpstr>
      <vt:lpstr>FA_2026!Print_Area</vt:lpstr>
      <vt:lpstr>'List Approval 2021'!Print_Area</vt:lpstr>
      <vt:lpstr>'List Approval 2022'!Print_Area</vt:lpstr>
      <vt:lpstr>TOTAL!Print_Area</vt:lpstr>
      <vt:lpstr>FA_2025!Print_Titles</vt:lpstr>
      <vt:lpstr>FA_2026!Print_Titles</vt:lpstr>
      <vt:lpstr>'List Approval 2021'!Print_Titles</vt:lpstr>
      <vt:lpstr>'List Approval 2022'!Print_Titles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putra</dc:creator>
  <cp:keywords/>
  <dc:description/>
  <cp:lastModifiedBy>Rifky Awalul Huda</cp:lastModifiedBy>
  <cp:revision/>
  <cp:lastPrinted>2025-09-09T04:09:43Z</cp:lastPrinted>
  <dcterms:created xsi:type="dcterms:W3CDTF">2013-02-01T01:14:40Z</dcterms:created>
  <dcterms:modified xsi:type="dcterms:W3CDTF">2025-10-30T11:20:14Z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0x010100F308BD6BF0177244A5253243839BD302</vt:lpwstr>
  </property>
  <property fmtid="{D5CDD505-2E9C-101B-9397-08002B2CF9AE}" pid="3" name="MediaServiceImageTags">
    <vt:lpwstr/>
  </property>
</Properties>
</file>